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sk\Desktop\git portfolio\IPL case study\"/>
    </mc:Choice>
  </mc:AlternateContent>
  <xr:revisionPtr revIDLastSave="0" documentId="13_ncr:1_{1D39575C-6899-4900-BC84-F82BF053A13D}" xr6:coauthVersionLast="47" xr6:coauthVersionMax="47" xr10:uidLastSave="{00000000-0000-0000-0000-000000000000}"/>
  <bookViews>
    <workbookView xWindow="0" yWindow="0" windowWidth="21600" windowHeight="12780" tabRatio="698" activeTab="2" xr2:uid="{0CD5FEA8-6398-4B5A-A0DC-887181BEB648}"/>
  </bookViews>
  <sheets>
    <sheet name="Questions" sheetId="5" r:id="rId1"/>
    <sheet name="dim_match_summary" sheetId="1" r:id="rId2"/>
    <sheet name="dim_players" sheetId="2" r:id="rId3"/>
    <sheet name="fact_batting_summary" sheetId="3" r:id="rId4"/>
    <sheet name="fact_bowling_summary" sheetId="4" r:id="rId5"/>
    <sheet name="Q3" sheetId="6" r:id="rId6"/>
    <sheet name="Q4" sheetId="7" r:id="rId7"/>
    <sheet name="Q5" sheetId="8" r:id="rId8"/>
  </sheets>
  <definedNames>
    <definedName name="_xlnm._FilterDatabase" localSheetId="2" hidden="1">dim_players!$A$1:$E$293</definedName>
    <definedName name="_xlnm._FilterDatabase" localSheetId="3" hidden="1">fact_batting_summary!$A$1:$K$3269</definedName>
  </definedNames>
  <calcPr calcId="191029"/>
  <pivotCaches>
    <pivotCache cacheId="0" r:id="rId9"/>
  </pivotCaches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2" l="1" a="1"/>
  <c r="I2" i="2" s="1"/>
  <c r="K2" i="3" a="1"/>
  <c r="K2" i="3" s="1"/>
  <c r="C6" i="8"/>
  <c r="C7" i="8"/>
  <c r="C8" i="8"/>
  <c r="C9" i="8"/>
  <c r="C10" i="8"/>
  <c r="C11" i="8"/>
  <c r="C12" i="8"/>
  <c r="C13" i="8"/>
  <c r="C14" i="8"/>
  <c r="C15" i="8"/>
  <c r="C16" i="8"/>
  <c r="B10" i="6"/>
  <c r="B3" i="6"/>
  <c r="B4" i="6"/>
  <c r="B5" i="6"/>
  <c r="B6" i="6"/>
  <c r="B7" i="6"/>
  <c r="B8" i="6"/>
  <c r="B9" i="6"/>
  <c r="B2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269" i="6"/>
  <c r="B270" i="6"/>
  <c r="B271" i="6"/>
  <c r="B272" i="6"/>
  <c r="B273" i="6"/>
  <c r="B274" i="6"/>
  <c r="B275" i="6"/>
  <c r="B276" i="6"/>
  <c r="B277" i="6"/>
  <c r="B278" i="6"/>
  <c r="B279" i="6"/>
  <c r="B280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297" i="6"/>
  <c r="B298" i="6"/>
  <c r="B299" i="6"/>
  <c r="B300" i="6"/>
  <c r="B301" i="6"/>
  <c r="B302" i="6"/>
  <c r="B303" i="6"/>
  <c r="B304" i="6"/>
  <c r="B305" i="6"/>
  <c r="B306" i="6"/>
  <c r="B307" i="6"/>
  <c r="B308" i="6"/>
  <c r="B309" i="6"/>
  <c r="B310" i="6"/>
  <c r="B311" i="6"/>
  <c r="B312" i="6"/>
  <c r="B313" i="6"/>
  <c r="B314" i="6"/>
  <c r="B315" i="6"/>
  <c r="B316" i="6"/>
  <c r="B317" i="6"/>
  <c r="B318" i="6"/>
  <c r="B319" i="6"/>
  <c r="B320" i="6"/>
  <c r="B321" i="6"/>
  <c r="B322" i="6"/>
  <c r="B323" i="6"/>
  <c r="B324" i="6"/>
  <c r="B325" i="6"/>
  <c r="B326" i="6"/>
  <c r="B327" i="6"/>
  <c r="B328" i="6"/>
  <c r="B329" i="6"/>
  <c r="B330" i="6"/>
  <c r="B331" i="6"/>
  <c r="B332" i="6"/>
  <c r="B333" i="6"/>
  <c r="B334" i="6"/>
  <c r="B335" i="6"/>
  <c r="B336" i="6"/>
  <c r="B337" i="6"/>
  <c r="B338" i="6"/>
  <c r="B339" i="6"/>
  <c r="B340" i="6"/>
  <c r="B341" i="6"/>
  <c r="B342" i="6"/>
  <c r="B343" i="6"/>
  <c r="B344" i="6"/>
  <c r="B345" i="6"/>
  <c r="B346" i="6"/>
  <c r="B347" i="6"/>
  <c r="B348" i="6"/>
  <c r="B349" i="6"/>
  <c r="B350" i="6"/>
  <c r="B351" i="6"/>
  <c r="B352" i="6"/>
  <c r="B353" i="6"/>
  <c r="B354" i="6"/>
  <c r="B355" i="6"/>
  <c r="B356" i="6"/>
  <c r="B357" i="6"/>
  <c r="B358" i="6"/>
  <c r="B359" i="6"/>
  <c r="B360" i="6"/>
  <c r="B361" i="6"/>
  <c r="B362" i="6"/>
  <c r="B363" i="6"/>
  <c r="B364" i="6"/>
  <c r="B365" i="6"/>
  <c r="B366" i="6"/>
  <c r="B367" i="6"/>
  <c r="B368" i="6"/>
  <c r="B369" i="6"/>
  <c r="B370" i="6"/>
  <c r="B371" i="6"/>
  <c r="B372" i="6"/>
  <c r="B373" i="6"/>
  <c r="B374" i="6"/>
  <c r="B375" i="6"/>
  <c r="B376" i="6"/>
  <c r="B377" i="6"/>
  <c r="B378" i="6"/>
  <c r="B379" i="6"/>
  <c r="B380" i="6"/>
  <c r="B381" i="6"/>
  <c r="B382" i="6"/>
  <c r="B383" i="6"/>
  <c r="B384" i="6"/>
  <c r="B385" i="6"/>
  <c r="B386" i="6"/>
  <c r="B387" i="6"/>
  <c r="B388" i="6"/>
  <c r="B389" i="6"/>
  <c r="B390" i="6"/>
  <c r="B391" i="6"/>
  <c r="B392" i="6"/>
  <c r="B393" i="6"/>
  <c r="B394" i="6"/>
  <c r="B395" i="6"/>
  <c r="B396" i="6"/>
  <c r="B397" i="6"/>
  <c r="B398" i="6"/>
  <c r="B399" i="6"/>
  <c r="B400" i="6"/>
  <c r="B401" i="6"/>
  <c r="B402" i="6"/>
  <c r="B403" i="6"/>
  <c r="B404" i="6"/>
  <c r="B405" i="6"/>
  <c r="B406" i="6"/>
  <c r="B407" i="6"/>
  <c r="B408" i="6"/>
  <c r="B409" i="6"/>
  <c r="B410" i="6"/>
  <c r="B411" i="6"/>
  <c r="B412" i="6"/>
  <c r="B413" i="6"/>
  <c r="B414" i="6"/>
  <c r="B415" i="6"/>
  <c r="B416" i="6"/>
  <c r="B417" i="6"/>
  <c r="B418" i="6"/>
  <c r="B419" i="6"/>
  <c r="B420" i="6"/>
  <c r="B421" i="6"/>
  <c r="B422" i="6"/>
  <c r="B423" i="6"/>
  <c r="B424" i="6"/>
  <c r="B425" i="6"/>
  <c r="B426" i="6"/>
  <c r="B427" i="6"/>
  <c r="B428" i="6"/>
  <c r="B429" i="6"/>
  <c r="B430" i="6"/>
  <c r="B431" i="6"/>
  <c r="B432" i="6"/>
  <c r="B433" i="6"/>
  <c r="B434" i="6"/>
  <c r="B435" i="6"/>
  <c r="B436" i="6"/>
  <c r="B437" i="6"/>
  <c r="B438" i="6"/>
  <c r="B439" i="6"/>
  <c r="B440" i="6"/>
  <c r="B441" i="6"/>
  <c r="B442" i="6"/>
  <c r="B443" i="6"/>
  <c r="B444" i="6"/>
  <c r="B445" i="6"/>
  <c r="B446" i="6"/>
  <c r="B447" i="6"/>
  <c r="B448" i="6"/>
  <c r="B449" i="6"/>
  <c r="B450" i="6"/>
  <c r="B451" i="6"/>
  <c r="B452" i="6"/>
  <c r="B453" i="6"/>
  <c r="B454" i="6"/>
  <c r="B455" i="6"/>
  <c r="B456" i="6"/>
  <c r="B457" i="6"/>
  <c r="B458" i="6"/>
  <c r="B459" i="6"/>
  <c r="B460" i="6"/>
  <c r="B461" i="6"/>
  <c r="B462" i="6"/>
  <c r="B463" i="6"/>
  <c r="B464" i="6"/>
  <c r="B465" i="6"/>
  <c r="B466" i="6"/>
  <c r="B467" i="6"/>
  <c r="B468" i="6"/>
  <c r="B469" i="6"/>
  <c r="B470" i="6"/>
  <c r="B471" i="6"/>
  <c r="B472" i="6"/>
  <c r="B473" i="6"/>
  <c r="B474" i="6"/>
  <c r="B475" i="6"/>
  <c r="B476" i="6"/>
  <c r="B477" i="6"/>
  <c r="B478" i="6"/>
  <c r="B479" i="6"/>
  <c r="B480" i="6"/>
  <c r="B481" i="6"/>
  <c r="B482" i="6"/>
  <c r="B483" i="6"/>
  <c r="B484" i="6"/>
  <c r="B485" i="6"/>
  <c r="B486" i="6"/>
  <c r="B487" i="6"/>
  <c r="B488" i="6"/>
  <c r="B489" i="6"/>
  <c r="B490" i="6"/>
  <c r="B491" i="6"/>
  <c r="B492" i="6"/>
  <c r="B493" i="6"/>
  <c r="B494" i="6"/>
  <c r="B495" i="6"/>
  <c r="B496" i="6"/>
  <c r="B497" i="6"/>
  <c r="B498" i="6"/>
  <c r="B499" i="6"/>
  <c r="B500" i="6"/>
  <c r="B501" i="6"/>
  <c r="B502" i="6"/>
  <c r="B503" i="6"/>
  <c r="B504" i="6"/>
  <c r="B505" i="6"/>
  <c r="B506" i="6"/>
  <c r="B507" i="6"/>
  <c r="B508" i="6"/>
  <c r="B509" i="6"/>
  <c r="B510" i="6"/>
  <c r="B511" i="6"/>
  <c r="B512" i="6"/>
  <c r="B513" i="6"/>
  <c r="B514" i="6"/>
  <c r="B515" i="6"/>
  <c r="B516" i="6"/>
  <c r="B517" i="6"/>
  <c r="B518" i="6"/>
  <c r="B519" i="6"/>
  <c r="B520" i="6"/>
  <c r="B521" i="6"/>
  <c r="B522" i="6"/>
  <c r="B523" i="6"/>
  <c r="B524" i="6"/>
  <c r="B525" i="6"/>
  <c r="B526" i="6"/>
  <c r="B527" i="6"/>
  <c r="B528" i="6"/>
  <c r="B529" i="6"/>
  <c r="B530" i="6"/>
  <c r="B531" i="6"/>
  <c r="B532" i="6"/>
  <c r="B533" i="6"/>
  <c r="B534" i="6"/>
  <c r="B535" i="6"/>
  <c r="B536" i="6"/>
  <c r="B537" i="6"/>
  <c r="B538" i="6"/>
  <c r="B539" i="6"/>
  <c r="B540" i="6"/>
  <c r="B541" i="6"/>
  <c r="B542" i="6"/>
  <c r="B543" i="6"/>
  <c r="B544" i="6"/>
  <c r="B545" i="6"/>
  <c r="B546" i="6"/>
  <c r="B547" i="6"/>
  <c r="B548" i="6"/>
  <c r="B549" i="6"/>
  <c r="B550" i="6"/>
  <c r="B551" i="6"/>
  <c r="B552" i="6"/>
  <c r="B553" i="6"/>
  <c r="B554" i="6"/>
  <c r="B555" i="6"/>
  <c r="B556" i="6"/>
  <c r="B557" i="6"/>
  <c r="B558" i="6"/>
  <c r="B559" i="6"/>
  <c r="B560" i="6"/>
  <c r="B561" i="6"/>
  <c r="B562" i="6"/>
  <c r="B563" i="6"/>
  <c r="B564" i="6"/>
  <c r="B565" i="6"/>
  <c r="B566" i="6"/>
  <c r="B567" i="6"/>
  <c r="B568" i="6"/>
  <c r="B569" i="6"/>
  <c r="B570" i="6"/>
  <c r="B571" i="6"/>
  <c r="B572" i="6"/>
  <c r="B573" i="6"/>
  <c r="B574" i="6"/>
  <c r="B575" i="6"/>
  <c r="B576" i="6"/>
  <c r="B577" i="6"/>
  <c r="B578" i="6"/>
  <c r="B579" i="6"/>
  <c r="B580" i="6"/>
  <c r="B581" i="6"/>
  <c r="B582" i="6"/>
  <c r="B583" i="6"/>
  <c r="B584" i="6"/>
  <c r="B585" i="6"/>
  <c r="B586" i="6"/>
  <c r="B587" i="6"/>
  <c r="B588" i="6"/>
  <c r="B589" i="6"/>
  <c r="B590" i="6"/>
  <c r="B591" i="6"/>
  <c r="B592" i="6"/>
  <c r="B593" i="6"/>
  <c r="B594" i="6"/>
  <c r="B595" i="6"/>
  <c r="B596" i="6"/>
  <c r="B597" i="6"/>
  <c r="B598" i="6"/>
  <c r="B599" i="6"/>
  <c r="B600" i="6"/>
  <c r="B601" i="6"/>
  <c r="B602" i="6"/>
  <c r="B603" i="6"/>
  <c r="B604" i="6"/>
  <c r="B605" i="6"/>
  <c r="B606" i="6"/>
  <c r="B607" i="6"/>
  <c r="B608" i="6"/>
  <c r="B609" i="6"/>
  <c r="B610" i="6"/>
  <c r="B611" i="6"/>
  <c r="B612" i="6"/>
  <c r="B613" i="6"/>
  <c r="B614" i="6"/>
  <c r="B615" i="6"/>
  <c r="B616" i="6"/>
  <c r="B617" i="6"/>
  <c r="B618" i="6"/>
  <c r="B619" i="6"/>
  <c r="B620" i="6"/>
  <c r="B621" i="6"/>
  <c r="B622" i="6"/>
  <c r="B623" i="6"/>
  <c r="B624" i="6"/>
  <c r="B625" i="6"/>
  <c r="B626" i="6"/>
  <c r="B627" i="6"/>
  <c r="B628" i="6"/>
  <c r="B629" i="6"/>
  <c r="B630" i="6"/>
  <c r="B631" i="6"/>
  <c r="B632" i="6"/>
  <c r="B633" i="6"/>
  <c r="B634" i="6"/>
  <c r="B635" i="6"/>
  <c r="B636" i="6"/>
  <c r="B637" i="6"/>
  <c r="B638" i="6"/>
  <c r="B639" i="6"/>
  <c r="B640" i="6"/>
  <c r="B641" i="6"/>
  <c r="B642" i="6"/>
  <c r="B643" i="6"/>
  <c r="B644" i="6"/>
  <c r="B645" i="6"/>
  <c r="B646" i="6"/>
  <c r="B647" i="6"/>
  <c r="B648" i="6"/>
  <c r="B649" i="6"/>
  <c r="B650" i="6"/>
  <c r="B651" i="6"/>
  <c r="B652" i="6"/>
  <c r="B653" i="6"/>
  <c r="B654" i="6"/>
  <c r="B655" i="6"/>
  <c r="B656" i="6"/>
  <c r="B657" i="6"/>
  <c r="B658" i="6"/>
  <c r="B659" i="6"/>
  <c r="B660" i="6"/>
  <c r="B661" i="6"/>
  <c r="B662" i="6"/>
  <c r="B663" i="6"/>
  <c r="B664" i="6"/>
  <c r="B665" i="6"/>
  <c r="B666" i="6"/>
  <c r="B667" i="6"/>
  <c r="B668" i="6"/>
  <c r="B669" i="6"/>
  <c r="B670" i="6"/>
  <c r="B671" i="6"/>
  <c r="B672" i="6"/>
  <c r="B673" i="6"/>
  <c r="B674" i="6"/>
  <c r="B675" i="6"/>
  <c r="B676" i="6"/>
  <c r="B677" i="6"/>
  <c r="B678" i="6"/>
  <c r="B679" i="6"/>
  <c r="B680" i="6"/>
  <c r="B681" i="6"/>
  <c r="B682" i="6"/>
  <c r="B683" i="6"/>
  <c r="B684" i="6"/>
  <c r="B685" i="6"/>
  <c r="B686" i="6"/>
  <c r="B687" i="6"/>
  <c r="B688" i="6"/>
  <c r="B689" i="6"/>
  <c r="B690" i="6"/>
  <c r="B691" i="6"/>
  <c r="B692" i="6"/>
  <c r="B693" i="6"/>
  <c r="B694" i="6"/>
  <c r="B695" i="6"/>
  <c r="B696" i="6"/>
  <c r="B697" i="6"/>
  <c r="B698" i="6"/>
  <c r="B699" i="6"/>
  <c r="B700" i="6"/>
  <c r="B701" i="6"/>
  <c r="B702" i="6"/>
  <c r="B703" i="6"/>
  <c r="B704" i="6"/>
  <c r="B705" i="6"/>
  <c r="B706" i="6"/>
  <c r="B707" i="6"/>
  <c r="B708" i="6"/>
  <c r="B709" i="6"/>
  <c r="B710" i="6"/>
  <c r="B711" i="6"/>
  <c r="B712" i="6"/>
  <c r="B713" i="6"/>
  <c r="B714" i="6"/>
  <c r="B715" i="6"/>
  <c r="B716" i="6"/>
  <c r="B717" i="6"/>
  <c r="B718" i="6"/>
  <c r="B719" i="6"/>
  <c r="B720" i="6"/>
  <c r="B721" i="6"/>
  <c r="B722" i="6"/>
  <c r="B723" i="6"/>
  <c r="B724" i="6"/>
  <c r="B725" i="6"/>
  <c r="B726" i="6"/>
  <c r="B727" i="6"/>
  <c r="B728" i="6"/>
  <c r="B729" i="6"/>
  <c r="B730" i="6"/>
  <c r="B731" i="6"/>
  <c r="B732" i="6"/>
  <c r="B733" i="6"/>
  <c r="B734" i="6"/>
  <c r="B735" i="6"/>
  <c r="B736" i="6"/>
  <c r="B737" i="6"/>
  <c r="B738" i="6"/>
  <c r="B739" i="6"/>
  <c r="B740" i="6"/>
  <c r="B741" i="6"/>
  <c r="B742" i="6"/>
  <c r="B743" i="6"/>
  <c r="B744" i="6"/>
  <c r="B745" i="6"/>
  <c r="B746" i="6"/>
  <c r="B747" i="6"/>
  <c r="B748" i="6"/>
  <c r="B749" i="6"/>
  <c r="B750" i="6"/>
  <c r="B751" i="6"/>
  <c r="B752" i="6"/>
  <c r="B753" i="6"/>
  <c r="B754" i="6"/>
  <c r="B755" i="6"/>
  <c r="B756" i="6"/>
  <c r="B757" i="6"/>
  <c r="B758" i="6"/>
  <c r="B759" i="6"/>
  <c r="B760" i="6"/>
  <c r="B761" i="6"/>
  <c r="B762" i="6"/>
  <c r="B763" i="6"/>
  <c r="B764" i="6"/>
  <c r="B765" i="6"/>
  <c r="B766" i="6"/>
  <c r="B767" i="6"/>
  <c r="B768" i="6"/>
  <c r="B769" i="6"/>
  <c r="B770" i="6"/>
  <c r="B771" i="6"/>
  <c r="B772" i="6"/>
  <c r="B773" i="6"/>
  <c r="B774" i="6"/>
  <c r="B775" i="6"/>
  <c r="B776" i="6"/>
  <c r="B777" i="6"/>
  <c r="B778" i="6"/>
  <c r="B779" i="6"/>
  <c r="B780" i="6"/>
  <c r="B781" i="6"/>
  <c r="B782" i="6"/>
  <c r="B783" i="6"/>
  <c r="B784" i="6"/>
  <c r="B785" i="6"/>
  <c r="B786" i="6"/>
  <c r="B787" i="6"/>
  <c r="B788" i="6"/>
  <c r="B789" i="6"/>
  <c r="B790" i="6"/>
  <c r="B791" i="6"/>
  <c r="B792" i="6"/>
  <c r="B793" i="6"/>
  <c r="B794" i="6"/>
  <c r="B795" i="6"/>
  <c r="B796" i="6"/>
  <c r="B797" i="6"/>
  <c r="B798" i="6"/>
  <c r="B799" i="6"/>
  <c r="B800" i="6"/>
  <c r="B801" i="6"/>
  <c r="B802" i="6"/>
  <c r="B803" i="6"/>
  <c r="B804" i="6"/>
  <c r="B805" i="6"/>
  <c r="B806" i="6"/>
  <c r="B807" i="6"/>
  <c r="B808" i="6"/>
  <c r="B809" i="6"/>
  <c r="B810" i="6"/>
  <c r="B811" i="6"/>
  <c r="B812" i="6"/>
  <c r="B813" i="6"/>
  <c r="B814" i="6"/>
  <c r="B815" i="6"/>
  <c r="B816" i="6"/>
  <c r="B817" i="6"/>
  <c r="B818" i="6"/>
  <c r="B819" i="6"/>
  <c r="B820" i="6"/>
  <c r="B821" i="6"/>
  <c r="B822" i="6"/>
  <c r="B823" i="6"/>
  <c r="B824" i="6"/>
  <c r="B825" i="6"/>
  <c r="B826" i="6"/>
  <c r="B827" i="6"/>
  <c r="B828" i="6"/>
  <c r="B829" i="6"/>
  <c r="B830" i="6"/>
  <c r="B831" i="6"/>
  <c r="B832" i="6"/>
  <c r="B833" i="6"/>
  <c r="B834" i="6"/>
  <c r="B835" i="6"/>
  <c r="B836" i="6"/>
  <c r="B837" i="6"/>
  <c r="B838" i="6"/>
  <c r="B839" i="6"/>
  <c r="B840" i="6"/>
  <c r="B841" i="6"/>
  <c r="B842" i="6"/>
  <c r="B843" i="6"/>
  <c r="B844" i="6"/>
  <c r="B845" i="6"/>
  <c r="B846" i="6"/>
  <c r="B847" i="6"/>
  <c r="B848" i="6"/>
  <c r="B849" i="6"/>
  <c r="B850" i="6"/>
  <c r="B851" i="6"/>
  <c r="B852" i="6"/>
  <c r="B853" i="6"/>
  <c r="B854" i="6"/>
  <c r="B855" i="6"/>
  <c r="B856" i="6"/>
  <c r="B857" i="6"/>
  <c r="B858" i="6"/>
  <c r="B859" i="6"/>
  <c r="B860" i="6"/>
  <c r="B861" i="6"/>
  <c r="B862" i="6"/>
  <c r="B863" i="6"/>
  <c r="B864" i="6"/>
  <c r="B865" i="6"/>
  <c r="B866" i="6"/>
  <c r="B867" i="6"/>
  <c r="B868" i="6"/>
  <c r="B869" i="6"/>
  <c r="B870" i="6"/>
  <c r="B871" i="6"/>
  <c r="B872" i="6"/>
  <c r="B873" i="6"/>
  <c r="B874" i="6"/>
  <c r="B875" i="6"/>
  <c r="B876" i="6"/>
  <c r="B877" i="6"/>
  <c r="B878" i="6"/>
  <c r="B879" i="6"/>
  <c r="B880" i="6"/>
  <c r="B881" i="6"/>
  <c r="B882" i="6"/>
  <c r="B883" i="6"/>
  <c r="B884" i="6"/>
  <c r="B885" i="6"/>
  <c r="B886" i="6"/>
  <c r="B887" i="6"/>
  <c r="B888" i="6"/>
  <c r="B889" i="6"/>
  <c r="B890" i="6"/>
  <c r="B891" i="6"/>
  <c r="B892" i="6"/>
  <c r="B893" i="6"/>
  <c r="B894" i="6"/>
  <c r="B895" i="6"/>
  <c r="B896" i="6"/>
  <c r="B897" i="6"/>
  <c r="B898" i="6"/>
  <c r="B899" i="6"/>
  <c r="B900" i="6"/>
  <c r="B901" i="6"/>
  <c r="B902" i="6"/>
  <c r="B903" i="6"/>
  <c r="B904" i="6"/>
  <c r="B905" i="6"/>
  <c r="B906" i="6"/>
  <c r="B907" i="6"/>
  <c r="B908" i="6"/>
  <c r="B909" i="6"/>
  <c r="B910" i="6"/>
  <c r="B911" i="6"/>
  <c r="B912" i="6"/>
  <c r="B913" i="6"/>
  <c r="B914" i="6"/>
  <c r="B915" i="6"/>
  <c r="B916" i="6"/>
  <c r="B917" i="6"/>
  <c r="B918" i="6"/>
  <c r="B919" i="6"/>
  <c r="B920" i="6"/>
  <c r="B921" i="6"/>
  <c r="B922" i="6"/>
  <c r="B923" i="6"/>
  <c r="B924" i="6"/>
  <c r="B925" i="6"/>
  <c r="B926" i="6"/>
  <c r="B927" i="6"/>
  <c r="B928" i="6"/>
  <c r="B929" i="6"/>
  <c r="B930" i="6"/>
  <c r="B931" i="6"/>
  <c r="B932" i="6"/>
  <c r="B933" i="6"/>
  <c r="B934" i="6"/>
  <c r="B935" i="6"/>
  <c r="B936" i="6"/>
  <c r="B937" i="6"/>
  <c r="B938" i="6"/>
  <c r="B939" i="6"/>
  <c r="B940" i="6"/>
  <c r="B941" i="6"/>
  <c r="B942" i="6"/>
  <c r="B943" i="6"/>
  <c r="B944" i="6"/>
  <c r="B945" i="6"/>
  <c r="B946" i="6"/>
  <c r="B947" i="6"/>
  <c r="B948" i="6"/>
  <c r="B949" i="6"/>
  <c r="B950" i="6"/>
  <c r="B951" i="6"/>
  <c r="B952" i="6"/>
  <c r="B953" i="6"/>
  <c r="B954" i="6"/>
  <c r="B955" i="6"/>
  <c r="B956" i="6"/>
  <c r="B957" i="6"/>
  <c r="B958" i="6"/>
  <c r="B959" i="6"/>
  <c r="B960" i="6"/>
  <c r="B961" i="6"/>
  <c r="B962" i="6"/>
  <c r="B963" i="6"/>
  <c r="B964" i="6"/>
  <c r="B965" i="6"/>
  <c r="B966" i="6"/>
  <c r="B967" i="6"/>
  <c r="B968" i="6"/>
  <c r="B969" i="6"/>
  <c r="B970" i="6"/>
  <c r="B971" i="6"/>
  <c r="B972" i="6"/>
  <c r="B973" i="6"/>
  <c r="B974" i="6"/>
  <c r="B975" i="6"/>
  <c r="B976" i="6"/>
  <c r="B977" i="6"/>
  <c r="B978" i="6"/>
  <c r="B979" i="6"/>
  <c r="B980" i="6"/>
  <c r="B981" i="6"/>
  <c r="B982" i="6"/>
  <c r="B983" i="6"/>
  <c r="B984" i="6"/>
  <c r="B985" i="6"/>
  <c r="B986" i="6"/>
  <c r="B987" i="6"/>
  <c r="B988" i="6"/>
  <c r="B989" i="6"/>
  <c r="B990" i="6"/>
  <c r="B991" i="6"/>
  <c r="B992" i="6"/>
  <c r="B993" i="6"/>
  <c r="B994" i="6"/>
  <c r="B995" i="6"/>
  <c r="B996" i="6"/>
  <c r="B997" i="6"/>
  <c r="B998" i="6"/>
  <c r="B999" i="6"/>
  <c r="B1000" i="6"/>
  <c r="B1001" i="6"/>
  <c r="B1002" i="6"/>
  <c r="B1003" i="6"/>
  <c r="B1004" i="6"/>
  <c r="B1005" i="6"/>
  <c r="B1006" i="6"/>
  <c r="B1007" i="6"/>
  <c r="B1008" i="6"/>
  <c r="B1009" i="6"/>
  <c r="B1010" i="6"/>
  <c r="B1011" i="6"/>
  <c r="B1012" i="6"/>
  <c r="B1013" i="6"/>
  <c r="B1014" i="6"/>
  <c r="B1015" i="6"/>
  <c r="B1016" i="6"/>
  <c r="B1017" i="6"/>
  <c r="B1018" i="6"/>
  <c r="B1019" i="6"/>
  <c r="B1020" i="6"/>
  <c r="B1021" i="6"/>
  <c r="B1022" i="6"/>
  <c r="B1023" i="6"/>
  <c r="B1024" i="6"/>
  <c r="B1025" i="6"/>
  <c r="B1026" i="6"/>
  <c r="B1027" i="6"/>
  <c r="B1028" i="6"/>
  <c r="B1029" i="6"/>
  <c r="B1030" i="6"/>
  <c r="B1031" i="6"/>
  <c r="B1032" i="6"/>
  <c r="B1033" i="6"/>
  <c r="B1034" i="6"/>
  <c r="B1035" i="6"/>
  <c r="B1036" i="6"/>
  <c r="B1037" i="6"/>
  <c r="B1038" i="6"/>
  <c r="B1039" i="6"/>
  <c r="B1040" i="6"/>
  <c r="B1041" i="6"/>
  <c r="B1042" i="6"/>
  <c r="B1043" i="6"/>
  <c r="B1044" i="6"/>
  <c r="B1045" i="6"/>
  <c r="B1046" i="6"/>
  <c r="B1047" i="6"/>
  <c r="B1048" i="6"/>
  <c r="B1049" i="6"/>
  <c r="B1050" i="6"/>
  <c r="B1051" i="6"/>
  <c r="B1052" i="6"/>
  <c r="B1053" i="6"/>
  <c r="B1054" i="6"/>
  <c r="B1055" i="6"/>
  <c r="B1056" i="6"/>
  <c r="B1057" i="6"/>
  <c r="B1058" i="6"/>
  <c r="B1059" i="6"/>
  <c r="B1060" i="6"/>
  <c r="B1061" i="6"/>
  <c r="B1062" i="6"/>
  <c r="B1063" i="6"/>
  <c r="B1064" i="6"/>
  <c r="B1065" i="6"/>
  <c r="B1066" i="6"/>
  <c r="B1067" i="6"/>
  <c r="B1068" i="6"/>
  <c r="B1069" i="6"/>
  <c r="B1070" i="6"/>
  <c r="B1071" i="6"/>
  <c r="B1072" i="6"/>
  <c r="B1073" i="6"/>
  <c r="B1074" i="6"/>
  <c r="B1075" i="6"/>
  <c r="B1076" i="6"/>
  <c r="B1077" i="6"/>
  <c r="B1078" i="6"/>
  <c r="B1079" i="6"/>
  <c r="B1080" i="6"/>
  <c r="B1081" i="6"/>
  <c r="B1082" i="6"/>
  <c r="B1083" i="6"/>
  <c r="B1084" i="6"/>
  <c r="B1085" i="6"/>
  <c r="B1086" i="6"/>
  <c r="B1087" i="6"/>
  <c r="B1088" i="6"/>
  <c r="B1089" i="6"/>
  <c r="B1090" i="6"/>
  <c r="B1091" i="6"/>
  <c r="B1092" i="6"/>
  <c r="B1093" i="6"/>
  <c r="B1094" i="6"/>
  <c r="B1095" i="6"/>
  <c r="B1096" i="6"/>
  <c r="B1097" i="6"/>
  <c r="B1098" i="6"/>
  <c r="B1099" i="6"/>
  <c r="B1100" i="6"/>
  <c r="B1101" i="6"/>
  <c r="B1102" i="6"/>
  <c r="B1103" i="6"/>
  <c r="B1104" i="6"/>
  <c r="B1105" i="6"/>
  <c r="B1106" i="6"/>
  <c r="B1107" i="6"/>
  <c r="B1108" i="6"/>
  <c r="B1109" i="6"/>
  <c r="B1110" i="6"/>
  <c r="B1111" i="6"/>
  <c r="B1112" i="6"/>
  <c r="B1113" i="6"/>
  <c r="B1114" i="6"/>
  <c r="B1115" i="6"/>
  <c r="B1116" i="6"/>
  <c r="B1117" i="6"/>
  <c r="B1118" i="6"/>
  <c r="B1119" i="6"/>
  <c r="B1120" i="6"/>
  <c r="B1121" i="6"/>
  <c r="B1122" i="6"/>
  <c r="B1123" i="6"/>
  <c r="B1124" i="6"/>
  <c r="B1125" i="6"/>
  <c r="B1126" i="6"/>
  <c r="B1127" i="6"/>
  <c r="B1128" i="6"/>
  <c r="B1129" i="6"/>
  <c r="B1130" i="6"/>
  <c r="B1131" i="6"/>
  <c r="B1132" i="6"/>
  <c r="B1133" i="6"/>
  <c r="B1134" i="6"/>
  <c r="B1135" i="6"/>
  <c r="B1136" i="6"/>
  <c r="B1137" i="6"/>
  <c r="B1138" i="6"/>
  <c r="B1139" i="6"/>
  <c r="B1140" i="6"/>
  <c r="B1141" i="6"/>
  <c r="B1142" i="6"/>
  <c r="B1143" i="6"/>
  <c r="B1144" i="6"/>
  <c r="B1145" i="6"/>
  <c r="B1146" i="6"/>
  <c r="B1147" i="6"/>
  <c r="B1148" i="6"/>
  <c r="B1149" i="6"/>
  <c r="B1150" i="6"/>
  <c r="B1151" i="6"/>
  <c r="B1152" i="6"/>
  <c r="B1153" i="6"/>
  <c r="B1154" i="6"/>
  <c r="B1155" i="6"/>
  <c r="B1156" i="6"/>
  <c r="B1157" i="6"/>
  <c r="B1158" i="6"/>
  <c r="B1159" i="6"/>
  <c r="B1160" i="6"/>
  <c r="B1161" i="6"/>
  <c r="B1162" i="6"/>
  <c r="B1163" i="6"/>
  <c r="B1164" i="6"/>
  <c r="B1165" i="6"/>
  <c r="B1166" i="6"/>
  <c r="B1167" i="6"/>
  <c r="B1168" i="6"/>
  <c r="B1169" i="6"/>
  <c r="B1170" i="6"/>
  <c r="B1171" i="6"/>
  <c r="B1172" i="6"/>
  <c r="B1173" i="6"/>
  <c r="B1174" i="6"/>
  <c r="B1175" i="6"/>
  <c r="B1176" i="6"/>
  <c r="B1177" i="6"/>
  <c r="B1178" i="6"/>
  <c r="B1179" i="6"/>
  <c r="B1180" i="6"/>
  <c r="B1181" i="6"/>
  <c r="B1182" i="6"/>
  <c r="B1183" i="6"/>
  <c r="B1184" i="6"/>
  <c r="B1185" i="6"/>
  <c r="B1186" i="6"/>
  <c r="B1187" i="6"/>
  <c r="B1188" i="6"/>
  <c r="B1189" i="6"/>
  <c r="B1190" i="6"/>
  <c r="B1191" i="6"/>
  <c r="B1192" i="6"/>
  <c r="B1193" i="6"/>
  <c r="B1194" i="6"/>
  <c r="B1195" i="6"/>
  <c r="B1196" i="6"/>
  <c r="B1197" i="6"/>
  <c r="B1198" i="6"/>
  <c r="B1199" i="6"/>
  <c r="B1200" i="6"/>
  <c r="B1201" i="6"/>
  <c r="B1202" i="6"/>
  <c r="B1203" i="6"/>
  <c r="B1204" i="6"/>
  <c r="B1205" i="6"/>
  <c r="B1206" i="6"/>
  <c r="B1207" i="6"/>
  <c r="B1208" i="6"/>
  <c r="B1209" i="6"/>
  <c r="B1210" i="6"/>
  <c r="B1211" i="6"/>
  <c r="B1212" i="6"/>
  <c r="B1213" i="6"/>
  <c r="B1214" i="6"/>
  <c r="B1215" i="6"/>
  <c r="B1216" i="6"/>
  <c r="B1217" i="6"/>
  <c r="B1218" i="6"/>
  <c r="B1219" i="6"/>
  <c r="B1220" i="6"/>
  <c r="B1221" i="6"/>
  <c r="B1222" i="6"/>
  <c r="B1223" i="6"/>
  <c r="B1224" i="6"/>
  <c r="B1225" i="6"/>
  <c r="B1226" i="6"/>
  <c r="B1227" i="6"/>
  <c r="B1228" i="6"/>
  <c r="B1229" i="6"/>
  <c r="B1230" i="6"/>
  <c r="B1231" i="6"/>
  <c r="B1232" i="6"/>
  <c r="B1233" i="6"/>
  <c r="B1234" i="6"/>
  <c r="B1235" i="6"/>
  <c r="B1236" i="6"/>
  <c r="B1237" i="6"/>
  <c r="B1238" i="6"/>
  <c r="B1239" i="6"/>
  <c r="B1240" i="6"/>
  <c r="B1241" i="6"/>
  <c r="B1242" i="6"/>
  <c r="B1243" i="6"/>
  <c r="B1244" i="6"/>
  <c r="B1245" i="6"/>
  <c r="B1246" i="6"/>
  <c r="B1247" i="6"/>
  <c r="B1248" i="6"/>
  <c r="B1249" i="6"/>
  <c r="B1250" i="6"/>
  <c r="B1251" i="6"/>
  <c r="B1252" i="6"/>
  <c r="B1253" i="6"/>
  <c r="B1254" i="6"/>
  <c r="B1255" i="6"/>
  <c r="B1256" i="6"/>
  <c r="B1257" i="6"/>
  <c r="B1258" i="6"/>
  <c r="B1259" i="6"/>
  <c r="B1260" i="6"/>
  <c r="B1261" i="6"/>
  <c r="B1262" i="6"/>
  <c r="B1263" i="6"/>
  <c r="B1264" i="6"/>
  <c r="B1265" i="6"/>
  <c r="B1266" i="6"/>
  <c r="B1267" i="6"/>
  <c r="B1268" i="6"/>
  <c r="B1269" i="6"/>
  <c r="B1270" i="6"/>
  <c r="B1271" i="6"/>
  <c r="B1272" i="6"/>
  <c r="B1273" i="6"/>
  <c r="B1274" i="6"/>
  <c r="B1275" i="6"/>
  <c r="B1276" i="6"/>
  <c r="B1277" i="6"/>
  <c r="B1278" i="6"/>
  <c r="B1279" i="6"/>
  <c r="B1280" i="6"/>
  <c r="B1281" i="6"/>
  <c r="B1282" i="6"/>
  <c r="B1283" i="6"/>
  <c r="B1284" i="6"/>
  <c r="B1285" i="6"/>
  <c r="B1286" i="6"/>
  <c r="B1287" i="6"/>
  <c r="B1288" i="6"/>
  <c r="B1289" i="6"/>
  <c r="B1290" i="6"/>
  <c r="B1291" i="6"/>
  <c r="B1292" i="6"/>
  <c r="B1293" i="6"/>
  <c r="B1294" i="6"/>
  <c r="B1295" i="6"/>
  <c r="B1296" i="6"/>
  <c r="B1297" i="6"/>
  <c r="B1298" i="6"/>
  <c r="B1299" i="6"/>
  <c r="B1300" i="6"/>
  <c r="B1301" i="6"/>
  <c r="B1302" i="6"/>
  <c r="B1303" i="6"/>
  <c r="B1304" i="6"/>
  <c r="B1305" i="6"/>
  <c r="B1306" i="6"/>
  <c r="B1307" i="6"/>
  <c r="B1308" i="6"/>
  <c r="B1309" i="6"/>
  <c r="B1310" i="6"/>
  <c r="B1311" i="6"/>
  <c r="B1312" i="6"/>
  <c r="B1313" i="6"/>
  <c r="B1314" i="6"/>
  <c r="B1315" i="6"/>
  <c r="B1316" i="6"/>
  <c r="B1317" i="6"/>
  <c r="B1318" i="6"/>
  <c r="B1319" i="6"/>
  <c r="B1320" i="6"/>
  <c r="B1321" i="6"/>
  <c r="B1322" i="6"/>
  <c r="B1323" i="6"/>
  <c r="B1324" i="6"/>
  <c r="B1325" i="6"/>
  <c r="B1326" i="6"/>
  <c r="B1327" i="6"/>
  <c r="B1328" i="6"/>
  <c r="B1329" i="6"/>
  <c r="B1330" i="6"/>
  <c r="B1331" i="6"/>
  <c r="B1332" i="6"/>
  <c r="B1333" i="6"/>
  <c r="B1334" i="6"/>
  <c r="B1335" i="6"/>
  <c r="B1336" i="6"/>
  <c r="B1337" i="6"/>
  <c r="B1338" i="6"/>
  <c r="B1339" i="6"/>
  <c r="B1340" i="6"/>
  <c r="B1341" i="6"/>
  <c r="B1342" i="6"/>
  <c r="B1343" i="6"/>
  <c r="B1344" i="6"/>
  <c r="B1345" i="6"/>
  <c r="B1346" i="6"/>
  <c r="B1347" i="6"/>
  <c r="B1348" i="6"/>
  <c r="B1349" i="6"/>
  <c r="B1350" i="6"/>
  <c r="B1351" i="6"/>
  <c r="B1352" i="6"/>
  <c r="B1353" i="6"/>
  <c r="B1354" i="6"/>
  <c r="B1355" i="6"/>
  <c r="B1356" i="6"/>
  <c r="B1357" i="6"/>
  <c r="B1358" i="6"/>
  <c r="B1359" i="6"/>
  <c r="B1360" i="6"/>
  <c r="B1361" i="6"/>
  <c r="B1362" i="6"/>
  <c r="B1363" i="6"/>
  <c r="B1364" i="6"/>
  <c r="B1365" i="6"/>
  <c r="B1366" i="6"/>
  <c r="B1367" i="6"/>
  <c r="B1368" i="6"/>
  <c r="B1369" i="6"/>
  <c r="B1370" i="6"/>
  <c r="B1371" i="6"/>
  <c r="B1372" i="6"/>
  <c r="B1373" i="6"/>
  <c r="B1374" i="6"/>
  <c r="B1375" i="6"/>
  <c r="B1376" i="6"/>
  <c r="B1377" i="6"/>
  <c r="B1378" i="6"/>
  <c r="B1379" i="6"/>
  <c r="B1380" i="6"/>
  <c r="B1381" i="6"/>
  <c r="B1382" i="6"/>
  <c r="B1383" i="6"/>
  <c r="B1384" i="6"/>
  <c r="B1385" i="6"/>
  <c r="B1386" i="6"/>
  <c r="B1387" i="6"/>
  <c r="B1388" i="6"/>
  <c r="B1389" i="6"/>
  <c r="B1390" i="6"/>
  <c r="B1391" i="6"/>
  <c r="B1392" i="6"/>
  <c r="B1393" i="6"/>
  <c r="B1394" i="6"/>
  <c r="B1395" i="6"/>
  <c r="B1396" i="6"/>
  <c r="B1397" i="6"/>
  <c r="B1398" i="6"/>
  <c r="B1399" i="6"/>
  <c r="B1400" i="6"/>
  <c r="B1401" i="6"/>
  <c r="B1402" i="6"/>
  <c r="B1403" i="6"/>
  <c r="B1404" i="6"/>
  <c r="B1405" i="6"/>
  <c r="B1406" i="6"/>
  <c r="B1407" i="6"/>
  <c r="B1408" i="6"/>
  <c r="B1409" i="6"/>
  <c r="B1410" i="6"/>
  <c r="B1411" i="6"/>
  <c r="B1412" i="6"/>
  <c r="B1413" i="6"/>
  <c r="B1414" i="6"/>
  <c r="B1415" i="6"/>
  <c r="B1416" i="6"/>
  <c r="B1417" i="6"/>
  <c r="B1418" i="6"/>
  <c r="B1419" i="6"/>
  <c r="B1420" i="6"/>
  <c r="B1421" i="6"/>
  <c r="B1422" i="6"/>
  <c r="B1423" i="6"/>
  <c r="B1424" i="6"/>
  <c r="B1425" i="6"/>
  <c r="B1426" i="6"/>
  <c r="B1427" i="6"/>
  <c r="B1428" i="6"/>
  <c r="B1429" i="6"/>
  <c r="B1430" i="6"/>
  <c r="B1431" i="6"/>
  <c r="B1432" i="6"/>
  <c r="B1433" i="6"/>
  <c r="B1434" i="6"/>
  <c r="B1435" i="6"/>
  <c r="B1436" i="6"/>
  <c r="B1437" i="6"/>
  <c r="B1438" i="6"/>
  <c r="B1439" i="6"/>
  <c r="B1440" i="6"/>
  <c r="B1441" i="6"/>
  <c r="B1442" i="6"/>
  <c r="B1443" i="6"/>
  <c r="B1444" i="6"/>
  <c r="B1445" i="6"/>
  <c r="B1446" i="6"/>
  <c r="B1447" i="6"/>
  <c r="B1448" i="6"/>
  <c r="B1449" i="6"/>
  <c r="B1450" i="6"/>
  <c r="B1451" i="6"/>
  <c r="B1452" i="6"/>
  <c r="B1453" i="6"/>
  <c r="B1454" i="6"/>
  <c r="B1455" i="6"/>
  <c r="B1456" i="6"/>
  <c r="B1457" i="6"/>
  <c r="B1458" i="6"/>
  <c r="B1459" i="6"/>
  <c r="B1460" i="6"/>
  <c r="B1461" i="6"/>
  <c r="B1462" i="6"/>
  <c r="B1463" i="6"/>
  <c r="B1464" i="6"/>
  <c r="B1465" i="6"/>
  <c r="B1466" i="6"/>
  <c r="B1467" i="6"/>
  <c r="B1468" i="6"/>
  <c r="B1469" i="6"/>
  <c r="B1470" i="6"/>
  <c r="B1471" i="6"/>
  <c r="B1472" i="6"/>
  <c r="B1473" i="6"/>
  <c r="B1474" i="6"/>
  <c r="B1475" i="6"/>
  <c r="B1476" i="6"/>
  <c r="B1477" i="6"/>
  <c r="B1478" i="6"/>
  <c r="B1479" i="6"/>
  <c r="B1480" i="6"/>
  <c r="B1481" i="6"/>
  <c r="B1482" i="6"/>
  <c r="B1483" i="6"/>
  <c r="B1484" i="6"/>
  <c r="B1485" i="6"/>
  <c r="B1486" i="6"/>
  <c r="B1487" i="6"/>
  <c r="B1488" i="6"/>
  <c r="B1489" i="6"/>
  <c r="B1490" i="6"/>
  <c r="B1491" i="6"/>
  <c r="B1492" i="6"/>
  <c r="B1493" i="6"/>
  <c r="B1494" i="6"/>
  <c r="B1495" i="6"/>
  <c r="B1496" i="6"/>
  <c r="B1497" i="6"/>
  <c r="B1498" i="6"/>
  <c r="B1499" i="6"/>
  <c r="B1500" i="6"/>
  <c r="B1501" i="6"/>
  <c r="B1502" i="6"/>
  <c r="B1503" i="6"/>
  <c r="B1504" i="6"/>
  <c r="B1505" i="6"/>
  <c r="B1506" i="6"/>
  <c r="B1507" i="6"/>
  <c r="B1508" i="6"/>
  <c r="B1509" i="6"/>
  <c r="B1510" i="6"/>
  <c r="B1511" i="6"/>
  <c r="B1512" i="6"/>
  <c r="B1513" i="6"/>
  <c r="B1514" i="6"/>
  <c r="B1515" i="6"/>
  <c r="B1516" i="6"/>
  <c r="B1517" i="6"/>
  <c r="B1518" i="6"/>
  <c r="B1519" i="6"/>
  <c r="B1520" i="6"/>
  <c r="B1521" i="6"/>
  <c r="B1522" i="6"/>
  <c r="B1523" i="6"/>
  <c r="B1524" i="6"/>
  <c r="B1525" i="6"/>
  <c r="B1526" i="6"/>
  <c r="B1527" i="6"/>
  <c r="B1528" i="6"/>
  <c r="B1529" i="6"/>
  <c r="B1530" i="6"/>
  <c r="B1531" i="6"/>
  <c r="B1532" i="6"/>
  <c r="B1533" i="6"/>
  <c r="B1534" i="6"/>
  <c r="B1535" i="6"/>
  <c r="B1536" i="6"/>
  <c r="B1537" i="6"/>
  <c r="B1538" i="6"/>
  <c r="B1539" i="6"/>
  <c r="B1540" i="6"/>
  <c r="B1541" i="6"/>
  <c r="B1542" i="6"/>
  <c r="B1543" i="6"/>
  <c r="B1544" i="6"/>
  <c r="B1545" i="6"/>
  <c r="B1546" i="6"/>
  <c r="B1547" i="6"/>
  <c r="B1548" i="6"/>
  <c r="B1549" i="6"/>
  <c r="B1550" i="6"/>
  <c r="B1551" i="6"/>
  <c r="B1552" i="6"/>
  <c r="B1553" i="6"/>
  <c r="B1554" i="6"/>
  <c r="B1555" i="6"/>
  <c r="B1556" i="6"/>
  <c r="B1557" i="6"/>
  <c r="B1558" i="6"/>
  <c r="B1559" i="6"/>
  <c r="B1560" i="6"/>
  <c r="B1561" i="6"/>
  <c r="B1562" i="6"/>
  <c r="B1563" i="6"/>
  <c r="B1564" i="6"/>
  <c r="B1565" i="6"/>
  <c r="B1566" i="6"/>
  <c r="B1567" i="6"/>
  <c r="B1568" i="6"/>
  <c r="B1569" i="6"/>
  <c r="B1570" i="6"/>
  <c r="B1571" i="6"/>
  <c r="B1572" i="6"/>
  <c r="B1573" i="6"/>
  <c r="B1574" i="6"/>
  <c r="B1575" i="6"/>
  <c r="B1576" i="6"/>
  <c r="B1577" i="6"/>
  <c r="B1578" i="6"/>
  <c r="B1579" i="6"/>
  <c r="B1580" i="6"/>
  <c r="B1581" i="6"/>
  <c r="B1582" i="6"/>
  <c r="B1583" i="6"/>
  <c r="B1584" i="6"/>
  <c r="B1585" i="6"/>
  <c r="B1586" i="6"/>
  <c r="B1587" i="6"/>
  <c r="B1588" i="6"/>
  <c r="B1589" i="6"/>
  <c r="B1590" i="6"/>
  <c r="B1591" i="6"/>
  <c r="B1592" i="6"/>
  <c r="B1593" i="6"/>
  <c r="B1594" i="6"/>
  <c r="B1595" i="6"/>
  <c r="B1596" i="6"/>
  <c r="B1597" i="6"/>
  <c r="B1598" i="6"/>
  <c r="B1599" i="6"/>
  <c r="B1600" i="6"/>
  <c r="B1601" i="6"/>
  <c r="B1602" i="6"/>
  <c r="B1603" i="6"/>
  <c r="B1604" i="6"/>
  <c r="B1605" i="6"/>
  <c r="B1606" i="6"/>
  <c r="B1607" i="6"/>
  <c r="B1608" i="6"/>
  <c r="B1609" i="6"/>
  <c r="B1610" i="6"/>
  <c r="B1611" i="6"/>
  <c r="B1612" i="6"/>
  <c r="B1613" i="6"/>
  <c r="B1614" i="6"/>
  <c r="B1615" i="6"/>
  <c r="B1616" i="6"/>
  <c r="B1617" i="6"/>
  <c r="B1618" i="6"/>
  <c r="B1619" i="6"/>
  <c r="B1620" i="6"/>
  <c r="B1621" i="6"/>
  <c r="B1622" i="6"/>
  <c r="B1623" i="6"/>
  <c r="B1624" i="6"/>
  <c r="B1625" i="6"/>
  <c r="B1626" i="6"/>
  <c r="B1627" i="6"/>
  <c r="B1628" i="6"/>
  <c r="B1629" i="6"/>
  <c r="B1630" i="6"/>
  <c r="B1631" i="6"/>
  <c r="B1632" i="6"/>
  <c r="B1633" i="6"/>
  <c r="B1634" i="6"/>
  <c r="B1635" i="6"/>
  <c r="B1636" i="6"/>
  <c r="B1637" i="6"/>
  <c r="B1638" i="6"/>
  <c r="B1639" i="6"/>
  <c r="B1640" i="6"/>
  <c r="B1641" i="6"/>
  <c r="B1642" i="6"/>
  <c r="B1643" i="6"/>
  <c r="B1644" i="6"/>
  <c r="B1645" i="6"/>
  <c r="B1646" i="6"/>
  <c r="B1647" i="6"/>
  <c r="B1648" i="6"/>
  <c r="B1649" i="6"/>
  <c r="B1650" i="6"/>
  <c r="B1651" i="6"/>
  <c r="B1652" i="6"/>
  <c r="B1653" i="6"/>
  <c r="B1654" i="6"/>
  <c r="B1655" i="6"/>
  <c r="B1656" i="6"/>
  <c r="B1657" i="6"/>
  <c r="B1658" i="6"/>
  <c r="B1659" i="6"/>
  <c r="B1660" i="6"/>
  <c r="B1661" i="6"/>
  <c r="B1662" i="6"/>
  <c r="B1663" i="6"/>
  <c r="B1664" i="6"/>
  <c r="B1665" i="6"/>
  <c r="B1666" i="6"/>
  <c r="B1667" i="6"/>
  <c r="B1668" i="6"/>
  <c r="B1669" i="6"/>
  <c r="B1670" i="6"/>
  <c r="B1671" i="6"/>
  <c r="B1672" i="6"/>
  <c r="B1673" i="6"/>
  <c r="B1674" i="6"/>
  <c r="B1675" i="6"/>
  <c r="B1676" i="6"/>
  <c r="B1677" i="6"/>
  <c r="B1678" i="6"/>
  <c r="B1679" i="6"/>
  <c r="B1680" i="6"/>
  <c r="B1681" i="6"/>
  <c r="B1682" i="6"/>
  <c r="B1683" i="6"/>
  <c r="B1684" i="6"/>
  <c r="B1685" i="6"/>
  <c r="B1686" i="6"/>
  <c r="B1687" i="6"/>
  <c r="B1688" i="6"/>
  <c r="B1689" i="6"/>
  <c r="B1690" i="6"/>
  <c r="B1691" i="6"/>
  <c r="B1692" i="6"/>
  <c r="B1693" i="6"/>
  <c r="B1694" i="6"/>
  <c r="B1695" i="6"/>
  <c r="B1696" i="6"/>
  <c r="B1697" i="6"/>
  <c r="B1698" i="6"/>
  <c r="B1699" i="6"/>
  <c r="B1700" i="6"/>
  <c r="B1701" i="6"/>
  <c r="B1702" i="6"/>
  <c r="B1703" i="6"/>
  <c r="B1704" i="6"/>
  <c r="B1705" i="6"/>
  <c r="B1706" i="6"/>
  <c r="B1707" i="6"/>
  <c r="B1708" i="6"/>
  <c r="B1709" i="6"/>
  <c r="B1710" i="6"/>
  <c r="B1711" i="6"/>
  <c r="B1712" i="6"/>
  <c r="B1713" i="6"/>
  <c r="B1714" i="6"/>
  <c r="B1715" i="6"/>
  <c r="B1716" i="6"/>
  <c r="B1717" i="6"/>
  <c r="B1718" i="6"/>
  <c r="B1719" i="6"/>
  <c r="B1720" i="6"/>
  <c r="B1721" i="6"/>
  <c r="B1722" i="6"/>
  <c r="B1723" i="6"/>
  <c r="B1724" i="6"/>
  <c r="B1725" i="6"/>
  <c r="B1726" i="6"/>
  <c r="B1727" i="6"/>
  <c r="B1728" i="6"/>
  <c r="B1729" i="6"/>
  <c r="B1730" i="6"/>
  <c r="B1731" i="6"/>
  <c r="B1732" i="6"/>
  <c r="B1733" i="6"/>
  <c r="B1734" i="6"/>
  <c r="B1735" i="6"/>
  <c r="B1736" i="6"/>
  <c r="B1737" i="6"/>
  <c r="B1738" i="6"/>
  <c r="B1739" i="6"/>
  <c r="B1740" i="6"/>
  <c r="B1741" i="6"/>
  <c r="B1742" i="6"/>
  <c r="B1743" i="6"/>
  <c r="B1744" i="6"/>
  <c r="B1745" i="6"/>
  <c r="B1746" i="6"/>
  <c r="B1747" i="6"/>
  <c r="B1748" i="6"/>
  <c r="B1749" i="6"/>
  <c r="B1750" i="6"/>
  <c r="B1751" i="6"/>
  <c r="B1752" i="6"/>
  <c r="B1753" i="6"/>
  <c r="B1754" i="6"/>
  <c r="B1755" i="6"/>
  <c r="B1756" i="6"/>
  <c r="B1757" i="6"/>
  <c r="B1758" i="6"/>
  <c r="B1759" i="6"/>
  <c r="B1760" i="6"/>
  <c r="B1761" i="6"/>
  <c r="B1762" i="6"/>
  <c r="B1763" i="6"/>
  <c r="B1764" i="6"/>
  <c r="B1765" i="6"/>
  <c r="B1766" i="6"/>
  <c r="B1767" i="6"/>
  <c r="B1768" i="6"/>
  <c r="B1769" i="6"/>
  <c r="B1770" i="6"/>
  <c r="B1771" i="6"/>
  <c r="B1772" i="6"/>
  <c r="B1773" i="6"/>
  <c r="B1774" i="6"/>
  <c r="B1775" i="6"/>
  <c r="B1776" i="6"/>
  <c r="B1777" i="6"/>
  <c r="B1778" i="6"/>
  <c r="B1779" i="6"/>
  <c r="B1780" i="6"/>
  <c r="B1781" i="6"/>
  <c r="B1782" i="6"/>
  <c r="B1783" i="6"/>
  <c r="B1784" i="6"/>
  <c r="B1785" i="6"/>
  <c r="B1786" i="6"/>
  <c r="B1787" i="6"/>
  <c r="B1788" i="6"/>
  <c r="B1789" i="6"/>
  <c r="B1790" i="6"/>
  <c r="B1791" i="6"/>
  <c r="B1792" i="6"/>
  <c r="B1793" i="6"/>
  <c r="B1794" i="6"/>
  <c r="B1795" i="6"/>
  <c r="B1796" i="6"/>
  <c r="B1797" i="6"/>
  <c r="B1798" i="6"/>
  <c r="B1799" i="6"/>
  <c r="B1800" i="6"/>
  <c r="B1801" i="6"/>
  <c r="B1802" i="6"/>
  <c r="B1803" i="6"/>
  <c r="B1804" i="6"/>
  <c r="B1805" i="6"/>
  <c r="B1806" i="6"/>
  <c r="B1807" i="6"/>
  <c r="B1808" i="6"/>
  <c r="B1809" i="6"/>
  <c r="B1810" i="6"/>
  <c r="B1811" i="6"/>
  <c r="B1812" i="6"/>
  <c r="B1813" i="6"/>
  <c r="B1814" i="6"/>
  <c r="B1815" i="6"/>
  <c r="B1816" i="6"/>
  <c r="B1817" i="6"/>
  <c r="B1818" i="6"/>
  <c r="B1819" i="6"/>
  <c r="B1820" i="6"/>
  <c r="B1821" i="6"/>
  <c r="B1822" i="6"/>
  <c r="B1823" i="6"/>
  <c r="B1824" i="6"/>
  <c r="B1825" i="6"/>
  <c r="B1826" i="6"/>
  <c r="B1827" i="6"/>
  <c r="B1828" i="6"/>
  <c r="B1829" i="6"/>
  <c r="B1830" i="6"/>
  <c r="B1831" i="6"/>
  <c r="B1832" i="6"/>
  <c r="B1833" i="6"/>
  <c r="B1834" i="6"/>
  <c r="B1835" i="6"/>
  <c r="B1836" i="6"/>
  <c r="B1837" i="6"/>
  <c r="B1838" i="6"/>
  <c r="B1839" i="6"/>
  <c r="B1840" i="6"/>
  <c r="B1841" i="6"/>
  <c r="B1842" i="6"/>
  <c r="B1843" i="6"/>
  <c r="B1844" i="6"/>
  <c r="B1845" i="6"/>
  <c r="B1846" i="6"/>
  <c r="B1847" i="6"/>
  <c r="B1848" i="6"/>
  <c r="B1849" i="6"/>
  <c r="B1850" i="6"/>
  <c r="B1851" i="6"/>
  <c r="B1852" i="6"/>
  <c r="B1853" i="6"/>
  <c r="B1854" i="6"/>
  <c r="B1855" i="6"/>
  <c r="B1856" i="6"/>
  <c r="B1857" i="6"/>
  <c r="B1858" i="6"/>
  <c r="B1859" i="6"/>
  <c r="B1860" i="6"/>
  <c r="B1861" i="6"/>
  <c r="B1862" i="6"/>
  <c r="B1863" i="6"/>
  <c r="B1864" i="6"/>
  <c r="B1865" i="6"/>
  <c r="B1866" i="6"/>
  <c r="B1867" i="6"/>
  <c r="B1868" i="6"/>
  <c r="B1869" i="6"/>
  <c r="B1870" i="6"/>
  <c r="B1871" i="6"/>
  <c r="B1872" i="6"/>
  <c r="B1873" i="6"/>
  <c r="B1874" i="6"/>
  <c r="B1875" i="6"/>
  <c r="B1876" i="6"/>
  <c r="B1877" i="6"/>
  <c r="B1878" i="6"/>
  <c r="B1879" i="6"/>
  <c r="B1880" i="6"/>
  <c r="B1881" i="6"/>
  <c r="B1882" i="6"/>
  <c r="B1883" i="6"/>
  <c r="B1884" i="6"/>
  <c r="B1885" i="6"/>
  <c r="B1886" i="6"/>
  <c r="B1887" i="6"/>
  <c r="B1888" i="6"/>
  <c r="B1889" i="6"/>
  <c r="B1890" i="6"/>
  <c r="B1891" i="6"/>
  <c r="B1892" i="6"/>
  <c r="B1893" i="6"/>
  <c r="B1894" i="6"/>
  <c r="B1895" i="6"/>
  <c r="B1896" i="6"/>
  <c r="B1897" i="6"/>
  <c r="B1898" i="6"/>
  <c r="B1899" i="6"/>
  <c r="B1900" i="6"/>
  <c r="B1901" i="6"/>
  <c r="B1902" i="6"/>
  <c r="B1903" i="6"/>
  <c r="B1904" i="6"/>
  <c r="B1905" i="6"/>
  <c r="B1906" i="6"/>
  <c r="B1907" i="6"/>
  <c r="B1908" i="6"/>
  <c r="B1909" i="6"/>
  <c r="B1910" i="6"/>
  <c r="B1911" i="6"/>
  <c r="B1912" i="6"/>
  <c r="B1913" i="6"/>
  <c r="B1914" i="6"/>
  <c r="B1915" i="6"/>
  <c r="B1916" i="6"/>
  <c r="B1917" i="6"/>
  <c r="B1918" i="6"/>
  <c r="B1919" i="6"/>
  <c r="B1920" i="6"/>
  <c r="B1921" i="6"/>
  <c r="B1922" i="6"/>
  <c r="B1923" i="6"/>
  <c r="B1924" i="6"/>
  <c r="B1925" i="6"/>
  <c r="B1926" i="6"/>
  <c r="B1927" i="6"/>
  <c r="B1928" i="6"/>
  <c r="B1929" i="6"/>
  <c r="B1930" i="6"/>
  <c r="B1931" i="6"/>
  <c r="B1932" i="6"/>
  <c r="B1933" i="6"/>
  <c r="B1934" i="6"/>
  <c r="B1935" i="6"/>
  <c r="B1936" i="6"/>
  <c r="B1937" i="6"/>
  <c r="B1938" i="6"/>
  <c r="B1939" i="6"/>
  <c r="B1940" i="6"/>
  <c r="B1941" i="6"/>
  <c r="B1942" i="6"/>
  <c r="B1943" i="6"/>
  <c r="B1944" i="6"/>
  <c r="B1945" i="6"/>
  <c r="B1946" i="6"/>
  <c r="B1947" i="6"/>
  <c r="B1948" i="6"/>
  <c r="B1949" i="6"/>
  <c r="B1950" i="6"/>
  <c r="B1951" i="6"/>
  <c r="B1952" i="6"/>
  <c r="B1953" i="6"/>
  <c r="B1954" i="6"/>
  <c r="B1955" i="6"/>
  <c r="B1956" i="6"/>
  <c r="B1957" i="6"/>
  <c r="B1958" i="6"/>
  <c r="B1959" i="6"/>
  <c r="B1960" i="6"/>
  <c r="B1961" i="6"/>
  <c r="B1962" i="6"/>
  <c r="B1963" i="6"/>
  <c r="B1964" i="6"/>
  <c r="B1965" i="6"/>
  <c r="B1966" i="6"/>
  <c r="B1967" i="6"/>
  <c r="B1968" i="6"/>
  <c r="B1969" i="6"/>
  <c r="B1970" i="6"/>
  <c r="B1971" i="6"/>
  <c r="B1972" i="6"/>
  <c r="B1973" i="6"/>
  <c r="B1974" i="6"/>
  <c r="B1975" i="6"/>
  <c r="B1976" i="6"/>
  <c r="B1977" i="6"/>
  <c r="B1978" i="6"/>
  <c r="B1979" i="6"/>
  <c r="B1980" i="6"/>
  <c r="B1981" i="6"/>
  <c r="B1982" i="6"/>
  <c r="B1983" i="6"/>
  <c r="B1984" i="6"/>
  <c r="B1985" i="6"/>
  <c r="B1986" i="6"/>
  <c r="B1987" i="6"/>
  <c r="B1988" i="6"/>
  <c r="B1989" i="6"/>
  <c r="B1990" i="6"/>
  <c r="B1991" i="6"/>
  <c r="B1992" i="6"/>
  <c r="B1993" i="6"/>
  <c r="B1994" i="6"/>
  <c r="B1995" i="6"/>
  <c r="B1996" i="6"/>
  <c r="B1997" i="6"/>
  <c r="B1998" i="6"/>
  <c r="B1999" i="6"/>
  <c r="B2000" i="6"/>
  <c r="B2001" i="6"/>
  <c r="B2002" i="6"/>
  <c r="B2003" i="6"/>
  <c r="B2004" i="6"/>
  <c r="B2005" i="6"/>
  <c r="B2006" i="6"/>
  <c r="B2007" i="6"/>
  <c r="B2008" i="6"/>
  <c r="B2009" i="6"/>
  <c r="B2010" i="6"/>
  <c r="B2011" i="6"/>
  <c r="B2012" i="6"/>
  <c r="B2013" i="6"/>
  <c r="B2014" i="6"/>
  <c r="B2015" i="6"/>
  <c r="B2016" i="6"/>
  <c r="B2017" i="6"/>
  <c r="B2018" i="6"/>
  <c r="B2019" i="6"/>
  <c r="B2020" i="6"/>
  <c r="B2021" i="6"/>
  <c r="B2022" i="6"/>
  <c r="B2023" i="6"/>
  <c r="B2024" i="6"/>
  <c r="B2025" i="6"/>
  <c r="B2026" i="6"/>
  <c r="B2027" i="6"/>
  <c r="B2028" i="6"/>
  <c r="B2029" i="6"/>
  <c r="B2030" i="6"/>
  <c r="B2031" i="6"/>
  <c r="B2032" i="6"/>
  <c r="B2033" i="6"/>
  <c r="B2034" i="6"/>
  <c r="B2035" i="6"/>
  <c r="B2036" i="6"/>
  <c r="B2037" i="6"/>
  <c r="B2038" i="6"/>
  <c r="B2039" i="6"/>
  <c r="B2040" i="6"/>
  <c r="B2041" i="6"/>
  <c r="B2042" i="6"/>
  <c r="B2043" i="6"/>
  <c r="B2044" i="6"/>
  <c r="B2045" i="6"/>
  <c r="B2046" i="6"/>
  <c r="B2047" i="6"/>
  <c r="B2048" i="6"/>
  <c r="B2049" i="6"/>
  <c r="B2050" i="6"/>
  <c r="B2051" i="6"/>
  <c r="B2052" i="6"/>
  <c r="B2053" i="6"/>
  <c r="B2054" i="6"/>
  <c r="B2055" i="6"/>
  <c r="B2056" i="6"/>
  <c r="B2057" i="6"/>
  <c r="B2058" i="6"/>
  <c r="B2059" i="6"/>
  <c r="B2060" i="6"/>
  <c r="B2061" i="6"/>
  <c r="B2062" i="6"/>
  <c r="B2063" i="6"/>
  <c r="B2064" i="6"/>
  <c r="B2065" i="6"/>
  <c r="B2066" i="6"/>
  <c r="B2067" i="6"/>
  <c r="B2068" i="6"/>
  <c r="B2069" i="6"/>
  <c r="B2070" i="6"/>
  <c r="B2071" i="6"/>
  <c r="B2072" i="6"/>
  <c r="B2073" i="6"/>
  <c r="B2074" i="6"/>
  <c r="B2075" i="6"/>
  <c r="B2076" i="6"/>
  <c r="B2077" i="6"/>
  <c r="B2078" i="6"/>
  <c r="B2079" i="6"/>
  <c r="B2080" i="6"/>
  <c r="B2081" i="6"/>
  <c r="B2082" i="6"/>
  <c r="B2083" i="6"/>
  <c r="B2084" i="6"/>
  <c r="B2085" i="6"/>
  <c r="B2086" i="6"/>
  <c r="B2087" i="6"/>
  <c r="B2088" i="6"/>
  <c r="B2089" i="6"/>
  <c r="B2090" i="6"/>
  <c r="B2091" i="6"/>
  <c r="B2092" i="6"/>
  <c r="B2093" i="6"/>
  <c r="B2094" i="6"/>
  <c r="B2095" i="6"/>
  <c r="B2096" i="6"/>
  <c r="B2097" i="6"/>
  <c r="B2098" i="6"/>
  <c r="B2099" i="6"/>
  <c r="B2100" i="6"/>
  <c r="B2101" i="6"/>
  <c r="B2102" i="6"/>
  <c r="B2103" i="6"/>
  <c r="B2104" i="6"/>
  <c r="B2105" i="6"/>
  <c r="B2106" i="6"/>
  <c r="B2107" i="6"/>
  <c r="B2108" i="6"/>
  <c r="B2109" i="6"/>
  <c r="B2110" i="6"/>
  <c r="B2111" i="6"/>
  <c r="B2112" i="6"/>
  <c r="B2113" i="6"/>
  <c r="B2114" i="6"/>
  <c r="B2115" i="6"/>
  <c r="B2116" i="6"/>
  <c r="B2117" i="6"/>
  <c r="B2118" i="6"/>
  <c r="B2119" i="6"/>
  <c r="B2120" i="6"/>
  <c r="B2121" i="6"/>
  <c r="B2122" i="6"/>
  <c r="B2123" i="6"/>
  <c r="B2124" i="6"/>
  <c r="B2125" i="6"/>
  <c r="B2126" i="6"/>
  <c r="B2127" i="6"/>
  <c r="B2128" i="6"/>
  <c r="B2129" i="6"/>
  <c r="B2130" i="6"/>
  <c r="B2131" i="6"/>
  <c r="B2132" i="6"/>
  <c r="B2133" i="6"/>
  <c r="B2134" i="6"/>
  <c r="B2135" i="6"/>
  <c r="B2136" i="6"/>
  <c r="B2137" i="6"/>
  <c r="B2138" i="6"/>
  <c r="B2139" i="6"/>
  <c r="B2140" i="6"/>
  <c r="B2141" i="6"/>
  <c r="B2142" i="6"/>
  <c r="B2143" i="6"/>
  <c r="B2144" i="6"/>
  <c r="B2145" i="6"/>
  <c r="B2146" i="6"/>
  <c r="B2147" i="6"/>
  <c r="B2148" i="6"/>
  <c r="B2149" i="6"/>
  <c r="B2150" i="6"/>
  <c r="B2151" i="6"/>
  <c r="B2152" i="6"/>
  <c r="B2153" i="6"/>
  <c r="B2154" i="6"/>
  <c r="B2155" i="6"/>
  <c r="B2156" i="6"/>
  <c r="B2157" i="6"/>
  <c r="B2158" i="6"/>
  <c r="B2159" i="6"/>
  <c r="B2160" i="6"/>
  <c r="B2161" i="6"/>
  <c r="B2162" i="6"/>
  <c r="B2163" i="6"/>
  <c r="B2164" i="6"/>
  <c r="B2165" i="6"/>
  <c r="B2166" i="6"/>
  <c r="B2167" i="6"/>
  <c r="B2168" i="6"/>
  <c r="B2169" i="6"/>
  <c r="B2170" i="6"/>
  <c r="B2171" i="6"/>
  <c r="B2172" i="6"/>
  <c r="B2173" i="6"/>
  <c r="B2174" i="6"/>
  <c r="B2175" i="6"/>
  <c r="B2176" i="6"/>
  <c r="B2177" i="6"/>
  <c r="B2178" i="6"/>
  <c r="B2179" i="6"/>
  <c r="B2180" i="6"/>
  <c r="B2181" i="6"/>
  <c r="B2182" i="6"/>
  <c r="B2183" i="6"/>
  <c r="B2184" i="6"/>
  <c r="B2185" i="6"/>
  <c r="B2186" i="6"/>
  <c r="B2187" i="6"/>
  <c r="B2188" i="6"/>
  <c r="B2189" i="6"/>
  <c r="B2190" i="6"/>
  <c r="B2191" i="6"/>
  <c r="B2192" i="6"/>
  <c r="B2193" i="6"/>
  <c r="B2194" i="6"/>
  <c r="B2195" i="6"/>
  <c r="B2196" i="6"/>
  <c r="B2197" i="6"/>
  <c r="B2198" i="6"/>
  <c r="B2199" i="6"/>
  <c r="B2200" i="6"/>
  <c r="B2201" i="6"/>
  <c r="B2202" i="6"/>
  <c r="B2203" i="6"/>
  <c r="B2204" i="6"/>
  <c r="B2205" i="6"/>
  <c r="B2206" i="6"/>
  <c r="B2207" i="6"/>
  <c r="B2208" i="6"/>
  <c r="B2209" i="6"/>
  <c r="B2210" i="6"/>
  <c r="B2211" i="6"/>
  <c r="B2212" i="6"/>
  <c r="B2213" i="6"/>
  <c r="B2214" i="6"/>
  <c r="B2215" i="6"/>
  <c r="B2216" i="6"/>
  <c r="B2217" i="6"/>
  <c r="B2218" i="6"/>
  <c r="B2219" i="6"/>
  <c r="B2220" i="6"/>
  <c r="B2221" i="6"/>
  <c r="B2222" i="6"/>
  <c r="B2223" i="6"/>
  <c r="B2224" i="6"/>
  <c r="B2225" i="6"/>
  <c r="B2226" i="6"/>
  <c r="B2227" i="6"/>
  <c r="B2228" i="6"/>
  <c r="B2229" i="6"/>
  <c r="B2230" i="6"/>
  <c r="B2231" i="6"/>
  <c r="B2232" i="6"/>
  <c r="B2233" i="6"/>
  <c r="B2234" i="6"/>
  <c r="B2235" i="6"/>
  <c r="B2236" i="6"/>
  <c r="B2237" i="6"/>
  <c r="B2238" i="6"/>
  <c r="B2239" i="6"/>
  <c r="B2240" i="6"/>
  <c r="B2241" i="6"/>
  <c r="B2242" i="6"/>
  <c r="B2243" i="6"/>
  <c r="B2244" i="6"/>
  <c r="B2245" i="6"/>
  <c r="B2246" i="6"/>
  <c r="B2247" i="6"/>
  <c r="B2248" i="6"/>
  <c r="B2249" i="6"/>
  <c r="B2250" i="6"/>
  <c r="B2251" i="6"/>
  <c r="B2252" i="6"/>
  <c r="B2253" i="6"/>
  <c r="B2254" i="6"/>
  <c r="B2255" i="6"/>
  <c r="B2256" i="6"/>
  <c r="B2257" i="6"/>
  <c r="B2258" i="6"/>
  <c r="B2259" i="6"/>
  <c r="B2260" i="6"/>
  <c r="B2261" i="6"/>
  <c r="B2262" i="6"/>
  <c r="B2263" i="6"/>
  <c r="B2264" i="6"/>
  <c r="B2265" i="6"/>
  <c r="B2266" i="6"/>
  <c r="B2267" i="6"/>
  <c r="B2268" i="6"/>
  <c r="B2269" i="6"/>
  <c r="B2270" i="6"/>
  <c r="B2271" i="6"/>
  <c r="B2272" i="6"/>
  <c r="B2273" i="6"/>
  <c r="B2274" i="6"/>
  <c r="B2275" i="6"/>
  <c r="B2276" i="6"/>
  <c r="B2277" i="6"/>
  <c r="B2278" i="6"/>
  <c r="B2279" i="6"/>
  <c r="B2280" i="6"/>
  <c r="B2281" i="6"/>
  <c r="B2282" i="6"/>
  <c r="B2283" i="6"/>
  <c r="B2284" i="6"/>
  <c r="B2285" i="6"/>
  <c r="B2286" i="6"/>
  <c r="B2287" i="6"/>
  <c r="B2288" i="6"/>
  <c r="B2289" i="6"/>
  <c r="B2290" i="6"/>
  <c r="B2291" i="6"/>
  <c r="B2292" i="6"/>
  <c r="B2293" i="6"/>
  <c r="B2294" i="6"/>
  <c r="B2295" i="6"/>
  <c r="B2296" i="6"/>
  <c r="B2297" i="6"/>
  <c r="B2298" i="6"/>
  <c r="B2299" i="6"/>
  <c r="B2300" i="6"/>
  <c r="B2301" i="6"/>
  <c r="B2302" i="6"/>
  <c r="B2303" i="6"/>
  <c r="B2304" i="6"/>
  <c r="B2305" i="6"/>
  <c r="B2306" i="6"/>
  <c r="B2307" i="6"/>
  <c r="B2308" i="6"/>
  <c r="B2309" i="6"/>
  <c r="B2310" i="6"/>
  <c r="B2311" i="6"/>
  <c r="B2312" i="6"/>
  <c r="B2313" i="6"/>
  <c r="B2314" i="6"/>
  <c r="B2315" i="6"/>
  <c r="B2316" i="6"/>
  <c r="B2317" i="6"/>
  <c r="B2318" i="6"/>
  <c r="B2319" i="6"/>
  <c r="B2320" i="6"/>
  <c r="B2321" i="6"/>
  <c r="B2322" i="6"/>
  <c r="B2323" i="6"/>
  <c r="B2324" i="6"/>
  <c r="B2325" i="6"/>
  <c r="B2326" i="6"/>
  <c r="B2327" i="6"/>
  <c r="B2328" i="6"/>
  <c r="B2329" i="6"/>
  <c r="B2330" i="6"/>
  <c r="B2331" i="6"/>
  <c r="B2332" i="6"/>
  <c r="B2333" i="6"/>
  <c r="B2334" i="6"/>
  <c r="B2335" i="6"/>
  <c r="B2336" i="6"/>
  <c r="B2337" i="6"/>
  <c r="B2338" i="6"/>
  <c r="B2339" i="6"/>
  <c r="B2340" i="6"/>
  <c r="B2341" i="6"/>
  <c r="B2342" i="6"/>
  <c r="B2343" i="6"/>
  <c r="B2344" i="6"/>
  <c r="B2345" i="6"/>
  <c r="B2346" i="6"/>
  <c r="B2347" i="6"/>
  <c r="B2348" i="6"/>
  <c r="B2349" i="6"/>
  <c r="B2350" i="6"/>
  <c r="B2351" i="6"/>
  <c r="B2352" i="6"/>
  <c r="B2353" i="6"/>
  <c r="B2354" i="6"/>
  <c r="B2355" i="6"/>
  <c r="B2356" i="6"/>
  <c r="B2357" i="6"/>
  <c r="B2358" i="6"/>
  <c r="B2359" i="6"/>
  <c r="B2360" i="6"/>
  <c r="B2361" i="6"/>
  <c r="B2362" i="6"/>
  <c r="B2363" i="6"/>
  <c r="B2364" i="6"/>
  <c r="B2365" i="6"/>
  <c r="B2366" i="6"/>
  <c r="B2367" i="6"/>
  <c r="B2368" i="6"/>
  <c r="B2369" i="6"/>
  <c r="B2370" i="6"/>
  <c r="B2371" i="6"/>
  <c r="B2372" i="6"/>
  <c r="B2373" i="6"/>
  <c r="B2374" i="6"/>
  <c r="B2375" i="6"/>
  <c r="B2376" i="6"/>
  <c r="B2377" i="6"/>
  <c r="B2378" i="6"/>
  <c r="B2379" i="6"/>
  <c r="B2380" i="6"/>
  <c r="B2381" i="6"/>
  <c r="B2382" i="6"/>
  <c r="B2383" i="6"/>
  <c r="B2384" i="6"/>
  <c r="B2385" i="6"/>
  <c r="B2386" i="6"/>
  <c r="B2387" i="6"/>
  <c r="B2388" i="6"/>
  <c r="B2389" i="6"/>
  <c r="B2390" i="6"/>
  <c r="B2391" i="6"/>
  <c r="B2392" i="6"/>
  <c r="B2393" i="6"/>
  <c r="B2394" i="6"/>
  <c r="B2395" i="6"/>
  <c r="B2396" i="6"/>
  <c r="B2397" i="6"/>
  <c r="B2398" i="6"/>
  <c r="B2399" i="6"/>
  <c r="B2400" i="6"/>
  <c r="B2401" i="6"/>
  <c r="B2402" i="6"/>
  <c r="B2403" i="6"/>
  <c r="B2404" i="6"/>
  <c r="B2405" i="6"/>
  <c r="B2406" i="6"/>
  <c r="B2407" i="6"/>
  <c r="B2408" i="6"/>
  <c r="B2409" i="6"/>
  <c r="B2410" i="6"/>
  <c r="B2411" i="6"/>
  <c r="B2412" i="6"/>
  <c r="B2413" i="6"/>
  <c r="B2414" i="6"/>
  <c r="B2415" i="6"/>
  <c r="B2416" i="6"/>
  <c r="B2417" i="6"/>
  <c r="B2418" i="6"/>
  <c r="B2419" i="6"/>
  <c r="B2420" i="6"/>
  <c r="B2421" i="6"/>
  <c r="B2422" i="6"/>
  <c r="B2423" i="6"/>
  <c r="B2424" i="6"/>
  <c r="B2425" i="6"/>
  <c r="B2426" i="6"/>
  <c r="B2427" i="6"/>
  <c r="B2428" i="6"/>
  <c r="B2429" i="6"/>
  <c r="B2430" i="6"/>
  <c r="B2431" i="6"/>
  <c r="B2432" i="6"/>
  <c r="B2433" i="6"/>
  <c r="B2434" i="6"/>
  <c r="B2435" i="6"/>
  <c r="B2436" i="6"/>
  <c r="B2437" i="6"/>
  <c r="B2438" i="6"/>
  <c r="B2439" i="6"/>
  <c r="B2440" i="6"/>
  <c r="B2441" i="6"/>
  <c r="B2442" i="6"/>
  <c r="B2443" i="6"/>
  <c r="B2444" i="6"/>
  <c r="B2445" i="6"/>
  <c r="B2446" i="6"/>
  <c r="B2447" i="6"/>
  <c r="B2448" i="6"/>
  <c r="B2449" i="6"/>
  <c r="B2450" i="6"/>
  <c r="B2451" i="6"/>
  <c r="B2452" i="6"/>
  <c r="B2453" i="6"/>
  <c r="B2454" i="6"/>
  <c r="B2455" i="6"/>
  <c r="B2456" i="6"/>
  <c r="B2457" i="6"/>
  <c r="B2458" i="6"/>
  <c r="B2459" i="6"/>
  <c r="B2460" i="6"/>
  <c r="B2461" i="6"/>
  <c r="B2462" i="6"/>
  <c r="B2463" i="6"/>
  <c r="B2464" i="6"/>
  <c r="B2465" i="6"/>
  <c r="B2466" i="6"/>
  <c r="B2467" i="6"/>
  <c r="B2468" i="6"/>
  <c r="B2469" i="6"/>
  <c r="B2470" i="6"/>
  <c r="B2471" i="6"/>
  <c r="B2472" i="6"/>
  <c r="B2473" i="6"/>
  <c r="B2474" i="6"/>
  <c r="B2475" i="6"/>
  <c r="B2476" i="6"/>
  <c r="B2477" i="6"/>
  <c r="B2478" i="6"/>
  <c r="B2479" i="6"/>
  <c r="B2480" i="6"/>
  <c r="B2481" i="6"/>
  <c r="B2482" i="6"/>
  <c r="B2483" i="6"/>
  <c r="B2484" i="6"/>
  <c r="B2485" i="6"/>
  <c r="B2486" i="6"/>
  <c r="B2487" i="6"/>
  <c r="B2488" i="6"/>
  <c r="B2489" i="6"/>
  <c r="B2490" i="6"/>
  <c r="B2491" i="6"/>
  <c r="B2492" i="6"/>
  <c r="B2493" i="6"/>
  <c r="B2494" i="6"/>
  <c r="B2495" i="6"/>
  <c r="B2496" i="6"/>
  <c r="B2497" i="6"/>
  <c r="B2498" i="6"/>
  <c r="B2499" i="6"/>
  <c r="B2500" i="6"/>
  <c r="B2501" i="6"/>
  <c r="B2502" i="6"/>
  <c r="B2503" i="6"/>
  <c r="B2504" i="6"/>
  <c r="B2505" i="6"/>
  <c r="B2506" i="6"/>
  <c r="B2507" i="6"/>
  <c r="B2508" i="6"/>
  <c r="B2509" i="6"/>
  <c r="B2510" i="6"/>
  <c r="B2511" i="6"/>
  <c r="B2512" i="6"/>
  <c r="B2513" i="6"/>
  <c r="B2514" i="6"/>
  <c r="B2515" i="6"/>
  <c r="B2516" i="6"/>
  <c r="B2517" i="6"/>
  <c r="B2518" i="6"/>
  <c r="B2519" i="6"/>
  <c r="B2520" i="6"/>
  <c r="B2521" i="6"/>
  <c r="B2522" i="6"/>
  <c r="B2523" i="6"/>
  <c r="B2524" i="6"/>
  <c r="B2525" i="6"/>
  <c r="B2526" i="6"/>
  <c r="B2527" i="6"/>
  <c r="B2528" i="6"/>
  <c r="B2529" i="6"/>
  <c r="B2530" i="6"/>
  <c r="B2531" i="6"/>
  <c r="B2532" i="6"/>
  <c r="B2533" i="6"/>
  <c r="B2534" i="6"/>
  <c r="B2535" i="6"/>
  <c r="B2536" i="6"/>
  <c r="B2537" i="6"/>
  <c r="B2538" i="6"/>
  <c r="B2539" i="6"/>
  <c r="B2540" i="6"/>
  <c r="B2541" i="6"/>
  <c r="B2542" i="6"/>
  <c r="B2543" i="6"/>
  <c r="B2544" i="6"/>
  <c r="B2545" i="6"/>
  <c r="B2546" i="6"/>
  <c r="B2547" i="6"/>
  <c r="B2548" i="6"/>
  <c r="B2549" i="6"/>
  <c r="B2550" i="6"/>
  <c r="B2551" i="6"/>
  <c r="B2552" i="6"/>
  <c r="B2553" i="6"/>
  <c r="B2554" i="6"/>
  <c r="B2555" i="6"/>
  <c r="B2556" i="6"/>
  <c r="B2557" i="6"/>
  <c r="B2558" i="6"/>
  <c r="B2559" i="6"/>
  <c r="B2560" i="6"/>
  <c r="B2561" i="6"/>
  <c r="B2562" i="6"/>
  <c r="B2563" i="6"/>
  <c r="B2564" i="6"/>
  <c r="B2565" i="6"/>
  <c r="B2566" i="6"/>
  <c r="B2567" i="6"/>
  <c r="B2568" i="6"/>
  <c r="B2569" i="6"/>
  <c r="B2570" i="6"/>
  <c r="B2571" i="6"/>
  <c r="B2572" i="6"/>
  <c r="B2573" i="6"/>
  <c r="B2574" i="6"/>
  <c r="B2575" i="6"/>
  <c r="B2576" i="6"/>
  <c r="B2577" i="6"/>
  <c r="B2578" i="6"/>
  <c r="B2579" i="6"/>
  <c r="B2580" i="6"/>
  <c r="B2581" i="6"/>
  <c r="B2582" i="6"/>
  <c r="B2583" i="6"/>
  <c r="B2584" i="6"/>
  <c r="B2585" i="6"/>
  <c r="B2586" i="6"/>
  <c r="B2587" i="6"/>
  <c r="B2588" i="6"/>
  <c r="B2589" i="6"/>
  <c r="B2590" i="6"/>
  <c r="B2591" i="6"/>
  <c r="B2592" i="6"/>
  <c r="B2593" i="6"/>
  <c r="B2594" i="6"/>
  <c r="B2595" i="6"/>
  <c r="B2596" i="6"/>
  <c r="B2597" i="6"/>
  <c r="B2598" i="6"/>
  <c r="B2599" i="6"/>
  <c r="B2600" i="6"/>
  <c r="B2601" i="6"/>
  <c r="B2602" i="6"/>
  <c r="B2603" i="6"/>
  <c r="B2604" i="6"/>
  <c r="B2605" i="6"/>
  <c r="B2606" i="6"/>
  <c r="B2607" i="6"/>
  <c r="B2608" i="6"/>
  <c r="B2609" i="6"/>
  <c r="B2610" i="6"/>
  <c r="B2611" i="6"/>
  <c r="B2612" i="6"/>
  <c r="B2613" i="6"/>
  <c r="B2614" i="6"/>
  <c r="B2615" i="6"/>
  <c r="B2616" i="6"/>
  <c r="B2617" i="6"/>
  <c r="B2618" i="6"/>
  <c r="B2619" i="6"/>
  <c r="B2620" i="6"/>
  <c r="B2621" i="6"/>
  <c r="B2622" i="6"/>
  <c r="B2623" i="6"/>
  <c r="B2624" i="6"/>
  <c r="B2625" i="6"/>
  <c r="B2626" i="6"/>
  <c r="B2627" i="6"/>
  <c r="B2628" i="6"/>
  <c r="B2629" i="6"/>
  <c r="B2630" i="6"/>
  <c r="B2631" i="6"/>
  <c r="B2632" i="6"/>
  <c r="B2633" i="6"/>
  <c r="B2634" i="6"/>
  <c r="B2635" i="6"/>
  <c r="B2636" i="6"/>
  <c r="B2637" i="6"/>
  <c r="B2638" i="6"/>
  <c r="B2639" i="6"/>
  <c r="B2640" i="6"/>
  <c r="B2641" i="6"/>
  <c r="B2642" i="6"/>
  <c r="B2643" i="6"/>
  <c r="B2644" i="6"/>
  <c r="B2645" i="6"/>
  <c r="B2646" i="6"/>
  <c r="B2647" i="6"/>
  <c r="B2648" i="6"/>
  <c r="B2649" i="6"/>
  <c r="B2650" i="6"/>
  <c r="B2651" i="6"/>
  <c r="B2652" i="6"/>
  <c r="B2653" i="6"/>
  <c r="B2654" i="6"/>
  <c r="B2655" i="6"/>
  <c r="B2656" i="6"/>
  <c r="B2657" i="6"/>
  <c r="B2658" i="6"/>
  <c r="B2659" i="6"/>
  <c r="B2660" i="6"/>
  <c r="B2661" i="6"/>
  <c r="B2662" i="6"/>
  <c r="B2663" i="6"/>
  <c r="B2664" i="6"/>
  <c r="B2665" i="6"/>
  <c r="B2666" i="6"/>
  <c r="B2667" i="6"/>
  <c r="B2668" i="6"/>
  <c r="B2669" i="6"/>
  <c r="B2670" i="6"/>
  <c r="B2671" i="6"/>
  <c r="B2672" i="6"/>
  <c r="B2673" i="6"/>
  <c r="B2674" i="6"/>
  <c r="B2675" i="6"/>
  <c r="B2676" i="6"/>
  <c r="B2677" i="6"/>
  <c r="B2678" i="6"/>
  <c r="B2679" i="6"/>
  <c r="B2680" i="6"/>
  <c r="B2681" i="6"/>
  <c r="B2682" i="6"/>
  <c r="B2683" i="6"/>
  <c r="B2684" i="6"/>
  <c r="B2685" i="6"/>
  <c r="B2686" i="6"/>
  <c r="B2687" i="6"/>
  <c r="B2688" i="6"/>
  <c r="B2689" i="6"/>
  <c r="B2690" i="6"/>
  <c r="B2691" i="6"/>
  <c r="B2692" i="6"/>
  <c r="B2693" i="6"/>
  <c r="B2694" i="6"/>
  <c r="B2695" i="6"/>
  <c r="B2696" i="6"/>
  <c r="B2697" i="6"/>
  <c r="B2698" i="6"/>
  <c r="B2699" i="6"/>
  <c r="B2700" i="6"/>
  <c r="B2701" i="6"/>
  <c r="B2702" i="6"/>
  <c r="B2703" i="6"/>
  <c r="B2704" i="6"/>
  <c r="B2705" i="6"/>
  <c r="B2706" i="6"/>
  <c r="B2707" i="6"/>
  <c r="B2708" i="6"/>
  <c r="B2709" i="6"/>
  <c r="B2710" i="6"/>
  <c r="B2711" i="6"/>
  <c r="B2712" i="6"/>
  <c r="B2713" i="6"/>
  <c r="B2714" i="6"/>
  <c r="B2715" i="6"/>
  <c r="B2716" i="6"/>
  <c r="B2717" i="6"/>
  <c r="B2718" i="6"/>
  <c r="B2719" i="6"/>
  <c r="B2720" i="6"/>
  <c r="B2721" i="6"/>
  <c r="B2722" i="6"/>
  <c r="B2723" i="6"/>
  <c r="B2724" i="6"/>
  <c r="B2725" i="6"/>
  <c r="B2726" i="6"/>
  <c r="B2727" i="6"/>
  <c r="B2728" i="6"/>
  <c r="B2729" i="6"/>
  <c r="B2730" i="6"/>
  <c r="B2731" i="6"/>
  <c r="B2732" i="6"/>
  <c r="B2733" i="6"/>
  <c r="B2734" i="6"/>
  <c r="B2735" i="6"/>
  <c r="B2736" i="6"/>
  <c r="B2737" i="6"/>
  <c r="B2738" i="6"/>
  <c r="B2739" i="6"/>
  <c r="B2740" i="6"/>
  <c r="B2741" i="6"/>
  <c r="B2742" i="6"/>
  <c r="B2743" i="6"/>
  <c r="B2744" i="6"/>
  <c r="B2745" i="6"/>
  <c r="B2746" i="6"/>
  <c r="B2747" i="6"/>
  <c r="B2748" i="6"/>
  <c r="B2749" i="6"/>
  <c r="B2750" i="6"/>
  <c r="B2751" i="6"/>
  <c r="B2752" i="6"/>
  <c r="B2753" i="6"/>
  <c r="B2754" i="6"/>
  <c r="B2755" i="6"/>
  <c r="B2756" i="6"/>
  <c r="B2757" i="6"/>
  <c r="B2758" i="6"/>
  <c r="B2759" i="6"/>
  <c r="B2760" i="6"/>
  <c r="B2761" i="6"/>
  <c r="B2762" i="6"/>
  <c r="B2763" i="6"/>
  <c r="B2764" i="6"/>
  <c r="B2765" i="6"/>
  <c r="B2766" i="6"/>
  <c r="B2767" i="6"/>
  <c r="B2768" i="6"/>
  <c r="B2769" i="6"/>
  <c r="B2770" i="6"/>
  <c r="B2771" i="6"/>
  <c r="B2772" i="6"/>
  <c r="B2773" i="6"/>
  <c r="B2774" i="6"/>
  <c r="B2775" i="6"/>
  <c r="B2776" i="6"/>
  <c r="B2777" i="6"/>
  <c r="B2778" i="6"/>
  <c r="B2779" i="6"/>
  <c r="B2780" i="6"/>
  <c r="B2781" i="6"/>
  <c r="B2782" i="6"/>
  <c r="B2783" i="6"/>
  <c r="B2784" i="6"/>
  <c r="B2785" i="6"/>
  <c r="B2786" i="6"/>
  <c r="B2787" i="6"/>
  <c r="B2788" i="6"/>
  <c r="B2789" i="6"/>
  <c r="B2790" i="6"/>
  <c r="B2791" i="6"/>
  <c r="B2792" i="6"/>
  <c r="B2793" i="6"/>
  <c r="B2794" i="6"/>
  <c r="B2795" i="6"/>
  <c r="B2796" i="6"/>
  <c r="B2797" i="6"/>
  <c r="B2798" i="6"/>
  <c r="B2799" i="6"/>
  <c r="B2800" i="6"/>
  <c r="B2801" i="6"/>
  <c r="B2802" i="6"/>
  <c r="B2803" i="6"/>
  <c r="B2804" i="6"/>
  <c r="B2805" i="6"/>
  <c r="B2806" i="6"/>
  <c r="B2807" i="6"/>
  <c r="B2808" i="6"/>
  <c r="B2809" i="6"/>
  <c r="B2810" i="6"/>
  <c r="B2811" i="6"/>
  <c r="B2812" i="6"/>
  <c r="B2813" i="6"/>
  <c r="B2814" i="6"/>
  <c r="B2815" i="6"/>
  <c r="B2816" i="6"/>
  <c r="B2817" i="6"/>
  <c r="B2818" i="6"/>
  <c r="B2819" i="6"/>
  <c r="B2820" i="6"/>
  <c r="B2821" i="6"/>
  <c r="B2822" i="6"/>
  <c r="B2823" i="6"/>
  <c r="B2824" i="6"/>
  <c r="B2825" i="6"/>
  <c r="B2826" i="6"/>
  <c r="B2827" i="6"/>
  <c r="B2828" i="6"/>
  <c r="B2829" i="6"/>
  <c r="B2830" i="6"/>
  <c r="B2831" i="6"/>
  <c r="B2832" i="6"/>
  <c r="B2833" i="6"/>
  <c r="B2834" i="6"/>
  <c r="B2835" i="6"/>
  <c r="B2836" i="6"/>
  <c r="B2837" i="6"/>
  <c r="B2838" i="6"/>
  <c r="B2839" i="6"/>
  <c r="B2840" i="6"/>
  <c r="B2841" i="6"/>
  <c r="B2842" i="6"/>
  <c r="B2843" i="6"/>
  <c r="B2844" i="6"/>
  <c r="B2845" i="6"/>
  <c r="B2846" i="6"/>
  <c r="B2847" i="6"/>
  <c r="B2848" i="6"/>
  <c r="B2849" i="6"/>
  <c r="B2850" i="6"/>
  <c r="B2851" i="6"/>
  <c r="B2852" i="6"/>
  <c r="B2853" i="6"/>
  <c r="B2854" i="6"/>
  <c r="B2855" i="6"/>
  <c r="B2856" i="6"/>
  <c r="B2857" i="6"/>
  <c r="B2858" i="6"/>
  <c r="B2859" i="6"/>
  <c r="B2860" i="6"/>
  <c r="B2861" i="6"/>
  <c r="B2862" i="6"/>
  <c r="B2863" i="6"/>
  <c r="B2864" i="6"/>
  <c r="B2865" i="6"/>
  <c r="B2866" i="6"/>
  <c r="B2867" i="6"/>
  <c r="B2868" i="6"/>
  <c r="B2869" i="6"/>
  <c r="B2870" i="6"/>
  <c r="B2871" i="6"/>
  <c r="B2872" i="6"/>
  <c r="B2873" i="6"/>
  <c r="B2874" i="6"/>
  <c r="B2875" i="6"/>
  <c r="B2876" i="6"/>
  <c r="B2877" i="6"/>
  <c r="B2878" i="6"/>
  <c r="B2879" i="6"/>
  <c r="B2880" i="6"/>
  <c r="B2881" i="6"/>
  <c r="B2882" i="6"/>
  <c r="B2883" i="6"/>
  <c r="B2884" i="6"/>
  <c r="B2885" i="6"/>
  <c r="B2886" i="6"/>
  <c r="B2887" i="6"/>
  <c r="B2888" i="6"/>
  <c r="B2889" i="6"/>
  <c r="B2890" i="6"/>
  <c r="B2891" i="6"/>
  <c r="B2892" i="6"/>
  <c r="B2893" i="6"/>
  <c r="B2894" i="6"/>
  <c r="B2895" i="6"/>
  <c r="B2896" i="6"/>
  <c r="B2897" i="6"/>
  <c r="B2898" i="6"/>
  <c r="B2899" i="6"/>
  <c r="B2900" i="6"/>
  <c r="B2901" i="6"/>
  <c r="B2902" i="6"/>
  <c r="B2903" i="6"/>
  <c r="B2904" i="6"/>
  <c r="B2905" i="6"/>
  <c r="B2906" i="6"/>
  <c r="B2907" i="6"/>
  <c r="B2908" i="6"/>
  <c r="B2909" i="6"/>
  <c r="B2910" i="6"/>
  <c r="B2911" i="6"/>
  <c r="B2912" i="6"/>
  <c r="B2913" i="6"/>
  <c r="B2914" i="6"/>
  <c r="B2915" i="6"/>
  <c r="B2916" i="6"/>
  <c r="B2917" i="6"/>
  <c r="B2918" i="6"/>
  <c r="B2919" i="6"/>
  <c r="B2920" i="6"/>
  <c r="B2921" i="6"/>
  <c r="B2922" i="6"/>
  <c r="B2923" i="6"/>
  <c r="B2924" i="6"/>
  <c r="B2925" i="6"/>
  <c r="B2926" i="6"/>
  <c r="B2927" i="6"/>
  <c r="B2928" i="6"/>
  <c r="B2929" i="6"/>
  <c r="B2930" i="6"/>
  <c r="B2931" i="6"/>
  <c r="B2932" i="6"/>
  <c r="B2933" i="6"/>
  <c r="B2934" i="6"/>
  <c r="B2935" i="6"/>
  <c r="B2936" i="6"/>
  <c r="B2937" i="6"/>
  <c r="B2938" i="6"/>
  <c r="B2939" i="6"/>
  <c r="B2940" i="6"/>
  <c r="B2941" i="6"/>
  <c r="B2942" i="6"/>
  <c r="B2943" i="6"/>
  <c r="B2944" i="6"/>
  <c r="B2945" i="6"/>
  <c r="B2946" i="6"/>
  <c r="B2947" i="6"/>
  <c r="B2948" i="6"/>
  <c r="B2949" i="6"/>
  <c r="B2950" i="6"/>
  <c r="B2951" i="6"/>
  <c r="B2952" i="6"/>
  <c r="B2953" i="6"/>
  <c r="B2954" i="6"/>
  <c r="B2955" i="6"/>
  <c r="B2956" i="6"/>
  <c r="B2957" i="6"/>
  <c r="B2958" i="6"/>
  <c r="B2959" i="6"/>
  <c r="B2960" i="6"/>
  <c r="B2961" i="6"/>
  <c r="B2962" i="6"/>
  <c r="B2963" i="6"/>
  <c r="B2964" i="6"/>
  <c r="B2965" i="6"/>
  <c r="B2966" i="6"/>
  <c r="B2967" i="6"/>
  <c r="B2968" i="6"/>
  <c r="B2969" i="6"/>
  <c r="B2970" i="6"/>
  <c r="B2971" i="6"/>
  <c r="B2972" i="6"/>
  <c r="B2973" i="6"/>
  <c r="B2974" i="6"/>
  <c r="B2975" i="6"/>
  <c r="B2976" i="6"/>
  <c r="B2977" i="6"/>
  <c r="B2978" i="6"/>
  <c r="B2979" i="6"/>
  <c r="B2980" i="6"/>
  <c r="B2981" i="6"/>
  <c r="B2982" i="6"/>
  <c r="B2983" i="6"/>
  <c r="B2984" i="6"/>
  <c r="B2985" i="6"/>
  <c r="B2986" i="6"/>
  <c r="B2987" i="6"/>
  <c r="B2988" i="6"/>
  <c r="B2989" i="6"/>
  <c r="B2990" i="6"/>
  <c r="B2991" i="6"/>
  <c r="B2992" i="6"/>
  <c r="B2993" i="6"/>
  <c r="B2994" i="6"/>
  <c r="B2995" i="6"/>
  <c r="B2996" i="6"/>
  <c r="B2997" i="6"/>
  <c r="B2998" i="6"/>
  <c r="B2999" i="6"/>
  <c r="B3000" i="6"/>
  <c r="B3001" i="6"/>
  <c r="B3002" i="6"/>
  <c r="B3003" i="6"/>
  <c r="B3004" i="6"/>
  <c r="B3005" i="6"/>
  <c r="B3006" i="6"/>
  <c r="B3007" i="6"/>
  <c r="B3008" i="6"/>
  <c r="B3009" i="6"/>
  <c r="B3010" i="6"/>
  <c r="B3011" i="6"/>
  <c r="B3012" i="6"/>
  <c r="B3013" i="6"/>
  <c r="B3014" i="6"/>
  <c r="B3015" i="6"/>
  <c r="B3016" i="6"/>
  <c r="B3017" i="6"/>
  <c r="B3018" i="6"/>
  <c r="B3019" i="6"/>
  <c r="B3020" i="6"/>
  <c r="B3021" i="6"/>
  <c r="B3022" i="6"/>
  <c r="B3023" i="6"/>
  <c r="B3024" i="6"/>
  <c r="B3025" i="6"/>
  <c r="B3026" i="6"/>
  <c r="B3027" i="6"/>
  <c r="B3028" i="6"/>
  <c r="B3029" i="6"/>
  <c r="B3030" i="6"/>
  <c r="B3031" i="6"/>
  <c r="B3032" i="6"/>
  <c r="B3033" i="6"/>
  <c r="B3034" i="6"/>
  <c r="B3035" i="6"/>
  <c r="B3036" i="6"/>
  <c r="B3037" i="6"/>
  <c r="B3038" i="6"/>
  <c r="B3039" i="6"/>
  <c r="B3040" i="6"/>
  <c r="B3041" i="6"/>
  <c r="B3042" i="6"/>
  <c r="B3043" i="6"/>
  <c r="B3044" i="6"/>
  <c r="B3045" i="6"/>
  <c r="B3046" i="6"/>
  <c r="B3047" i="6"/>
  <c r="B3048" i="6"/>
  <c r="B3049" i="6"/>
  <c r="B3050" i="6"/>
  <c r="B3051" i="6"/>
  <c r="B3052" i="6"/>
  <c r="B3053" i="6"/>
  <c r="B3054" i="6"/>
  <c r="B3055" i="6"/>
  <c r="B3056" i="6"/>
  <c r="B3057" i="6"/>
  <c r="B3058" i="6"/>
  <c r="B3059" i="6"/>
  <c r="B3060" i="6"/>
  <c r="B3061" i="6"/>
  <c r="B3062" i="6"/>
  <c r="B3063" i="6"/>
  <c r="B3064" i="6"/>
  <c r="B3065" i="6"/>
  <c r="B3066" i="6"/>
  <c r="B3067" i="6"/>
  <c r="B3068" i="6"/>
  <c r="B3069" i="6"/>
  <c r="B3070" i="6"/>
  <c r="B3071" i="6"/>
  <c r="B3072" i="6"/>
  <c r="B3073" i="6"/>
  <c r="B3074" i="6"/>
  <c r="B3075" i="6"/>
  <c r="B3076" i="6"/>
  <c r="B3077" i="6"/>
  <c r="B3078" i="6"/>
  <c r="B3079" i="6"/>
  <c r="B3080" i="6"/>
  <c r="B3081" i="6"/>
  <c r="B3082" i="6"/>
  <c r="B3083" i="6"/>
  <c r="B3084" i="6"/>
  <c r="B3085" i="6"/>
  <c r="B3086" i="6"/>
  <c r="B3087" i="6"/>
  <c r="B3088" i="6"/>
  <c r="B3089" i="6"/>
  <c r="B3090" i="6"/>
  <c r="B3091" i="6"/>
  <c r="B3092" i="6"/>
  <c r="B3093" i="6"/>
  <c r="B3094" i="6"/>
  <c r="B3095" i="6"/>
  <c r="B3096" i="6"/>
  <c r="B3097" i="6"/>
  <c r="B3098" i="6"/>
  <c r="B3099" i="6"/>
  <c r="B3100" i="6"/>
  <c r="B3101" i="6"/>
  <c r="B3102" i="6"/>
  <c r="B3103" i="6"/>
  <c r="B3104" i="6"/>
  <c r="B3105" i="6"/>
  <c r="B3106" i="6"/>
  <c r="B3107" i="6"/>
  <c r="B3108" i="6"/>
  <c r="B3109" i="6"/>
  <c r="B3110" i="6"/>
  <c r="B3111" i="6"/>
  <c r="B3112" i="6"/>
  <c r="B3113" i="6"/>
  <c r="B3114" i="6"/>
  <c r="B3115" i="6"/>
  <c r="B3116" i="6"/>
  <c r="B3117" i="6"/>
  <c r="B3118" i="6"/>
  <c r="B3119" i="6"/>
  <c r="B3120" i="6"/>
  <c r="B3121" i="6"/>
  <c r="B3122" i="6"/>
  <c r="B3123" i="6"/>
  <c r="B3124" i="6"/>
  <c r="B3125" i="6"/>
  <c r="B3126" i="6"/>
  <c r="B3127" i="6"/>
  <c r="B3128" i="6"/>
  <c r="B3129" i="6"/>
  <c r="B3130" i="6"/>
  <c r="B3131" i="6"/>
  <c r="B3132" i="6"/>
  <c r="B3133" i="6"/>
  <c r="B3134" i="6"/>
  <c r="B3135" i="6"/>
  <c r="B3136" i="6"/>
  <c r="B3137" i="6"/>
  <c r="B3138" i="6"/>
  <c r="B3139" i="6"/>
  <c r="B3140" i="6"/>
  <c r="B3141" i="6"/>
  <c r="B3142" i="6"/>
  <c r="B3143" i="6"/>
  <c r="B3144" i="6"/>
  <c r="B3145" i="6"/>
  <c r="B3146" i="6"/>
  <c r="B3147" i="6"/>
  <c r="B3148" i="6"/>
  <c r="B3149" i="6"/>
  <c r="B3150" i="6"/>
  <c r="B3151" i="6"/>
  <c r="B3152" i="6"/>
  <c r="B3153" i="6"/>
  <c r="B3154" i="6"/>
  <c r="B3155" i="6"/>
  <c r="B3156" i="6"/>
  <c r="B3157" i="6"/>
  <c r="B3158" i="6"/>
  <c r="B3159" i="6"/>
  <c r="B3160" i="6"/>
  <c r="B3161" i="6"/>
  <c r="B3162" i="6"/>
  <c r="B3163" i="6"/>
  <c r="B3164" i="6"/>
  <c r="B3165" i="6"/>
  <c r="B3166" i="6"/>
  <c r="B3167" i="6"/>
  <c r="B3168" i="6"/>
  <c r="B3169" i="6"/>
  <c r="B3170" i="6"/>
  <c r="B3171" i="6"/>
  <c r="B3172" i="6"/>
  <c r="B3173" i="6"/>
  <c r="B3174" i="6"/>
  <c r="B3175" i="6"/>
  <c r="B3176" i="6"/>
  <c r="B3177" i="6"/>
  <c r="B3178" i="6"/>
  <c r="B3179" i="6"/>
  <c r="B3180" i="6"/>
  <c r="B3181" i="6"/>
  <c r="B3182" i="6"/>
  <c r="B3183" i="6"/>
  <c r="B3184" i="6"/>
  <c r="B3185" i="6"/>
  <c r="B3186" i="6"/>
  <c r="B3187" i="6"/>
  <c r="B3188" i="6"/>
  <c r="B3189" i="6"/>
  <c r="B3190" i="6"/>
  <c r="B3191" i="6"/>
  <c r="B3192" i="6"/>
  <c r="B3193" i="6"/>
  <c r="B3194" i="6"/>
  <c r="B3195" i="6"/>
  <c r="B3196" i="6"/>
  <c r="B3197" i="6"/>
  <c r="B3198" i="6"/>
  <c r="B3199" i="6"/>
  <c r="B3200" i="6"/>
  <c r="B3201" i="6"/>
  <c r="B3202" i="6"/>
  <c r="B3203" i="6"/>
  <c r="B3204" i="6"/>
  <c r="B3205" i="6"/>
  <c r="B3206" i="6"/>
  <c r="B3207" i="6"/>
  <c r="B3208" i="6"/>
  <c r="B3209" i="6"/>
  <c r="B3210" i="6"/>
  <c r="B3211" i="6"/>
  <c r="B3212" i="6"/>
  <c r="B3213" i="6"/>
  <c r="B3214" i="6"/>
  <c r="B3215" i="6"/>
  <c r="B3216" i="6"/>
  <c r="B3217" i="6"/>
  <c r="B3218" i="6"/>
  <c r="B3219" i="6"/>
  <c r="B3220" i="6"/>
  <c r="B3221" i="6"/>
  <c r="B3222" i="6"/>
  <c r="B3223" i="6"/>
  <c r="B3224" i="6"/>
  <c r="B3225" i="6"/>
  <c r="B3226" i="6"/>
  <c r="B3227" i="6"/>
  <c r="B3228" i="6"/>
  <c r="B3229" i="6"/>
  <c r="B3230" i="6"/>
  <c r="B3231" i="6"/>
  <c r="B3232" i="6"/>
  <c r="B3233" i="6"/>
  <c r="B3234" i="6"/>
  <c r="B3235" i="6"/>
  <c r="B3236" i="6"/>
  <c r="B3237" i="6"/>
  <c r="B3238" i="6"/>
  <c r="B3239" i="6"/>
  <c r="B3240" i="6"/>
  <c r="B3241" i="6"/>
  <c r="B3242" i="6"/>
  <c r="B3243" i="6"/>
  <c r="B3244" i="6"/>
  <c r="B3245" i="6"/>
  <c r="B3246" i="6"/>
  <c r="B3247" i="6"/>
  <c r="B3248" i="6"/>
  <c r="B3249" i="6"/>
  <c r="B3250" i="6"/>
  <c r="B3251" i="6"/>
  <c r="B3252" i="6"/>
  <c r="B3253" i="6"/>
  <c r="B3254" i="6"/>
  <c r="B3255" i="6"/>
  <c r="B3256" i="6"/>
  <c r="B3257" i="6"/>
  <c r="B3258" i="6"/>
  <c r="B3259" i="6"/>
  <c r="B3260" i="6"/>
  <c r="B3261" i="6"/>
  <c r="B3262" i="6"/>
  <c r="B3263" i="6"/>
  <c r="B3264" i="6"/>
  <c r="B3265" i="6"/>
  <c r="B3266" i="6"/>
  <c r="B3267" i="6"/>
  <c r="B3268" i="6"/>
  <c r="B3269" i="6"/>
  <c r="B11" i="6"/>
  <c r="A4" i="6"/>
  <c r="A5" i="6"/>
  <c r="A6" i="6"/>
  <c r="A7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103" i="6"/>
  <c r="A104" i="6"/>
  <c r="A105" i="6"/>
  <c r="A106" i="6"/>
  <c r="A107" i="6"/>
  <c r="A108" i="6"/>
  <c r="A109" i="6"/>
  <c r="A110" i="6"/>
  <c r="A111" i="6"/>
  <c r="A112" i="6"/>
  <c r="A113" i="6"/>
  <c r="A114" i="6"/>
  <c r="A115" i="6"/>
  <c r="A116" i="6"/>
  <c r="A117" i="6"/>
  <c r="A118" i="6"/>
  <c r="A119" i="6"/>
  <c r="A120" i="6"/>
  <c r="A121" i="6"/>
  <c r="A122" i="6"/>
  <c r="A123" i="6"/>
  <c r="A124" i="6"/>
  <c r="A125" i="6"/>
  <c r="A126" i="6"/>
  <c r="A127" i="6"/>
  <c r="A128" i="6"/>
  <c r="A129" i="6"/>
  <c r="A130" i="6"/>
  <c r="A131" i="6"/>
  <c r="A132" i="6"/>
  <c r="A133" i="6"/>
  <c r="A134" i="6"/>
  <c r="A135" i="6"/>
  <c r="A136" i="6"/>
  <c r="A137" i="6"/>
  <c r="A138" i="6"/>
  <c r="A139" i="6"/>
  <c r="A140" i="6"/>
  <c r="A141" i="6"/>
  <c r="A142" i="6"/>
  <c r="A143" i="6"/>
  <c r="A144" i="6"/>
  <c r="A145" i="6"/>
  <c r="A146" i="6"/>
  <c r="A147" i="6"/>
  <c r="A148" i="6"/>
  <c r="A149" i="6"/>
  <c r="A150" i="6"/>
  <c r="A151" i="6"/>
  <c r="A152" i="6"/>
  <c r="A153" i="6"/>
  <c r="A154" i="6"/>
  <c r="A155" i="6"/>
  <c r="A156" i="6"/>
  <c r="A157" i="6"/>
  <c r="A158" i="6"/>
  <c r="A159" i="6"/>
  <c r="A160" i="6"/>
  <c r="A161" i="6"/>
  <c r="A162" i="6"/>
  <c r="A163" i="6"/>
  <c r="A164" i="6"/>
  <c r="A165" i="6"/>
  <c r="A166" i="6"/>
  <c r="A167" i="6"/>
  <c r="A168" i="6"/>
  <c r="A169" i="6"/>
  <c r="A170" i="6"/>
  <c r="A171" i="6"/>
  <c r="A172" i="6"/>
  <c r="A173" i="6"/>
  <c r="A174" i="6"/>
  <c r="A175" i="6"/>
  <c r="A176" i="6"/>
  <c r="A177" i="6"/>
  <c r="A178" i="6"/>
  <c r="A179" i="6"/>
  <c r="A180" i="6"/>
  <c r="A181" i="6"/>
  <c r="A182" i="6"/>
  <c r="A183" i="6"/>
  <c r="A184" i="6"/>
  <c r="A185" i="6"/>
  <c r="A186" i="6"/>
  <c r="A187" i="6"/>
  <c r="A188" i="6"/>
  <c r="A189" i="6"/>
  <c r="A190" i="6"/>
  <c r="A191" i="6"/>
  <c r="A192" i="6"/>
  <c r="A193" i="6"/>
  <c r="A194" i="6"/>
  <c r="A195" i="6"/>
  <c r="A196" i="6"/>
  <c r="A197" i="6"/>
  <c r="A198" i="6"/>
  <c r="A199" i="6"/>
  <c r="A200" i="6"/>
  <c r="A201" i="6"/>
  <c r="A202" i="6"/>
  <c r="A203" i="6"/>
  <c r="A204" i="6"/>
  <c r="A205" i="6"/>
  <c r="A206" i="6"/>
  <c r="A207" i="6"/>
  <c r="A208" i="6"/>
  <c r="A209" i="6"/>
  <c r="A210" i="6"/>
  <c r="A211" i="6"/>
  <c r="A212" i="6"/>
  <c r="A213" i="6"/>
  <c r="A214" i="6"/>
  <c r="A215" i="6"/>
  <c r="A216" i="6"/>
  <c r="A217" i="6"/>
  <c r="A218" i="6"/>
  <c r="A219" i="6"/>
  <c r="A220" i="6"/>
  <c r="A221" i="6"/>
  <c r="A222" i="6"/>
  <c r="A223" i="6"/>
  <c r="A224" i="6"/>
  <c r="A225" i="6"/>
  <c r="A226" i="6"/>
  <c r="A227" i="6"/>
  <c r="A228" i="6"/>
  <c r="A229" i="6"/>
  <c r="A230" i="6"/>
  <c r="A231" i="6"/>
  <c r="A232" i="6"/>
  <c r="A233" i="6"/>
  <c r="A234" i="6"/>
  <c r="A235" i="6"/>
  <c r="A236" i="6"/>
  <c r="A237" i="6"/>
  <c r="A238" i="6"/>
  <c r="A239" i="6"/>
  <c r="A240" i="6"/>
  <c r="A241" i="6"/>
  <c r="A242" i="6"/>
  <c r="A243" i="6"/>
  <c r="A244" i="6"/>
  <c r="A245" i="6"/>
  <c r="A246" i="6"/>
  <c r="A247" i="6"/>
  <c r="A248" i="6"/>
  <c r="A249" i="6"/>
  <c r="A250" i="6"/>
  <c r="A251" i="6"/>
  <c r="A252" i="6"/>
  <c r="A253" i="6"/>
  <c r="A254" i="6"/>
  <c r="A255" i="6"/>
  <c r="A256" i="6"/>
  <c r="A257" i="6"/>
  <c r="A258" i="6"/>
  <c r="A259" i="6"/>
  <c r="A260" i="6"/>
  <c r="A261" i="6"/>
  <c r="A262" i="6"/>
  <c r="A263" i="6"/>
  <c r="A264" i="6"/>
  <c r="A265" i="6"/>
  <c r="A266" i="6"/>
  <c r="A267" i="6"/>
  <c r="A268" i="6"/>
  <c r="A269" i="6"/>
  <c r="A270" i="6"/>
  <c r="A271" i="6"/>
  <c r="A272" i="6"/>
  <c r="A273" i="6"/>
  <c r="A274" i="6"/>
  <c r="A275" i="6"/>
  <c r="A276" i="6"/>
  <c r="A277" i="6"/>
  <c r="A278" i="6"/>
  <c r="A279" i="6"/>
  <c r="A280" i="6"/>
  <c r="A281" i="6"/>
  <c r="A282" i="6"/>
  <c r="A283" i="6"/>
  <c r="A284" i="6"/>
  <c r="A285" i="6"/>
  <c r="A286" i="6"/>
  <c r="A287" i="6"/>
  <c r="A288" i="6"/>
  <c r="A289" i="6"/>
  <c r="A290" i="6"/>
  <c r="A291" i="6"/>
  <c r="A292" i="6"/>
  <c r="A293" i="6"/>
  <c r="A294" i="6"/>
  <c r="A295" i="6"/>
  <c r="A296" i="6"/>
  <c r="A297" i="6"/>
  <c r="A298" i="6"/>
  <c r="A299" i="6"/>
  <c r="A300" i="6"/>
  <c r="A301" i="6"/>
  <c r="A302" i="6"/>
  <c r="A303" i="6"/>
  <c r="A304" i="6"/>
  <c r="A305" i="6"/>
  <c r="A306" i="6"/>
  <c r="A307" i="6"/>
  <c r="A308" i="6"/>
  <c r="A309" i="6"/>
  <c r="A310" i="6"/>
  <c r="A311" i="6"/>
  <c r="A312" i="6"/>
  <c r="A313" i="6"/>
  <c r="A314" i="6"/>
  <c r="A315" i="6"/>
  <c r="A316" i="6"/>
  <c r="A317" i="6"/>
  <c r="A318" i="6"/>
  <c r="A319" i="6"/>
  <c r="A320" i="6"/>
  <c r="A321" i="6"/>
  <c r="A322" i="6"/>
  <c r="A323" i="6"/>
  <c r="A324" i="6"/>
  <c r="A325" i="6"/>
  <c r="A326" i="6"/>
  <c r="A327" i="6"/>
  <c r="A328" i="6"/>
  <c r="A329" i="6"/>
  <c r="A330" i="6"/>
  <c r="A331" i="6"/>
  <c r="A332" i="6"/>
  <c r="A333" i="6"/>
  <c r="A334" i="6"/>
  <c r="A335" i="6"/>
  <c r="A336" i="6"/>
  <c r="A337" i="6"/>
  <c r="A338" i="6"/>
  <c r="A339" i="6"/>
  <c r="A340" i="6"/>
  <c r="A341" i="6"/>
  <c r="A342" i="6"/>
  <c r="A343" i="6"/>
  <c r="A344" i="6"/>
  <c r="A345" i="6"/>
  <c r="A346" i="6"/>
  <c r="A347" i="6"/>
  <c r="A348" i="6"/>
  <c r="A349" i="6"/>
  <c r="A350" i="6"/>
  <c r="A351" i="6"/>
  <c r="A352" i="6"/>
  <c r="A353" i="6"/>
  <c r="A354" i="6"/>
  <c r="A355" i="6"/>
  <c r="A356" i="6"/>
  <c r="A357" i="6"/>
  <c r="A358" i="6"/>
  <c r="A359" i="6"/>
  <c r="A360" i="6"/>
  <c r="A361" i="6"/>
  <c r="A362" i="6"/>
  <c r="A363" i="6"/>
  <c r="A364" i="6"/>
  <c r="A365" i="6"/>
  <c r="A366" i="6"/>
  <c r="A367" i="6"/>
  <c r="A368" i="6"/>
  <c r="A369" i="6"/>
  <c r="A370" i="6"/>
  <c r="A371" i="6"/>
  <c r="A372" i="6"/>
  <c r="A373" i="6"/>
  <c r="A374" i="6"/>
  <c r="A375" i="6"/>
  <c r="A376" i="6"/>
  <c r="A377" i="6"/>
  <c r="A378" i="6"/>
  <c r="A379" i="6"/>
  <c r="A380" i="6"/>
  <c r="A381" i="6"/>
  <c r="A382" i="6"/>
  <c r="A383" i="6"/>
  <c r="A384" i="6"/>
  <c r="A385" i="6"/>
  <c r="A386" i="6"/>
  <c r="A387" i="6"/>
  <c r="A388" i="6"/>
  <c r="A389" i="6"/>
  <c r="A390" i="6"/>
  <c r="A391" i="6"/>
  <c r="A392" i="6"/>
  <c r="A393" i="6"/>
  <c r="A394" i="6"/>
  <c r="A395" i="6"/>
  <c r="A396" i="6"/>
  <c r="A397" i="6"/>
  <c r="A398" i="6"/>
  <c r="A399" i="6"/>
  <c r="A400" i="6"/>
  <c r="A401" i="6"/>
  <c r="A402" i="6"/>
  <c r="A403" i="6"/>
  <c r="A404" i="6"/>
  <c r="A405" i="6"/>
  <c r="A406" i="6"/>
  <c r="A407" i="6"/>
  <c r="A408" i="6"/>
  <c r="A409" i="6"/>
  <c r="A410" i="6"/>
  <c r="A411" i="6"/>
  <c r="A412" i="6"/>
  <c r="A413" i="6"/>
  <c r="A414" i="6"/>
  <c r="A415" i="6"/>
  <c r="A416" i="6"/>
  <c r="A417" i="6"/>
  <c r="A418" i="6"/>
  <c r="A419" i="6"/>
  <c r="A420" i="6"/>
  <c r="A421" i="6"/>
  <c r="A422" i="6"/>
  <c r="A423" i="6"/>
  <c r="A424" i="6"/>
  <c r="A425" i="6"/>
  <c r="A426" i="6"/>
  <c r="A427" i="6"/>
  <c r="A428" i="6"/>
  <c r="A429" i="6"/>
  <c r="A430" i="6"/>
  <c r="A431" i="6"/>
  <c r="A432" i="6"/>
  <c r="A433" i="6"/>
  <c r="A434" i="6"/>
  <c r="A435" i="6"/>
  <c r="A436" i="6"/>
  <c r="A437" i="6"/>
  <c r="A438" i="6"/>
  <c r="A439" i="6"/>
  <c r="A440" i="6"/>
  <c r="A441" i="6"/>
  <c r="A442" i="6"/>
  <c r="A443" i="6"/>
  <c r="A444" i="6"/>
  <c r="A445" i="6"/>
  <c r="A446" i="6"/>
  <c r="A447" i="6"/>
  <c r="A448" i="6"/>
  <c r="A449" i="6"/>
  <c r="A450" i="6"/>
  <c r="A451" i="6"/>
  <c r="A452" i="6"/>
  <c r="A453" i="6"/>
  <c r="A454" i="6"/>
  <c r="A455" i="6"/>
  <c r="A456" i="6"/>
  <c r="A457" i="6"/>
  <c r="A458" i="6"/>
  <c r="A459" i="6"/>
  <c r="A460" i="6"/>
  <c r="A461" i="6"/>
  <c r="A462" i="6"/>
  <c r="A463" i="6"/>
  <c r="A464" i="6"/>
  <c r="A465" i="6"/>
  <c r="A466" i="6"/>
  <c r="A467" i="6"/>
  <c r="A468" i="6"/>
  <c r="A469" i="6"/>
  <c r="A470" i="6"/>
  <c r="A471" i="6"/>
  <c r="A472" i="6"/>
  <c r="A473" i="6"/>
  <c r="A474" i="6"/>
  <c r="A475" i="6"/>
  <c r="A476" i="6"/>
  <c r="A477" i="6"/>
  <c r="A478" i="6"/>
  <c r="A479" i="6"/>
  <c r="A480" i="6"/>
  <c r="A481" i="6"/>
  <c r="A482" i="6"/>
  <c r="A483" i="6"/>
  <c r="A484" i="6"/>
  <c r="A485" i="6"/>
  <c r="A486" i="6"/>
  <c r="A487" i="6"/>
  <c r="A488" i="6"/>
  <c r="A489" i="6"/>
  <c r="A490" i="6"/>
  <c r="A491" i="6"/>
  <c r="A492" i="6"/>
  <c r="A493" i="6"/>
  <c r="A494" i="6"/>
  <c r="A495" i="6"/>
  <c r="A496" i="6"/>
  <c r="A497" i="6"/>
  <c r="A498" i="6"/>
  <c r="A499" i="6"/>
  <c r="A500" i="6"/>
  <c r="A501" i="6"/>
  <c r="A502" i="6"/>
  <c r="A503" i="6"/>
  <c r="A504" i="6"/>
  <c r="A505" i="6"/>
  <c r="A506" i="6"/>
  <c r="A507" i="6"/>
  <c r="A508" i="6"/>
  <c r="A509" i="6"/>
  <c r="A510" i="6"/>
  <c r="A511" i="6"/>
  <c r="A512" i="6"/>
  <c r="A513" i="6"/>
  <c r="A514" i="6"/>
  <c r="A515" i="6"/>
  <c r="A516" i="6"/>
  <c r="A517" i="6"/>
  <c r="A518" i="6"/>
  <c r="A519" i="6"/>
  <c r="A520" i="6"/>
  <c r="A521" i="6"/>
  <c r="A522" i="6"/>
  <c r="A523" i="6"/>
  <c r="A524" i="6"/>
  <c r="A525" i="6"/>
  <c r="A526" i="6"/>
  <c r="A527" i="6"/>
  <c r="A528" i="6"/>
  <c r="A529" i="6"/>
  <c r="A530" i="6"/>
  <c r="A531" i="6"/>
  <c r="A532" i="6"/>
  <c r="A533" i="6"/>
  <c r="A534" i="6"/>
  <c r="A535" i="6"/>
  <c r="A536" i="6"/>
  <c r="A537" i="6"/>
  <c r="A538" i="6"/>
  <c r="A539" i="6"/>
  <c r="A540" i="6"/>
  <c r="A541" i="6"/>
  <c r="A542" i="6"/>
  <c r="A543" i="6"/>
  <c r="A544" i="6"/>
  <c r="A545" i="6"/>
  <c r="A546" i="6"/>
  <c r="A547" i="6"/>
  <c r="A548" i="6"/>
  <c r="A549" i="6"/>
  <c r="A550" i="6"/>
  <c r="A551" i="6"/>
  <c r="A552" i="6"/>
  <c r="A553" i="6"/>
  <c r="A554" i="6"/>
  <c r="A555" i="6"/>
  <c r="A556" i="6"/>
  <c r="A557" i="6"/>
  <c r="A558" i="6"/>
  <c r="A559" i="6"/>
  <c r="A560" i="6"/>
  <c r="A561" i="6"/>
  <c r="A562" i="6"/>
  <c r="A563" i="6"/>
  <c r="A564" i="6"/>
  <c r="A565" i="6"/>
  <c r="A566" i="6"/>
  <c r="A567" i="6"/>
  <c r="A568" i="6"/>
  <c r="A569" i="6"/>
  <c r="A570" i="6"/>
  <c r="A571" i="6"/>
  <c r="A572" i="6"/>
  <c r="A573" i="6"/>
  <c r="A574" i="6"/>
  <c r="A575" i="6"/>
  <c r="A576" i="6"/>
  <c r="A577" i="6"/>
  <c r="A578" i="6"/>
  <c r="A579" i="6"/>
  <c r="A580" i="6"/>
  <c r="A581" i="6"/>
  <c r="A582" i="6"/>
  <c r="A583" i="6"/>
  <c r="A584" i="6"/>
  <c r="A585" i="6"/>
  <c r="A586" i="6"/>
  <c r="A587" i="6"/>
  <c r="A588" i="6"/>
  <c r="A589" i="6"/>
  <c r="A590" i="6"/>
  <c r="A591" i="6"/>
  <c r="A592" i="6"/>
  <c r="A593" i="6"/>
  <c r="A594" i="6"/>
  <c r="A595" i="6"/>
  <c r="A596" i="6"/>
  <c r="A597" i="6"/>
  <c r="A598" i="6"/>
  <c r="A599" i="6"/>
  <c r="A600" i="6"/>
  <c r="A601" i="6"/>
  <c r="A602" i="6"/>
  <c r="A603" i="6"/>
  <c r="A604" i="6"/>
  <c r="A605" i="6"/>
  <c r="A606" i="6"/>
  <c r="A607" i="6"/>
  <c r="A608" i="6"/>
  <c r="A609" i="6"/>
  <c r="A610" i="6"/>
  <c r="A611" i="6"/>
  <c r="A612" i="6"/>
  <c r="A613" i="6"/>
  <c r="A614" i="6"/>
  <c r="A615" i="6"/>
  <c r="A616" i="6"/>
  <c r="A617" i="6"/>
  <c r="A618" i="6"/>
  <c r="A619" i="6"/>
  <c r="A620" i="6"/>
  <c r="A621" i="6"/>
  <c r="A622" i="6"/>
  <c r="A623" i="6"/>
  <c r="A624" i="6"/>
  <c r="A625" i="6"/>
  <c r="A626" i="6"/>
  <c r="A627" i="6"/>
  <c r="A628" i="6"/>
  <c r="A629" i="6"/>
  <c r="A630" i="6"/>
  <c r="A631" i="6"/>
  <c r="A632" i="6"/>
  <c r="A633" i="6"/>
  <c r="A634" i="6"/>
  <c r="A635" i="6"/>
  <c r="A636" i="6"/>
  <c r="A637" i="6"/>
  <c r="A638" i="6"/>
  <c r="A639" i="6"/>
  <c r="A640" i="6"/>
  <c r="A641" i="6"/>
  <c r="A642" i="6"/>
  <c r="A643" i="6"/>
  <c r="A644" i="6"/>
  <c r="A645" i="6"/>
  <c r="A646" i="6"/>
  <c r="A647" i="6"/>
  <c r="A648" i="6"/>
  <c r="A649" i="6"/>
  <c r="A650" i="6"/>
  <c r="A651" i="6"/>
  <c r="A652" i="6"/>
  <c r="A653" i="6"/>
  <c r="A654" i="6"/>
  <c r="A655" i="6"/>
  <c r="A656" i="6"/>
  <c r="A657" i="6"/>
  <c r="A658" i="6"/>
  <c r="A659" i="6"/>
  <c r="A660" i="6"/>
  <c r="A661" i="6"/>
  <c r="A662" i="6"/>
  <c r="A663" i="6"/>
  <c r="A664" i="6"/>
  <c r="A665" i="6"/>
  <c r="A666" i="6"/>
  <c r="A667" i="6"/>
  <c r="A668" i="6"/>
  <c r="A669" i="6"/>
  <c r="A670" i="6"/>
  <c r="A671" i="6"/>
  <c r="A672" i="6"/>
  <c r="A673" i="6"/>
  <c r="A674" i="6"/>
  <c r="A675" i="6"/>
  <c r="A676" i="6"/>
  <c r="A677" i="6"/>
  <c r="A678" i="6"/>
  <c r="A679" i="6"/>
  <c r="A680" i="6"/>
  <c r="A681" i="6"/>
  <c r="A682" i="6"/>
  <c r="A683" i="6"/>
  <c r="A684" i="6"/>
  <c r="A685" i="6"/>
  <c r="A686" i="6"/>
  <c r="A687" i="6"/>
  <c r="A688" i="6"/>
  <c r="A689" i="6"/>
  <c r="A690" i="6"/>
  <c r="A691" i="6"/>
  <c r="A692" i="6"/>
  <c r="A693" i="6"/>
  <c r="A694" i="6"/>
  <c r="A695" i="6"/>
  <c r="A696" i="6"/>
  <c r="A697" i="6"/>
  <c r="A698" i="6"/>
  <c r="A699" i="6"/>
  <c r="A700" i="6"/>
  <c r="A701" i="6"/>
  <c r="A702" i="6"/>
  <c r="A703" i="6"/>
  <c r="A704" i="6"/>
  <c r="A705" i="6"/>
  <c r="A706" i="6"/>
  <c r="A707" i="6"/>
  <c r="A708" i="6"/>
  <c r="A709" i="6"/>
  <c r="A710" i="6"/>
  <c r="A711" i="6"/>
  <c r="A712" i="6"/>
  <c r="A713" i="6"/>
  <c r="A714" i="6"/>
  <c r="A715" i="6"/>
  <c r="A716" i="6"/>
  <c r="A717" i="6"/>
  <c r="A718" i="6"/>
  <c r="A719" i="6"/>
  <c r="A720" i="6"/>
  <c r="A721" i="6"/>
  <c r="A722" i="6"/>
  <c r="A723" i="6"/>
  <c r="A724" i="6"/>
  <c r="A725" i="6"/>
  <c r="A726" i="6"/>
  <c r="A727" i="6"/>
  <c r="A728" i="6"/>
  <c r="A729" i="6"/>
  <c r="A730" i="6"/>
  <c r="A731" i="6"/>
  <c r="A732" i="6"/>
  <c r="A733" i="6"/>
  <c r="A734" i="6"/>
  <c r="A735" i="6"/>
  <c r="A736" i="6"/>
  <c r="A737" i="6"/>
  <c r="A738" i="6"/>
  <c r="A739" i="6"/>
  <c r="A740" i="6"/>
  <c r="A741" i="6"/>
  <c r="A742" i="6"/>
  <c r="A743" i="6"/>
  <c r="A744" i="6"/>
  <c r="A745" i="6"/>
  <c r="A746" i="6"/>
  <c r="A747" i="6"/>
  <c r="A748" i="6"/>
  <c r="A749" i="6"/>
  <c r="A750" i="6"/>
  <c r="A751" i="6"/>
  <c r="A752" i="6"/>
  <c r="A753" i="6"/>
  <c r="A754" i="6"/>
  <c r="A755" i="6"/>
  <c r="A756" i="6"/>
  <c r="A757" i="6"/>
  <c r="A758" i="6"/>
  <c r="A759" i="6"/>
  <c r="A760" i="6"/>
  <c r="A761" i="6"/>
  <c r="A762" i="6"/>
  <c r="A763" i="6"/>
  <c r="A764" i="6"/>
  <c r="A765" i="6"/>
  <c r="A766" i="6"/>
  <c r="A767" i="6"/>
  <c r="A768" i="6"/>
  <c r="A769" i="6"/>
  <c r="A770" i="6"/>
  <c r="A771" i="6"/>
  <c r="A772" i="6"/>
  <c r="A773" i="6"/>
  <c r="A774" i="6"/>
  <c r="A775" i="6"/>
  <c r="A776" i="6"/>
  <c r="A777" i="6"/>
  <c r="A778" i="6"/>
  <c r="A779" i="6"/>
  <c r="A780" i="6"/>
  <c r="A781" i="6"/>
  <c r="A782" i="6"/>
  <c r="A783" i="6"/>
  <c r="A784" i="6"/>
  <c r="A785" i="6"/>
  <c r="A786" i="6"/>
  <c r="A787" i="6"/>
  <c r="A788" i="6"/>
  <c r="A789" i="6"/>
  <c r="A790" i="6"/>
  <c r="A791" i="6"/>
  <c r="A792" i="6"/>
  <c r="A793" i="6"/>
  <c r="A794" i="6"/>
  <c r="A795" i="6"/>
  <c r="A796" i="6"/>
  <c r="A797" i="6"/>
  <c r="A798" i="6"/>
  <c r="A799" i="6"/>
  <c r="A800" i="6"/>
  <c r="A801" i="6"/>
  <c r="A802" i="6"/>
  <c r="A803" i="6"/>
  <c r="A804" i="6"/>
  <c r="A805" i="6"/>
  <c r="A806" i="6"/>
  <c r="A807" i="6"/>
  <c r="A808" i="6"/>
  <c r="A809" i="6"/>
  <c r="A810" i="6"/>
  <c r="A811" i="6"/>
  <c r="A812" i="6"/>
  <c r="A813" i="6"/>
  <c r="A814" i="6"/>
  <c r="A815" i="6"/>
  <c r="A816" i="6"/>
  <c r="A817" i="6"/>
  <c r="A818" i="6"/>
  <c r="A819" i="6"/>
  <c r="A820" i="6"/>
  <c r="A821" i="6"/>
  <c r="A822" i="6"/>
  <c r="A823" i="6"/>
  <c r="A824" i="6"/>
  <c r="A825" i="6"/>
  <c r="A826" i="6"/>
  <c r="A827" i="6"/>
  <c r="A828" i="6"/>
  <c r="A829" i="6"/>
  <c r="A830" i="6"/>
  <c r="A831" i="6"/>
  <c r="A832" i="6"/>
  <c r="A833" i="6"/>
  <c r="A834" i="6"/>
  <c r="A835" i="6"/>
  <c r="A836" i="6"/>
  <c r="A837" i="6"/>
  <c r="A838" i="6"/>
  <c r="A839" i="6"/>
  <c r="A840" i="6"/>
  <c r="A841" i="6"/>
  <c r="A842" i="6"/>
  <c r="A843" i="6"/>
  <c r="A844" i="6"/>
  <c r="A845" i="6"/>
  <c r="A846" i="6"/>
  <c r="A847" i="6"/>
  <c r="A848" i="6"/>
  <c r="A849" i="6"/>
  <c r="A850" i="6"/>
  <c r="A851" i="6"/>
  <c r="A852" i="6"/>
  <c r="A853" i="6"/>
  <c r="A854" i="6"/>
  <c r="A855" i="6"/>
  <c r="A856" i="6"/>
  <c r="A857" i="6"/>
  <c r="A858" i="6"/>
  <c r="A859" i="6"/>
  <c r="A860" i="6"/>
  <c r="A861" i="6"/>
  <c r="A862" i="6"/>
  <c r="A863" i="6"/>
  <c r="A864" i="6"/>
  <c r="A865" i="6"/>
  <c r="A866" i="6"/>
  <c r="A867" i="6"/>
  <c r="A868" i="6"/>
  <c r="A869" i="6"/>
  <c r="A870" i="6"/>
  <c r="A871" i="6"/>
  <c r="A872" i="6"/>
  <c r="A873" i="6"/>
  <c r="A874" i="6"/>
  <c r="A875" i="6"/>
  <c r="A876" i="6"/>
  <c r="A877" i="6"/>
  <c r="A878" i="6"/>
  <c r="A879" i="6"/>
  <c r="A880" i="6"/>
  <c r="A881" i="6"/>
  <c r="A882" i="6"/>
  <c r="A883" i="6"/>
  <c r="A884" i="6"/>
  <c r="A885" i="6"/>
  <c r="A886" i="6"/>
  <c r="A887" i="6"/>
  <c r="A888" i="6"/>
  <c r="A889" i="6"/>
  <c r="A890" i="6"/>
  <c r="A891" i="6"/>
  <c r="A892" i="6"/>
  <c r="A893" i="6"/>
  <c r="A894" i="6"/>
  <c r="A895" i="6"/>
  <c r="A896" i="6"/>
  <c r="A897" i="6"/>
  <c r="A898" i="6"/>
  <c r="A899" i="6"/>
  <c r="A900" i="6"/>
  <c r="A901" i="6"/>
  <c r="A902" i="6"/>
  <c r="A903" i="6"/>
  <c r="A904" i="6"/>
  <c r="A905" i="6"/>
  <c r="A906" i="6"/>
  <c r="A907" i="6"/>
  <c r="A908" i="6"/>
  <c r="A909" i="6"/>
  <c r="A910" i="6"/>
  <c r="A911" i="6"/>
  <c r="A912" i="6"/>
  <c r="A913" i="6"/>
  <c r="A914" i="6"/>
  <c r="A915" i="6"/>
  <c r="A916" i="6"/>
  <c r="A917" i="6"/>
  <c r="A918" i="6"/>
  <c r="A919" i="6"/>
  <c r="A920" i="6"/>
  <c r="A921" i="6"/>
  <c r="A922" i="6"/>
  <c r="A923" i="6"/>
  <c r="A924" i="6"/>
  <c r="A925" i="6"/>
  <c r="A926" i="6"/>
  <c r="A927" i="6"/>
  <c r="A928" i="6"/>
  <c r="A929" i="6"/>
  <c r="A930" i="6"/>
  <c r="A931" i="6"/>
  <c r="A932" i="6"/>
  <c r="A933" i="6"/>
  <c r="A934" i="6"/>
  <c r="A935" i="6"/>
  <c r="A936" i="6"/>
  <c r="A937" i="6"/>
  <c r="A938" i="6"/>
  <c r="A939" i="6"/>
  <c r="A940" i="6"/>
  <c r="A941" i="6"/>
  <c r="A942" i="6"/>
  <c r="A943" i="6"/>
  <c r="A944" i="6"/>
  <c r="A945" i="6"/>
  <c r="A946" i="6"/>
  <c r="A947" i="6"/>
  <c r="A948" i="6"/>
  <c r="A949" i="6"/>
  <c r="A950" i="6"/>
  <c r="A951" i="6"/>
  <c r="A952" i="6"/>
  <c r="A953" i="6"/>
  <c r="A954" i="6"/>
  <c r="A955" i="6"/>
  <c r="A956" i="6"/>
  <c r="A957" i="6"/>
  <c r="A958" i="6"/>
  <c r="A959" i="6"/>
  <c r="A960" i="6"/>
  <c r="A961" i="6"/>
  <c r="A962" i="6"/>
  <c r="A963" i="6"/>
  <c r="A964" i="6"/>
  <c r="A965" i="6"/>
  <c r="A966" i="6"/>
  <c r="A967" i="6"/>
  <c r="A968" i="6"/>
  <c r="A969" i="6"/>
  <c r="A970" i="6"/>
  <c r="A971" i="6"/>
  <c r="A972" i="6"/>
  <c r="A973" i="6"/>
  <c r="A974" i="6"/>
  <c r="A975" i="6"/>
  <c r="A976" i="6"/>
  <c r="A977" i="6"/>
  <c r="A978" i="6"/>
  <c r="A979" i="6"/>
  <c r="A980" i="6"/>
  <c r="A981" i="6"/>
  <c r="A982" i="6"/>
  <c r="A983" i="6"/>
  <c r="A984" i="6"/>
  <c r="A985" i="6"/>
  <c r="A986" i="6"/>
  <c r="A987" i="6"/>
  <c r="A988" i="6"/>
  <c r="A989" i="6"/>
  <c r="A990" i="6"/>
  <c r="A991" i="6"/>
  <c r="A992" i="6"/>
  <c r="A993" i="6"/>
  <c r="A994" i="6"/>
  <c r="A995" i="6"/>
  <c r="A996" i="6"/>
  <c r="A997" i="6"/>
  <c r="A998" i="6"/>
  <c r="A999" i="6"/>
  <c r="A1000" i="6"/>
  <c r="A1001" i="6"/>
  <c r="A1002" i="6"/>
  <c r="A1003" i="6"/>
  <c r="A1004" i="6"/>
  <c r="A1005" i="6"/>
  <c r="A1006" i="6"/>
  <c r="A1007" i="6"/>
  <c r="A1008" i="6"/>
  <c r="A1009" i="6"/>
  <c r="A1010" i="6"/>
  <c r="A1011" i="6"/>
  <c r="A1012" i="6"/>
  <c r="A1013" i="6"/>
  <c r="A1014" i="6"/>
  <c r="A1015" i="6"/>
  <c r="A1016" i="6"/>
  <c r="A1017" i="6"/>
  <c r="A1018" i="6"/>
  <c r="A1019" i="6"/>
  <c r="A1020" i="6"/>
  <c r="A1021" i="6"/>
  <c r="A1022" i="6"/>
  <c r="A1023" i="6"/>
  <c r="A1024" i="6"/>
  <c r="A1025" i="6"/>
  <c r="A1026" i="6"/>
  <c r="A1027" i="6"/>
  <c r="A1028" i="6"/>
  <c r="A1029" i="6"/>
  <c r="A1030" i="6"/>
  <c r="A1031" i="6"/>
  <c r="A1032" i="6"/>
  <c r="A1033" i="6"/>
  <c r="A1034" i="6"/>
  <c r="A1035" i="6"/>
  <c r="A1036" i="6"/>
  <c r="A1037" i="6"/>
  <c r="A1038" i="6"/>
  <c r="A1039" i="6"/>
  <c r="A1040" i="6"/>
  <c r="A1041" i="6"/>
  <c r="A1042" i="6"/>
  <c r="A1043" i="6"/>
  <c r="A1044" i="6"/>
  <c r="A1045" i="6"/>
  <c r="A1046" i="6"/>
  <c r="A1047" i="6"/>
  <c r="A1048" i="6"/>
  <c r="A1049" i="6"/>
  <c r="A1050" i="6"/>
  <c r="A1051" i="6"/>
  <c r="A1052" i="6"/>
  <c r="A1053" i="6"/>
  <c r="A1054" i="6"/>
  <c r="A1055" i="6"/>
  <c r="A1056" i="6"/>
  <c r="A1057" i="6"/>
  <c r="A1058" i="6"/>
  <c r="A1059" i="6"/>
  <c r="A1060" i="6"/>
  <c r="A1061" i="6"/>
  <c r="A1062" i="6"/>
  <c r="A1063" i="6"/>
  <c r="A1064" i="6"/>
  <c r="A1065" i="6"/>
  <c r="A1066" i="6"/>
  <c r="A1067" i="6"/>
  <c r="A1068" i="6"/>
  <c r="A1069" i="6"/>
  <c r="A1070" i="6"/>
  <c r="A1071" i="6"/>
  <c r="A1072" i="6"/>
  <c r="A1073" i="6"/>
  <c r="A1074" i="6"/>
  <c r="A1075" i="6"/>
  <c r="A1076" i="6"/>
  <c r="A1077" i="6"/>
  <c r="A1078" i="6"/>
  <c r="A1079" i="6"/>
  <c r="A1080" i="6"/>
  <c r="A1081" i="6"/>
  <c r="A1082" i="6"/>
  <c r="A1083" i="6"/>
  <c r="A1084" i="6"/>
  <c r="A1085" i="6"/>
  <c r="A1086" i="6"/>
  <c r="A1087" i="6"/>
  <c r="A1088" i="6"/>
  <c r="A1089" i="6"/>
  <c r="A1090" i="6"/>
  <c r="A1091" i="6"/>
  <c r="A1092" i="6"/>
  <c r="A1093" i="6"/>
  <c r="A1094" i="6"/>
  <c r="A1095" i="6"/>
  <c r="A1096" i="6"/>
  <c r="A1097" i="6"/>
  <c r="A1098" i="6"/>
  <c r="A1099" i="6"/>
  <c r="A1100" i="6"/>
  <c r="A1101" i="6"/>
  <c r="A1102" i="6"/>
  <c r="A1103" i="6"/>
  <c r="A1104" i="6"/>
  <c r="A1105" i="6"/>
  <c r="A1106" i="6"/>
  <c r="A1107" i="6"/>
  <c r="A1108" i="6"/>
  <c r="A1109" i="6"/>
  <c r="A1110" i="6"/>
  <c r="A1111" i="6"/>
  <c r="A1112" i="6"/>
  <c r="A1113" i="6"/>
  <c r="A1114" i="6"/>
  <c r="A1115" i="6"/>
  <c r="A1116" i="6"/>
  <c r="A1117" i="6"/>
  <c r="A1118" i="6"/>
  <c r="A1119" i="6"/>
  <c r="A1120" i="6"/>
  <c r="A1121" i="6"/>
  <c r="A1122" i="6"/>
  <c r="A1123" i="6"/>
  <c r="A1124" i="6"/>
  <c r="A1125" i="6"/>
  <c r="A1126" i="6"/>
  <c r="A1127" i="6"/>
  <c r="A1128" i="6"/>
  <c r="A1129" i="6"/>
  <c r="A1130" i="6"/>
  <c r="A1131" i="6"/>
  <c r="A1132" i="6"/>
  <c r="A1133" i="6"/>
  <c r="A1134" i="6"/>
  <c r="A1135" i="6"/>
  <c r="A1136" i="6"/>
  <c r="A1137" i="6"/>
  <c r="A1138" i="6"/>
  <c r="A1139" i="6"/>
  <c r="A1140" i="6"/>
  <c r="A1141" i="6"/>
  <c r="A1142" i="6"/>
  <c r="A1143" i="6"/>
  <c r="A1144" i="6"/>
  <c r="A1145" i="6"/>
  <c r="A1146" i="6"/>
  <c r="A1147" i="6"/>
  <c r="A1148" i="6"/>
  <c r="A1149" i="6"/>
  <c r="A1150" i="6"/>
  <c r="A1151" i="6"/>
  <c r="A1152" i="6"/>
  <c r="A1153" i="6"/>
  <c r="A1154" i="6"/>
  <c r="A1155" i="6"/>
  <c r="A1156" i="6"/>
  <c r="A1157" i="6"/>
  <c r="A1158" i="6"/>
  <c r="A1159" i="6"/>
  <c r="A1160" i="6"/>
  <c r="A1161" i="6"/>
  <c r="A1162" i="6"/>
  <c r="A1163" i="6"/>
  <c r="A1164" i="6"/>
  <c r="A1165" i="6"/>
  <c r="A1166" i="6"/>
  <c r="A1167" i="6"/>
  <c r="A1168" i="6"/>
  <c r="A1169" i="6"/>
  <c r="A1170" i="6"/>
  <c r="A1171" i="6"/>
  <c r="A1172" i="6"/>
  <c r="A1173" i="6"/>
  <c r="A1174" i="6"/>
  <c r="A1175" i="6"/>
  <c r="A1176" i="6"/>
  <c r="A1177" i="6"/>
  <c r="A1178" i="6"/>
  <c r="A1179" i="6"/>
  <c r="A1180" i="6"/>
  <c r="A1181" i="6"/>
  <c r="A1182" i="6"/>
  <c r="A1183" i="6"/>
  <c r="A1184" i="6"/>
  <c r="A1185" i="6"/>
  <c r="A1186" i="6"/>
  <c r="A1187" i="6"/>
  <c r="A1188" i="6"/>
  <c r="A1189" i="6"/>
  <c r="A1190" i="6"/>
  <c r="A1191" i="6"/>
  <c r="A1192" i="6"/>
  <c r="A1193" i="6"/>
  <c r="A1194" i="6"/>
  <c r="A1195" i="6"/>
  <c r="A1196" i="6"/>
  <c r="A1197" i="6"/>
  <c r="A1198" i="6"/>
  <c r="A1199" i="6"/>
  <c r="A1200" i="6"/>
  <c r="A1201" i="6"/>
  <c r="A1202" i="6"/>
  <c r="A1203" i="6"/>
  <c r="A1204" i="6"/>
  <c r="A1205" i="6"/>
  <c r="A1206" i="6"/>
  <c r="A1207" i="6"/>
  <c r="A1208" i="6"/>
  <c r="A1209" i="6"/>
  <c r="A1210" i="6"/>
  <c r="A1211" i="6"/>
  <c r="A1212" i="6"/>
  <c r="A1213" i="6"/>
  <c r="A1214" i="6"/>
  <c r="A1215" i="6"/>
  <c r="A1216" i="6"/>
  <c r="A1217" i="6"/>
  <c r="A1218" i="6"/>
  <c r="A1219" i="6"/>
  <c r="A1220" i="6"/>
  <c r="A1221" i="6"/>
  <c r="A1222" i="6"/>
  <c r="A1223" i="6"/>
  <c r="A1224" i="6"/>
  <c r="A1225" i="6"/>
  <c r="A1226" i="6"/>
  <c r="A1227" i="6"/>
  <c r="A1228" i="6"/>
  <c r="A1229" i="6"/>
  <c r="A1230" i="6"/>
  <c r="A1231" i="6"/>
  <c r="A1232" i="6"/>
  <c r="A1233" i="6"/>
  <c r="A1234" i="6"/>
  <c r="A1235" i="6"/>
  <c r="A1236" i="6"/>
  <c r="A1237" i="6"/>
  <c r="A1238" i="6"/>
  <c r="A1239" i="6"/>
  <c r="A1240" i="6"/>
  <c r="A1241" i="6"/>
  <c r="A1242" i="6"/>
  <c r="A1243" i="6"/>
  <c r="A1244" i="6"/>
  <c r="A1245" i="6"/>
  <c r="A1246" i="6"/>
  <c r="A1247" i="6"/>
  <c r="A1248" i="6"/>
  <c r="A1249" i="6"/>
  <c r="A1250" i="6"/>
  <c r="A1251" i="6"/>
  <c r="A1252" i="6"/>
  <c r="A1253" i="6"/>
  <c r="A1254" i="6"/>
  <c r="A1255" i="6"/>
  <c r="A1256" i="6"/>
  <c r="A1257" i="6"/>
  <c r="A1258" i="6"/>
  <c r="A1259" i="6"/>
  <c r="A1260" i="6"/>
  <c r="A1261" i="6"/>
  <c r="A1262" i="6"/>
  <c r="A1263" i="6"/>
  <c r="A1264" i="6"/>
  <c r="A1265" i="6"/>
  <c r="A1266" i="6"/>
  <c r="A1267" i="6"/>
  <c r="A1268" i="6"/>
  <c r="A1269" i="6"/>
  <c r="A1270" i="6"/>
  <c r="A1271" i="6"/>
  <c r="A1272" i="6"/>
  <c r="A1273" i="6"/>
  <c r="A1274" i="6"/>
  <c r="A1275" i="6"/>
  <c r="A1276" i="6"/>
  <c r="A1277" i="6"/>
  <c r="A1278" i="6"/>
  <c r="A1279" i="6"/>
  <c r="A1280" i="6"/>
  <c r="A1281" i="6"/>
  <c r="A1282" i="6"/>
  <c r="A1283" i="6"/>
  <c r="A1284" i="6"/>
  <c r="A1285" i="6"/>
  <c r="A1286" i="6"/>
  <c r="A1287" i="6"/>
  <c r="A1288" i="6"/>
  <c r="A1289" i="6"/>
  <c r="A1290" i="6"/>
  <c r="A1291" i="6"/>
  <c r="A1292" i="6"/>
  <c r="A1293" i="6"/>
  <c r="A1294" i="6"/>
  <c r="A1295" i="6"/>
  <c r="A1296" i="6"/>
  <c r="A1297" i="6"/>
  <c r="A1298" i="6"/>
  <c r="A1299" i="6"/>
  <c r="A1300" i="6"/>
  <c r="A1301" i="6"/>
  <c r="A1302" i="6"/>
  <c r="A1303" i="6"/>
  <c r="A1304" i="6"/>
  <c r="A1305" i="6"/>
  <c r="A1306" i="6"/>
  <c r="A1307" i="6"/>
  <c r="A1308" i="6"/>
  <c r="A1309" i="6"/>
  <c r="A1310" i="6"/>
  <c r="A1311" i="6"/>
  <c r="A1312" i="6"/>
  <c r="A1313" i="6"/>
  <c r="A1314" i="6"/>
  <c r="A1315" i="6"/>
  <c r="A1316" i="6"/>
  <c r="A1317" i="6"/>
  <c r="A1318" i="6"/>
  <c r="A1319" i="6"/>
  <c r="A1320" i="6"/>
  <c r="A1321" i="6"/>
  <c r="A1322" i="6"/>
  <c r="A1323" i="6"/>
  <c r="A1324" i="6"/>
  <c r="A1325" i="6"/>
  <c r="A1326" i="6"/>
  <c r="A1327" i="6"/>
  <c r="A1328" i="6"/>
  <c r="A1329" i="6"/>
  <c r="A1330" i="6"/>
  <c r="A1331" i="6"/>
  <c r="A1332" i="6"/>
  <c r="A1333" i="6"/>
  <c r="A1334" i="6"/>
  <c r="A1335" i="6"/>
  <c r="A1336" i="6"/>
  <c r="A1337" i="6"/>
  <c r="A1338" i="6"/>
  <c r="A1339" i="6"/>
  <c r="A1340" i="6"/>
  <c r="A1341" i="6"/>
  <c r="A1342" i="6"/>
  <c r="A1343" i="6"/>
  <c r="A1344" i="6"/>
  <c r="A1345" i="6"/>
  <c r="A1346" i="6"/>
  <c r="A1347" i="6"/>
  <c r="A1348" i="6"/>
  <c r="A1349" i="6"/>
  <c r="A1350" i="6"/>
  <c r="A1351" i="6"/>
  <c r="A1352" i="6"/>
  <c r="A1353" i="6"/>
  <c r="A1354" i="6"/>
  <c r="A1355" i="6"/>
  <c r="A1356" i="6"/>
  <c r="A1357" i="6"/>
  <c r="A1358" i="6"/>
  <c r="A1359" i="6"/>
  <c r="A1360" i="6"/>
  <c r="A1361" i="6"/>
  <c r="A1362" i="6"/>
  <c r="A1363" i="6"/>
  <c r="A1364" i="6"/>
  <c r="A1365" i="6"/>
  <c r="A1366" i="6"/>
  <c r="A1367" i="6"/>
  <c r="A1368" i="6"/>
  <c r="A1369" i="6"/>
  <c r="A1370" i="6"/>
  <c r="A1371" i="6"/>
  <c r="A1372" i="6"/>
  <c r="A1373" i="6"/>
  <c r="A1374" i="6"/>
  <c r="A1375" i="6"/>
  <c r="A1376" i="6"/>
  <c r="A1377" i="6"/>
  <c r="A1378" i="6"/>
  <c r="A1379" i="6"/>
  <c r="A1380" i="6"/>
  <c r="A1381" i="6"/>
  <c r="A1382" i="6"/>
  <c r="A1383" i="6"/>
  <c r="A1384" i="6"/>
  <c r="A1385" i="6"/>
  <c r="A1386" i="6"/>
  <c r="A1387" i="6"/>
  <c r="A1388" i="6"/>
  <c r="A1389" i="6"/>
  <c r="A1390" i="6"/>
  <c r="A1391" i="6"/>
  <c r="A1392" i="6"/>
  <c r="A1393" i="6"/>
  <c r="A1394" i="6"/>
  <c r="A1395" i="6"/>
  <c r="A1396" i="6"/>
  <c r="A1397" i="6"/>
  <c r="A1398" i="6"/>
  <c r="A1399" i="6"/>
  <c r="A1400" i="6"/>
  <c r="A1401" i="6"/>
  <c r="A1402" i="6"/>
  <c r="A1403" i="6"/>
  <c r="A1404" i="6"/>
  <c r="A1405" i="6"/>
  <c r="A1406" i="6"/>
  <c r="A1407" i="6"/>
  <c r="A1408" i="6"/>
  <c r="A1409" i="6"/>
  <c r="A1410" i="6"/>
  <c r="A1411" i="6"/>
  <c r="A1412" i="6"/>
  <c r="A1413" i="6"/>
  <c r="A1414" i="6"/>
  <c r="A1415" i="6"/>
  <c r="A1416" i="6"/>
  <c r="A1417" i="6"/>
  <c r="A1418" i="6"/>
  <c r="A1419" i="6"/>
  <c r="A1420" i="6"/>
  <c r="A1421" i="6"/>
  <c r="A1422" i="6"/>
  <c r="A1423" i="6"/>
  <c r="A1424" i="6"/>
  <c r="A1425" i="6"/>
  <c r="A1426" i="6"/>
  <c r="A1427" i="6"/>
  <c r="A1428" i="6"/>
  <c r="A1429" i="6"/>
  <c r="A1430" i="6"/>
  <c r="A1431" i="6"/>
  <c r="A1432" i="6"/>
  <c r="A1433" i="6"/>
  <c r="A1434" i="6"/>
  <c r="A1435" i="6"/>
  <c r="A1436" i="6"/>
  <c r="A1437" i="6"/>
  <c r="A1438" i="6"/>
  <c r="A1439" i="6"/>
  <c r="A1440" i="6"/>
  <c r="A1441" i="6"/>
  <c r="A1442" i="6"/>
  <c r="A1443" i="6"/>
  <c r="A1444" i="6"/>
  <c r="A1445" i="6"/>
  <c r="A1446" i="6"/>
  <c r="A1447" i="6"/>
  <c r="A1448" i="6"/>
  <c r="A1449" i="6"/>
  <c r="A1450" i="6"/>
  <c r="A1451" i="6"/>
  <c r="A1452" i="6"/>
  <c r="A1453" i="6"/>
  <c r="A1454" i="6"/>
  <c r="A1455" i="6"/>
  <c r="A1456" i="6"/>
  <c r="A1457" i="6"/>
  <c r="A1458" i="6"/>
  <c r="A1459" i="6"/>
  <c r="A1460" i="6"/>
  <c r="A1461" i="6"/>
  <c r="A1462" i="6"/>
  <c r="A1463" i="6"/>
  <c r="A1464" i="6"/>
  <c r="A1465" i="6"/>
  <c r="A1466" i="6"/>
  <c r="A1467" i="6"/>
  <c r="A1468" i="6"/>
  <c r="A1469" i="6"/>
  <c r="A1470" i="6"/>
  <c r="A1471" i="6"/>
  <c r="A1472" i="6"/>
  <c r="A1473" i="6"/>
  <c r="A1474" i="6"/>
  <c r="A1475" i="6"/>
  <c r="A1476" i="6"/>
  <c r="A1477" i="6"/>
  <c r="A1478" i="6"/>
  <c r="A1479" i="6"/>
  <c r="A1480" i="6"/>
  <c r="A1481" i="6"/>
  <c r="A1482" i="6"/>
  <c r="A1483" i="6"/>
  <c r="A1484" i="6"/>
  <c r="A1485" i="6"/>
  <c r="A1486" i="6"/>
  <c r="A1487" i="6"/>
  <c r="A1488" i="6"/>
  <c r="A1489" i="6"/>
  <c r="A1490" i="6"/>
  <c r="A1491" i="6"/>
  <c r="A1492" i="6"/>
  <c r="A1493" i="6"/>
  <c r="A1494" i="6"/>
  <c r="A1495" i="6"/>
  <c r="A1496" i="6"/>
  <c r="A1497" i="6"/>
  <c r="A1498" i="6"/>
  <c r="A1499" i="6"/>
  <c r="A1500" i="6"/>
  <c r="A1501" i="6"/>
  <c r="A1502" i="6"/>
  <c r="A1503" i="6"/>
  <c r="A1504" i="6"/>
  <c r="A1505" i="6"/>
  <c r="A1506" i="6"/>
  <c r="A1507" i="6"/>
  <c r="A1508" i="6"/>
  <c r="A1509" i="6"/>
  <c r="A1510" i="6"/>
  <c r="A1511" i="6"/>
  <c r="A1512" i="6"/>
  <c r="A1513" i="6"/>
  <c r="A1514" i="6"/>
  <c r="A1515" i="6"/>
  <c r="A1516" i="6"/>
  <c r="A1517" i="6"/>
  <c r="A1518" i="6"/>
  <c r="A1519" i="6"/>
  <c r="A1520" i="6"/>
  <c r="A1521" i="6"/>
  <c r="A1522" i="6"/>
  <c r="A1523" i="6"/>
  <c r="A1524" i="6"/>
  <c r="A1525" i="6"/>
  <c r="A1526" i="6"/>
  <c r="A1527" i="6"/>
  <c r="A1528" i="6"/>
  <c r="A1529" i="6"/>
  <c r="A1530" i="6"/>
  <c r="A1531" i="6"/>
  <c r="A1532" i="6"/>
  <c r="A1533" i="6"/>
  <c r="A1534" i="6"/>
  <c r="A1535" i="6"/>
  <c r="A1536" i="6"/>
  <c r="A1537" i="6"/>
  <c r="A1538" i="6"/>
  <c r="A1539" i="6"/>
  <c r="A1540" i="6"/>
  <c r="A1541" i="6"/>
  <c r="A1542" i="6"/>
  <c r="A1543" i="6"/>
  <c r="A1544" i="6"/>
  <c r="A1545" i="6"/>
  <c r="A1546" i="6"/>
  <c r="A1547" i="6"/>
  <c r="A1548" i="6"/>
  <c r="A1549" i="6"/>
  <c r="A1550" i="6"/>
  <c r="A1551" i="6"/>
  <c r="A1552" i="6"/>
  <c r="A1553" i="6"/>
  <c r="A1554" i="6"/>
  <c r="A1555" i="6"/>
  <c r="A1556" i="6"/>
  <c r="A1557" i="6"/>
  <c r="A1558" i="6"/>
  <c r="A1559" i="6"/>
  <c r="A1560" i="6"/>
  <c r="A1561" i="6"/>
  <c r="A1562" i="6"/>
  <c r="A1563" i="6"/>
  <c r="A1564" i="6"/>
  <c r="A1565" i="6"/>
  <c r="A1566" i="6"/>
  <c r="A1567" i="6"/>
  <c r="A1568" i="6"/>
  <c r="A1569" i="6"/>
  <c r="A1570" i="6"/>
  <c r="A1571" i="6"/>
  <c r="A1572" i="6"/>
  <c r="A1573" i="6"/>
  <c r="A1574" i="6"/>
  <c r="A1575" i="6"/>
  <c r="A1576" i="6"/>
  <c r="A1577" i="6"/>
  <c r="A1578" i="6"/>
  <c r="A1579" i="6"/>
  <c r="A1580" i="6"/>
  <c r="A1581" i="6"/>
  <c r="A1582" i="6"/>
  <c r="A1583" i="6"/>
  <c r="A1584" i="6"/>
  <c r="A1585" i="6"/>
  <c r="A1586" i="6"/>
  <c r="A1587" i="6"/>
  <c r="A1588" i="6"/>
  <c r="A1589" i="6"/>
  <c r="A1590" i="6"/>
  <c r="A1591" i="6"/>
  <c r="A1592" i="6"/>
  <c r="A1593" i="6"/>
  <c r="A1594" i="6"/>
  <c r="A1595" i="6"/>
  <c r="A1596" i="6"/>
  <c r="A1597" i="6"/>
  <c r="A1598" i="6"/>
  <c r="A1599" i="6"/>
  <c r="A1600" i="6"/>
  <c r="A1601" i="6"/>
  <c r="A1602" i="6"/>
  <c r="A1603" i="6"/>
  <c r="A1604" i="6"/>
  <c r="A1605" i="6"/>
  <c r="A1606" i="6"/>
  <c r="A1607" i="6"/>
  <c r="A1608" i="6"/>
  <c r="A1609" i="6"/>
  <c r="A1610" i="6"/>
  <c r="A1611" i="6"/>
  <c r="A1612" i="6"/>
  <c r="A1613" i="6"/>
  <c r="A1614" i="6"/>
  <c r="A1615" i="6"/>
  <c r="A1616" i="6"/>
  <c r="A1617" i="6"/>
  <c r="A1618" i="6"/>
  <c r="A1619" i="6"/>
  <c r="A1620" i="6"/>
  <c r="A1621" i="6"/>
  <c r="A1622" i="6"/>
  <c r="A1623" i="6"/>
  <c r="A1624" i="6"/>
  <c r="A1625" i="6"/>
  <c r="A1626" i="6"/>
  <c r="A1627" i="6"/>
  <c r="A1628" i="6"/>
  <c r="A1629" i="6"/>
  <c r="A1630" i="6"/>
  <c r="A1631" i="6"/>
  <c r="A1632" i="6"/>
  <c r="A1633" i="6"/>
  <c r="A1634" i="6"/>
  <c r="A1635" i="6"/>
  <c r="A1636" i="6"/>
  <c r="A1637" i="6"/>
  <c r="A1638" i="6"/>
  <c r="A1639" i="6"/>
  <c r="A1640" i="6"/>
  <c r="A1641" i="6"/>
  <c r="A1642" i="6"/>
  <c r="A1643" i="6"/>
  <c r="A1644" i="6"/>
  <c r="A1645" i="6"/>
  <c r="A1646" i="6"/>
  <c r="A1647" i="6"/>
  <c r="A1648" i="6"/>
  <c r="A1649" i="6"/>
  <c r="A1650" i="6"/>
  <c r="A1651" i="6"/>
  <c r="A1652" i="6"/>
  <c r="A1653" i="6"/>
  <c r="A1654" i="6"/>
  <c r="A1655" i="6"/>
  <c r="A1656" i="6"/>
  <c r="A1657" i="6"/>
  <c r="A1658" i="6"/>
  <c r="A1659" i="6"/>
  <c r="A1660" i="6"/>
  <c r="A1661" i="6"/>
  <c r="A1662" i="6"/>
  <c r="A1663" i="6"/>
  <c r="A1664" i="6"/>
  <c r="A1665" i="6"/>
  <c r="A1666" i="6"/>
  <c r="A1667" i="6"/>
  <c r="A1668" i="6"/>
  <c r="A1669" i="6"/>
  <c r="A1670" i="6"/>
  <c r="A1671" i="6"/>
  <c r="A1672" i="6"/>
  <c r="A1673" i="6"/>
  <c r="A1674" i="6"/>
  <c r="A1675" i="6"/>
  <c r="A1676" i="6"/>
  <c r="A1677" i="6"/>
  <c r="A1678" i="6"/>
  <c r="A1679" i="6"/>
  <c r="A1680" i="6"/>
  <c r="A1681" i="6"/>
  <c r="A1682" i="6"/>
  <c r="A1683" i="6"/>
  <c r="A1684" i="6"/>
  <c r="A1685" i="6"/>
  <c r="A1686" i="6"/>
  <c r="A1687" i="6"/>
  <c r="A1688" i="6"/>
  <c r="A1689" i="6"/>
  <c r="A1690" i="6"/>
  <c r="A1691" i="6"/>
  <c r="A1692" i="6"/>
  <c r="A1693" i="6"/>
  <c r="A1694" i="6"/>
  <c r="A1695" i="6"/>
  <c r="A1696" i="6"/>
  <c r="A1697" i="6"/>
  <c r="A1698" i="6"/>
  <c r="A1699" i="6"/>
  <c r="A1700" i="6"/>
  <c r="A1701" i="6"/>
  <c r="A1702" i="6"/>
  <c r="A1703" i="6"/>
  <c r="A1704" i="6"/>
  <c r="A1705" i="6"/>
  <c r="A1706" i="6"/>
  <c r="A1707" i="6"/>
  <c r="A1708" i="6"/>
  <c r="A1709" i="6"/>
  <c r="A1710" i="6"/>
  <c r="A1711" i="6"/>
  <c r="A1712" i="6"/>
  <c r="A1713" i="6"/>
  <c r="A1714" i="6"/>
  <c r="A1715" i="6"/>
  <c r="A1716" i="6"/>
  <c r="A1717" i="6"/>
  <c r="A1718" i="6"/>
  <c r="A1719" i="6"/>
  <c r="A1720" i="6"/>
  <c r="A1721" i="6"/>
  <c r="A1722" i="6"/>
  <c r="A1723" i="6"/>
  <c r="A1724" i="6"/>
  <c r="A1725" i="6"/>
  <c r="A1726" i="6"/>
  <c r="A1727" i="6"/>
  <c r="A1728" i="6"/>
  <c r="A1729" i="6"/>
  <c r="A1730" i="6"/>
  <c r="A1731" i="6"/>
  <c r="A1732" i="6"/>
  <c r="A1733" i="6"/>
  <c r="A1734" i="6"/>
  <c r="A1735" i="6"/>
  <c r="A1736" i="6"/>
  <c r="A1737" i="6"/>
  <c r="A1738" i="6"/>
  <c r="A1739" i="6"/>
  <c r="A1740" i="6"/>
  <c r="A1741" i="6"/>
  <c r="A1742" i="6"/>
  <c r="A1743" i="6"/>
  <c r="A1744" i="6"/>
  <c r="A1745" i="6"/>
  <c r="A1746" i="6"/>
  <c r="A1747" i="6"/>
  <c r="A1748" i="6"/>
  <c r="A1749" i="6"/>
  <c r="A1750" i="6"/>
  <c r="A1751" i="6"/>
  <c r="A1752" i="6"/>
  <c r="A1753" i="6"/>
  <c r="A1754" i="6"/>
  <c r="A1755" i="6"/>
  <c r="A1756" i="6"/>
  <c r="A1757" i="6"/>
  <c r="A1758" i="6"/>
  <c r="A1759" i="6"/>
  <c r="A1760" i="6"/>
  <c r="A1761" i="6"/>
  <c r="A1762" i="6"/>
  <c r="A1763" i="6"/>
  <c r="A1764" i="6"/>
  <c r="A1765" i="6"/>
  <c r="A1766" i="6"/>
  <c r="A1767" i="6"/>
  <c r="A1768" i="6"/>
  <c r="A1769" i="6"/>
  <c r="A1770" i="6"/>
  <c r="A1771" i="6"/>
  <c r="A1772" i="6"/>
  <c r="A1773" i="6"/>
  <c r="A1774" i="6"/>
  <c r="A1775" i="6"/>
  <c r="A1776" i="6"/>
  <c r="A1777" i="6"/>
  <c r="A1778" i="6"/>
  <c r="A1779" i="6"/>
  <c r="A1780" i="6"/>
  <c r="A1781" i="6"/>
  <c r="A1782" i="6"/>
  <c r="A1783" i="6"/>
  <c r="A1784" i="6"/>
  <c r="A1785" i="6"/>
  <c r="A1786" i="6"/>
  <c r="A1787" i="6"/>
  <c r="A1788" i="6"/>
  <c r="A1789" i="6"/>
  <c r="A1790" i="6"/>
  <c r="A1791" i="6"/>
  <c r="A1792" i="6"/>
  <c r="A1793" i="6"/>
  <c r="A1794" i="6"/>
  <c r="A1795" i="6"/>
  <c r="A1796" i="6"/>
  <c r="A1797" i="6"/>
  <c r="A1798" i="6"/>
  <c r="A1799" i="6"/>
  <c r="A1800" i="6"/>
  <c r="A1801" i="6"/>
  <c r="A1802" i="6"/>
  <c r="A1803" i="6"/>
  <c r="A1804" i="6"/>
  <c r="A1805" i="6"/>
  <c r="A1806" i="6"/>
  <c r="A1807" i="6"/>
  <c r="A1808" i="6"/>
  <c r="A1809" i="6"/>
  <c r="A1810" i="6"/>
  <c r="A1811" i="6"/>
  <c r="A1812" i="6"/>
  <c r="A1813" i="6"/>
  <c r="A1814" i="6"/>
  <c r="A1815" i="6"/>
  <c r="A1816" i="6"/>
  <c r="A1817" i="6"/>
  <c r="A1818" i="6"/>
  <c r="A1819" i="6"/>
  <c r="A1820" i="6"/>
  <c r="A1821" i="6"/>
  <c r="A1822" i="6"/>
  <c r="A1823" i="6"/>
  <c r="A1824" i="6"/>
  <c r="A1825" i="6"/>
  <c r="A1826" i="6"/>
  <c r="A1827" i="6"/>
  <c r="A1828" i="6"/>
  <c r="A1829" i="6"/>
  <c r="A1830" i="6"/>
  <c r="A1831" i="6"/>
  <c r="A1832" i="6"/>
  <c r="A1833" i="6"/>
  <c r="A1834" i="6"/>
  <c r="A1835" i="6"/>
  <c r="A1836" i="6"/>
  <c r="A1837" i="6"/>
  <c r="A1838" i="6"/>
  <c r="A1839" i="6"/>
  <c r="A1840" i="6"/>
  <c r="A1841" i="6"/>
  <c r="A1842" i="6"/>
  <c r="A1843" i="6"/>
  <c r="A1844" i="6"/>
  <c r="A1845" i="6"/>
  <c r="A1846" i="6"/>
  <c r="A1847" i="6"/>
  <c r="A1848" i="6"/>
  <c r="A1849" i="6"/>
  <c r="A1850" i="6"/>
  <c r="A1851" i="6"/>
  <c r="A1852" i="6"/>
  <c r="A1853" i="6"/>
  <c r="A1854" i="6"/>
  <c r="A1855" i="6"/>
  <c r="A1856" i="6"/>
  <c r="A1857" i="6"/>
  <c r="A1858" i="6"/>
  <c r="A1859" i="6"/>
  <c r="A1860" i="6"/>
  <c r="A1861" i="6"/>
  <c r="A1862" i="6"/>
  <c r="A1863" i="6"/>
  <c r="A1864" i="6"/>
  <c r="A1865" i="6"/>
  <c r="A1866" i="6"/>
  <c r="A1867" i="6"/>
  <c r="A1868" i="6"/>
  <c r="A1869" i="6"/>
  <c r="A1870" i="6"/>
  <c r="A1871" i="6"/>
  <c r="A1872" i="6"/>
  <c r="A1873" i="6"/>
  <c r="A1874" i="6"/>
  <c r="A1875" i="6"/>
  <c r="A1876" i="6"/>
  <c r="A1877" i="6"/>
  <c r="A1878" i="6"/>
  <c r="A1879" i="6"/>
  <c r="A1880" i="6"/>
  <c r="A1881" i="6"/>
  <c r="A1882" i="6"/>
  <c r="A1883" i="6"/>
  <c r="A1884" i="6"/>
  <c r="A1885" i="6"/>
  <c r="A1886" i="6"/>
  <c r="A1887" i="6"/>
  <c r="A1888" i="6"/>
  <c r="A1889" i="6"/>
  <c r="A1890" i="6"/>
  <c r="A1891" i="6"/>
  <c r="A1892" i="6"/>
  <c r="A1893" i="6"/>
  <c r="A1894" i="6"/>
  <c r="A1895" i="6"/>
  <c r="A1896" i="6"/>
  <c r="A1897" i="6"/>
  <c r="A1898" i="6"/>
  <c r="A1899" i="6"/>
  <c r="A1900" i="6"/>
  <c r="A1901" i="6"/>
  <c r="A1902" i="6"/>
  <c r="A1903" i="6"/>
  <c r="A1904" i="6"/>
  <c r="A1905" i="6"/>
  <c r="A1906" i="6"/>
  <c r="A1907" i="6"/>
  <c r="A1908" i="6"/>
  <c r="A1909" i="6"/>
  <c r="A1910" i="6"/>
  <c r="A1911" i="6"/>
  <c r="A1912" i="6"/>
  <c r="A1913" i="6"/>
  <c r="A1914" i="6"/>
  <c r="A1915" i="6"/>
  <c r="A1916" i="6"/>
  <c r="A1917" i="6"/>
  <c r="A1918" i="6"/>
  <c r="A1919" i="6"/>
  <c r="A1920" i="6"/>
  <c r="A1921" i="6"/>
  <c r="A1922" i="6"/>
  <c r="A1923" i="6"/>
  <c r="A1924" i="6"/>
  <c r="A1925" i="6"/>
  <c r="A1926" i="6"/>
  <c r="A1927" i="6"/>
  <c r="A1928" i="6"/>
  <c r="A1929" i="6"/>
  <c r="A1930" i="6"/>
  <c r="A1931" i="6"/>
  <c r="A1932" i="6"/>
  <c r="A1933" i="6"/>
  <c r="A1934" i="6"/>
  <c r="A1935" i="6"/>
  <c r="A1936" i="6"/>
  <c r="A1937" i="6"/>
  <c r="A1938" i="6"/>
  <c r="A1939" i="6"/>
  <c r="A1940" i="6"/>
  <c r="A1941" i="6"/>
  <c r="A1942" i="6"/>
  <c r="A1943" i="6"/>
  <c r="A1944" i="6"/>
  <c r="A1945" i="6"/>
  <c r="A1946" i="6"/>
  <c r="A1947" i="6"/>
  <c r="A1948" i="6"/>
  <c r="A1949" i="6"/>
  <c r="A1950" i="6"/>
  <c r="A1951" i="6"/>
  <c r="A1952" i="6"/>
  <c r="A1953" i="6"/>
  <c r="A1954" i="6"/>
  <c r="A1955" i="6"/>
  <c r="A1956" i="6"/>
  <c r="A1957" i="6"/>
  <c r="A1958" i="6"/>
  <c r="A1959" i="6"/>
  <c r="A1960" i="6"/>
  <c r="A1961" i="6"/>
  <c r="A1962" i="6"/>
  <c r="A1963" i="6"/>
  <c r="A1964" i="6"/>
  <c r="A1965" i="6"/>
  <c r="A1966" i="6"/>
  <c r="A1967" i="6"/>
  <c r="A1968" i="6"/>
  <c r="A1969" i="6"/>
  <c r="A1970" i="6"/>
  <c r="A1971" i="6"/>
  <c r="A1972" i="6"/>
  <c r="A1973" i="6"/>
  <c r="A1974" i="6"/>
  <c r="A1975" i="6"/>
  <c r="A1976" i="6"/>
  <c r="A1977" i="6"/>
  <c r="A1978" i="6"/>
  <c r="A1979" i="6"/>
  <c r="A1980" i="6"/>
  <c r="A1981" i="6"/>
  <c r="A1982" i="6"/>
  <c r="A1983" i="6"/>
  <c r="A1984" i="6"/>
  <c r="A1985" i="6"/>
  <c r="A1986" i="6"/>
  <c r="A1987" i="6"/>
  <c r="A1988" i="6"/>
  <c r="A1989" i="6"/>
  <c r="A1990" i="6"/>
  <c r="A1991" i="6"/>
  <c r="A1992" i="6"/>
  <c r="A1993" i="6"/>
  <c r="A1994" i="6"/>
  <c r="A1995" i="6"/>
  <c r="A1996" i="6"/>
  <c r="A1997" i="6"/>
  <c r="A1998" i="6"/>
  <c r="A1999" i="6"/>
  <c r="A2000" i="6"/>
  <c r="A2001" i="6"/>
  <c r="A2002" i="6"/>
  <c r="A2003" i="6"/>
  <c r="A2004" i="6"/>
  <c r="A2005" i="6"/>
  <c r="A2006" i="6"/>
  <c r="A2007" i="6"/>
  <c r="A2008" i="6"/>
  <c r="A2009" i="6"/>
  <c r="A2010" i="6"/>
  <c r="A2011" i="6"/>
  <c r="A2012" i="6"/>
  <c r="A2013" i="6"/>
  <c r="A2014" i="6"/>
  <c r="A2015" i="6"/>
  <c r="A2016" i="6"/>
  <c r="A2017" i="6"/>
  <c r="A2018" i="6"/>
  <c r="A2019" i="6"/>
  <c r="A2020" i="6"/>
  <c r="A2021" i="6"/>
  <c r="A2022" i="6"/>
  <c r="A2023" i="6"/>
  <c r="A2024" i="6"/>
  <c r="A2025" i="6"/>
  <c r="A2026" i="6"/>
  <c r="A2027" i="6"/>
  <c r="A2028" i="6"/>
  <c r="A2029" i="6"/>
  <c r="A2030" i="6"/>
  <c r="A2031" i="6"/>
  <c r="A2032" i="6"/>
  <c r="A2033" i="6"/>
  <c r="A2034" i="6"/>
  <c r="A2035" i="6"/>
  <c r="A2036" i="6"/>
  <c r="A2037" i="6"/>
  <c r="A2038" i="6"/>
  <c r="A2039" i="6"/>
  <c r="A2040" i="6"/>
  <c r="A2041" i="6"/>
  <c r="A2042" i="6"/>
  <c r="A2043" i="6"/>
  <c r="A2044" i="6"/>
  <c r="A2045" i="6"/>
  <c r="A2046" i="6"/>
  <c r="A2047" i="6"/>
  <c r="A2048" i="6"/>
  <c r="A2049" i="6"/>
  <c r="A2050" i="6"/>
  <c r="A2051" i="6"/>
  <c r="A2052" i="6"/>
  <c r="A2053" i="6"/>
  <c r="A2054" i="6"/>
  <c r="A2055" i="6"/>
  <c r="A2056" i="6"/>
  <c r="A2057" i="6"/>
  <c r="A2058" i="6"/>
  <c r="A2059" i="6"/>
  <c r="A2060" i="6"/>
  <c r="A2061" i="6"/>
  <c r="A2062" i="6"/>
  <c r="A2063" i="6"/>
  <c r="A2064" i="6"/>
  <c r="A2065" i="6"/>
  <c r="A2066" i="6"/>
  <c r="A2067" i="6"/>
  <c r="A2068" i="6"/>
  <c r="A2069" i="6"/>
  <c r="A2070" i="6"/>
  <c r="A2071" i="6"/>
  <c r="A2072" i="6"/>
  <c r="A2073" i="6"/>
  <c r="A2074" i="6"/>
  <c r="A2075" i="6"/>
  <c r="A2076" i="6"/>
  <c r="A2077" i="6"/>
  <c r="A2078" i="6"/>
  <c r="A2079" i="6"/>
  <c r="A2080" i="6"/>
  <c r="A2081" i="6"/>
  <c r="A2082" i="6"/>
  <c r="A2083" i="6"/>
  <c r="A2084" i="6"/>
  <c r="A2085" i="6"/>
  <c r="A2086" i="6"/>
  <c r="A2087" i="6"/>
  <c r="A2088" i="6"/>
  <c r="A2089" i="6"/>
  <c r="A2090" i="6"/>
  <c r="A2091" i="6"/>
  <c r="A2092" i="6"/>
  <c r="A2093" i="6"/>
  <c r="A2094" i="6"/>
  <c r="A2095" i="6"/>
  <c r="A2096" i="6"/>
  <c r="A2097" i="6"/>
  <c r="A2098" i="6"/>
  <c r="A2099" i="6"/>
  <c r="A2100" i="6"/>
  <c r="A2101" i="6"/>
  <c r="A2102" i="6"/>
  <c r="A2103" i="6"/>
  <c r="A2104" i="6"/>
  <c r="A2105" i="6"/>
  <c r="A2106" i="6"/>
  <c r="A2107" i="6"/>
  <c r="A2108" i="6"/>
  <c r="A2109" i="6"/>
  <c r="A2110" i="6"/>
  <c r="A2111" i="6"/>
  <c r="A2112" i="6"/>
  <c r="A2113" i="6"/>
  <c r="A2114" i="6"/>
  <c r="A2115" i="6"/>
  <c r="A2116" i="6"/>
  <c r="A2117" i="6"/>
  <c r="A2118" i="6"/>
  <c r="A2119" i="6"/>
  <c r="A2120" i="6"/>
  <c r="A2121" i="6"/>
  <c r="A2122" i="6"/>
  <c r="A2123" i="6"/>
  <c r="A2124" i="6"/>
  <c r="A2125" i="6"/>
  <c r="A2126" i="6"/>
  <c r="A2127" i="6"/>
  <c r="A2128" i="6"/>
  <c r="A2129" i="6"/>
  <c r="A2130" i="6"/>
  <c r="A2131" i="6"/>
  <c r="A2132" i="6"/>
  <c r="A2133" i="6"/>
  <c r="A2134" i="6"/>
  <c r="A2135" i="6"/>
  <c r="A2136" i="6"/>
  <c r="A2137" i="6"/>
  <c r="A2138" i="6"/>
  <c r="A2139" i="6"/>
  <c r="A2140" i="6"/>
  <c r="A2141" i="6"/>
  <c r="A2142" i="6"/>
  <c r="A2143" i="6"/>
  <c r="A2144" i="6"/>
  <c r="A2145" i="6"/>
  <c r="A2146" i="6"/>
  <c r="A2147" i="6"/>
  <c r="A2148" i="6"/>
  <c r="A2149" i="6"/>
  <c r="A2150" i="6"/>
  <c r="A2151" i="6"/>
  <c r="A2152" i="6"/>
  <c r="A2153" i="6"/>
  <c r="A2154" i="6"/>
  <c r="A2155" i="6"/>
  <c r="A2156" i="6"/>
  <c r="A2157" i="6"/>
  <c r="A2158" i="6"/>
  <c r="A2159" i="6"/>
  <c r="A2160" i="6"/>
  <c r="A2161" i="6"/>
  <c r="A2162" i="6"/>
  <c r="A2163" i="6"/>
  <c r="A2164" i="6"/>
  <c r="A2165" i="6"/>
  <c r="A2166" i="6"/>
  <c r="A2167" i="6"/>
  <c r="A2168" i="6"/>
  <c r="A2169" i="6"/>
  <c r="A2170" i="6"/>
  <c r="A2171" i="6"/>
  <c r="A2172" i="6"/>
  <c r="A2173" i="6"/>
  <c r="A2174" i="6"/>
  <c r="A2175" i="6"/>
  <c r="A2176" i="6"/>
  <c r="A2177" i="6"/>
  <c r="A2178" i="6"/>
  <c r="A2179" i="6"/>
  <c r="A2180" i="6"/>
  <c r="A2181" i="6"/>
  <c r="A2182" i="6"/>
  <c r="A2183" i="6"/>
  <c r="A2184" i="6"/>
  <c r="A2185" i="6"/>
  <c r="A2186" i="6"/>
  <c r="A2187" i="6"/>
  <c r="A2188" i="6"/>
  <c r="A2189" i="6"/>
  <c r="A2190" i="6"/>
  <c r="A2191" i="6"/>
  <c r="A2192" i="6"/>
  <c r="A2193" i="6"/>
  <c r="A2194" i="6"/>
  <c r="A2195" i="6"/>
  <c r="A2196" i="6"/>
  <c r="A2197" i="6"/>
  <c r="A2198" i="6"/>
  <c r="A2199" i="6"/>
  <c r="A2200" i="6"/>
  <c r="A2201" i="6"/>
  <c r="A2202" i="6"/>
  <c r="A2203" i="6"/>
  <c r="A2204" i="6"/>
  <c r="A2205" i="6"/>
  <c r="A2206" i="6"/>
  <c r="A2207" i="6"/>
  <c r="A2208" i="6"/>
  <c r="A2209" i="6"/>
  <c r="A2210" i="6"/>
  <c r="A2211" i="6"/>
  <c r="A2212" i="6"/>
  <c r="A2213" i="6"/>
  <c r="A2214" i="6"/>
  <c r="A2215" i="6"/>
  <c r="A2216" i="6"/>
  <c r="A2217" i="6"/>
  <c r="A2218" i="6"/>
  <c r="A2219" i="6"/>
  <c r="A2220" i="6"/>
  <c r="A2221" i="6"/>
  <c r="A2222" i="6"/>
  <c r="A2223" i="6"/>
  <c r="A2224" i="6"/>
  <c r="A2225" i="6"/>
  <c r="A2226" i="6"/>
  <c r="A2227" i="6"/>
  <c r="A2228" i="6"/>
  <c r="A2229" i="6"/>
  <c r="A2230" i="6"/>
  <c r="A2231" i="6"/>
  <c r="A2232" i="6"/>
  <c r="A2233" i="6"/>
  <c r="A2234" i="6"/>
  <c r="A2235" i="6"/>
  <c r="A2236" i="6"/>
  <c r="A2237" i="6"/>
  <c r="A2238" i="6"/>
  <c r="A2239" i="6"/>
  <c r="A2240" i="6"/>
  <c r="A2241" i="6"/>
  <c r="A2242" i="6"/>
  <c r="A2243" i="6"/>
  <c r="A2244" i="6"/>
  <c r="A2245" i="6"/>
  <c r="A2246" i="6"/>
  <c r="A2247" i="6"/>
  <c r="A2248" i="6"/>
  <c r="A2249" i="6"/>
  <c r="A2250" i="6"/>
  <c r="A2251" i="6"/>
  <c r="A2252" i="6"/>
  <c r="A2253" i="6"/>
  <c r="A2254" i="6"/>
  <c r="A2255" i="6"/>
  <c r="A2256" i="6"/>
  <c r="A2257" i="6"/>
  <c r="A2258" i="6"/>
  <c r="A2259" i="6"/>
  <c r="A2260" i="6"/>
  <c r="A2261" i="6"/>
  <c r="A2262" i="6"/>
  <c r="A2263" i="6"/>
  <c r="A2264" i="6"/>
  <c r="A2265" i="6"/>
  <c r="A2266" i="6"/>
  <c r="A2267" i="6"/>
  <c r="A2268" i="6"/>
  <c r="A2269" i="6"/>
  <c r="A2270" i="6"/>
  <c r="A2271" i="6"/>
  <c r="A2272" i="6"/>
  <c r="A2273" i="6"/>
  <c r="A2274" i="6"/>
  <c r="A2275" i="6"/>
  <c r="A2276" i="6"/>
  <c r="A2277" i="6"/>
  <c r="A2278" i="6"/>
  <c r="A2279" i="6"/>
  <c r="A2280" i="6"/>
  <c r="A2281" i="6"/>
  <c r="A2282" i="6"/>
  <c r="A2283" i="6"/>
  <c r="A2284" i="6"/>
  <c r="A2285" i="6"/>
  <c r="A2286" i="6"/>
  <c r="A2287" i="6"/>
  <c r="A2288" i="6"/>
  <c r="A2289" i="6"/>
  <c r="A2290" i="6"/>
  <c r="A2291" i="6"/>
  <c r="A2292" i="6"/>
  <c r="A2293" i="6"/>
  <c r="A2294" i="6"/>
  <c r="A2295" i="6"/>
  <c r="A2296" i="6"/>
  <c r="A2297" i="6"/>
  <c r="A2298" i="6"/>
  <c r="A2299" i="6"/>
  <c r="A2300" i="6"/>
  <c r="A2301" i="6"/>
  <c r="A2302" i="6"/>
  <c r="A2303" i="6"/>
  <c r="A2304" i="6"/>
  <c r="A2305" i="6"/>
  <c r="A2306" i="6"/>
  <c r="A2307" i="6"/>
  <c r="A2308" i="6"/>
  <c r="A2309" i="6"/>
  <c r="A2310" i="6"/>
  <c r="A2311" i="6"/>
  <c r="A2312" i="6"/>
  <c r="A2313" i="6"/>
  <c r="A2314" i="6"/>
  <c r="A2315" i="6"/>
  <c r="A2316" i="6"/>
  <c r="A2317" i="6"/>
  <c r="A2318" i="6"/>
  <c r="A2319" i="6"/>
  <c r="A2320" i="6"/>
  <c r="A2321" i="6"/>
  <c r="A2322" i="6"/>
  <c r="A2323" i="6"/>
  <c r="A2324" i="6"/>
  <c r="A2325" i="6"/>
  <c r="A2326" i="6"/>
  <c r="A2327" i="6"/>
  <c r="A2328" i="6"/>
  <c r="A2329" i="6"/>
  <c r="A2330" i="6"/>
  <c r="A2331" i="6"/>
  <c r="A2332" i="6"/>
  <c r="A2333" i="6"/>
  <c r="A2334" i="6"/>
  <c r="A2335" i="6"/>
  <c r="A2336" i="6"/>
  <c r="A2337" i="6"/>
  <c r="A2338" i="6"/>
  <c r="A2339" i="6"/>
  <c r="A2340" i="6"/>
  <c r="A2341" i="6"/>
  <c r="A2342" i="6"/>
  <c r="A2343" i="6"/>
  <c r="A2344" i="6"/>
  <c r="A2345" i="6"/>
  <c r="A2346" i="6"/>
  <c r="A2347" i="6"/>
  <c r="A2348" i="6"/>
  <c r="A2349" i="6"/>
  <c r="A2350" i="6"/>
  <c r="A2351" i="6"/>
  <c r="A2352" i="6"/>
  <c r="A2353" i="6"/>
  <c r="A2354" i="6"/>
  <c r="A2355" i="6"/>
  <c r="A2356" i="6"/>
  <c r="A2357" i="6"/>
  <c r="A2358" i="6"/>
  <c r="A2359" i="6"/>
  <c r="A2360" i="6"/>
  <c r="A2361" i="6"/>
  <c r="A2362" i="6"/>
  <c r="A2363" i="6"/>
  <c r="A2364" i="6"/>
  <c r="A2365" i="6"/>
  <c r="A2366" i="6"/>
  <c r="A2367" i="6"/>
  <c r="A2368" i="6"/>
  <c r="A2369" i="6"/>
  <c r="A2370" i="6"/>
  <c r="A2371" i="6"/>
  <c r="A2372" i="6"/>
  <c r="A2373" i="6"/>
  <c r="A2374" i="6"/>
  <c r="A2375" i="6"/>
  <c r="A2376" i="6"/>
  <c r="A2377" i="6"/>
  <c r="A2378" i="6"/>
  <c r="A2379" i="6"/>
  <c r="A2380" i="6"/>
  <c r="A2381" i="6"/>
  <c r="A2382" i="6"/>
  <c r="A2383" i="6"/>
  <c r="A2384" i="6"/>
  <c r="A2385" i="6"/>
  <c r="A2386" i="6"/>
  <c r="A2387" i="6"/>
  <c r="A2388" i="6"/>
  <c r="A2389" i="6"/>
  <c r="A2390" i="6"/>
  <c r="A2391" i="6"/>
  <c r="A2392" i="6"/>
  <c r="A2393" i="6"/>
  <c r="A2394" i="6"/>
  <c r="A2395" i="6"/>
  <c r="A2396" i="6"/>
  <c r="A2397" i="6"/>
  <c r="A2398" i="6"/>
  <c r="A2399" i="6"/>
  <c r="A2400" i="6"/>
  <c r="A2401" i="6"/>
  <c r="A2402" i="6"/>
  <c r="A2403" i="6"/>
  <c r="A2404" i="6"/>
  <c r="A2405" i="6"/>
  <c r="A2406" i="6"/>
  <c r="A2407" i="6"/>
  <c r="A2408" i="6"/>
  <c r="A2409" i="6"/>
  <c r="A2410" i="6"/>
  <c r="A2411" i="6"/>
  <c r="A2412" i="6"/>
  <c r="A2413" i="6"/>
  <c r="A2414" i="6"/>
  <c r="A2415" i="6"/>
  <c r="A2416" i="6"/>
  <c r="A2417" i="6"/>
  <c r="A2418" i="6"/>
  <c r="A2419" i="6"/>
  <c r="A2420" i="6"/>
  <c r="A2421" i="6"/>
  <c r="A2422" i="6"/>
  <c r="A2423" i="6"/>
  <c r="A2424" i="6"/>
  <c r="A2425" i="6"/>
  <c r="A2426" i="6"/>
  <c r="A2427" i="6"/>
  <c r="A2428" i="6"/>
  <c r="A2429" i="6"/>
  <c r="A2430" i="6"/>
  <c r="A2431" i="6"/>
  <c r="A2432" i="6"/>
  <c r="A2433" i="6"/>
  <c r="A2434" i="6"/>
  <c r="A2435" i="6"/>
  <c r="A2436" i="6"/>
  <c r="A2437" i="6"/>
  <c r="A2438" i="6"/>
  <c r="A2439" i="6"/>
  <c r="A2440" i="6"/>
  <c r="A2441" i="6"/>
  <c r="A2442" i="6"/>
  <c r="A2443" i="6"/>
  <c r="A2444" i="6"/>
  <c r="A2445" i="6"/>
  <c r="A2446" i="6"/>
  <c r="A2447" i="6"/>
  <c r="A2448" i="6"/>
  <c r="A2449" i="6"/>
  <c r="A2450" i="6"/>
  <c r="A2451" i="6"/>
  <c r="A2452" i="6"/>
  <c r="A2453" i="6"/>
  <c r="A2454" i="6"/>
  <c r="A2455" i="6"/>
  <c r="A2456" i="6"/>
  <c r="A2457" i="6"/>
  <c r="A2458" i="6"/>
  <c r="A2459" i="6"/>
  <c r="A2460" i="6"/>
  <c r="A2461" i="6"/>
  <c r="A2462" i="6"/>
  <c r="A2463" i="6"/>
  <c r="A2464" i="6"/>
  <c r="A2465" i="6"/>
  <c r="A2466" i="6"/>
  <c r="A2467" i="6"/>
  <c r="A2468" i="6"/>
  <c r="A2469" i="6"/>
  <c r="A2470" i="6"/>
  <c r="A2471" i="6"/>
  <c r="A2472" i="6"/>
  <c r="A2473" i="6"/>
  <c r="A2474" i="6"/>
  <c r="A2475" i="6"/>
  <c r="A2476" i="6"/>
  <c r="A2477" i="6"/>
  <c r="A2478" i="6"/>
  <c r="A2479" i="6"/>
  <c r="A2480" i="6"/>
  <c r="A2481" i="6"/>
  <c r="A2482" i="6"/>
  <c r="A2483" i="6"/>
  <c r="A2484" i="6"/>
  <c r="A2485" i="6"/>
  <c r="A2486" i="6"/>
  <c r="A2487" i="6"/>
  <c r="A2488" i="6"/>
  <c r="A2489" i="6"/>
  <c r="A2490" i="6"/>
  <c r="A2491" i="6"/>
  <c r="A2492" i="6"/>
  <c r="A2493" i="6"/>
  <c r="A2494" i="6"/>
  <c r="A2495" i="6"/>
  <c r="A2496" i="6"/>
  <c r="A2497" i="6"/>
  <c r="A2498" i="6"/>
  <c r="A2499" i="6"/>
  <c r="A2500" i="6"/>
  <c r="A2501" i="6"/>
  <c r="A2502" i="6"/>
  <c r="A2503" i="6"/>
  <c r="A2504" i="6"/>
  <c r="A2505" i="6"/>
  <c r="A2506" i="6"/>
  <c r="A2507" i="6"/>
  <c r="A2508" i="6"/>
  <c r="A2509" i="6"/>
  <c r="A2510" i="6"/>
  <c r="A2511" i="6"/>
  <c r="A2512" i="6"/>
  <c r="A2513" i="6"/>
  <c r="A2514" i="6"/>
  <c r="A2515" i="6"/>
  <c r="A2516" i="6"/>
  <c r="A2517" i="6"/>
  <c r="A2518" i="6"/>
  <c r="A2519" i="6"/>
  <c r="A2520" i="6"/>
  <c r="A2521" i="6"/>
  <c r="A2522" i="6"/>
  <c r="A2523" i="6"/>
  <c r="A2524" i="6"/>
  <c r="A2525" i="6"/>
  <c r="A2526" i="6"/>
  <c r="A2527" i="6"/>
  <c r="A2528" i="6"/>
  <c r="A2529" i="6"/>
  <c r="A2530" i="6"/>
  <c r="A2531" i="6"/>
  <c r="A2532" i="6"/>
  <c r="A2533" i="6"/>
  <c r="A2534" i="6"/>
  <c r="A2535" i="6"/>
  <c r="A2536" i="6"/>
  <c r="A2537" i="6"/>
  <c r="A2538" i="6"/>
  <c r="A2539" i="6"/>
  <c r="A2540" i="6"/>
  <c r="A2541" i="6"/>
  <c r="A2542" i="6"/>
  <c r="A2543" i="6"/>
  <c r="A2544" i="6"/>
  <c r="A2545" i="6"/>
  <c r="A2546" i="6"/>
  <c r="A2547" i="6"/>
  <c r="A2548" i="6"/>
  <c r="A2549" i="6"/>
  <c r="A2550" i="6"/>
  <c r="A2551" i="6"/>
  <c r="A2552" i="6"/>
  <c r="A2553" i="6"/>
  <c r="A2554" i="6"/>
  <c r="A2555" i="6"/>
  <c r="A2556" i="6"/>
  <c r="A2557" i="6"/>
  <c r="A2558" i="6"/>
  <c r="A2559" i="6"/>
  <c r="A2560" i="6"/>
  <c r="A2561" i="6"/>
  <c r="A2562" i="6"/>
  <c r="A2563" i="6"/>
  <c r="A2564" i="6"/>
  <c r="A2565" i="6"/>
  <c r="A2566" i="6"/>
  <c r="A2567" i="6"/>
  <c r="A2568" i="6"/>
  <c r="A2569" i="6"/>
  <c r="A2570" i="6"/>
  <c r="A2571" i="6"/>
  <c r="A2572" i="6"/>
  <c r="A2573" i="6"/>
  <c r="A2574" i="6"/>
  <c r="A2575" i="6"/>
  <c r="A2576" i="6"/>
  <c r="A2577" i="6"/>
  <c r="A2578" i="6"/>
  <c r="A2579" i="6"/>
  <c r="A2580" i="6"/>
  <c r="A2581" i="6"/>
  <c r="A2582" i="6"/>
  <c r="A2583" i="6"/>
  <c r="A2584" i="6"/>
  <c r="A2585" i="6"/>
  <c r="A2586" i="6"/>
  <c r="A2587" i="6"/>
  <c r="A2588" i="6"/>
  <c r="A2589" i="6"/>
  <c r="A2590" i="6"/>
  <c r="A2591" i="6"/>
  <c r="A2592" i="6"/>
  <c r="A2593" i="6"/>
  <c r="A2594" i="6"/>
  <c r="A2595" i="6"/>
  <c r="A2596" i="6"/>
  <c r="A2597" i="6"/>
  <c r="A2598" i="6"/>
  <c r="A2599" i="6"/>
  <c r="A2600" i="6"/>
  <c r="A2601" i="6"/>
  <c r="A2602" i="6"/>
  <c r="A2603" i="6"/>
  <c r="A2604" i="6"/>
  <c r="A2605" i="6"/>
  <c r="A2606" i="6"/>
  <c r="A2607" i="6"/>
  <c r="A2608" i="6"/>
  <c r="A2609" i="6"/>
  <c r="A2610" i="6"/>
  <c r="A2611" i="6"/>
  <c r="A2612" i="6"/>
  <c r="A2613" i="6"/>
  <c r="A2614" i="6"/>
  <c r="A2615" i="6"/>
  <c r="A2616" i="6"/>
  <c r="A2617" i="6"/>
  <c r="A2618" i="6"/>
  <c r="A2619" i="6"/>
  <c r="A2620" i="6"/>
  <c r="A2621" i="6"/>
  <c r="A2622" i="6"/>
  <c r="A2623" i="6"/>
  <c r="A2624" i="6"/>
  <c r="A2625" i="6"/>
  <c r="A2626" i="6"/>
  <c r="A2627" i="6"/>
  <c r="A2628" i="6"/>
  <c r="A2629" i="6"/>
  <c r="A2630" i="6"/>
  <c r="A2631" i="6"/>
  <c r="A2632" i="6"/>
  <c r="A2633" i="6"/>
  <c r="A2634" i="6"/>
  <c r="A2635" i="6"/>
  <c r="A2636" i="6"/>
  <c r="A2637" i="6"/>
  <c r="A2638" i="6"/>
  <c r="A2639" i="6"/>
  <c r="A2640" i="6"/>
  <c r="A2641" i="6"/>
  <c r="A2642" i="6"/>
  <c r="A2643" i="6"/>
  <c r="A2644" i="6"/>
  <c r="A2645" i="6"/>
  <c r="A2646" i="6"/>
  <c r="A2647" i="6"/>
  <c r="A2648" i="6"/>
  <c r="A2649" i="6"/>
  <c r="A2650" i="6"/>
  <c r="A2651" i="6"/>
  <c r="A2652" i="6"/>
  <c r="A2653" i="6"/>
  <c r="A2654" i="6"/>
  <c r="A2655" i="6"/>
  <c r="A2656" i="6"/>
  <c r="A2657" i="6"/>
  <c r="A2658" i="6"/>
  <c r="A2659" i="6"/>
  <c r="A2660" i="6"/>
  <c r="A2661" i="6"/>
  <c r="A2662" i="6"/>
  <c r="A2663" i="6"/>
  <c r="A2664" i="6"/>
  <c r="A2665" i="6"/>
  <c r="A2666" i="6"/>
  <c r="A2667" i="6"/>
  <c r="A2668" i="6"/>
  <c r="A2669" i="6"/>
  <c r="A2670" i="6"/>
  <c r="A2671" i="6"/>
  <c r="A2672" i="6"/>
  <c r="A2673" i="6"/>
  <c r="A2674" i="6"/>
  <c r="A2675" i="6"/>
  <c r="A2676" i="6"/>
  <c r="A2677" i="6"/>
  <c r="A2678" i="6"/>
  <c r="A2679" i="6"/>
  <c r="A2680" i="6"/>
  <c r="A2681" i="6"/>
  <c r="A2682" i="6"/>
  <c r="A2683" i="6"/>
  <c r="A2684" i="6"/>
  <c r="A2685" i="6"/>
  <c r="A2686" i="6"/>
  <c r="A2687" i="6"/>
  <c r="A2688" i="6"/>
  <c r="A2689" i="6"/>
  <c r="A2690" i="6"/>
  <c r="A2691" i="6"/>
  <c r="A2692" i="6"/>
  <c r="A2693" i="6"/>
  <c r="A2694" i="6"/>
  <c r="A2695" i="6"/>
  <c r="A2696" i="6"/>
  <c r="A2697" i="6"/>
  <c r="A2698" i="6"/>
  <c r="A2699" i="6"/>
  <c r="A2700" i="6"/>
  <c r="A2701" i="6"/>
  <c r="A2702" i="6"/>
  <c r="A2703" i="6"/>
  <c r="A2704" i="6"/>
  <c r="A2705" i="6"/>
  <c r="A2706" i="6"/>
  <c r="A2707" i="6"/>
  <c r="A2708" i="6"/>
  <c r="A2709" i="6"/>
  <c r="A2710" i="6"/>
  <c r="A2711" i="6"/>
  <c r="A2712" i="6"/>
  <c r="A2713" i="6"/>
  <c r="A2714" i="6"/>
  <c r="A2715" i="6"/>
  <c r="A2716" i="6"/>
  <c r="A2717" i="6"/>
  <c r="A2718" i="6"/>
  <c r="A2719" i="6"/>
  <c r="A2720" i="6"/>
  <c r="A2721" i="6"/>
  <c r="A2722" i="6"/>
  <c r="A2723" i="6"/>
  <c r="A2724" i="6"/>
  <c r="A2725" i="6"/>
  <c r="A2726" i="6"/>
  <c r="A2727" i="6"/>
  <c r="A2728" i="6"/>
  <c r="A2729" i="6"/>
  <c r="A2730" i="6"/>
  <c r="A2731" i="6"/>
  <c r="A2732" i="6"/>
  <c r="A2733" i="6"/>
  <c r="A2734" i="6"/>
  <c r="A2735" i="6"/>
  <c r="A2736" i="6"/>
  <c r="A2737" i="6"/>
  <c r="A2738" i="6"/>
  <c r="A2739" i="6"/>
  <c r="A2740" i="6"/>
  <c r="A2741" i="6"/>
  <c r="A2742" i="6"/>
  <c r="A2743" i="6"/>
  <c r="A2744" i="6"/>
  <c r="A2745" i="6"/>
  <c r="A2746" i="6"/>
  <c r="A2747" i="6"/>
  <c r="A2748" i="6"/>
  <c r="A2749" i="6"/>
  <c r="A2750" i="6"/>
  <c r="A2751" i="6"/>
  <c r="A2752" i="6"/>
  <c r="A2753" i="6"/>
  <c r="A2754" i="6"/>
  <c r="A2755" i="6"/>
  <c r="A2756" i="6"/>
  <c r="A2757" i="6"/>
  <c r="A2758" i="6"/>
  <c r="A2759" i="6"/>
  <c r="A2760" i="6"/>
  <c r="A2761" i="6"/>
  <c r="A2762" i="6"/>
  <c r="A2763" i="6"/>
  <c r="A2764" i="6"/>
  <c r="A2765" i="6"/>
  <c r="A2766" i="6"/>
  <c r="A2767" i="6"/>
  <c r="A2768" i="6"/>
  <c r="A2769" i="6"/>
  <c r="A2770" i="6"/>
  <c r="A2771" i="6"/>
  <c r="A2772" i="6"/>
  <c r="A2773" i="6"/>
  <c r="A2774" i="6"/>
  <c r="A2775" i="6"/>
  <c r="A2776" i="6"/>
  <c r="A2777" i="6"/>
  <c r="A2778" i="6"/>
  <c r="A2779" i="6"/>
  <c r="A2780" i="6"/>
  <c r="A2781" i="6"/>
  <c r="A2782" i="6"/>
  <c r="A2783" i="6"/>
  <c r="A2784" i="6"/>
  <c r="A2785" i="6"/>
  <c r="A2786" i="6"/>
  <c r="A2787" i="6"/>
  <c r="A2788" i="6"/>
  <c r="A2789" i="6"/>
  <c r="A2790" i="6"/>
  <c r="A2791" i="6"/>
  <c r="A2792" i="6"/>
  <c r="A2793" i="6"/>
  <c r="A2794" i="6"/>
  <c r="A2795" i="6"/>
  <c r="A2796" i="6"/>
  <c r="A2797" i="6"/>
  <c r="A2798" i="6"/>
  <c r="A2799" i="6"/>
  <c r="A2800" i="6"/>
  <c r="A2801" i="6"/>
  <c r="A2802" i="6"/>
  <c r="A2803" i="6"/>
  <c r="A2804" i="6"/>
  <c r="A2805" i="6"/>
  <c r="A2806" i="6"/>
  <c r="A2807" i="6"/>
  <c r="A2808" i="6"/>
  <c r="A2809" i="6"/>
  <c r="A2810" i="6"/>
  <c r="A2811" i="6"/>
  <c r="A2812" i="6"/>
  <c r="A2813" i="6"/>
  <c r="A2814" i="6"/>
  <c r="A2815" i="6"/>
  <c r="A2816" i="6"/>
  <c r="A2817" i="6"/>
  <c r="A2818" i="6"/>
  <c r="A2819" i="6"/>
  <c r="A2820" i="6"/>
  <c r="A2821" i="6"/>
  <c r="A2822" i="6"/>
  <c r="A2823" i="6"/>
  <c r="A2824" i="6"/>
  <c r="A2825" i="6"/>
  <c r="A2826" i="6"/>
  <c r="A2827" i="6"/>
  <c r="A2828" i="6"/>
  <c r="A2829" i="6"/>
  <c r="A2830" i="6"/>
  <c r="A2831" i="6"/>
  <c r="A2832" i="6"/>
  <c r="A2833" i="6"/>
  <c r="A2834" i="6"/>
  <c r="A2835" i="6"/>
  <c r="A2836" i="6"/>
  <c r="A2837" i="6"/>
  <c r="A2838" i="6"/>
  <c r="A2839" i="6"/>
  <c r="A2840" i="6"/>
  <c r="A2841" i="6"/>
  <c r="A2842" i="6"/>
  <c r="A2843" i="6"/>
  <c r="A2844" i="6"/>
  <c r="A2845" i="6"/>
  <c r="A2846" i="6"/>
  <c r="A2847" i="6"/>
  <c r="A2848" i="6"/>
  <c r="A2849" i="6"/>
  <c r="A2850" i="6"/>
  <c r="A2851" i="6"/>
  <c r="A2852" i="6"/>
  <c r="A2853" i="6"/>
  <c r="A2854" i="6"/>
  <c r="A2855" i="6"/>
  <c r="A2856" i="6"/>
  <c r="A2857" i="6"/>
  <c r="A2858" i="6"/>
  <c r="A2859" i="6"/>
  <c r="A2860" i="6"/>
  <c r="A2861" i="6"/>
  <c r="A2862" i="6"/>
  <c r="A2863" i="6"/>
  <c r="A2864" i="6"/>
  <c r="A2865" i="6"/>
  <c r="A2866" i="6"/>
  <c r="A2867" i="6"/>
  <c r="A2868" i="6"/>
  <c r="A2869" i="6"/>
  <c r="A2870" i="6"/>
  <c r="A2871" i="6"/>
  <c r="A2872" i="6"/>
  <c r="A2873" i="6"/>
  <c r="A2874" i="6"/>
  <c r="A2875" i="6"/>
  <c r="A2876" i="6"/>
  <c r="A2877" i="6"/>
  <c r="A2878" i="6"/>
  <c r="A2879" i="6"/>
  <c r="A2880" i="6"/>
  <c r="A2881" i="6"/>
  <c r="A2882" i="6"/>
  <c r="A2883" i="6"/>
  <c r="A2884" i="6"/>
  <c r="A2885" i="6"/>
  <c r="A2886" i="6"/>
  <c r="A2887" i="6"/>
  <c r="A2888" i="6"/>
  <c r="A2889" i="6"/>
  <c r="A2890" i="6"/>
  <c r="A2891" i="6"/>
  <c r="A2892" i="6"/>
  <c r="A2893" i="6"/>
  <c r="A2894" i="6"/>
  <c r="A2895" i="6"/>
  <c r="A2896" i="6"/>
  <c r="A2897" i="6"/>
  <c r="A2898" i="6"/>
  <c r="A2899" i="6"/>
  <c r="A2900" i="6"/>
  <c r="A2901" i="6"/>
  <c r="A2902" i="6"/>
  <c r="A2903" i="6"/>
  <c r="A2904" i="6"/>
  <c r="A2905" i="6"/>
  <c r="A2906" i="6"/>
  <c r="A2907" i="6"/>
  <c r="A2908" i="6"/>
  <c r="A2909" i="6"/>
  <c r="A2910" i="6"/>
  <c r="A2911" i="6"/>
  <c r="A2912" i="6"/>
  <c r="A2913" i="6"/>
  <c r="A2914" i="6"/>
  <c r="A2915" i="6"/>
  <c r="A2916" i="6"/>
  <c r="A2917" i="6"/>
  <c r="A2918" i="6"/>
  <c r="A2919" i="6"/>
  <c r="A2920" i="6"/>
  <c r="A2921" i="6"/>
  <c r="A2922" i="6"/>
  <c r="A2923" i="6"/>
  <c r="A2924" i="6"/>
  <c r="A2925" i="6"/>
  <c r="A2926" i="6"/>
  <c r="A2927" i="6"/>
  <c r="A2928" i="6"/>
  <c r="A2929" i="6"/>
  <c r="A2930" i="6"/>
  <c r="A2931" i="6"/>
  <c r="A2932" i="6"/>
  <c r="A2933" i="6"/>
  <c r="A2934" i="6"/>
  <c r="A2935" i="6"/>
  <c r="A2936" i="6"/>
  <c r="A2937" i="6"/>
  <c r="A2938" i="6"/>
  <c r="A2939" i="6"/>
  <c r="A2940" i="6"/>
  <c r="A2941" i="6"/>
  <c r="A2942" i="6"/>
  <c r="A2943" i="6"/>
  <c r="A2944" i="6"/>
  <c r="A2945" i="6"/>
  <c r="A2946" i="6"/>
  <c r="A2947" i="6"/>
  <c r="A2948" i="6"/>
  <c r="A2949" i="6"/>
  <c r="A2950" i="6"/>
  <c r="A2951" i="6"/>
  <c r="A2952" i="6"/>
  <c r="A2953" i="6"/>
  <c r="A2954" i="6"/>
  <c r="A2955" i="6"/>
  <c r="A2956" i="6"/>
  <c r="A2957" i="6"/>
  <c r="A2958" i="6"/>
  <c r="A2959" i="6"/>
  <c r="A2960" i="6"/>
  <c r="A2961" i="6"/>
  <c r="A2962" i="6"/>
  <c r="A2963" i="6"/>
  <c r="A2964" i="6"/>
  <c r="A2965" i="6"/>
  <c r="A2966" i="6"/>
  <c r="A2967" i="6"/>
  <c r="A2968" i="6"/>
  <c r="A2969" i="6"/>
  <c r="A2970" i="6"/>
  <c r="A2971" i="6"/>
  <c r="A2972" i="6"/>
  <c r="A2973" i="6"/>
  <c r="A2974" i="6"/>
  <c r="A2975" i="6"/>
  <c r="A2976" i="6"/>
  <c r="A2977" i="6"/>
  <c r="A2978" i="6"/>
  <c r="A2979" i="6"/>
  <c r="A2980" i="6"/>
  <c r="A2981" i="6"/>
  <c r="A2982" i="6"/>
  <c r="A2983" i="6"/>
  <c r="A2984" i="6"/>
  <c r="A2985" i="6"/>
  <c r="A2986" i="6"/>
  <c r="A2987" i="6"/>
  <c r="A2988" i="6"/>
  <c r="A2989" i="6"/>
  <c r="A2990" i="6"/>
  <c r="A2991" i="6"/>
  <c r="A2992" i="6"/>
  <c r="A2993" i="6"/>
  <c r="A2994" i="6"/>
  <c r="A2995" i="6"/>
  <c r="A2996" i="6"/>
  <c r="A2997" i="6"/>
  <c r="A2998" i="6"/>
  <c r="A2999" i="6"/>
  <c r="A3000" i="6"/>
  <c r="A3001" i="6"/>
  <c r="A3002" i="6"/>
  <c r="A3003" i="6"/>
  <c r="A3004" i="6"/>
  <c r="A3005" i="6"/>
  <c r="A3006" i="6"/>
  <c r="A3007" i="6"/>
  <c r="A3008" i="6"/>
  <c r="A3009" i="6"/>
  <c r="A3010" i="6"/>
  <c r="A3011" i="6"/>
  <c r="A3012" i="6"/>
  <c r="A3013" i="6"/>
  <c r="A3014" i="6"/>
  <c r="A3015" i="6"/>
  <c r="A3016" i="6"/>
  <c r="A3017" i="6"/>
  <c r="A3018" i="6"/>
  <c r="A3019" i="6"/>
  <c r="A3020" i="6"/>
  <c r="A3021" i="6"/>
  <c r="A3022" i="6"/>
  <c r="A3023" i="6"/>
  <c r="A3024" i="6"/>
  <c r="A3025" i="6"/>
  <c r="A3026" i="6"/>
  <c r="A3027" i="6"/>
  <c r="A3028" i="6"/>
  <c r="A3029" i="6"/>
  <c r="A3030" i="6"/>
  <c r="A3031" i="6"/>
  <c r="A3032" i="6"/>
  <c r="A3033" i="6"/>
  <c r="A3034" i="6"/>
  <c r="A3035" i="6"/>
  <c r="A3036" i="6"/>
  <c r="A3037" i="6"/>
  <c r="A3038" i="6"/>
  <c r="A3039" i="6"/>
  <c r="A3040" i="6"/>
  <c r="A3041" i="6"/>
  <c r="A3042" i="6"/>
  <c r="A3043" i="6"/>
  <c r="A3044" i="6"/>
  <c r="A3045" i="6"/>
  <c r="A3046" i="6"/>
  <c r="A3047" i="6"/>
  <c r="A3048" i="6"/>
  <c r="A3049" i="6"/>
  <c r="A3050" i="6"/>
  <c r="A3051" i="6"/>
  <c r="A3052" i="6"/>
  <c r="A3053" i="6"/>
  <c r="A3054" i="6"/>
  <c r="A3055" i="6"/>
  <c r="A3056" i="6"/>
  <c r="A3057" i="6"/>
  <c r="A3058" i="6"/>
  <c r="A3059" i="6"/>
  <c r="A3060" i="6"/>
  <c r="A3061" i="6"/>
  <c r="A3062" i="6"/>
  <c r="A3063" i="6"/>
  <c r="A3064" i="6"/>
  <c r="A3065" i="6"/>
  <c r="A3066" i="6"/>
  <c r="A3067" i="6"/>
  <c r="A3068" i="6"/>
  <c r="A3069" i="6"/>
  <c r="A3070" i="6"/>
  <c r="A3071" i="6"/>
  <c r="A3072" i="6"/>
  <c r="A3073" i="6"/>
  <c r="A3074" i="6"/>
  <c r="A3075" i="6"/>
  <c r="A3076" i="6"/>
  <c r="A3077" i="6"/>
  <c r="A3078" i="6"/>
  <c r="A3079" i="6"/>
  <c r="A3080" i="6"/>
  <c r="A3081" i="6"/>
  <c r="A3082" i="6"/>
  <c r="A3083" i="6"/>
  <c r="A3084" i="6"/>
  <c r="A3085" i="6"/>
  <c r="A3086" i="6"/>
  <c r="A3087" i="6"/>
  <c r="A3088" i="6"/>
  <c r="A3089" i="6"/>
  <c r="A3090" i="6"/>
  <c r="A3091" i="6"/>
  <c r="A3092" i="6"/>
  <c r="A3093" i="6"/>
  <c r="A3094" i="6"/>
  <c r="A3095" i="6"/>
  <c r="A3096" i="6"/>
  <c r="A3097" i="6"/>
  <c r="A3098" i="6"/>
  <c r="A3099" i="6"/>
  <c r="A3100" i="6"/>
  <c r="A3101" i="6"/>
  <c r="A3102" i="6"/>
  <c r="A3103" i="6"/>
  <c r="A3104" i="6"/>
  <c r="A3105" i="6"/>
  <c r="A3106" i="6"/>
  <c r="A3107" i="6"/>
  <c r="A3108" i="6"/>
  <c r="A3109" i="6"/>
  <c r="A3110" i="6"/>
  <c r="A3111" i="6"/>
  <c r="A3112" i="6"/>
  <c r="A3113" i="6"/>
  <c r="A3114" i="6"/>
  <c r="A3115" i="6"/>
  <c r="A3116" i="6"/>
  <c r="A3117" i="6"/>
  <c r="A3118" i="6"/>
  <c r="A3119" i="6"/>
  <c r="A3120" i="6"/>
  <c r="A3121" i="6"/>
  <c r="A3122" i="6"/>
  <c r="A3123" i="6"/>
  <c r="A3124" i="6"/>
  <c r="A3125" i="6"/>
  <c r="A3126" i="6"/>
  <c r="A3127" i="6"/>
  <c r="A3128" i="6"/>
  <c r="A3129" i="6"/>
  <c r="A3130" i="6"/>
  <c r="A3131" i="6"/>
  <c r="A3132" i="6"/>
  <c r="A3133" i="6"/>
  <c r="A3134" i="6"/>
  <c r="A3135" i="6"/>
  <c r="A3136" i="6"/>
  <c r="A3137" i="6"/>
  <c r="A3138" i="6"/>
  <c r="A3139" i="6"/>
  <c r="A3140" i="6"/>
  <c r="A3141" i="6"/>
  <c r="A3142" i="6"/>
  <c r="A3143" i="6"/>
  <c r="A3144" i="6"/>
  <c r="A3145" i="6"/>
  <c r="A3146" i="6"/>
  <c r="A3147" i="6"/>
  <c r="A3148" i="6"/>
  <c r="A3149" i="6"/>
  <c r="A3150" i="6"/>
  <c r="A3151" i="6"/>
  <c r="A3152" i="6"/>
  <c r="A3153" i="6"/>
  <c r="A3154" i="6"/>
  <c r="A3155" i="6"/>
  <c r="A3156" i="6"/>
  <c r="A3157" i="6"/>
  <c r="A3158" i="6"/>
  <c r="A3159" i="6"/>
  <c r="A3160" i="6"/>
  <c r="A3161" i="6"/>
  <c r="A3162" i="6"/>
  <c r="A3163" i="6"/>
  <c r="A3164" i="6"/>
  <c r="A3165" i="6"/>
  <c r="A3166" i="6"/>
  <c r="A3167" i="6"/>
  <c r="A3168" i="6"/>
  <c r="A3169" i="6"/>
  <c r="A3170" i="6"/>
  <c r="A3171" i="6"/>
  <c r="A3172" i="6"/>
  <c r="A3173" i="6"/>
  <c r="A3174" i="6"/>
  <c r="A3175" i="6"/>
  <c r="A3176" i="6"/>
  <c r="A3177" i="6"/>
  <c r="A3178" i="6"/>
  <c r="A3179" i="6"/>
  <c r="A3180" i="6"/>
  <c r="A3181" i="6"/>
  <c r="A3182" i="6"/>
  <c r="A3183" i="6"/>
  <c r="A3184" i="6"/>
  <c r="A3185" i="6"/>
  <c r="A3186" i="6"/>
  <c r="A3187" i="6"/>
  <c r="A3188" i="6"/>
  <c r="A3189" i="6"/>
  <c r="A3190" i="6"/>
  <c r="A3191" i="6"/>
  <c r="A3192" i="6"/>
  <c r="A3193" i="6"/>
  <c r="A3194" i="6"/>
  <c r="A3195" i="6"/>
  <c r="A3196" i="6"/>
  <c r="A3197" i="6"/>
  <c r="A3198" i="6"/>
  <c r="A3199" i="6"/>
  <c r="A3200" i="6"/>
  <c r="A3201" i="6"/>
  <c r="A3202" i="6"/>
  <c r="A3203" i="6"/>
  <c r="A3204" i="6"/>
  <c r="A3205" i="6"/>
  <c r="A3206" i="6"/>
  <c r="A3207" i="6"/>
  <c r="A3208" i="6"/>
  <c r="A3209" i="6"/>
  <c r="A3210" i="6"/>
  <c r="A3211" i="6"/>
  <c r="A3212" i="6"/>
  <c r="A3213" i="6"/>
  <c r="A3214" i="6"/>
  <c r="A3215" i="6"/>
  <c r="A3216" i="6"/>
  <c r="A3217" i="6"/>
  <c r="A3218" i="6"/>
  <c r="A3219" i="6"/>
  <c r="A3220" i="6"/>
  <c r="A3221" i="6"/>
  <c r="A3222" i="6"/>
  <c r="A3223" i="6"/>
  <c r="A3224" i="6"/>
  <c r="A3225" i="6"/>
  <c r="A3226" i="6"/>
  <c r="A3227" i="6"/>
  <c r="A3228" i="6"/>
  <c r="A3229" i="6"/>
  <c r="A3230" i="6"/>
  <c r="A3231" i="6"/>
  <c r="A3232" i="6"/>
  <c r="A3233" i="6"/>
  <c r="A3234" i="6"/>
  <c r="A3235" i="6"/>
  <c r="A3236" i="6"/>
  <c r="A3237" i="6"/>
  <c r="A3238" i="6"/>
  <c r="A3239" i="6"/>
  <c r="A3240" i="6"/>
  <c r="A3241" i="6"/>
  <c r="A3242" i="6"/>
  <c r="A3243" i="6"/>
  <c r="A3244" i="6"/>
  <c r="A3245" i="6"/>
  <c r="A3246" i="6"/>
  <c r="A3247" i="6"/>
  <c r="A3248" i="6"/>
  <c r="A3249" i="6"/>
  <c r="A3250" i="6"/>
  <c r="A3251" i="6"/>
  <c r="A3252" i="6"/>
  <c r="A3253" i="6"/>
  <c r="A3254" i="6"/>
  <c r="A3255" i="6"/>
  <c r="A3256" i="6"/>
  <c r="A3257" i="6"/>
  <c r="A3258" i="6"/>
  <c r="A3259" i="6"/>
  <c r="A3260" i="6"/>
  <c r="A3261" i="6"/>
  <c r="A3262" i="6"/>
  <c r="A3263" i="6"/>
  <c r="A3264" i="6"/>
  <c r="A3265" i="6"/>
  <c r="A3266" i="6"/>
  <c r="A3267" i="6"/>
  <c r="A3268" i="6"/>
  <c r="A3269" i="6"/>
  <c r="A3" i="6"/>
  <c r="A2" i="6"/>
  <c r="I3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3" i="2"/>
  <c r="J4" i="2"/>
  <c r="J5" i="2"/>
  <c r="J6" i="2"/>
  <c r="J7" i="2"/>
  <c r="J8" i="2"/>
  <c r="J9" i="2"/>
  <c r="J10" i="2"/>
  <c r="J11" i="2"/>
  <c r="J12" i="2"/>
  <c r="J13" i="2"/>
  <c r="J14" i="2"/>
  <c r="J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3" i="2"/>
  <c r="G4" i="2"/>
  <c r="G5" i="2"/>
  <c r="G6" i="2"/>
  <c r="G7" i="2"/>
  <c r="G8" i="2"/>
  <c r="G9" i="2"/>
  <c r="G10" i="2"/>
  <c r="G2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9" i="2"/>
  <c r="F10" i="2"/>
  <c r="F11" i="2"/>
  <c r="F12" i="2"/>
  <c r="F13" i="2"/>
  <c r="F14" i="2"/>
  <c r="F15" i="2"/>
  <c r="F16" i="2"/>
  <c r="F17" i="2"/>
  <c r="F18" i="2"/>
  <c r="F19" i="2"/>
  <c r="F3" i="2"/>
  <c r="F4" i="2"/>
  <c r="F5" i="2"/>
  <c r="F6" i="2"/>
  <c r="F7" i="2"/>
  <c r="F8" i="2"/>
  <c r="F2" i="2"/>
  <c r="C17" i="8" l="1"/>
  <c r="D9" i="8" s="1"/>
  <c r="D12" i="8" l="1"/>
  <c r="D15" i="8"/>
  <c r="D14" i="8"/>
  <c r="D16" i="8"/>
  <c r="D6" i="8"/>
  <c r="D10" i="8"/>
  <c r="D11" i="8"/>
  <c r="D7" i="8"/>
  <c r="D13" i="8"/>
  <c r="D8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<sst xmlns="http://schemas.openxmlformats.org/spreadsheetml/2006/main" count="28641" uniqueCount="746">
  <si>
    <t>team1</t>
  </si>
  <si>
    <t>team2</t>
  </si>
  <si>
    <t>winner</t>
  </si>
  <si>
    <t>margin</t>
  </si>
  <si>
    <t>matchDate</t>
  </si>
  <si>
    <t>match_id</t>
  </si>
  <si>
    <t>Super Kings</t>
  </si>
  <si>
    <t>KKR</t>
  </si>
  <si>
    <t>27 runs</t>
  </si>
  <si>
    <t>T203817</t>
  </si>
  <si>
    <t>Capitals</t>
  </si>
  <si>
    <t>3 wickets</t>
  </si>
  <si>
    <t>T206442</t>
  </si>
  <si>
    <t>RCB</t>
  </si>
  <si>
    <t>4 wickets</t>
  </si>
  <si>
    <t>T208597</t>
  </si>
  <si>
    <t>T201819</t>
  </si>
  <si>
    <t>7 wickets</t>
  </si>
  <si>
    <t>T205942</t>
  </si>
  <si>
    <t>Mumbai</t>
  </si>
  <si>
    <t>Sunrisers</t>
  </si>
  <si>
    <t>42 runs</t>
  </si>
  <si>
    <t>T201979</t>
  </si>
  <si>
    <t>Royals</t>
  </si>
  <si>
    <t>86 runs</t>
  </si>
  <si>
    <t>T204179</t>
  </si>
  <si>
    <t>Punjab Kings</t>
  </si>
  <si>
    <t>6 wickets</t>
  </si>
  <si>
    <t>T201866</t>
  </si>
  <si>
    <t>4 runs</t>
  </si>
  <si>
    <t>T209992</t>
  </si>
  <si>
    <t>8 wickets</t>
  </si>
  <si>
    <t>T205599</t>
  </si>
  <si>
    <t>T207682</t>
  </si>
  <si>
    <t>T207430</t>
  </si>
  <si>
    <t>6 runs</t>
  </si>
  <si>
    <t>T207754</t>
  </si>
  <si>
    <t>T205672</t>
  </si>
  <si>
    <t>T209349</t>
  </si>
  <si>
    <t>5 wickets</t>
  </si>
  <si>
    <t>T201051</t>
  </si>
  <si>
    <t>T203061</t>
  </si>
  <si>
    <t>T204742</t>
  </si>
  <si>
    <t>T208262</t>
  </si>
  <si>
    <t>T206700</t>
  </si>
  <si>
    <t>T206862</t>
  </si>
  <si>
    <t>54 runs</t>
  </si>
  <si>
    <t>T203043</t>
  </si>
  <si>
    <t>2 wickets</t>
  </si>
  <si>
    <t>T202406</t>
  </si>
  <si>
    <t>5 runs</t>
  </si>
  <si>
    <t>T203188</t>
  </si>
  <si>
    <t>33 runs</t>
  </si>
  <si>
    <t>T202046</t>
  </si>
  <si>
    <t>T207776</t>
  </si>
  <si>
    <t>T202680</t>
  </si>
  <si>
    <t>T204364</t>
  </si>
  <si>
    <t>2 runs</t>
  </si>
  <si>
    <t>T207857</t>
  </si>
  <si>
    <t>9 wickets</t>
  </si>
  <si>
    <t>T204307</t>
  </si>
  <si>
    <t>20 runs</t>
  </si>
  <si>
    <t>T201256</t>
  </si>
  <si>
    <t>T208407</t>
  </si>
  <si>
    <t>55 runs</t>
  </si>
  <si>
    <t>T209103</t>
  </si>
  <si>
    <t>T203694</t>
  </si>
  <si>
    <t>34 runs</t>
  </si>
  <si>
    <t>T208245</t>
  </si>
  <si>
    <t>T201595</t>
  </si>
  <si>
    <t>T209461</t>
  </si>
  <si>
    <t>T205094</t>
  </si>
  <si>
    <t>1 run</t>
  </si>
  <si>
    <t>T208915</t>
  </si>
  <si>
    <t>T209997</t>
  </si>
  <si>
    <t>69 runs</t>
  </si>
  <si>
    <t>T202915</t>
  </si>
  <si>
    <t>T205585</t>
  </si>
  <si>
    <t>T204808</t>
  </si>
  <si>
    <t>10 wickets</t>
  </si>
  <si>
    <t>T201545</t>
  </si>
  <si>
    <t>18 runs</t>
  </si>
  <si>
    <t>T202233</t>
  </si>
  <si>
    <t>T204912</t>
  </si>
  <si>
    <t>T207273</t>
  </si>
  <si>
    <t>45 runs</t>
  </si>
  <si>
    <t>T209089</t>
  </si>
  <si>
    <t>T209593</t>
  </si>
  <si>
    <t>38 runs</t>
  </si>
  <si>
    <t>T202791</t>
  </si>
  <si>
    <t>13 runs</t>
  </si>
  <si>
    <t>T201372</t>
  </si>
  <si>
    <t>T205292</t>
  </si>
  <si>
    <t>T203570</t>
  </si>
  <si>
    <t>T202204</t>
  </si>
  <si>
    <t>10 runs</t>
  </si>
  <si>
    <t>T209194</t>
  </si>
  <si>
    <t>T207896</t>
  </si>
  <si>
    <t>T209178</t>
  </si>
  <si>
    <t>T206363</t>
  </si>
  <si>
    <t>T203784</t>
  </si>
  <si>
    <t>Titans</t>
  </si>
  <si>
    <t>T202715</t>
  </si>
  <si>
    <t>T201109</t>
  </si>
  <si>
    <t>Super Giants</t>
  </si>
  <si>
    <t>14 runs</t>
  </si>
  <si>
    <t>T207136</t>
  </si>
  <si>
    <t>T203302</t>
  </si>
  <si>
    <t>T204029</t>
  </si>
  <si>
    <t>T205729</t>
  </si>
  <si>
    <t>T203588</t>
  </si>
  <si>
    <t>T201867</t>
  </si>
  <si>
    <t>T202863</t>
  </si>
  <si>
    <t>3 runs</t>
  </si>
  <si>
    <t>T206060</t>
  </si>
  <si>
    <t>17 runs</t>
  </si>
  <si>
    <t>T209295</t>
  </si>
  <si>
    <t>24 runs</t>
  </si>
  <si>
    <t>T204939</t>
  </si>
  <si>
    <t>T204140</t>
  </si>
  <si>
    <t>T209676</t>
  </si>
  <si>
    <t>T203332</t>
  </si>
  <si>
    <t>T203878</t>
  </si>
  <si>
    <t>T201826</t>
  </si>
  <si>
    <t>62 runs</t>
  </si>
  <si>
    <t>T207400</t>
  </si>
  <si>
    <t>52 runs</t>
  </si>
  <si>
    <t>T203087</t>
  </si>
  <si>
    <t>91 runs</t>
  </si>
  <si>
    <t>T205352</t>
  </si>
  <si>
    <t>67 runs</t>
  </si>
  <si>
    <t>T207464</t>
  </si>
  <si>
    <t>75 runs</t>
  </si>
  <si>
    <t>T204710</t>
  </si>
  <si>
    <t>T201231</t>
  </si>
  <si>
    <t>T201720</t>
  </si>
  <si>
    <t>21 runs</t>
  </si>
  <si>
    <t>T201248</t>
  </si>
  <si>
    <t>T207511</t>
  </si>
  <si>
    <t>T209502</t>
  </si>
  <si>
    <t>T201137</t>
  </si>
  <si>
    <t>T206274</t>
  </si>
  <si>
    <t>T208561</t>
  </si>
  <si>
    <t>T204259</t>
  </si>
  <si>
    <t>T208841</t>
  </si>
  <si>
    <t>T207116</t>
  </si>
  <si>
    <t>T209582</t>
  </si>
  <si>
    <t>T209115</t>
  </si>
  <si>
    <t>29 runs</t>
  </si>
  <si>
    <t>T205212</t>
  </si>
  <si>
    <t>11 runs</t>
  </si>
  <si>
    <t>T207611</t>
  </si>
  <si>
    <t>36 runs</t>
  </si>
  <si>
    <t>T208801</t>
  </si>
  <si>
    <t>T208774</t>
  </si>
  <si>
    <t>8 runs</t>
  </si>
  <si>
    <t>T208514</t>
  </si>
  <si>
    <t>15 runs</t>
  </si>
  <si>
    <t>T206421</t>
  </si>
  <si>
    <t>T202326</t>
  </si>
  <si>
    <t>T203741</t>
  </si>
  <si>
    <t>T204535</t>
  </si>
  <si>
    <t>7 runs</t>
  </si>
  <si>
    <t>T206892</t>
  </si>
  <si>
    <t>T206030</t>
  </si>
  <si>
    <t>T208958</t>
  </si>
  <si>
    <t>16 runs</t>
  </si>
  <si>
    <t>T205793</t>
  </si>
  <si>
    <t>T204555</t>
  </si>
  <si>
    <t>T208105</t>
  </si>
  <si>
    <t>37 runs</t>
  </si>
  <si>
    <t>T207043</t>
  </si>
  <si>
    <t>12 runs</t>
  </si>
  <si>
    <t>T208002</t>
  </si>
  <si>
    <t>23 runs</t>
  </si>
  <si>
    <t>T203601</t>
  </si>
  <si>
    <t>T208211</t>
  </si>
  <si>
    <t>T207999</t>
  </si>
  <si>
    <t>44 runs</t>
  </si>
  <si>
    <t>T208705</t>
  </si>
  <si>
    <t>T204746</t>
  </si>
  <si>
    <t>T209199</t>
  </si>
  <si>
    <t>T202634</t>
  </si>
  <si>
    <t>T204296</t>
  </si>
  <si>
    <t>T207856</t>
  </si>
  <si>
    <t>T203456</t>
  </si>
  <si>
    <t>T204825</t>
  </si>
  <si>
    <t>T206118</t>
  </si>
  <si>
    <t>T205181</t>
  </si>
  <si>
    <t>T209847</t>
  </si>
  <si>
    <t>T203227</t>
  </si>
  <si>
    <t>T207058</t>
  </si>
  <si>
    <t>T203578</t>
  </si>
  <si>
    <t>61 runs</t>
  </si>
  <si>
    <t>T205314</t>
  </si>
  <si>
    <t>T202349</t>
  </si>
  <si>
    <t>T208141</t>
  </si>
  <si>
    <t>T205838</t>
  </si>
  <si>
    <t>T201512</t>
  </si>
  <si>
    <t>May 28-29, 2023</t>
  </si>
  <si>
    <t>T208201</t>
  </si>
  <si>
    <t>T203496</t>
  </si>
  <si>
    <t>81 runs</t>
  </si>
  <si>
    <t>T203571</t>
  </si>
  <si>
    <t>T206084</t>
  </si>
  <si>
    <t>T201605</t>
  </si>
  <si>
    <t>T206817</t>
  </si>
  <si>
    <t>T203370</t>
  </si>
  <si>
    <t>77 runs</t>
  </si>
  <si>
    <t>T206925</t>
  </si>
  <si>
    <t>T205037</t>
  </si>
  <si>
    <t>T202467</t>
  </si>
  <si>
    <t>T201082</t>
  </si>
  <si>
    <t>T208249</t>
  </si>
  <si>
    <t>T208692</t>
  </si>
  <si>
    <t>T206211</t>
  </si>
  <si>
    <t>112 runs</t>
  </si>
  <si>
    <t>T204453</t>
  </si>
  <si>
    <t>31 runs</t>
  </si>
  <si>
    <t>T208032</t>
  </si>
  <si>
    <t>T204737</t>
  </si>
  <si>
    <t>T203656</t>
  </si>
  <si>
    <t>T205338</t>
  </si>
  <si>
    <t>T209224</t>
  </si>
  <si>
    <t>T205430</t>
  </si>
  <si>
    <t>T201181</t>
  </si>
  <si>
    <t>T201576</t>
  </si>
  <si>
    <t>56 runs</t>
  </si>
  <si>
    <t>T201503</t>
  </si>
  <si>
    <t>T208517</t>
  </si>
  <si>
    <t>T204004</t>
  </si>
  <si>
    <t>T206195</t>
  </si>
  <si>
    <t>T208611</t>
  </si>
  <si>
    <t>T205138</t>
  </si>
  <si>
    <t>T203464</t>
  </si>
  <si>
    <t>T203494</t>
  </si>
  <si>
    <t>T204100</t>
  </si>
  <si>
    <t>T204443</t>
  </si>
  <si>
    <t>9 runs</t>
  </si>
  <si>
    <t>T207344</t>
  </si>
  <si>
    <t>T201505</t>
  </si>
  <si>
    <t>T204958</t>
  </si>
  <si>
    <t>32 runs</t>
  </si>
  <si>
    <t>T204283</t>
  </si>
  <si>
    <t>T202291</t>
  </si>
  <si>
    <t>T208781</t>
  </si>
  <si>
    <t>T206316</t>
  </si>
  <si>
    <t>49 runs</t>
  </si>
  <si>
    <t>T207135</t>
  </si>
  <si>
    <t>T205220</t>
  </si>
  <si>
    <t>T204462</t>
  </si>
  <si>
    <t>T208595</t>
  </si>
  <si>
    <t>T208568</t>
  </si>
  <si>
    <t>T206506</t>
  </si>
  <si>
    <t>T209410</t>
  </si>
  <si>
    <t>T205539</t>
  </si>
  <si>
    <t>T203831</t>
  </si>
  <si>
    <t>T206232</t>
  </si>
  <si>
    <t>T204210</t>
  </si>
  <si>
    <t>T202897</t>
  </si>
  <si>
    <t>T203424</t>
  </si>
  <si>
    <t>T208157</t>
  </si>
  <si>
    <t>T209839</t>
  </si>
  <si>
    <t>T206541</t>
  </si>
  <si>
    <t>T201215</t>
  </si>
  <si>
    <t>T207664</t>
  </si>
  <si>
    <t>1 wicket</t>
  </si>
  <si>
    <t>T202162</t>
  </si>
  <si>
    <t>T206444</t>
  </si>
  <si>
    <t>T208626</t>
  </si>
  <si>
    <t>T206408</t>
  </si>
  <si>
    <t>57 runs</t>
  </si>
  <si>
    <t>T207547</t>
  </si>
  <si>
    <t>T209590</t>
  </si>
  <si>
    <t>T207668</t>
  </si>
  <si>
    <t>T201031</t>
  </si>
  <si>
    <t>T205026</t>
  </si>
  <si>
    <t>T202790</t>
  </si>
  <si>
    <t>T202485</t>
  </si>
  <si>
    <t>72 runs</t>
  </si>
  <si>
    <t>T209117</t>
  </si>
  <si>
    <t>50 runs</t>
  </si>
  <si>
    <t>T208512</t>
  </si>
  <si>
    <t>T202853</t>
  </si>
  <si>
    <t>T201566</t>
  </si>
  <si>
    <t>name</t>
  </si>
  <si>
    <t>team</t>
  </si>
  <si>
    <t>battingStyle</t>
  </si>
  <si>
    <t>bowlingStyle</t>
  </si>
  <si>
    <t>playingRole</t>
  </si>
  <si>
    <t>RuturajGaikwad</t>
  </si>
  <si>
    <t>Right hand Bat</t>
  </si>
  <si>
    <t>Right arm Offbreak</t>
  </si>
  <si>
    <t>Batter</t>
  </si>
  <si>
    <t>FafduPlessis</t>
  </si>
  <si>
    <t>Legbreak</t>
  </si>
  <si>
    <t>Middle order Batter</t>
  </si>
  <si>
    <t>RobinUthappa</t>
  </si>
  <si>
    <t>Right arm Medium</t>
  </si>
  <si>
    <t>MoeenAli</t>
  </si>
  <si>
    <t>Left hand Bat</t>
  </si>
  <si>
    <t>Batting Allrounder</t>
  </si>
  <si>
    <t>ShubmanGill</t>
  </si>
  <si>
    <t>Opening Batter</t>
  </si>
  <si>
    <t>VenkateshIyer</t>
  </si>
  <si>
    <t>Allrounder</t>
  </si>
  <si>
    <t>NitishRana</t>
  </si>
  <si>
    <t>Right arm Medium, Right arm Offbreak, Legbreak</t>
  </si>
  <si>
    <t>SunilNarine</t>
  </si>
  <si>
    <t>Bowling Allrounder</t>
  </si>
  <si>
    <t>EoinMorgan</t>
  </si>
  <si>
    <t>DineshKarthik</t>
  </si>
  <si>
    <t>Wicketkeeper Batter</t>
  </si>
  <si>
    <t>ShakibAlHasan</t>
  </si>
  <si>
    <t>Slow Left arm Orthodox</t>
  </si>
  <si>
    <t>RahulTripathi</t>
  </si>
  <si>
    <t>Top order Batter</t>
  </si>
  <si>
    <t>LockieFerguson</t>
  </si>
  <si>
    <t>Right arm Fast</t>
  </si>
  <si>
    <t>Bowler</t>
  </si>
  <si>
    <t>ShivamMavi</t>
  </si>
  <si>
    <t>Right arm Fast medium</t>
  </si>
  <si>
    <t>VarunChakravarthy</t>
  </si>
  <si>
    <t>Legbreak Googly</t>
  </si>
  <si>
    <t>DeepakChahar</t>
  </si>
  <si>
    <t>JoshHazlewood</t>
  </si>
  <si>
    <t>ShardulThakur</t>
  </si>
  <si>
    <t>DwayneBravo</t>
  </si>
  <si>
    <t>RavindraJadeja</t>
  </si>
  <si>
    <t>PrithviShaw</t>
  </si>
  <si>
    <t>ShikharDhawan</t>
  </si>
  <si>
    <t>MarcusStoinis</t>
  </si>
  <si>
    <t>ShreyasIyer</t>
  </si>
  <si>
    <t>Right arm Offbreak, Legbreak Googly</t>
  </si>
  <si>
    <t>RishabhPant</t>
  </si>
  <si>
    <t>Not Available</t>
  </si>
  <si>
    <t>ShimronHetmyer</t>
  </si>
  <si>
    <t>AxarPatel</t>
  </si>
  <si>
    <t>AnrichNortje</t>
  </si>
  <si>
    <t>RavichandranAshwin</t>
  </si>
  <si>
    <t>AveshKhan</t>
  </si>
  <si>
    <t>KagisoRabada</t>
  </si>
  <si>
    <t>DevduttPadikkal</t>
  </si>
  <si>
    <t>ViratKohli</t>
  </si>
  <si>
    <t>SrikarBharat</t>
  </si>
  <si>
    <t>GlennMaxwell</t>
  </si>
  <si>
    <t>ABdeVilliers</t>
  </si>
  <si>
    <t>ShahbazAhmed</t>
  </si>
  <si>
    <t>DanChristian</t>
  </si>
  <si>
    <t>HarshalPatel</t>
  </si>
  <si>
    <t>GeorgeGarton</t>
  </si>
  <si>
    <t>Left arm Fast</t>
  </si>
  <si>
    <t>MohammedSiraj</t>
  </si>
  <si>
    <t>YuzvendraChahal</t>
  </si>
  <si>
    <t>TomCurran</t>
  </si>
  <si>
    <t>AmbatiRayudu</t>
  </si>
  <si>
    <t>MSDhoni</t>
  </si>
  <si>
    <t>RipalPatel</t>
  </si>
  <si>
    <t>Right arm Medium fast</t>
  </si>
  <si>
    <t>RohitSharma</t>
  </si>
  <si>
    <t>IshanKishan</t>
  </si>
  <si>
    <t>HardikPandya</t>
  </si>
  <si>
    <t>KieronPollard</t>
  </si>
  <si>
    <t>SuryakumarYadav</t>
  </si>
  <si>
    <t>Right arm Medium, Right arm Offbreak</t>
  </si>
  <si>
    <t>JamesNeesham</t>
  </si>
  <si>
    <t>KrunalPandya</t>
  </si>
  <si>
    <t>NathanCoulter-Nile</t>
  </si>
  <si>
    <t>PiyushChawla</t>
  </si>
  <si>
    <t>JaspritBumrah</t>
  </si>
  <si>
    <t>TrentBoult</t>
  </si>
  <si>
    <t>Left arm Fast medium</t>
  </si>
  <si>
    <t>JasonRoy</t>
  </si>
  <si>
    <t>AbhishekSharma</t>
  </si>
  <si>
    <t>ManishPandey</t>
  </si>
  <si>
    <t>MohammadNabi</t>
  </si>
  <si>
    <t>AbdulSamad</t>
  </si>
  <si>
    <t>PriyamGarg</t>
  </si>
  <si>
    <t>JasonHolder</t>
  </si>
  <si>
    <t>RashidKhan</t>
  </si>
  <si>
    <t>WriddhimanSaha</t>
  </si>
  <si>
    <t>SiddarthKaul</t>
  </si>
  <si>
    <t>UmranMalik</t>
  </si>
  <si>
    <t>YashasviJaiswal</t>
  </si>
  <si>
    <t>LiamLivingstone</t>
  </si>
  <si>
    <t>Right arm Offbreak, Legbreak</t>
  </si>
  <si>
    <t>SanjuSamson</t>
  </si>
  <si>
    <t>ShivamDube</t>
  </si>
  <si>
    <t>AnujRawat</t>
  </si>
  <si>
    <t>GlennPhillips</t>
  </si>
  <si>
    <t>RahulTewatia</t>
  </si>
  <si>
    <t>ChrisMorris</t>
  </si>
  <si>
    <t>JaydevUnadkat</t>
  </si>
  <si>
    <t>Left arm Medium</t>
  </si>
  <si>
    <t>ChetanSakariya</t>
  </si>
  <si>
    <t>Left arm Medium fast</t>
  </si>
  <si>
    <t>MustafizurRahman</t>
  </si>
  <si>
    <t>KLRahul</t>
  </si>
  <si>
    <t>MayankAgarwal</t>
  </si>
  <si>
    <t>SarfarazKhan</t>
  </si>
  <si>
    <t>MShahrukhKhan</t>
  </si>
  <si>
    <t>AidenMarkram</t>
  </si>
  <si>
    <t>MoisesHenriques</t>
  </si>
  <si>
    <t>MohammedShami</t>
  </si>
  <si>
    <t>HarpreetBrar</t>
  </si>
  <si>
    <t>ArshdeepSingh</t>
  </si>
  <si>
    <t>ChrisJordan</t>
  </si>
  <si>
    <t>RaviBishnoi</t>
  </si>
  <si>
    <t>KaneWilliamson</t>
  </si>
  <si>
    <t>BhuvneshwarKumar</t>
  </si>
  <si>
    <t>EvinLewis</t>
  </si>
  <si>
    <t>DavidMiller</t>
  </si>
  <si>
    <t>ShreyasGopal</t>
  </si>
  <si>
    <t>KuldipYadav</t>
  </si>
  <si>
    <t>JayantYadav</t>
  </si>
  <si>
    <t>TimSouthee</t>
  </si>
  <si>
    <t>NicholasPooran</t>
  </si>
  <si>
    <t>SureshRaina</t>
  </si>
  <si>
    <t>AkashSingh</t>
  </si>
  <si>
    <t>MayankMarkande</t>
  </si>
  <si>
    <t>SamCurran</t>
  </si>
  <si>
    <t>KMAsif</t>
  </si>
  <si>
    <t>QuintondeKock</t>
  </si>
  <si>
    <t>SaurabhTiwary</t>
  </si>
  <si>
    <t>StevenSmith</t>
  </si>
  <si>
    <t>TimSeifert</t>
  </si>
  <si>
    <t>DeepakHooda</t>
  </si>
  <si>
    <t>FabianAllen</t>
  </si>
  <si>
    <t>NathanEllis</t>
  </si>
  <si>
    <t>SandeepSharma</t>
  </si>
  <si>
    <t>MahipalLomror</t>
  </si>
  <si>
    <t>RiyanParag</t>
  </si>
  <si>
    <t>KartikTyagi</t>
  </si>
  <si>
    <t>MandeepSingh</t>
  </si>
  <si>
    <t>ChrisGayle</t>
  </si>
  <si>
    <t>RahulChahar</t>
  </si>
  <si>
    <t>LalitYadav</t>
  </si>
  <si>
    <t>SandeepWarrier</t>
  </si>
  <si>
    <t>KyleJamieson</t>
  </si>
  <si>
    <t>AdamMilne</t>
  </si>
  <si>
    <t>AndreRussell</t>
  </si>
  <si>
    <t>PrasidhKrishna</t>
  </si>
  <si>
    <t>DavidWarner</t>
  </si>
  <si>
    <t>KedarJadhav</t>
  </si>
  <si>
    <t>KhaleelAhmed</t>
  </si>
  <si>
    <t>TabraizShamsi</t>
  </si>
  <si>
    <t>Left arm Wrist spin</t>
  </si>
  <si>
    <t>TimDavid</t>
  </si>
  <si>
    <t>WaninduHasaranga</t>
  </si>
  <si>
    <t>NavdeepSaini</t>
  </si>
  <si>
    <t>IshanPorel</t>
  </si>
  <si>
    <t>AdilRashid</t>
  </si>
  <si>
    <t>SachinBaby</t>
  </si>
  <si>
    <t>AnmolpreetSingh</t>
  </si>
  <si>
    <t>PrabhsimranSingh</t>
  </si>
  <si>
    <t>DawidMalan</t>
  </si>
  <si>
    <t>IshantSharma</t>
  </si>
  <si>
    <t>RileyMeredith</t>
  </si>
  <si>
    <t>JosButtler</t>
  </si>
  <si>
    <t>JonnyBairstow</t>
  </si>
  <si>
    <t>VijayShankar</t>
  </si>
  <si>
    <t>DhawalKulkarni</t>
  </si>
  <si>
    <t>LungiNgidi</t>
  </si>
  <si>
    <t>RajatPatidar</t>
  </si>
  <si>
    <t>DanielSams</t>
  </si>
  <si>
    <t>PatCummins</t>
  </si>
  <si>
    <t>JagadeeshaSuchith</t>
  </si>
  <si>
    <t>WashingtonSundar</t>
  </si>
  <si>
    <t>AmitMishra</t>
  </si>
  <si>
    <t>ImranTahir</t>
  </si>
  <si>
    <t>MananVohra</t>
  </si>
  <si>
    <t>KaneRichardson</t>
  </si>
  <si>
    <t>KamleshNagarkoti</t>
  </si>
  <si>
    <t>MuruganAshwin</t>
  </si>
  <si>
    <t>ChrisWoakes</t>
  </si>
  <si>
    <t>LukmanMeriwala</t>
  </si>
  <si>
    <t>JalajSaxena</t>
  </si>
  <si>
    <t>JhyeRichardson</t>
  </si>
  <si>
    <t>HarbhajanSingh</t>
  </si>
  <si>
    <t>ViratSingh</t>
  </si>
  <si>
    <t>MujeebUrRahman</t>
  </si>
  <si>
    <t>AjinkyaRahane</t>
  </si>
  <si>
    <t>ShahbazNadeem</t>
  </si>
  <si>
    <t>TNatarajan</t>
  </si>
  <si>
    <t>MarcoJansen</t>
  </si>
  <si>
    <t>BenStokes</t>
  </si>
  <si>
    <t>ChrisLynn</t>
  </si>
  <si>
    <t>ObedMcCoy</t>
  </si>
  <si>
    <t>MatthewWade</t>
  </si>
  <si>
    <t>YashDayal</t>
  </si>
  <si>
    <t>SaiKishore</t>
  </si>
  <si>
    <t>DushmanthaChameera</t>
  </si>
  <si>
    <t>MohsinKhan</t>
  </si>
  <si>
    <t>AlzarriJoseph</t>
  </si>
  <si>
    <t>RomarioShepherd</t>
  </si>
  <si>
    <t>JiteshSharma</t>
  </si>
  <si>
    <t>PrerakMankad</t>
  </si>
  <si>
    <t>FazalhaqFarooqi</t>
  </si>
  <si>
    <t>MitchellMarsh</t>
  </si>
  <si>
    <t>RovmanPowell</t>
  </si>
  <si>
    <t>KuldeepYadav</t>
  </si>
  <si>
    <t>DewaldBrevis</t>
  </si>
  <si>
    <t>TilakVarma</t>
  </si>
  <si>
    <t>RamandeepSingh</t>
  </si>
  <si>
    <t>HrithikShokeen</t>
  </si>
  <si>
    <t>DevonConway</t>
  </si>
  <si>
    <t>NarayanJagadeesan</t>
  </si>
  <si>
    <t>MitchellSantner</t>
  </si>
  <si>
    <t>SimarjeetSingh</t>
  </si>
  <si>
    <t>MukeshChoudhary</t>
  </si>
  <si>
    <t>MatheeshaPathirana</t>
  </si>
  <si>
    <t>PrashantSolanki</t>
  </si>
  <si>
    <t>AbhijeetTomar</t>
  </si>
  <si>
    <t>SamBillings</t>
  </si>
  <si>
    <t>RinkuSingh</t>
  </si>
  <si>
    <t>UmeshYadav</t>
  </si>
  <si>
    <t>KrishnappaGowtham</t>
  </si>
  <si>
    <t>TristanStubbs</t>
  </si>
  <si>
    <t>SanjayYadav</t>
  </si>
  <si>
    <t>BhanukaRajapaksa</t>
  </si>
  <si>
    <t>RishiDhawan</t>
  </si>
  <si>
    <t>AyushBadoni</t>
  </si>
  <si>
    <t>ShashankSingh</t>
  </si>
  <si>
    <t>MaheeshTheekshana</t>
  </si>
  <si>
    <t>KumarKartikeya</t>
  </si>
  <si>
    <t>Slow Left arm Orthodox, Left arm Wrist spin</t>
  </si>
  <si>
    <t>RassievanderDussen</t>
  </si>
  <si>
    <t>KuldeepSen</t>
  </si>
  <si>
    <t>KaranSharma</t>
  </si>
  <si>
    <t>SheldonJackson</t>
  </si>
  <si>
    <t>BabaIndrajith</t>
  </si>
  <si>
    <t>AaronFinch</t>
  </si>
  <si>
    <t>AnukulRoy</t>
  </si>
  <si>
    <t>HarshitRana</t>
  </si>
  <si>
    <t>SaiSudharsan</t>
  </si>
  <si>
    <t>PradeepSangwan</t>
  </si>
  <si>
    <t>SeanAbbott</t>
  </si>
  <si>
    <t>DwainePretorius</t>
  </si>
  <si>
    <t>KarunNair</t>
  </si>
  <si>
    <t>DarylMitchell</t>
  </si>
  <si>
    <t>AbhinavManohar</t>
  </si>
  <si>
    <t>SuyashPrabhudessai</t>
  </si>
  <si>
    <t>VaibhavArora</t>
  </si>
  <si>
    <t>OdeanSmith</t>
  </si>
  <si>
    <t>TymalMills</t>
  </si>
  <si>
    <t>AmanHakimKhan</t>
  </si>
  <si>
    <t>BasilThampi</t>
  </si>
  <si>
    <t>AkashDeep</t>
  </si>
  <si>
    <t>DarshanNalkande</t>
  </si>
  <si>
    <t>RasikhSalam</t>
  </si>
  <si>
    <t>DavidWilley</t>
  </si>
  <si>
    <t>AndrewTye</t>
  </si>
  <si>
    <t>SherfaneRutherford</t>
  </si>
  <si>
    <t>VarunAaron</t>
  </si>
  <si>
    <t>RajBawa</t>
  </si>
  <si>
    <t>TusharDeshpande</t>
  </si>
  <si>
    <t>NoorAhmad</t>
  </si>
  <si>
    <t>JoshLittle</t>
  </si>
  <si>
    <t>MohitSharma</t>
  </si>
  <si>
    <t>NehalWadhera</t>
  </si>
  <si>
    <t>CameronGreen</t>
  </si>
  <si>
    <t>VishnuVinod</t>
  </si>
  <si>
    <t>JasonBehrendorff</t>
  </si>
  <si>
    <t>AkashMadhwal</t>
  </si>
  <si>
    <t>KyleMayers</t>
  </si>
  <si>
    <t>Naveen-ul-Haq</t>
  </si>
  <si>
    <t>YashThakur</t>
  </si>
  <si>
    <t>DasunShanaka</t>
  </si>
  <si>
    <t>MichaelBracewell</t>
  </si>
  <si>
    <t>WayneParnell</t>
  </si>
  <si>
    <t>VijaykumarVyshak</t>
  </si>
  <si>
    <t>HimanshuSharma</t>
  </si>
  <si>
    <t>VivrantSharma</t>
  </si>
  <si>
    <t>HeinrichKlaasen</t>
  </si>
  <si>
    <t>HarryBrook</t>
  </si>
  <si>
    <t>SanvirSingh</t>
  </si>
  <si>
    <t>NitishKumarReddy</t>
  </si>
  <si>
    <t>MayankDagar</t>
  </si>
  <si>
    <t>RahmanullahGurbaz</t>
  </si>
  <si>
    <t>SuyashSharma</t>
  </si>
  <si>
    <t>PhilSalt</t>
  </si>
  <si>
    <t>RileeRossouw</t>
  </si>
  <si>
    <t>YashDhull</t>
  </si>
  <si>
    <t>AtharvaTaide</t>
  </si>
  <si>
    <t>DhruvJurel</t>
  </si>
  <si>
    <t>AdamZampa</t>
  </si>
  <si>
    <t>KarnSharma</t>
  </si>
  <si>
    <t>MukeshKumar</t>
  </si>
  <si>
    <t>SwapnilSingh</t>
  </si>
  <si>
    <t>JoeRoot</t>
  </si>
  <si>
    <t>SikandarRaza</t>
  </si>
  <si>
    <t>PraveenDubey</t>
  </si>
  <si>
    <t>YudhvirSingh</t>
  </si>
  <si>
    <t>ArshadKhan</t>
  </si>
  <si>
    <t>JofraArcher</t>
  </si>
  <si>
    <t>RaghavGoyal</t>
  </si>
  <si>
    <t>MatthewShort</t>
  </si>
  <si>
    <t>AkealHosein</t>
  </si>
  <si>
    <t>DavidWiese</t>
  </si>
  <si>
    <t>GurnoorBrar</t>
  </si>
  <si>
    <t>ArjunTendulkar</t>
  </si>
  <si>
    <t>KulwantKhejroliya</t>
  </si>
  <si>
    <t>AbdulBasith</t>
  </si>
  <si>
    <t>HarpreetSingh</t>
  </si>
  <si>
    <t>LittonDas</t>
  </si>
  <si>
    <t>DuanJansen</t>
  </si>
  <si>
    <t>MarkWood</t>
  </si>
  <si>
    <t>AbishekPorel</t>
  </si>
  <si>
    <t>SisandaMagala</t>
  </si>
  <si>
    <t>MohitRathee</t>
  </si>
  <si>
    <t>RajvardhanHangargekar</t>
  </si>
  <si>
    <t>ReeceTopley</t>
  </si>
  <si>
    <t>match</t>
  </si>
  <si>
    <t>teamInnings</t>
  </si>
  <si>
    <t>battingPos</t>
  </si>
  <si>
    <t>batsmanName</t>
  </si>
  <si>
    <t>out/not_out</t>
  </si>
  <si>
    <t>runs</t>
  </si>
  <si>
    <t>balls</t>
  </si>
  <si>
    <t>4s</t>
  </si>
  <si>
    <t>6s</t>
  </si>
  <si>
    <t>Super Kings Vs KKR</t>
  </si>
  <si>
    <t>out</t>
  </si>
  <si>
    <t>not_out</t>
  </si>
  <si>
    <t>Capitals Vs KKR</t>
  </si>
  <si>
    <t>RCB Vs KKR</t>
  </si>
  <si>
    <t>Capitals Vs Super Kings</t>
  </si>
  <si>
    <t>Capitals Vs RCB</t>
  </si>
  <si>
    <t>Mumbai Vs Sunrisers</t>
  </si>
  <si>
    <t>KKR Vs Royals</t>
  </si>
  <si>
    <t>Super Kings Vs Punjab Kings</t>
  </si>
  <si>
    <t>Sunrisers Vs RCB</t>
  </si>
  <si>
    <t>Royals Vs Mumbai</t>
  </si>
  <si>
    <t>Super Kings Vs Capitals</t>
  </si>
  <si>
    <t>Sunrisers Vs KKR</t>
  </si>
  <si>
    <t>RCB Vs Punjab Kings</t>
  </si>
  <si>
    <t>Super Kings Vs Royals</t>
  </si>
  <si>
    <t>Mumbai Vs Capitals</t>
  </si>
  <si>
    <t>KKR Vs Punjab Kings</t>
  </si>
  <si>
    <t>Sunrisers Vs Super Kings</t>
  </si>
  <si>
    <t>Royals Vs RCB</t>
  </si>
  <si>
    <t>Punjab Kings Vs Mumbai</t>
  </si>
  <si>
    <t>Royals Vs Sunrisers</t>
  </si>
  <si>
    <t>RCB Vs Mumbai</t>
  </si>
  <si>
    <t>KKR Vs Super Kings</t>
  </si>
  <si>
    <t>Punjab Kings Vs Sunrisers</t>
  </si>
  <si>
    <t>Capitals Vs Royals</t>
  </si>
  <si>
    <t>RCB Vs Super Kings</t>
  </si>
  <si>
    <t>Mumbai Vs KKR</t>
  </si>
  <si>
    <t>Sunrisers Vs Capitals</t>
  </si>
  <si>
    <t>Royals Vs Punjab Kings</t>
  </si>
  <si>
    <t>Super Kings Vs Mumbai</t>
  </si>
  <si>
    <t>Punjab Kings Vs Capitals</t>
  </si>
  <si>
    <t>Punjab Kings Vs RCB</t>
  </si>
  <si>
    <t>KKR Vs Capitals</t>
  </si>
  <si>
    <t>RCB Vs Capitals</t>
  </si>
  <si>
    <t>Punjab Kings Vs KKR</t>
  </si>
  <si>
    <t>Super Kings Vs RCB</t>
  </si>
  <si>
    <t>Mumbai Vs Punjab Kings</t>
  </si>
  <si>
    <t>Punjab Kings Vs Super Kings</t>
  </si>
  <si>
    <t>RCB Vs Sunrisers</t>
  </si>
  <si>
    <t>Punjab Kings Vs Royals</t>
  </si>
  <si>
    <t>KKR Vs Sunrisers</t>
  </si>
  <si>
    <t>Mumbai Vs RCB</t>
  </si>
  <si>
    <t>Royals Vs Titans</t>
  </si>
  <si>
    <t>RCB Vs Royals</t>
  </si>
  <si>
    <t>RCB Vs Super Giants</t>
  </si>
  <si>
    <t>Sunrisers Vs Punjab Kings</t>
  </si>
  <si>
    <t>Capitals Vs Mumbai</t>
  </si>
  <si>
    <t>Titans Vs RCB</t>
  </si>
  <si>
    <t>Super Giants Vs KKR</t>
  </si>
  <si>
    <t>Sunrisers Vs Mumbai</t>
  </si>
  <si>
    <t>Capitals Vs Punjab Kings</t>
  </si>
  <si>
    <t>Royals Vs Super Giants</t>
  </si>
  <si>
    <t>Super Kings Vs Titans</t>
  </si>
  <si>
    <t>Royals Vs Capitals</t>
  </si>
  <si>
    <t>Titans Vs Super Giants</t>
  </si>
  <si>
    <t>KKR Vs Mumbai</t>
  </si>
  <si>
    <t>Mumbai Vs Titans</t>
  </si>
  <si>
    <t>Capitals Vs Sunrisers</t>
  </si>
  <si>
    <t>Titans Vs Punjab Kings</t>
  </si>
  <si>
    <t>Royals Vs KKR</t>
  </si>
  <si>
    <t>Super Kings Vs Sunrisers</t>
  </si>
  <si>
    <t>Super Giants Vs Capitals</t>
  </si>
  <si>
    <t>RCB Vs Titans</t>
  </si>
  <si>
    <t>Super Giants Vs Punjab Kings</t>
  </si>
  <si>
    <t>Sunrisers Vs Titans</t>
  </si>
  <si>
    <t>Super Giants Vs Mumbai</t>
  </si>
  <si>
    <t>Titans Vs KKR</t>
  </si>
  <si>
    <t>Mumbai Vs Super Kings</t>
  </si>
  <si>
    <t>Titans Vs Royals</t>
  </si>
  <si>
    <t>Titans Vs Sunrisers</t>
  </si>
  <si>
    <t>Punjab Kings Vs Titans</t>
  </si>
  <si>
    <t>Capitals Vs Super Giants</t>
  </si>
  <si>
    <t>Super Giants Vs Sunrisers</t>
  </si>
  <si>
    <t>Titans Vs Capitals</t>
  </si>
  <si>
    <t>Super Kings Vs Super Giants</t>
  </si>
  <si>
    <t>KKR Vs RCB</t>
  </si>
  <si>
    <t>Super Giants Vs Titans</t>
  </si>
  <si>
    <t>Titans Vs Super Kings</t>
  </si>
  <si>
    <t>Titans Vs Mumbai</t>
  </si>
  <si>
    <t>Mumbai Vs Super Giants</t>
  </si>
  <si>
    <t>Sunrisers Vs Super Giants</t>
  </si>
  <si>
    <t>Capitals Vs Titans</t>
  </si>
  <si>
    <t>KKR Vs Titans</t>
  </si>
  <si>
    <t>Royals Vs Super Kings</t>
  </si>
  <si>
    <t>Super Giants Vs Royals</t>
  </si>
  <si>
    <t>bowlingTeam</t>
  </si>
  <si>
    <t>bowlerName</t>
  </si>
  <si>
    <t>overs</t>
  </si>
  <si>
    <t>maiden</t>
  </si>
  <si>
    <t>wickets</t>
  </si>
  <si>
    <t>economy</t>
  </si>
  <si>
    <t>0s</t>
  </si>
  <si>
    <t>wides</t>
  </si>
  <si>
    <t>noBalls</t>
  </si>
  <si>
    <t>Business Case :</t>
  </si>
  <si>
    <t>SI.No</t>
  </si>
  <si>
    <t>Questions</t>
  </si>
  <si>
    <t>Marks</t>
  </si>
  <si>
    <t>The different sheets contains different data, using these information available in the sheets complete the questions below</t>
  </si>
  <si>
    <t>Total Matches Played</t>
  </si>
  <si>
    <t>Total Runs Scored</t>
  </si>
  <si>
    <t>Total Balls Played</t>
  </si>
  <si>
    <t>Total Deliveries</t>
  </si>
  <si>
    <t>RunsConceded/Runs Given</t>
  </si>
  <si>
    <t>In the dim_players, certain columns (highlighted in yellow) are missing data. Update these columns using the data available in the other sheets.</t>
  </si>
  <si>
    <t>A batsman’s position in the lineup significantly affects their performance. Openers face fresh bowlers, middle-order batsmen stabilize the innings, and finishers accelerate the scoring. Analyzing performance across batting positions helps teams optimize their batting order for different conditions and oppositions.</t>
  </si>
  <si>
    <r>
      <t xml:space="preserve">Analyze batting performance across different positions by creating a column named "Average Runs by Batting Position" in the batting summary table.
</t>
    </r>
    <r>
      <rPr>
        <b/>
        <sz val="11"/>
        <color rgb="FFFF0000"/>
        <rFont val="Calibri"/>
        <family val="2"/>
        <scheme val="minor"/>
      </rPr>
      <t>Hint: Group by "Batting Position" and calculate the average runs scored.</t>
    </r>
  </si>
  <si>
    <t xml:space="preserve"> Display the Total Runs and Average Runs based on the Batting Position. Sort the data in descending order based on Average Runs. Highlight the top 2 batting positions using Conditional Formatting.                                                                       \      (Provide your solution in the sheet labeled "Q3").</t>
  </si>
  <si>
    <r>
      <t xml:space="preserve">Which batting positions contribute the most runs overall?
</t>
    </r>
    <r>
      <rPr>
        <b/>
        <sz val="11"/>
        <color rgb="FFFF0000"/>
        <rFont val="Calibri"/>
        <family val="2"/>
        <scheme val="minor"/>
      </rPr>
      <t>Hint: Group by "Batting Position" and sum "Runs"</t>
    </r>
    <r>
      <rPr>
        <sz val="11"/>
        <color rgb="FFFF0000"/>
        <rFont val="Calibri"/>
        <family val="2"/>
        <scheme val="minor"/>
      </rPr>
      <t>.</t>
    </r>
    <r>
      <rPr>
        <sz val="11"/>
        <color theme="1"/>
        <rFont val="Calibri"/>
        <family val="2"/>
        <scheme val="minor"/>
      </rPr>
      <t xml:space="preserve">
(Provide your solution in the sheet labeled "Q4").</t>
    </r>
  </si>
  <si>
    <r>
      <t xml:space="preserve">Which batting positions have the highest percentage of not-outs?
</t>
    </r>
    <r>
      <rPr>
        <b/>
        <sz val="11"/>
        <color rgb="FFFF0000"/>
        <rFont val="Calibri"/>
        <family val="2"/>
        <scheme val="minor"/>
      </rPr>
      <t>Hint: Use the "out/not_out" column to calculate the not-out percentages by position</t>
    </r>
    <r>
      <rPr>
        <sz val="11"/>
        <color theme="1"/>
        <rFont val="Calibri"/>
        <family val="2"/>
        <scheme val="minor"/>
      </rPr>
      <t>, and generate an appropriate  Chart to visualize the data - Ensure the chart has a proper title and is aligned correctly.  
(Provide your solution in the sheet labeled "Q5").</t>
    </r>
  </si>
  <si>
    <t>Average Runs by Batting Position</t>
  </si>
  <si>
    <t>total runs</t>
  </si>
  <si>
    <t>average runs</t>
  </si>
  <si>
    <t>Which batting positions contribute the most runs overall?</t>
  </si>
  <si>
    <t>QUE/4 =</t>
  </si>
  <si>
    <t>BATTING POSITION</t>
  </si>
  <si>
    <t xml:space="preserve"> runs</t>
  </si>
  <si>
    <t>Which batting positions have the highest percentage of not-outs?</t>
  </si>
  <si>
    <t>QUE/5=</t>
  </si>
  <si>
    <t>BATTING POSITIONS</t>
  </si>
  <si>
    <t>TOTAL</t>
  </si>
  <si>
    <t>AVG=9.1</t>
  </si>
  <si>
    <t>NOT OUT</t>
  </si>
  <si>
    <t>NOT OUT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</si>
</sst>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15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wrapText="1"/>
    </xf>
    <xf numFmtId="0" fontId="1" fillId="0" borderId="0" xfId="0" applyFont="1" applyAlignment="1">
      <alignment vertical="top"/>
    </xf>
    <xf numFmtId="0" fontId="1" fillId="3" borderId="0" xfId="0" applyFont="1" applyFill="1"/>
    <xf numFmtId="0" fontId="0" fillId="4" borderId="0" xfId="0" applyFill="1"/>
    <xf numFmtId="0" fontId="1" fillId="5" borderId="0" xfId="0" applyFont="1" applyFill="1"/>
    <xf numFmtId="2" fontId="0" fillId="0" borderId="0" xfId="0" applyNumberFormat="1"/>
    <xf numFmtId="0" fontId="4" fillId="0" borderId="0" xfId="0" applyFont="1"/>
    <xf numFmtId="0" fontId="4" fillId="4" borderId="0" xfId="0" applyFont="1" applyFill="1"/>
    <xf numFmtId="0" fontId="5" fillId="0" borderId="0" xfId="0" applyFont="1"/>
    <xf numFmtId="0" fontId="3" fillId="0" borderId="0" xfId="0" applyFont="1"/>
    <xf numFmtId="0" fontId="0" fillId="0" borderId="1" xfId="0" pivotButton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4" borderId="1" xfId="0" applyFill="1" applyBorder="1"/>
    <xf numFmtId="164" fontId="0" fillId="0" borderId="1" xfId="0" applyNumberFormat="1" applyBorder="1"/>
    <xf numFmtId="0" fontId="0" fillId="3" borderId="1" xfId="0" applyFill="1" applyBorder="1" applyAlignment="1">
      <alignment horizontal="left" vertical="center" wrapText="1"/>
    </xf>
  </cellXfs>
  <cellStyles count="1">
    <cellStyle name="Normal" xfId="0" builtinId="0"/>
  </cellStyles>
  <dxfs count="7">
    <dxf>
      <font>
        <b/>
        <i/>
        <strike val="0"/>
        <color rgb="FFFF0000"/>
      </font>
    </dxf>
    <dxf>
      <font>
        <color rgb="FF9C0006"/>
      </font>
      <fill>
        <patternFill>
          <bgColor rgb="FFFFC7CE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NOT OUT % RATE</a:t>
            </a:r>
          </a:p>
        </c:rich>
      </c:tx>
      <c:overlay val="0"/>
      <c:spPr>
        <a:noFill/>
        <a:ln w="12700">
          <a:solidFill>
            <a:schemeClr val="bg1">
              <a:lumMod val="95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'Q5'!$D$5</c:f>
              <c:strCache>
                <c:ptCount val="1"/>
                <c:pt idx="0">
                  <c:v>NOT OUT %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5"/>
                </a:solidFill>
              </a:ln>
              <a:effectLst/>
            </c:spPr>
            <c:trendlineType val="linear"/>
            <c:dispRSqr val="0"/>
            <c:dispEq val="0"/>
          </c:trendline>
          <c:cat>
            <c:numRef>
              <c:f>'Q5'!$B$6:$B$16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cat>
          <c:val>
            <c:numRef>
              <c:f>'Q5'!$D$6:$D$16</c:f>
              <c:numCache>
                <c:formatCode>0.0</c:formatCode>
                <c:ptCount val="11"/>
                <c:pt idx="0">
                  <c:v>0.69252077562326864</c:v>
                </c:pt>
                <c:pt idx="1">
                  <c:v>17.543859649122805</c:v>
                </c:pt>
                <c:pt idx="2">
                  <c:v>17.313019390581719</c:v>
                </c:pt>
                <c:pt idx="3">
                  <c:v>15.881809787626963</c:v>
                </c:pt>
                <c:pt idx="4">
                  <c:v>13.250230840258542</c:v>
                </c:pt>
                <c:pt idx="5">
                  <c:v>11.726685133887351</c:v>
                </c:pt>
                <c:pt idx="6">
                  <c:v>9.0027700831024937</c:v>
                </c:pt>
                <c:pt idx="7">
                  <c:v>6.694367497691597</c:v>
                </c:pt>
                <c:pt idx="8">
                  <c:v>3.9704524469067408</c:v>
                </c:pt>
                <c:pt idx="9">
                  <c:v>3.2779316712834716</c:v>
                </c:pt>
                <c:pt idx="10">
                  <c:v>0.64635272391505072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08-411A-A89C-A6B49BC2374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2110009071"/>
        <c:axId val="2110004751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'Q5'!$C$5</c15:sqref>
                        </c15:formulaRef>
                      </c:ext>
                    </c:extLst>
                    <c:strCache>
                      <c:ptCount val="1"/>
                      <c:pt idx="0">
                        <c:v>NOT OUT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6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6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6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'Q5'!$B$6:$B$16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'Q5'!$C$6:$C$16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15</c:v>
                      </c:pt>
                      <c:pt idx="1">
                        <c:v>380</c:v>
                      </c:pt>
                      <c:pt idx="2">
                        <c:v>375</c:v>
                      </c:pt>
                      <c:pt idx="3">
                        <c:v>344</c:v>
                      </c:pt>
                      <c:pt idx="4">
                        <c:v>287</c:v>
                      </c:pt>
                      <c:pt idx="5">
                        <c:v>254</c:v>
                      </c:pt>
                      <c:pt idx="6">
                        <c:v>195</c:v>
                      </c:pt>
                      <c:pt idx="7">
                        <c:v>145</c:v>
                      </c:pt>
                      <c:pt idx="8">
                        <c:v>86</c:v>
                      </c:pt>
                      <c:pt idx="9">
                        <c:v>71</c:v>
                      </c:pt>
                      <c:pt idx="10">
                        <c:v>14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3C08-411A-A89C-A6B49BC23744}"/>
                  </c:ext>
                </c:extLst>
              </c15:ser>
            </c15:filteredBarSeries>
          </c:ext>
        </c:extLst>
      </c:barChart>
      <c:catAx>
        <c:axId val="21100090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0" i="1">
                    <a:solidFill>
                      <a:schemeClr val="bg1">
                        <a:lumMod val="95000"/>
                      </a:schemeClr>
                    </a:solidFill>
                  </a:rPr>
                  <a:t>BATTING POSITIONS</a:t>
                </a:r>
              </a:p>
            </c:rich>
          </c:tx>
          <c:overlay val="0"/>
          <c:spPr>
            <a:noFill/>
            <a:ln w="9525">
              <a:solidFill>
                <a:schemeClr val="bg1">
                  <a:lumMod val="95000"/>
                </a:schemeClr>
              </a:solidFill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0004751"/>
        <c:crosses val="autoZero"/>
        <c:auto val="1"/>
        <c:lblAlgn val="ctr"/>
        <c:lblOffset val="100"/>
        <c:noMultiLvlLbl val="0"/>
      </c:catAx>
      <c:valAx>
        <c:axId val="2110004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i="1">
                    <a:solidFill>
                      <a:schemeClr val="bg1">
                        <a:lumMod val="95000"/>
                      </a:schemeClr>
                    </a:solidFill>
                  </a:rPr>
                  <a:t>NOT</a:t>
                </a:r>
                <a:r>
                  <a:rPr lang="en-US" sz="1000" i="1" baseline="0">
                    <a:solidFill>
                      <a:schemeClr val="bg1">
                        <a:lumMod val="95000"/>
                      </a:schemeClr>
                    </a:solidFill>
                  </a:rPr>
                  <a:t> OUT %</a:t>
                </a:r>
                <a:endParaRPr lang="en-US" sz="1000" i="1">
                  <a:solidFill>
                    <a:schemeClr val="bg1">
                      <a:lumMod val="95000"/>
                    </a:schemeClr>
                  </a:solidFill>
                </a:endParaRPr>
              </a:p>
            </c:rich>
          </c:tx>
          <c:overlay val="0"/>
          <c:spPr>
            <a:noFill/>
            <a:ln w="9525">
              <a:solidFill>
                <a:schemeClr val="bg1">
                  <a:lumMod val="95000"/>
                </a:schemeClr>
              </a:solidFill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0009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752474</xdr:colOff>
      <xdr:row>1</xdr:row>
      <xdr:rowOff>57150</xdr:rowOff>
    </xdr:from>
    <xdr:to>
      <xdr:col>16</xdr:col>
      <xdr:colOff>28575</xdr:colOff>
      <xdr:row>18</xdr:row>
      <xdr:rowOff>114301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6B4E287-A29E-ABC6-4F8B-1BE668734D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tor" refreshedDate="45805.538790509258" createdVersion="8" refreshedVersion="8" minRefreshableVersion="3" recordCount="3268" xr:uid="{72276FF7-4AB6-4C70-BB25-77C5DD772013}">
  <cacheSource type="worksheet">
    <worksheetSource ref="A1:K3269" sheet="fact_batting_summary"/>
  </cacheSource>
  <cacheFields count="11">
    <cacheField name="match_id" numFmtId="0">
      <sharedItems/>
    </cacheField>
    <cacheField name="match" numFmtId="0">
      <sharedItems/>
    </cacheField>
    <cacheField name="teamInnings" numFmtId="0">
      <sharedItems/>
    </cacheField>
    <cacheField name="battingPos" numFmtId="0">
      <sharedItems containsSemiMixedTypes="0" containsString="0" containsNumber="1" containsInteger="1" minValue="1" maxValue="11" count="11">
        <n v="1"/>
        <n v="2"/>
        <n v="3"/>
        <n v="4"/>
        <n v="5"/>
        <n v="6"/>
        <n v="7"/>
        <n v="8"/>
        <n v="9"/>
        <n v="10"/>
        <n v="11"/>
      </sharedItems>
    </cacheField>
    <cacheField name="batsmanName" numFmtId="0">
      <sharedItems/>
    </cacheField>
    <cacheField name="out/not_out" numFmtId="0">
      <sharedItems/>
    </cacheField>
    <cacheField name="runs" numFmtId="0">
      <sharedItems containsSemiMixedTypes="0" containsString="0" containsNumber="1" containsInteger="1" minValue="0" maxValue="140"/>
    </cacheField>
    <cacheField name="balls" numFmtId="0">
      <sharedItems containsSemiMixedTypes="0" containsString="0" containsNumber="1" containsInteger="1" minValue="0" maxValue="70"/>
    </cacheField>
    <cacheField name="4s" numFmtId="0">
      <sharedItems containsSemiMixedTypes="0" containsString="0" containsNumber="1" containsInteger="1" minValue="0" maxValue="16"/>
    </cacheField>
    <cacheField name="6s" numFmtId="0">
      <sharedItems containsSemiMixedTypes="0" containsString="0" containsNumber="1" containsInteger="1" minValue="0" maxValue="10"/>
    </cacheField>
    <cacheField name="Average Runs by Batting Position" numFmtId="2">
      <sharedItems containsMixedTypes="1" containsNumber="1" minValue="1" maxValue="8.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68">
  <r>
    <s v="T203817"/>
    <s v="Super Kings Vs KKR"/>
    <s v="Super Kings"/>
    <x v="0"/>
    <s v="RuturajGaikwad"/>
    <s v="out"/>
    <n v="32"/>
    <n v="27"/>
    <n v="3"/>
    <n v="1"/>
    <n v="4.25"/>
  </r>
  <r>
    <s v="T203817"/>
    <s v="Super Kings Vs KKR"/>
    <s v="Super Kings"/>
    <x v="1"/>
    <s v="FafduPlessis"/>
    <s v="out"/>
    <n v="86"/>
    <n v="59"/>
    <n v="7"/>
    <n v="3"/>
    <n v="2.6666666666666665"/>
  </r>
  <r>
    <s v="T203817"/>
    <s v="Super Kings Vs KKR"/>
    <s v="Super Kings"/>
    <x v="2"/>
    <s v="RobinUthappa"/>
    <s v="out"/>
    <n v="31"/>
    <n v="15"/>
    <n v="0"/>
    <n v="3"/>
    <n v="4.7777777777777777"/>
  </r>
  <r>
    <s v="T203817"/>
    <s v="Super Kings Vs KKR"/>
    <s v="Super Kings"/>
    <x v="3"/>
    <s v="MoeenAli"/>
    <s v="not_out"/>
    <n v="37"/>
    <n v="20"/>
    <n v="2"/>
    <n v="3"/>
    <n v="4.9473684210526319"/>
  </r>
  <r>
    <s v="T203817"/>
    <s v="Super Kings Vs KKR"/>
    <s v="KKR"/>
    <x v="0"/>
    <s v="ShubmanGill"/>
    <s v="out"/>
    <n v="51"/>
    <n v="43"/>
    <n v="6"/>
    <n v="0"/>
    <n v="2.8888888888888888"/>
  </r>
  <r>
    <s v="T203817"/>
    <s v="Super Kings Vs KKR"/>
    <s v="KKR"/>
    <x v="1"/>
    <s v="VenkateshIyer"/>
    <s v="out"/>
    <n v="50"/>
    <n v="32"/>
    <n v="5"/>
    <n v="3"/>
    <n v="4.032258064516129"/>
  </r>
  <r>
    <s v="T203817"/>
    <s v="Super Kings Vs KKR"/>
    <s v="KKR"/>
    <x v="2"/>
    <s v="NitishRana"/>
    <s v="out"/>
    <n v="0"/>
    <n v="1"/>
    <n v="0"/>
    <n v="0"/>
    <n v="6.5693779904306222"/>
  </r>
  <r>
    <s v="T203817"/>
    <s v="Super Kings Vs KKR"/>
    <s v="KKR"/>
    <x v="3"/>
    <s v="SunilNarine"/>
    <s v="out"/>
    <n v="2"/>
    <n v="2"/>
    <n v="0"/>
    <n v="0"/>
    <n v="6.1385542168674698"/>
  </r>
  <r>
    <s v="T203817"/>
    <s v="Super Kings Vs KKR"/>
    <s v="KKR"/>
    <x v="4"/>
    <s v="EoinMorgan"/>
    <s v="out"/>
    <n v="4"/>
    <n v="8"/>
    <n v="0"/>
    <n v="0"/>
    <n v="4.9029126213592233"/>
  </r>
  <r>
    <s v="T203817"/>
    <s v="Super Kings Vs KKR"/>
    <s v="KKR"/>
    <x v="5"/>
    <s v="DineshKarthik"/>
    <s v="out"/>
    <n v="9"/>
    <n v="7"/>
    <n v="0"/>
    <n v="1"/>
    <n v="4.927835051546392"/>
  </r>
  <r>
    <s v="T203817"/>
    <s v="Super Kings Vs KKR"/>
    <s v="KKR"/>
    <x v="6"/>
    <s v="ShakibAlHasan"/>
    <s v="out"/>
    <n v="0"/>
    <n v="1"/>
    <n v="0"/>
    <n v="0"/>
    <n v="6.5693779904306222"/>
  </r>
  <r>
    <s v="T203817"/>
    <s v="Super Kings Vs KKR"/>
    <s v="KKR"/>
    <x v="7"/>
    <s v="RahulTripathi"/>
    <s v="out"/>
    <n v="2"/>
    <n v="3"/>
    <n v="0"/>
    <n v="0"/>
    <n v="5.6607142857142856"/>
  </r>
  <r>
    <s v="T203817"/>
    <s v="Super Kings Vs KKR"/>
    <s v="KKR"/>
    <x v="8"/>
    <s v="LockieFerguson"/>
    <s v="not_out"/>
    <n v="18"/>
    <n v="11"/>
    <n v="1"/>
    <n v="1"/>
    <n v="4.9649122807017543"/>
  </r>
  <r>
    <s v="T203817"/>
    <s v="Super Kings Vs KKR"/>
    <s v="KKR"/>
    <x v="9"/>
    <s v="ShivamMavi"/>
    <s v="out"/>
    <n v="20"/>
    <n v="13"/>
    <n v="1"/>
    <n v="2"/>
    <n v="4.8939393939393936"/>
  </r>
  <r>
    <s v="T203817"/>
    <s v="Super Kings Vs KKR"/>
    <s v="KKR"/>
    <x v="10"/>
    <s v="VarunChakravarthy"/>
    <s v="not_out"/>
    <n v="0"/>
    <n v="0"/>
    <n v="0"/>
    <n v="0"/>
    <n v="6.2585751978891819"/>
  </r>
  <r>
    <s v="T206442"/>
    <s v="Capitals Vs KKR"/>
    <s v="Capitals"/>
    <x v="0"/>
    <s v="PrithviShaw"/>
    <s v="out"/>
    <n v="18"/>
    <n v="12"/>
    <n v="2"/>
    <n v="1"/>
    <n v="4.8024691358024691"/>
  </r>
  <r>
    <s v="T206442"/>
    <s v="Capitals Vs KKR"/>
    <s v="Capitals"/>
    <x v="1"/>
    <s v="ShikharDhawan"/>
    <s v="out"/>
    <n v="36"/>
    <n v="39"/>
    <n v="1"/>
    <n v="2"/>
    <n v="2.7083333333333335"/>
  </r>
  <r>
    <s v="T206442"/>
    <s v="Capitals Vs KKR"/>
    <s v="Capitals"/>
    <x v="2"/>
    <s v="MarcusStoinis"/>
    <s v="out"/>
    <n v="18"/>
    <n v="23"/>
    <n v="1"/>
    <n v="0"/>
    <n v="5.1142857142857139"/>
  </r>
  <r>
    <s v="T206442"/>
    <s v="Capitals Vs KKR"/>
    <s v="Capitals"/>
    <x v="3"/>
    <s v="ShreyasIyer"/>
    <s v="not_out"/>
    <n v="30"/>
    <n v="27"/>
    <n v="1"/>
    <n v="1"/>
    <n v="4.25"/>
  </r>
  <r>
    <s v="T206442"/>
    <s v="Capitals Vs KKR"/>
    <s v="Capitals"/>
    <x v="4"/>
    <s v="RishabhPant"/>
    <s v="out"/>
    <n v="6"/>
    <n v="6"/>
    <n v="1"/>
    <n v="0"/>
    <n v="5.4565217391304346"/>
  </r>
  <r>
    <s v="T206442"/>
    <s v="Capitals Vs KKR"/>
    <s v="Capitals"/>
    <x v="5"/>
    <s v="ShimronHetmyer"/>
    <s v="out"/>
    <n v="17"/>
    <n v="10"/>
    <n v="0"/>
    <n v="2"/>
    <n v="4.7179487179487181"/>
  </r>
  <r>
    <s v="T206442"/>
    <s v="Capitals Vs KKR"/>
    <s v="Capitals"/>
    <x v="6"/>
    <s v="AxarPatel"/>
    <s v="not_out"/>
    <n v="4"/>
    <n v="4"/>
    <n v="0"/>
    <n v="0"/>
    <n v="5.3557692307692308"/>
  </r>
  <r>
    <s v="T206442"/>
    <s v="Capitals Vs KKR"/>
    <s v="KKR"/>
    <x v="0"/>
    <s v="ShubmanGill"/>
    <s v="out"/>
    <n v="46"/>
    <n v="46"/>
    <n v="1"/>
    <n v="1"/>
    <n v="3.4375"/>
  </r>
  <r>
    <s v="T206442"/>
    <s v="Capitals Vs KKR"/>
    <s v="KKR"/>
    <x v="1"/>
    <s v="VenkateshIyer"/>
    <s v="out"/>
    <n v="55"/>
    <n v="41"/>
    <n v="4"/>
    <n v="3"/>
    <n v="3.0909090909090908"/>
  </r>
  <r>
    <s v="T206442"/>
    <s v="Capitals Vs KKR"/>
    <s v="KKR"/>
    <x v="2"/>
    <s v="NitishRana"/>
    <s v="out"/>
    <n v="13"/>
    <n v="12"/>
    <n v="0"/>
    <n v="1"/>
    <n v="4.8024691358024691"/>
  </r>
  <r>
    <s v="T206442"/>
    <s v="Capitals Vs KKR"/>
    <s v="KKR"/>
    <x v="3"/>
    <s v="RahulTripathi"/>
    <s v="not_out"/>
    <n v="12"/>
    <n v="11"/>
    <n v="0"/>
    <n v="1"/>
    <n v="4.9649122807017543"/>
  </r>
  <r>
    <s v="T206442"/>
    <s v="Capitals Vs KKR"/>
    <s v="KKR"/>
    <x v="4"/>
    <s v="DineshKarthik"/>
    <s v="out"/>
    <n v="0"/>
    <n v="3"/>
    <n v="0"/>
    <n v="0"/>
    <n v="5.6607142857142856"/>
  </r>
  <r>
    <s v="T206442"/>
    <s v="Capitals Vs KKR"/>
    <s v="KKR"/>
    <x v="5"/>
    <s v="EoinMorgan"/>
    <s v="out"/>
    <n v="0"/>
    <n v="3"/>
    <n v="0"/>
    <n v="0"/>
    <n v="5.6607142857142856"/>
  </r>
  <r>
    <s v="T206442"/>
    <s v="Capitals Vs KKR"/>
    <s v="KKR"/>
    <x v="6"/>
    <s v="ShakibAlHasan"/>
    <s v="out"/>
    <n v="0"/>
    <n v="2"/>
    <n v="0"/>
    <n v="0"/>
    <n v="6.1402439024390247"/>
  </r>
  <r>
    <s v="T206442"/>
    <s v="Capitals Vs KKR"/>
    <s v="KKR"/>
    <x v="7"/>
    <s v="SunilNarine"/>
    <s v="out"/>
    <n v="0"/>
    <n v="1"/>
    <n v="0"/>
    <n v="0"/>
    <n v="6.5693779904306222"/>
  </r>
  <r>
    <s v="T206442"/>
    <s v="Capitals Vs KKR"/>
    <s v="KKR"/>
    <x v="8"/>
    <s v="LockieFerguson"/>
    <s v="not_out"/>
    <n v="0"/>
    <n v="0"/>
    <n v="0"/>
    <n v="0"/>
    <n v="6.2433155080213902"/>
  </r>
  <r>
    <s v="T208597"/>
    <s v="RCB Vs KKR"/>
    <s v="RCB"/>
    <x v="0"/>
    <s v="DevduttPadikkal"/>
    <s v="out"/>
    <n v="21"/>
    <n v="18"/>
    <n v="2"/>
    <n v="0"/>
    <n v="4.3773584905660377"/>
  </r>
  <r>
    <s v="T208597"/>
    <s v="RCB Vs KKR"/>
    <s v="RCB"/>
    <x v="1"/>
    <s v="ViratKohli"/>
    <s v="out"/>
    <n v="39"/>
    <n v="33"/>
    <n v="5"/>
    <n v="0"/>
    <n v="2.8421052631578947"/>
  </r>
  <r>
    <s v="T208597"/>
    <s v="RCB Vs KKR"/>
    <s v="RCB"/>
    <x v="2"/>
    <s v="SrikarBharat"/>
    <s v="out"/>
    <n v="9"/>
    <n v="16"/>
    <n v="0"/>
    <n v="0"/>
    <n v="4.7608695652173916"/>
  </r>
  <r>
    <s v="T208597"/>
    <s v="RCB Vs KKR"/>
    <s v="RCB"/>
    <x v="3"/>
    <s v="GlennMaxwell"/>
    <s v="out"/>
    <n v="15"/>
    <n v="18"/>
    <n v="1"/>
    <n v="0"/>
    <n v="4.3773584905660377"/>
  </r>
  <r>
    <s v="T208597"/>
    <s v="RCB Vs KKR"/>
    <s v="RCB"/>
    <x v="4"/>
    <s v="ABdeVilliers"/>
    <s v="out"/>
    <n v="11"/>
    <n v="9"/>
    <n v="1"/>
    <n v="0"/>
    <n v="4.9350649350649354"/>
  </r>
  <r>
    <s v="T208597"/>
    <s v="RCB Vs KKR"/>
    <s v="RCB"/>
    <x v="5"/>
    <s v="ShahbazAhmed"/>
    <s v="out"/>
    <n v="13"/>
    <n v="14"/>
    <n v="1"/>
    <n v="0"/>
    <n v="4.8461538461538458"/>
  </r>
  <r>
    <s v="T208597"/>
    <s v="RCB Vs KKR"/>
    <s v="RCB"/>
    <x v="6"/>
    <s v="DanChristian"/>
    <s v="out"/>
    <n v="9"/>
    <n v="8"/>
    <n v="1"/>
    <n v="0"/>
    <n v="4.9029126213592233"/>
  </r>
  <r>
    <s v="T208597"/>
    <s v="RCB Vs KKR"/>
    <s v="RCB"/>
    <x v="7"/>
    <s v="HarshalPatel"/>
    <s v="not_out"/>
    <n v="8"/>
    <n v="6"/>
    <n v="1"/>
    <n v="0"/>
    <n v="5.4615384615384617"/>
  </r>
  <r>
    <s v="T208597"/>
    <s v="RCB Vs KKR"/>
    <s v="RCB"/>
    <x v="8"/>
    <s v="GeorgeGarton"/>
    <s v="not_out"/>
    <n v="0"/>
    <n v="0"/>
    <n v="0"/>
    <n v="0"/>
    <n v="6.2359249329758715"/>
  </r>
  <r>
    <s v="T208597"/>
    <s v="RCB Vs KKR"/>
    <s v="KKR"/>
    <x v="0"/>
    <s v="ShubmanGill"/>
    <s v="out"/>
    <n v="29"/>
    <n v="18"/>
    <n v="4"/>
    <n v="0"/>
    <n v="4.3773584905660377"/>
  </r>
  <r>
    <s v="T208597"/>
    <s v="RCB Vs KKR"/>
    <s v="KKR"/>
    <x v="1"/>
    <s v="VenkateshIyer"/>
    <s v="out"/>
    <n v="26"/>
    <n v="30"/>
    <n v="0"/>
    <n v="1"/>
    <n v="3.6666666666666665"/>
  </r>
  <r>
    <s v="T208597"/>
    <s v="RCB Vs KKR"/>
    <s v="KKR"/>
    <x v="2"/>
    <s v="RahulTripathi"/>
    <s v="out"/>
    <n v="6"/>
    <n v="5"/>
    <n v="1"/>
    <n v="0"/>
    <n v="5.132075471698113"/>
  </r>
  <r>
    <s v="T208597"/>
    <s v="RCB Vs KKR"/>
    <s v="KKR"/>
    <x v="3"/>
    <s v="NitishRana"/>
    <s v="out"/>
    <n v="23"/>
    <n v="25"/>
    <n v="1"/>
    <n v="1"/>
    <n v="4.4782608695652177"/>
  </r>
  <r>
    <s v="T208597"/>
    <s v="RCB Vs KKR"/>
    <s v="KKR"/>
    <x v="4"/>
    <s v="SunilNarine"/>
    <s v="out"/>
    <n v="26"/>
    <n v="15"/>
    <n v="0"/>
    <n v="3"/>
    <n v="4.790322580645161"/>
  </r>
  <r>
    <s v="T208597"/>
    <s v="RCB Vs KKR"/>
    <s v="KKR"/>
    <x v="5"/>
    <s v="DineshKarthik"/>
    <s v="out"/>
    <n v="10"/>
    <n v="12"/>
    <n v="1"/>
    <n v="0"/>
    <n v="4.8125"/>
  </r>
  <r>
    <s v="T208597"/>
    <s v="RCB Vs KKR"/>
    <s v="KKR"/>
    <x v="6"/>
    <s v="EoinMorgan"/>
    <s v="not_out"/>
    <n v="5"/>
    <n v="7"/>
    <n v="0"/>
    <n v="0"/>
    <n v="4.927835051546392"/>
  </r>
  <r>
    <s v="T208597"/>
    <s v="RCB Vs KKR"/>
    <s v="KKR"/>
    <x v="7"/>
    <s v="ShakibAlHasan"/>
    <s v="not_out"/>
    <n v="9"/>
    <n v="6"/>
    <n v="1"/>
    <n v="0"/>
    <n v="5.4888888888888889"/>
  </r>
  <r>
    <s v="T201819"/>
    <s v="Capitals Vs Super Kings"/>
    <s v="Capitals"/>
    <x v="0"/>
    <s v="PrithviShaw"/>
    <s v="out"/>
    <n v="60"/>
    <n v="34"/>
    <n v="7"/>
    <n v="3"/>
    <n v="4.4137931034482758"/>
  </r>
  <r>
    <s v="T201819"/>
    <s v="Capitals Vs Super Kings"/>
    <s v="Capitals"/>
    <x v="1"/>
    <s v="ShikharDhawan"/>
    <s v="out"/>
    <n v="7"/>
    <n v="7"/>
    <n v="1"/>
    <n v="0"/>
    <n v="4.927835051546392"/>
  </r>
  <r>
    <s v="T201819"/>
    <s v="Capitals Vs Super Kings"/>
    <s v="Capitals"/>
    <x v="2"/>
    <s v="ShreyasIyer"/>
    <s v="out"/>
    <n v="1"/>
    <n v="8"/>
    <n v="0"/>
    <n v="0"/>
    <n v="4.8725490196078427"/>
  </r>
  <r>
    <s v="T201819"/>
    <s v="Capitals Vs Super Kings"/>
    <s v="Capitals"/>
    <x v="3"/>
    <s v="AxarPatel"/>
    <s v="out"/>
    <n v="10"/>
    <n v="11"/>
    <n v="1"/>
    <n v="0"/>
    <n v="4.9642857142857144"/>
  </r>
  <r>
    <s v="T201819"/>
    <s v="Capitals Vs Super Kings"/>
    <s v="Capitals"/>
    <x v="4"/>
    <s v="RishabhPant"/>
    <s v="not_out"/>
    <n v="51"/>
    <n v="35"/>
    <n v="3"/>
    <n v="2"/>
    <n v="3.5769230769230771"/>
  </r>
  <r>
    <s v="T201819"/>
    <s v="Capitals Vs Super Kings"/>
    <s v="Capitals"/>
    <x v="5"/>
    <s v="ShimronHetmyer"/>
    <s v="out"/>
    <n v="37"/>
    <n v="24"/>
    <n v="3"/>
    <n v="1"/>
    <n v="4.0606060606060606"/>
  </r>
  <r>
    <s v="T201819"/>
    <s v="Capitals Vs Super Kings"/>
    <s v="Capitals"/>
    <x v="6"/>
    <s v="TomCurran"/>
    <s v="not_out"/>
    <n v="0"/>
    <n v="1"/>
    <n v="0"/>
    <n v="0"/>
    <n v="6.5865384615384617"/>
  </r>
  <r>
    <s v="T201819"/>
    <s v="Capitals Vs Super Kings"/>
    <s v="Super Kings"/>
    <x v="0"/>
    <s v="RuturajGaikwad"/>
    <s v="out"/>
    <n v="70"/>
    <n v="50"/>
    <n v="5"/>
    <n v="2"/>
    <n v="2.95"/>
  </r>
  <r>
    <s v="T201819"/>
    <s v="Capitals Vs Super Kings"/>
    <s v="Super Kings"/>
    <x v="1"/>
    <s v="FafduPlessis"/>
    <s v="out"/>
    <n v="1"/>
    <n v="2"/>
    <n v="0"/>
    <n v="0"/>
    <n v="6.1402439024390247"/>
  </r>
  <r>
    <s v="T201819"/>
    <s v="Capitals Vs Super Kings"/>
    <s v="Super Kings"/>
    <x v="2"/>
    <s v="RobinUthappa"/>
    <s v="out"/>
    <n v="63"/>
    <n v="44"/>
    <n v="7"/>
    <n v="2"/>
    <n v="3.35"/>
  </r>
  <r>
    <s v="T201819"/>
    <s v="Capitals Vs Super Kings"/>
    <s v="Super Kings"/>
    <x v="3"/>
    <s v="ShardulThakur"/>
    <s v="out"/>
    <n v="0"/>
    <n v="1"/>
    <n v="0"/>
    <n v="0"/>
    <n v="6.6086956521739131"/>
  </r>
  <r>
    <s v="T201819"/>
    <s v="Capitals Vs Super Kings"/>
    <s v="Super Kings"/>
    <x v="4"/>
    <s v="AmbatiRayudu"/>
    <s v="out"/>
    <n v="1"/>
    <n v="3"/>
    <n v="0"/>
    <n v="0"/>
    <n v="5.6607142857142856"/>
  </r>
  <r>
    <s v="T201819"/>
    <s v="Capitals Vs Super Kings"/>
    <s v="Super Kings"/>
    <x v="5"/>
    <s v="MoeenAli"/>
    <s v="out"/>
    <n v="16"/>
    <n v="12"/>
    <n v="2"/>
    <n v="0"/>
    <n v="4.8125"/>
  </r>
  <r>
    <s v="T201819"/>
    <s v="Capitals Vs Super Kings"/>
    <s v="Super Kings"/>
    <x v="6"/>
    <s v="MSDhoni"/>
    <s v="not_out"/>
    <n v="18"/>
    <n v="6"/>
    <n v="3"/>
    <n v="1"/>
    <n v="5.4888888888888889"/>
  </r>
  <r>
    <s v="T201819"/>
    <s v="Capitals Vs Super Kings"/>
    <s v="Super Kings"/>
    <x v="7"/>
    <s v="RavindraJadeja"/>
    <s v="not_out"/>
    <n v="0"/>
    <n v="0"/>
    <n v="0"/>
    <n v="0"/>
    <n v="6.2324324324324323"/>
  </r>
  <r>
    <s v="T205942"/>
    <s v="Capitals Vs RCB"/>
    <s v="Capitals"/>
    <x v="0"/>
    <s v="PrithviShaw"/>
    <s v="out"/>
    <n v="48"/>
    <n v="31"/>
    <n v="4"/>
    <n v="2"/>
    <n v="3.4516129032258065"/>
  </r>
  <r>
    <s v="T205942"/>
    <s v="Capitals Vs RCB"/>
    <s v="Capitals"/>
    <x v="1"/>
    <s v="ShikharDhawan"/>
    <s v="out"/>
    <n v="43"/>
    <n v="35"/>
    <n v="3"/>
    <n v="2"/>
    <n v="3.5769230769230771"/>
  </r>
  <r>
    <s v="T205942"/>
    <s v="Capitals Vs RCB"/>
    <s v="Capitals"/>
    <x v="2"/>
    <s v="RishabhPant"/>
    <s v="out"/>
    <n v="10"/>
    <n v="8"/>
    <n v="1"/>
    <n v="0"/>
    <n v="4.8725490196078427"/>
  </r>
  <r>
    <s v="T205942"/>
    <s v="Capitals Vs RCB"/>
    <s v="Capitals"/>
    <x v="3"/>
    <s v="ShreyasIyer"/>
    <s v="out"/>
    <n v="18"/>
    <n v="18"/>
    <n v="1"/>
    <n v="0"/>
    <n v="4.3269230769230766"/>
  </r>
  <r>
    <s v="T205942"/>
    <s v="Capitals Vs RCB"/>
    <s v="Capitals"/>
    <x v="4"/>
    <s v="ShimronHetmyer"/>
    <s v="out"/>
    <n v="29"/>
    <n v="22"/>
    <n v="2"/>
    <n v="2"/>
    <n v="4.4423076923076925"/>
  </r>
  <r>
    <s v="T205942"/>
    <s v="Capitals Vs RCB"/>
    <s v="Capitals"/>
    <x v="5"/>
    <s v="RipalPatel"/>
    <s v="not_out"/>
    <n v="7"/>
    <n v="7"/>
    <n v="1"/>
    <n v="0"/>
    <n v="4.958333333333333"/>
  </r>
  <r>
    <s v="T205942"/>
    <s v="Capitals Vs RCB"/>
    <s v="RCB"/>
    <x v="0"/>
    <s v="ViratKohli"/>
    <s v="out"/>
    <n v="4"/>
    <n v="8"/>
    <n v="0"/>
    <n v="0"/>
    <n v="4.8725490196078427"/>
  </r>
  <r>
    <s v="T205942"/>
    <s v="Capitals Vs RCB"/>
    <s v="RCB"/>
    <x v="1"/>
    <s v="DevduttPadikkal"/>
    <s v="out"/>
    <n v="0"/>
    <n v="1"/>
    <n v="0"/>
    <n v="0"/>
    <n v="6.616504854368932"/>
  </r>
  <r>
    <s v="T205942"/>
    <s v="Capitals Vs RCB"/>
    <s v="RCB"/>
    <x v="2"/>
    <s v="SrikarBharat"/>
    <s v="not_out"/>
    <n v="78"/>
    <n v="52"/>
    <n v="3"/>
    <n v="4"/>
    <n v="2.9090909090909092"/>
  </r>
  <r>
    <s v="T205942"/>
    <s v="Capitals Vs RCB"/>
    <s v="RCB"/>
    <x v="3"/>
    <s v="ABdeVilliers"/>
    <s v="out"/>
    <n v="26"/>
    <n v="26"/>
    <n v="2"/>
    <n v="1"/>
    <n v="4.1836734693877551"/>
  </r>
  <r>
    <s v="T205942"/>
    <s v="Capitals Vs RCB"/>
    <s v="RCB"/>
    <x v="4"/>
    <s v="GlennMaxwell"/>
    <s v="not_out"/>
    <n v="51"/>
    <n v="33"/>
    <n v="8"/>
    <n v="0"/>
    <n v="2.8421052631578947"/>
  </r>
  <r>
    <s v="T201979"/>
    <s v="Mumbai Vs Sunrisers"/>
    <s v="Mumbai"/>
    <x v="0"/>
    <s v="RohitSharma"/>
    <s v="out"/>
    <n v="18"/>
    <n v="13"/>
    <n v="3"/>
    <n v="0"/>
    <n v="4.90625"/>
  </r>
  <r>
    <s v="T201979"/>
    <s v="Mumbai Vs Sunrisers"/>
    <s v="Mumbai"/>
    <x v="1"/>
    <s v="IshanKishan"/>
    <s v="out"/>
    <n v="84"/>
    <n v="32"/>
    <n v="11"/>
    <n v="4"/>
    <n v="4.032258064516129"/>
  </r>
  <r>
    <s v="T201979"/>
    <s v="Mumbai Vs Sunrisers"/>
    <s v="Mumbai"/>
    <x v="2"/>
    <s v="HardikPandya"/>
    <s v="out"/>
    <n v="10"/>
    <n v="8"/>
    <n v="0"/>
    <n v="1"/>
    <n v="4.8725490196078427"/>
  </r>
  <r>
    <s v="T201979"/>
    <s v="Mumbai Vs Sunrisers"/>
    <s v="Mumbai"/>
    <x v="3"/>
    <s v="KieronPollard"/>
    <s v="out"/>
    <n v="13"/>
    <n v="12"/>
    <n v="1"/>
    <n v="0"/>
    <n v="4.8125"/>
  </r>
  <r>
    <s v="T201979"/>
    <s v="Mumbai Vs Sunrisers"/>
    <s v="Mumbai"/>
    <x v="4"/>
    <s v="SuryakumarYadav"/>
    <s v="out"/>
    <n v="82"/>
    <n v="40"/>
    <n v="13"/>
    <n v="3"/>
    <n v="4"/>
  </r>
  <r>
    <s v="T201979"/>
    <s v="Mumbai Vs Sunrisers"/>
    <s v="Mumbai"/>
    <x v="5"/>
    <s v="JamesNeesham"/>
    <s v="out"/>
    <n v="0"/>
    <n v="1"/>
    <n v="0"/>
    <n v="0"/>
    <n v="6.616504854368932"/>
  </r>
  <r>
    <s v="T201979"/>
    <s v="Mumbai Vs Sunrisers"/>
    <s v="Mumbai"/>
    <x v="6"/>
    <s v="KrunalPandya"/>
    <s v="out"/>
    <n v="9"/>
    <n v="7"/>
    <n v="1"/>
    <n v="0"/>
    <n v="4.9473684210526319"/>
  </r>
  <r>
    <s v="T201979"/>
    <s v="Mumbai Vs Sunrisers"/>
    <s v="Mumbai"/>
    <x v="7"/>
    <s v="NathanCoulter-Nile"/>
    <s v="out"/>
    <n v="3"/>
    <n v="3"/>
    <n v="0"/>
    <n v="0"/>
    <n v="5.6607142857142856"/>
  </r>
  <r>
    <s v="T201979"/>
    <s v="Mumbai Vs Sunrisers"/>
    <s v="Mumbai"/>
    <x v="8"/>
    <s v="PiyushChawla"/>
    <s v="out"/>
    <n v="0"/>
    <n v="2"/>
    <n v="0"/>
    <n v="0"/>
    <n v="6.1402439024390247"/>
  </r>
  <r>
    <s v="T201979"/>
    <s v="Mumbai Vs Sunrisers"/>
    <s v="Mumbai"/>
    <x v="9"/>
    <s v="JaspritBumrah"/>
    <s v="not_out"/>
    <n v="5"/>
    <n v="2"/>
    <n v="1"/>
    <n v="0"/>
    <n v="6.1402439024390247"/>
  </r>
  <r>
    <s v="T201979"/>
    <s v="Mumbai Vs Sunrisers"/>
    <s v="Mumbai"/>
    <x v="10"/>
    <s v="TrentBoult"/>
    <s v="not_out"/>
    <n v="0"/>
    <n v="0"/>
    <n v="0"/>
    <n v="0"/>
    <n v="6.2322404371584703"/>
  </r>
  <r>
    <s v="T201979"/>
    <s v="Mumbai Vs Sunrisers"/>
    <s v="Sunrisers"/>
    <x v="0"/>
    <s v="JasonRoy"/>
    <s v="out"/>
    <n v="34"/>
    <n v="21"/>
    <n v="6"/>
    <n v="0"/>
    <n v="4.4333333333333336"/>
  </r>
  <r>
    <s v="T201979"/>
    <s v="Mumbai Vs Sunrisers"/>
    <s v="Sunrisers"/>
    <x v="1"/>
    <s v="AbhishekSharma"/>
    <s v="out"/>
    <n v="33"/>
    <n v="16"/>
    <n v="4"/>
    <n v="1"/>
    <n v="4.7333333333333334"/>
  </r>
  <r>
    <s v="T201979"/>
    <s v="Mumbai Vs Sunrisers"/>
    <s v="Sunrisers"/>
    <x v="2"/>
    <s v="ManishPandey"/>
    <s v="not_out"/>
    <n v="69"/>
    <n v="41"/>
    <n v="7"/>
    <n v="2"/>
    <n v="3.0909090909090908"/>
  </r>
  <r>
    <s v="T201979"/>
    <s v="Mumbai Vs Sunrisers"/>
    <s v="Sunrisers"/>
    <x v="3"/>
    <s v="MohammadNabi"/>
    <s v="out"/>
    <n v="3"/>
    <n v="4"/>
    <n v="0"/>
    <n v="0"/>
    <n v="5.382352941176471"/>
  </r>
  <r>
    <s v="T201979"/>
    <s v="Mumbai Vs Sunrisers"/>
    <s v="Sunrisers"/>
    <x v="4"/>
    <s v="AbdulSamad"/>
    <s v="out"/>
    <n v="2"/>
    <n v="3"/>
    <n v="0"/>
    <n v="0"/>
    <n v="5.6545454545454543"/>
  </r>
  <r>
    <s v="T201979"/>
    <s v="Mumbai Vs Sunrisers"/>
    <s v="Sunrisers"/>
    <x v="5"/>
    <s v="PriyamGarg"/>
    <s v="out"/>
    <n v="29"/>
    <n v="21"/>
    <n v="2"/>
    <n v="1"/>
    <n v="4.4333333333333336"/>
  </r>
  <r>
    <s v="T201979"/>
    <s v="Mumbai Vs Sunrisers"/>
    <s v="Sunrisers"/>
    <x v="6"/>
    <s v="JasonHolder"/>
    <s v="out"/>
    <n v="1"/>
    <n v="2"/>
    <n v="0"/>
    <n v="0"/>
    <n v="6.147239263803681"/>
  </r>
  <r>
    <s v="T201979"/>
    <s v="Mumbai Vs Sunrisers"/>
    <s v="Sunrisers"/>
    <x v="7"/>
    <s v="RashidKhan"/>
    <s v="out"/>
    <n v="9"/>
    <n v="5"/>
    <n v="2"/>
    <n v="0"/>
    <n v="5.0673076923076925"/>
  </r>
  <r>
    <s v="T201979"/>
    <s v="Mumbai Vs Sunrisers"/>
    <s v="Sunrisers"/>
    <x v="8"/>
    <s v="WriddhimanSaha"/>
    <s v="out"/>
    <n v="2"/>
    <n v="5"/>
    <n v="0"/>
    <n v="0"/>
    <n v="5.0673076923076925"/>
  </r>
  <r>
    <s v="T201979"/>
    <s v="Mumbai Vs Sunrisers"/>
    <s v="Sunrisers"/>
    <x v="9"/>
    <s v="SiddarthKaul"/>
    <s v="not_out"/>
    <n v="1"/>
    <n v="3"/>
    <n v="0"/>
    <n v="0"/>
    <n v="5.6545454545454543"/>
  </r>
  <r>
    <s v="T204179"/>
    <s v="KKR Vs Royals"/>
    <s v="KKR"/>
    <x v="0"/>
    <s v="ShubmanGill"/>
    <s v="out"/>
    <n v="56"/>
    <n v="44"/>
    <n v="4"/>
    <n v="2"/>
    <n v="3.35"/>
  </r>
  <r>
    <s v="T204179"/>
    <s v="KKR Vs Royals"/>
    <s v="KKR"/>
    <x v="1"/>
    <s v="VenkateshIyer"/>
    <s v="out"/>
    <n v="38"/>
    <n v="35"/>
    <n v="3"/>
    <n v="2"/>
    <n v="3.5769230769230771"/>
  </r>
  <r>
    <s v="T204179"/>
    <s v="KKR Vs Royals"/>
    <s v="KKR"/>
    <x v="2"/>
    <s v="NitishRana"/>
    <s v="out"/>
    <n v="12"/>
    <n v="5"/>
    <n v="1"/>
    <n v="1"/>
    <n v="5.0673076923076925"/>
  </r>
  <r>
    <s v="T204179"/>
    <s v="KKR Vs Royals"/>
    <s v="KKR"/>
    <x v="3"/>
    <s v="RahulTripathi"/>
    <s v="out"/>
    <n v="21"/>
    <n v="14"/>
    <n v="3"/>
    <n v="0"/>
    <n v="4.8461538461538458"/>
  </r>
  <r>
    <s v="T204179"/>
    <s v="KKR Vs Royals"/>
    <s v="KKR"/>
    <x v="4"/>
    <s v="DineshKarthik"/>
    <s v="not_out"/>
    <n v="14"/>
    <n v="11"/>
    <n v="0"/>
    <n v="1"/>
    <n v="4.9642857142857144"/>
  </r>
  <r>
    <s v="T204179"/>
    <s v="KKR Vs Royals"/>
    <s v="KKR"/>
    <x v="5"/>
    <s v="EoinMorgan"/>
    <s v="not_out"/>
    <n v="13"/>
    <n v="11"/>
    <n v="1"/>
    <n v="1"/>
    <n v="4.9642857142857144"/>
  </r>
  <r>
    <s v="T204179"/>
    <s v="KKR Vs Royals"/>
    <s v="Royals"/>
    <x v="0"/>
    <s v="YashasviJaiswal"/>
    <s v="out"/>
    <n v="0"/>
    <n v="3"/>
    <n v="0"/>
    <n v="0"/>
    <n v="5.6545454545454543"/>
  </r>
  <r>
    <s v="T204179"/>
    <s v="KKR Vs Royals"/>
    <s v="Royals"/>
    <x v="1"/>
    <s v="LiamLivingstone"/>
    <s v="out"/>
    <n v="6"/>
    <n v="6"/>
    <n v="1"/>
    <n v="0"/>
    <n v="5.4888888888888889"/>
  </r>
  <r>
    <s v="T204179"/>
    <s v="KKR Vs Royals"/>
    <s v="Royals"/>
    <x v="2"/>
    <s v="SanjuSamson"/>
    <s v="out"/>
    <n v="1"/>
    <n v="4"/>
    <n v="0"/>
    <n v="0"/>
    <n v="5.382352941176471"/>
  </r>
  <r>
    <s v="T204179"/>
    <s v="KKR Vs Royals"/>
    <s v="Royals"/>
    <x v="3"/>
    <s v="ShivamDube"/>
    <s v="out"/>
    <n v="18"/>
    <n v="20"/>
    <n v="0"/>
    <n v="1"/>
    <n v="4.8108108108108105"/>
  </r>
  <r>
    <s v="T204179"/>
    <s v="KKR Vs Royals"/>
    <s v="Royals"/>
    <x v="4"/>
    <s v="AnujRawat"/>
    <s v="out"/>
    <n v="0"/>
    <n v="1"/>
    <n v="0"/>
    <n v="0"/>
    <n v="6.6157635467980294"/>
  </r>
  <r>
    <s v="T204179"/>
    <s v="KKR Vs Royals"/>
    <s v="Royals"/>
    <x v="5"/>
    <s v="GlennPhillips"/>
    <s v="out"/>
    <n v="8"/>
    <n v="12"/>
    <n v="0"/>
    <n v="1"/>
    <n v="4.8354430379746836"/>
  </r>
  <r>
    <s v="T204179"/>
    <s v="KKR Vs Royals"/>
    <s v="Royals"/>
    <x v="6"/>
    <s v="RahulTewatia"/>
    <s v="out"/>
    <n v="44"/>
    <n v="36"/>
    <n v="5"/>
    <n v="2"/>
    <n v="4.1739130434782608"/>
  </r>
  <r>
    <s v="T204179"/>
    <s v="KKR Vs Royals"/>
    <s v="Royals"/>
    <x v="7"/>
    <s v="ChrisMorris"/>
    <s v="out"/>
    <n v="0"/>
    <n v="2"/>
    <n v="0"/>
    <n v="0"/>
    <n v="6.1296296296296298"/>
  </r>
  <r>
    <s v="T204179"/>
    <s v="KKR Vs Royals"/>
    <s v="Royals"/>
    <x v="8"/>
    <s v="JaydevUnadkat"/>
    <s v="out"/>
    <n v="6"/>
    <n v="5"/>
    <n v="1"/>
    <n v="0"/>
    <n v="5.0673076923076925"/>
  </r>
  <r>
    <s v="T204179"/>
    <s v="KKR Vs Royals"/>
    <s v="Royals"/>
    <x v="9"/>
    <s v="ChetanSakariya"/>
    <s v="out"/>
    <n v="1"/>
    <n v="5"/>
    <n v="0"/>
    <n v="0"/>
    <n v="5.0673076923076925"/>
  </r>
  <r>
    <s v="T204179"/>
    <s v="KKR Vs Royals"/>
    <s v="Royals"/>
    <x v="10"/>
    <s v="MustafizurRahman"/>
    <s v="not_out"/>
    <n v="0"/>
    <n v="3"/>
    <n v="0"/>
    <n v="0"/>
    <n v="5.6545454545454543"/>
  </r>
  <r>
    <s v="T201866"/>
    <s v="Super Kings Vs Punjab Kings"/>
    <s v="Super Kings"/>
    <x v="0"/>
    <s v="RuturajGaikwad"/>
    <s v="out"/>
    <n v="12"/>
    <n v="14"/>
    <n v="1"/>
    <n v="0"/>
    <n v="4.8431372549019605"/>
  </r>
  <r>
    <s v="T201866"/>
    <s v="Super Kings Vs Punjab Kings"/>
    <s v="Super Kings"/>
    <x v="1"/>
    <s v="FafduPlessis"/>
    <s v="out"/>
    <n v="76"/>
    <n v="55"/>
    <n v="8"/>
    <n v="2"/>
    <n v="3.2666666666666666"/>
  </r>
  <r>
    <s v="T201866"/>
    <s v="Super Kings Vs Punjab Kings"/>
    <s v="Super Kings"/>
    <x v="2"/>
    <s v="MoeenAli"/>
    <s v="out"/>
    <n v="0"/>
    <n v="6"/>
    <n v="0"/>
    <n v="0"/>
    <n v="5.4886363636363633"/>
  </r>
  <r>
    <s v="T201866"/>
    <s v="Super Kings Vs Punjab Kings"/>
    <s v="Super Kings"/>
    <x v="3"/>
    <s v="RobinUthappa"/>
    <s v="out"/>
    <n v="2"/>
    <n v="6"/>
    <n v="0"/>
    <n v="0"/>
    <n v="5.4886363636363633"/>
  </r>
  <r>
    <s v="T201866"/>
    <s v="Super Kings Vs Punjab Kings"/>
    <s v="Super Kings"/>
    <x v="4"/>
    <s v="AmbatiRayudu"/>
    <s v="out"/>
    <n v="4"/>
    <n v="5"/>
    <n v="0"/>
    <n v="0"/>
    <n v="5.0673076923076925"/>
  </r>
  <r>
    <s v="T201866"/>
    <s v="Super Kings Vs Punjab Kings"/>
    <s v="Super Kings"/>
    <x v="5"/>
    <s v="MSDhoni"/>
    <s v="out"/>
    <n v="12"/>
    <n v="15"/>
    <n v="2"/>
    <n v="0"/>
    <n v="4.790322580645161"/>
  </r>
  <r>
    <s v="T201866"/>
    <s v="Super Kings Vs Punjab Kings"/>
    <s v="Super Kings"/>
    <x v="6"/>
    <s v="RavindraJadeja"/>
    <s v="not_out"/>
    <n v="15"/>
    <n v="17"/>
    <n v="1"/>
    <n v="0"/>
    <n v="4.795918367346939"/>
  </r>
  <r>
    <s v="T201866"/>
    <s v="Super Kings Vs Punjab Kings"/>
    <s v="Super Kings"/>
    <x v="7"/>
    <s v="DwayneBravo"/>
    <s v="not_out"/>
    <n v="4"/>
    <n v="2"/>
    <n v="1"/>
    <n v="0"/>
    <n v="6.1428571428571432"/>
  </r>
  <r>
    <s v="T201866"/>
    <s v="Super Kings Vs Punjab Kings"/>
    <s v="Punjab Kings"/>
    <x v="0"/>
    <s v="KLRahul"/>
    <s v="not_out"/>
    <n v="98"/>
    <n v="42"/>
    <n v="7"/>
    <n v="8"/>
    <n v="3.3913043478260869"/>
  </r>
  <r>
    <s v="T201866"/>
    <s v="Super Kings Vs Punjab Kings"/>
    <s v="Punjab Kings"/>
    <x v="1"/>
    <s v="MayankAgarwal"/>
    <s v="out"/>
    <n v="12"/>
    <n v="12"/>
    <n v="2"/>
    <n v="0"/>
    <n v="4.8701298701298699"/>
  </r>
  <r>
    <s v="T201866"/>
    <s v="Super Kings Vs Punjab Kings"/>
    <s v="Punjab Kings"/>
    <x v="2"/>
    <s v="SarfarazKhan"/>
    <s v="out"/>
    <n v="0"/>
    <n v="3"/>
    <n v="0"/>
    <n v="0"/>
    <n v="5.6545454545454543"/>
  </r>
  <r>
    <s v="T201866"/>
    <s v="Super Kings Vs Punjab Kings"/>
    <s v="Punjab Kings"/>
    <x v="3"/>
    <s v="MShahrukhKhan"/>
    <s v="out"/>
    <n v="8"/>
    <n v="10"/>
    <n v="0"/>
    <n v="1"/>
    <n v="4.756756756756757"/>
  </r>
  <r>
    <s v="T201866"/>
    <s v="Super Kings Vs Punjab Kings"/>
    <s v="Punjab Kings"/>
    <x v="4"/>
    <s v="AidenMarkram"/>
    <s v="out"/>
    <n v="13"/>
    <n v="8"/>
    <n v="0"/>
    <n v="1"/>
    <n v="4.87"/>
  </r>
  <r>
    <s v="T201866"/>
    <s v="Super Kings Vs Punjab Kings"/>
    <s v="Punjab Kings"/>
    <x v="5"/>
    <s v="MoisesHenriques"/>
    <s v="not_out"/>
    <n v="3"/>
    <n v="3"/>
    <n v="0"/>
    <n v="0"/>
    <n v="5.6545454545454543"/>
  </r>
  <r>
    <s v="T209992"/>
    <s v="Sunrisers Vs RCB"/>
    <s v="Sunrisers"/>
    <x v="0"/>
    <s v="JasonRoy"/>
    <s v="out"/>
    <n v="44"/>
    <n v="38"/>
    <n v="5"/>
    <n v="0"/>
    <n v="3.7777777777777777"/>
  </r>
  <r>
    <s v="T209992"/>
    <s v="Sunrisers Vs RCB"/>
    <s v="Sunrisers"/>
    <x v="1"/>
    <s v="AbhishekSharma"/>
    <s v="out"/>
    <n v="13"/>
    <n v="10"/>
    <n v="1"/>
    <n v="1"/>
    <n v="4.756756756756757"/>
  </r>
  <r>
    <s v="T209992"/>
    <s v="Sunrisers Vs RCB"/>
    <s v="Sunrisers"/>
    <x v="2"/>
    <s v="KaneWilliamson"/>
    <s v="out"/>
    <n v="31"/>
    <n v="29"/>
    <n v="4"/>
    <n v="0"/>
    <n v="4.0526315789473681"/>
  </r>
  <r>
    <s v="T209992"/>
    <s v="Sunrisers Vs RCB"/>
    <s v="Sunrisers"/>
    <x v="3"/>
    <s v="PriyamGarg"/>
    <s v="out"/>
    <n v="15"/>
    <n v="11"/>
    <n v="0"/>
    <n v="1"/>
    <n v="4.9642857142857144"/>
  </r>
  <r>
    <s v="T209992"/>
    <s v="Sunrisers Vs RCB"/>
    <s v="Sunrisers"/>
    <x v="4"/>
    <s v="AbdulSamad"/>
    <s v="out"/>
    <n v="1"/>
    <n v="3"/>
    <n v="0"/>
    <n v="0"/>
    <n v="5.6513761467889907"/>
  </r>
  <r>
    <s v="T209992"/>
    <s v="Sunrisers Vs RCB"/>
    <s v="Sunrisers"/>
    <x v="5"/>
    <s v="WriddhimanSaha"/>
    <s v="out"/>
    <n v="10"/>
    <n v="8"/>
    <n v="1"/>
    <n v="0"/>
    <n v="4.87"/>
  </r>
  <r>
    <s v="T209992"/>
    <s v="Sunrisers Vs RCB"/>
    <s v="Sunrisers"/>
    <x v="6"/>
    <s v="JasonHolder"/>
    <s v="out"/>
    <n v="16"/>
    <n v="13"/>
    <n v="2"/>
    <n v="0"/>
    <n v="4.95"/>
  </r>
  <r>
    <s v="T209992"/>
    <s v="Sunrisers Vs RCB"/>
    <s v="Sunrisers"/>
    <x v="7"/>
    <s v="RashidKhan"/>
    <s v="not_out"/>
    <n v="7"/>
    <n v="9"/>
    <n v="1"/>
    <n v="0"/>
    <n v="4.7945205479452051"/>
  </r>
  <r>
    <s v="T209992"/>
    <s v="Sunrisers Vs RCB"/>
    <s v="RCB"/>
    <x v="0"/>
    <s v="ViratKohli"/>
    <s v="out"/>
    <n v="5"/>
    <n v="4"/>
    <n v="1"/>
    <n v="0"/>
    <n v="5.36"/>
  </r>
  <r>
    <s v="T209992"/>
    <s v="Sunrisers Vs RCB"/>
    <s v="RCB"/>
    <x v="1"/>
    <s v="DevduttPadikkal"/>
    <s v="out"/>
    <n v="41"/>
    <n v="52"/>
    <n v="4"/>
    <n v="0"/>
    <n v="2.9090909090909092"/>
  </r>
  <r>
    <s v="T209992"/>
    <s v="Sunrisers Vs RCB"/>
    <s v="RCB"/>
    <x v="2"/>
    <s v="DanChristian"/>
    <s v="out"/>
    <n v="1"/>
    <n v="4"/>
    <n v="0"/>
    <n v="0"/>
    <n v="5.36"/>
  </r>
  <r>
    <s v="T209992"/>
    <s v="Sunrisers Vs RCB"/>
    <s v="RCB"/>
    <x v="3"/>
    <s v="SrikarBharat"/>
    <s v="out"/>
    <n v="12"/>
    <n v="10"/>
    <n v="1"/>
    <n v="1"/>
    <n v="4.7397260273972606"/>
  </r>
  <r>
    <s v="T209992"/>
    <s v="Sunrisers Vs RCB"/>
    <s v="RCB"/>
    <x v="4"/>
    <s v="GlennMaxwell"/>
    <s v="out"/>
    <n v="40"/>
    <n v="25"/>
    <n v="3"/>
    <n v="2"/>
    <n v="4.4782608695652177"/>
  </r>
  <r>
    <s v="T209992"/>
    <s v="Sunrisers Vs RCB"/>
    <s v="RCB"/>
    <x v="5"/>
    <s v="ABdeVilliers"/>
    <s v="not_out"/>
    <n v="19"/>
    <n v="13"/>
    <n v="1"/>
    <n v="1"/>
    <n v="4.95"/>
  </r>
  <r>
    <s v="T209992"/>
    <s v="Sunrisers Vs RCB"/>
    <s v="RCB"/>
    <x v="6"/>
    <s v="ShahbazAhmed"/>
    <s v="out"/>
    <n v="14"/>
    <n v="9"/>
    <n v="2"/>
    <n v="0"/>
    <n v="4.7945205479452051"/>
  </r>
  <r>
    <s v="T209992"/>
    <s v="Sunrisers Vs RCB"/>
    <s v="RCB"/>
    <x v="7"/>
    <s v="GeorgeGarton"/>
    <s v="not_out"/>
    <n v="2"/>
    <n v="3"/>
    <n v="0"/>
    <n v="0"/>
    <n v="5.6513761467889907"/>
  </r>
  <r>
    <s v="T205599"/>
    <s v="Royals Vs Mumbai"/>
    <s v="Royals"/>
    <x v="0"/>
    <s v="EvinLewis"/>
    <s v="out"/>
    <n v="24"/>
    <n v="19"/>
    <n v="3"/>
    <n v="1"/>
    <n v="4.5384615384615383"/>
  </r>
  <r>
    <s v="T205599"/>
    <s v="Royals Vs Mumbai"/>
    <s v="Royals"/>
    <x v="1"/>
    <s v="YashasviJaiswal"/>
    <s v="out"/>
    <n v="12"/>
    <n v="9"/>
    <n v="3"/>
    <n v="0"/>
    <n v="4.7945205479452051"/>
  </r>
  <r>
    <s v="T205599"/>
    <s v="Royals Vs Mumbai"/>
    <s v="Royals"/>
    <x v="2"/>
    <s v="SanjuSamson"/>
    <s v="out"/>
    <n v="3"/>
    <n v="6"/>
    <n v="0"/>
    <n v="0"/>
    <n v="5.4886363636363633"/>
  </r>
  <r>
    <s v="T205599"/>
    <s v="Royals Vs Mumbai"/>
    <s v="Royals"/>
    <x v="3"/>
    <s v="ShivamDube"/>
    <s v="out"/>
    <n v="3"/>
    <n v="8"/>
    <n v="0"/>
    <n v="0"/>
    <n v="4.87"/>
  </r>
  <r>
    <s v="T205599"/>
    <s v="Royals Vs Mumbai"/>
    <s v="Royals"/>
    <x v="4"/>
    <s v="GlennPhillips"/>
    <s v="out"/>
    <n v="4"/>
    <n v="13"/>
    <n v="0"/>
    <n v="0"/>
    <n v="4.95"/>
  </r>
  <r>
    <s v="T205599"/>
    <s v="Royals Vs Mumbai"/>
    <s v="Royals"/>
    <x v="5"/>
    <s v="DavidMiller"/>
    <s v="out"/>
    <n v="15"/>
    <n v="23"/>
    <n v="0"/>
    <n v="0"/>
    <n v="5.1470588235294121"/>
  </r>
  <r>
    <s v="T205599"/>
    <s v="Royals Vs Mumbai"/>
    <s v="Royals"/>
    <x v="6"/>
    <s v="RahulTewatia"/>
    <s v="out"/>
    <n v="12"/>
    <n v="20"/>
    <n v="0"/>
    <n v="0"/>
    <n v="4.8108108108108105"/>
  </r>
  <r>
    <s v="T205599"/>
    <s v="Royals Vs Mumbai"/>
    <s v="Royals"/>
    <x v="7"/>
    <s v="ShreyasGopal"/>
    <s v="out"/>
    <n v="0"/>
    <n v="1"/>
    <n v="0"/>
    <n v="0"/>
    <n v="6.625"/>
  </r>
  <r>
    <s v="T205599"/>
    <s v="Royals Vs Mumbai"/>
    <s v="Royals"/>
    <x v="8"/>
    <s v="ChetanSakariya"/>
    <s v="out"/>
    <n v="6"/>
    <n v="11"/>
    <n v="1"/>
    <n v="0"/>
    <n v="4.9642857142857144"/>
  </r>
  <r>
    <s v="T205599"/>
    <s v="Royals Vs Mumbai"/>
    <s v="Royals"/>
    <x v="9"/>
    <s v="KuldipYadav"/>
    <s v="not_out"/>
    <n v="0"/>
    <n v="4"/>
    <n v="0"/>
    <n v="0"/>
    <n v="5.3636363636363633"/>
  </r>
  <r>
    <s v="T205599"/>
    <s v="Royals Vs Mumbai"/>
    <s v="Royals"/>
    <x v="10"/>
    <s v="MustafizurRahman"/>
    <s v="not_out"/>
    <n v="8"/>
    <n v="7"/>
    <n v="0"/>
    <n v="1"/>
    <n v="4.9148936170212769"/>
  </r>
  <r>
    <s v="T205599"/>
    <s v="Royals Vs Mumbai"/>
    <s v="Mumbai"/>
    <x v="0"/>
    <s v="RohitSharma"/>
    <s v="out"/>
    <n v="22"/>
    <n v="13"/>
    <n v="1"/>
    <n v="2"/>
    <n v="4.95"/>
  </r>
  <r>
    <s v="T205599"/>
    <s v="Royals Vs Mumbai"/>
    <s v="Mumbai"/>
    <x v="1"/>
    <s v="IshanKishan"/>
    <s v="not_out"/>
    <n v="50"/>
    <n v="25"/>
    <n v="5"/>
    <n v="3"/>
    <n v="4.4782608695652177"/>
  </r>
  <r>
    <s v="T205599"/>
    <s v="Royals Vs Mumbai"/>
    <s v="Mumbai"/>
    <x v="2"/>
    <s v="SuryakumarYadav"/>
    <s v="out"/>
    <n v="13"/>
    <n v="8"/>
    <n v="3"/>
    <n v="0"/>
    <n v="4.808080808080808"/>
  </r>
  <r>
    <s v="T205599"/>
    <s v="Royals Vs Mumbai"/>
    <s v="Mumbai"/>
    <x v="3"/>
    <s v="HardikPandya"/>
    <s v="not_out"/>
    <n v="5"/>
    <n v="6"/>
    <n v="0"/>
    <n v="0"/>
    <n v="5.4482758620689653"/>
  </r>
  <r>
    <s v="T207682"/>
    <s v="Super Kings Vs Capitals"/>
    <s v="Super Kings"/>
    <x v="0"/>
    <s v="RuturajGaikwad"/>
    <s v="out"/>
    <n v="13"/>
    <n v="13"/>
    <n v="2"/>
    <n v="0"/>
    <n v="4.9830508474576272"/>
  </r>
  <r>
    <s v="T207682"/>
    <s v="Super Kings Vs Capitals"/>
    <s v="Super Kings"/>
    <x v="1"/>
    <s v="FafduPlessis"/>
    <s v="out"/>
    <n v="10"/>
    <n v="8"/>
    <n v="2"/>
    <n v="0"/>
    <n v="4.808080808080808"/>
  </r>
  <r>
    <s v="T207682"/>
    <s v="Super Kings Vs Capitals"/>
    <s v="Super Kings"/>
    <x v="2"/>
    <s v="RobinUthappa"/>
    <s v="out"/>
    <n v="19"/>
    <n v="19"/>
    <n v="1"/>
    <n v="0"/>
    <n v="4.5384615384615383"/>
  </r>
  <r>
    <s v="T207682"/>
    <s v="Super Kings Vs Capitals"/>
    <s v="Super Kings"/>
    <x v="3"/>
    <s v="MoeenAli"/>
    <s v="out"/>
    <n v="5"/>
    <n v="8"/>
    <n v="0"/>
    <n v="0"/>
    <n v="4.808080808080808"/>
  </r>
  <r>
    <s v="T207682"/>
    <s v="Super Kings Vs Capitals"/>
    <s v="Super Kings"/>
    <x v="4"/>
    <s v="AmbatiRayudu"/>
    <s v="not_out"/>
    <n v="55"/>
    <n v="43"/>
    <n v="5"/>
    <n v="2"/>
    <n v="2.9230769230769229"/>
  </r>
  <r>
    <s v="T207682"/>
    <s v="Super Kings Vs Capitals"/>
    <s v="Super Kings"/>
    <x v="5"/>
    <s v="MSDhoni"/>
    <s v="out"/>
    <n v="18"/>
    <n v="27"/>
    <n v="0"/>
    <n v="0"/>
    <n v="4.25"/>
  </r>
  <r>
    <s v="T207682"/>
    <s v="Super Kings Vs Capitals"/>
    <s v="Super Kings"/>
    <x v="6"/>
    <s v="RavindraJadeja"/>
    <s v="not_out"/>
    <n v="1"/>
    <n v="2"/>
    <n v="0"/>
    <n v="0"/>
    <n v="6.1312499999999996"/>
  </r>
  <r>
    <s v="T207682"/>
    <s v="Super Kings Vs Capitals"/>
    <s v="Capitals"/>
    <x v="0"/>
    <s v="PrithviShaw"/>
    <s v="out"/>
    <n v="18"/>
    <n v="12"/>
    <n v="3"/>
    <n v="0"/>
    <n v="4.9315068493150687"/>
  </r>
  <r>
    <s v="T207682"/>
    <s v="Super Kings Vs Capitals"/>
    <s v="Capitals"/>
    <x v="1"/>
    <s v="ShikharDhawan"/>
    <s v="out"/>
    <n v="39"/>
    <n v="35"/>
    <n v="3"/>
    <n v="2"/>
    <n v="3.5769230769230771"/>
  </r>
  <r>
    <s v="T207682"/>
    <s v="Super Kings Vs Capitals"/>
    <s v="Capitals"/>
    <x v="2"/>
    <s v="ShreyasIyer"/>
    <s v="out"/>
    <n v="2"/>
    <n v="7"/>
    <n v="0"/>
    <n v="0"/>
    <n v="4.9148936170212769"/>
  </r>
  <r>
    <s v="T207682"/>
    <s v="Super Kings Vs Capitals"/>
    <s v="Capitals"/>
    <x v="3"/>
    <s v="RishabhPant"/>
    <s v="out"/>
    <n v="15"/>
    <n v="12"/>
    <n v="1"/>
    <n v="1"/>
    <n v="4.9315068493150687"/>
  </r>
  <r>
    <s v="T207682"/>
    <s v="Super Kings Vs Capitals"/>
    <s v="Capitals"/>
    <x v="4"/>
    <s v="RipalPatel"/>
    <s v="out"/>
    <n v="18"/>
    <n v="20"/>
    <n v="2"/>
    <n v="0"/>
    <n v="4.8108108108108105"/>
  </r>
  <r>
    <s v="T207682"/>
    <s v="Super Kings Vs Capitals"/>
    <s v="Capitals"/>
    <x v="5"/>
    <s v="RavichandranAshwin"/>
    <s v="out"/>
    <n v="2"/>
    <n v="3"/>
    <n v="0"/>
    <n v="0"/>
    <n v="5.6915887850467293"/>
  </r>
  <r>
    <s v="T207682"/>
    <s v="Super Kings Vs Capitals"/>
    <s v="Capitals"/>
    <x v="6"/>
    <s v="ShimronHetmyer"/>
    <s v="not_out"/>
    <n v="28"/>
    <n v="18"/>
    <n v="2"/>
    <n v="1"/>
    <n v="4.4347826086956523"/>
  </r>
  <r>
    <s v="T207682"/>
    <s v="Super Kings Vs Capitals"/>
    <s v="Capitals"/>
    <x v="7"/>
    <s v="AxarPatel"/>
    <s v="out"/>
    <n v="5"/>
    <n v="10"/>
    <n v="0"/>
    <n v="0"/>
    <n v="4.7777777777777777"/>
  </r>
  <r>
    <s v="T207682"/>
    <s v="Super Kings Vs Capitals"/>
    <s v="Capitals"/>
    <x v="8"/>
    <s v="KagisoRabada"/>
    <s v="not_out"/>
    <n v="4"/>
    <n v="1"/>
    <n v="1"/>
    <n v="0"/>
    <n v="6.6231155778894468"/>
  </r>
  <r>
    <s v="T207430"/>
    <s v="Sunrisers Vs KKR"/>
    <s v="Sunrisers"/>
    <x v="0"/>
    <s v="JasonRoy"/>
    <s v="out"/>
    <n v="10"/>
    <n v="13"/>
    <n v="2"/>
    <n v="0"/>
    <n v="5.0517241379310347"/>
  </r>
  <r>
    <s v="T207430"/>
    <s v="Sunrisers Vs KKR"/>
    <s v="Sunrisers"/>
    <x v="1"/>
    <s v="WriddhimanSaha"/>
    <s v="out"/>
    <n v="0"/>
    <n v="1"/>
    <n v="0"/>
    <n v="0"/>
    <n v="6.6231155778894468"/>
  </r>
  <r>
    <s v="T207430"/>
    <s v="Sunrisers Vs KKR"/>
    <s v="Sunrisers"/>
    <x v="2"/>
    <s v="KaneWilliamson"/>
    <s v="out"/>
    <n v="26"/>
    <n v="21"/>
    <n v="4"/>
    <n v="0"/>
    <n v="4.4406779661016946"/>
  </r>
  <r>
    <s v="T207430"/>
    <s v="Sunrisers Vs KKR"/>
    <s v="Sunrisers"/>
    <x v="3"/>
    <s v="PriyamGarg"/>
    <s v="out"/>
    <n v="21"/>
    <n v="31"/>
    <n v="0"/>
    <n v="1"/>
    <n v="3.4666666666666668"/>
  </r>
  <r>
    <s v="T207430"/>
    <s v="Sunrisers Vs KKR"/>
    <s v="Sunrisers"/>
    <x v="4"/>
    <s v="AbhishekSharma"/>
    <s v="out"/>
    <n v="6"/>
    <n v="10"/>
    <n v="0"/>
    <n v="0"/>
    <n v="4.830985915492958"/>
  </r>
  <r>
    <s v="T207430"/>
    <s v="Sunrisers Vs KKR"/>
    <s v="Sunrisers"/>
    <x v="5"/>
    <s v="AbdulSamad"/>
    <s v="out"/>
    <n v="25"/>
    <n v="18"/>
    <n v="0"/>
    <n v="3"/>
    <n v="4.4347826086956523"/>
  </r>
  <r>
    <s v="T207430"/>
    <s v="Sunrisers Vs KKR"/>
    <s v="Sunrisers"/>
    <x v="6"/>
    <s v="JasonHolder"/>
    <s v="out"/>
    <n v="2"/>
    <n v="9"/>
    <n v="0"/>
    <n v="0"/>
    <n v="4.7945205479452051"/>
  </r>
  <r>
    <s v="T207430"/>
    <s v="Sunrisers Vs KKR"/>
    <s v="Sunrisers"/>
    <x v="7"/>
    <s v="RashidKhan"/>
    <s v="out"/>
    <n v="8"/>
    <n v="6"/>
    <n v="1"/>
    <n v="0"/>
    <n v="5.4534883720930232"/>
  </r>
  <r>
    <s v="T207430"/>
    <s v="Sunrisers Vs KKR"/>
    <s v="Sunrisers"/>
    <x v="8"/>
    <s v="BhuvneshwarKumar"/>
    <s v="not_out"/>
    <n v="7"/>
    <n v="7"/>
    <n v="0"/>
    <n v="0"/>
    <n v="4.9148936170212769"/>
  </r>
  <r>
    <s v="T207430"/>
    <s v="Sunrisers Vs KKR"/>
    <s v="Sunrisers"/>
    <x v="9"/>
    <s v="SiddarthKaul"/>
    <s v="not_out"/>
    <n v="7"/>
    <n v="5"/>
    <n v="1"/>
    <n v="0"/>
    <n v="5.0999999999999996"/>
  </r>
  <r>
    <s v="T207430"/>
    <s v="Sunrisers Vs KKR"/>
    <s v="KKR"/>
    <x v="0"/>
    <s v="ShubmanGill"/>
    <s v="out"/>
    <n v="57"/>
    <n v="51"/>
    <n v="10"/>
    <n v="0"/>
    <n v="3.1428571428571428"/>
  </r>
  <r>
    <s v="T207430"/>
    <s v="Sunrisers Vs KKR"/>
    <s v="KKR"/>
    <x v="1"/>
    <s v="VenkateshIyer"/>
    <s v="out"/>
    <n v="8"/>
    <n v="14"/>
    <n v="0"/>
    <n v="0"/>
    <n v="4.8"/>
  </r>
  <r>
    <s v="T207430"/>
    <s v="Sunrisers Vs KKR"/>
    <s v="KKR"/>
    <x v="2"/>
    <s v="RahulTripathi"/>
    <s v="out"/>
    <n v="7"/>
    <n v="6"/>
    <n v="1"/>
    <n v="0"/>
    <n v="5.4534883720930232"/>
  </r>
  <r>
    <s v="T207430"/>
    <s v="Sunrisers Vs KKR"/>
    <s v="KKR"/>
    <x v="3"/>
    <s v="NitishRana"/>
    <s v="out"/>
    <n v="25"/>
    <n v="33"/>
    <n v="3"/>
    <n v="0"/>
    <n v="2.8888888888888888"/>
  </r>
  <r>
    <s v="T207430"/>
    <s v="Sunrisers Vs KKR"/>
    <s v="KKR"/>
    <x v="4"/>
    <s v="DineshKarthik"/>
    <s v="not_out"/>
    <n v="18"/>
    <n v="12"/>
    <n v="3"/>
    <n v="0"/>
    <n v="4.9315068493150687"/>
  </r>
  <r>
    <s v="T207430"/>
    <s v="Sunrisers Vs KKR"/>
    <s v="KKR"/>
    <x v="5"/>
    <s v="EoinMorgan"/>
    <s v="not_out"/>
    <n v="2"/>
    <n v="2"/>
    <n v="0"/>
    <n v="0"/>
    <n v="6.1464968152866239"/>
  </r>
  <r>
    <s v="T207754"/>
    <s v="RCB Vs Punjab Kings"/>
    <s v="RCB"/>
    <x v="0"/>
    <s v="ViratKohli"/>
    <s v="out"/>
    <n v="25"/>
    <n v="24"/>
    <n v="2"/>
    <n v="1"/>
    <n v="4.15625"/>
  </r>
  <r>
    <s v="T207754"/>
    <s v="RCB Vs Punjab Kings"/>
    <s v="RCB"/>
    <x v="1"/>
    <s v="DevduttPadikkal"/>
    <s v="out"/>
    <n v="40"/>
    <n v="38"/>
    <n v="4"/>
    <n v="2"/>
    <n v="3.7777777777777777"/>
  </r>
  <r>
    <s v="T207754"/>
    <s v="RCB Vs Punjab Kings"/>
    <s v="RCB"/>
    <x v="2"/>
    <s v="DanChristian"/>
    <s v="out"/>
    <n v="0"/>
    <n v="1"/>
    <n v="0"/>
    <n v="0"/>
    <n v="6.6231155778894468"/>
  </r>
  <r>
    <s v="T207754"/>
    <s v="RCB Vs Punjab Kings"/>
    <s v="RCB"/>
    <x v="3"/>
    <s v="GlennMaxwell"/>
    <s v="out"/>
    <n v="57"/>
    <n v="33"/>
    <n v="3"/>
    <n v="4"/>
    <n v="2.8888888888888888"/>
  </r>
  <r>
    <s v="T207754"/>
    <s v="RCB Vs Punjab Kings"/>
    <s v="RCB"/>
    <x v="4"/>
    <s v="ABdeVilliers"/>
    <s v="out"/>
    <n v="23"/>
    <n v="18"/>
    <n v="1"/>
    <n v="2"/>
    <n v="4.4222222222222225"/>
  </r>
  <r>
    <s v="T207754"/>
    <s v="RCB Vs Punjab Kings"/>
    <s v="RCB"/>
    <x v="5"/>
    <s v="ShahbazAhmed"/>
    <s v="out"/>
    <n v="8"/>
    <n v="4"/>
    <n v="0"/>
    <n v="1"/>
    <n v="5.3265306122448983"/>
  </r>
  <r>
    <s v="T207754"/>
    <s v="RCB Vs Punjab Kings"/>
    <s v="RCB"/>
    <x v="6"/>
    <s v="SrikarBharat"/>
    <s v="not_out"/>
    <n v="0"/>
    <n v="0"/>
    <n v="0"/>
    <n v="0"/>
    <n v="6.2422535211267602"/>
  </r>
  <r>
    <s v="T207754"/>
    <s v="RCB Vs Punjab Kings"/>
    <s v="RCB"/>
    <x v="7"/>
    <s v="GeorgeGarton"/>
    <s v="out"/>
    <n v="0"/>
    <n v="1"/>
    <n v="0"/>
    <n v="0"/>
    <n v="6.6231155778894468"/>
  </r>
  <r>
    <s v="T207754"/>
    <s v="RCB Vs Punjab Kings"/>
    <s v="RCB"/>
    <x v="8"/>
    <s v="HarshalPatel"/>
    <s v="not_out"/>
    <n v="1"/>
    <n v="1"/>
    <n v="0"/>
    <n v="0"/>
    <n v="6.6231155778894468"/>
  </r>
  <r>
    <s v="T207754"/>
    <s v="RCB Vs Punjab Kings"/>
    <s v="Punjab Kings"/>
    <x v="0"/>
    <s v="KLRahul"/>
    <s v="out"/>
    <n v="39"/>
    <n v="35"/>
    <n v="1"/>
    <n v="2"/>
    <n v="3.5769230769230771"/>
  </r>
  <r>
    <s v="T207754"/>
    <s v="RCB Vs Punjab Kings"/>
    <s v="Punjab Kings"/>
    <x v="1"/>
    <s v="MayankAgarwal"/>
    <s v="out"/>
    <n v="57"/>
    <n v="42"/>
    <n v="6"/>
    <n v="2"/>
    <n v="3.3913043478260869"/>
  </r>
  <r>
    <s v="T207754"/>
    <s v="RCB Vs Punjab Kings"/>
    <s v="Punjab Kings"/>
    <x v="2"/>
    <s v="NicholasPooran"/>
    <s v="out"/>
    <n v="3"/>
    <n v="7"/>
    <n v="0"/>
    <n v="0"/>
    <n v="4.8351648351648349"/>
  </r>
  <r>
    <s v="T207754"/>
    <s v="RCB Vs Punjab Kings"/>
    <s v="Punjab Kings"/>
    <x v="3"/>
    <s v="AidenMarkram"/>
    <s v="out"/>
    <n v="20"/>
    <n v="14"/>
    <n v="2"/>
    <n v="1"/>
    <n v="4.8"/>
  </r>
  <r>
    <s v="T207754"/>
    <s v="RCB Vs Punjab Kings"/>
    <s v="Punjab Kings"/>
    <x v="4"/>
    <s v="SarfarazKhan"/>
    <s v="out"/>
    <n v="0"/>
    <n v="1"/>
    <n v="0"/>
    <n v="0"/>
    <n v="6.6111111111111107"/>
  </r>
  <r>
    <s v="T207754"/>
    <s v="RCB Vs Punjab Kings"/>
    <s v="Punjab Kings"/>
    <x v="5"/>
    <s v="MShahrukhKhan"/>
    <s v="out"/>
    <n v="16"/>
    <n v="11"/>
    <n v="1"/>
    <n v="1"/>
    <n v="4.9642857142857144"/>
  </r>
  <r>
    <s v="T207754"/>
    <s v="RCB Vs Punjab Kings"/>
    <s v="Punjab Kings"/>
    <x v="6"/>
    <s v="MoisesHenriques"/>
    <s v="not_out"/>
    <n v="12"/>
    <n v="9"/>
    <n v="0"/>
    <n v="1"/>
    <n v="4.7945205479452051"/>
  </r>
  <r>
    <s v="T207754"/>
    <s v="RCB Vs Punjab Kings"/>
    <s v="Punjab Kings"/>
    <x v="7"/>
    <s v="HarpreetBrar"/>
    <s v="not_out"/>
    <n v="3"/>
    <n v="2"/>
    <n v="0"/>
    <n v="0"/>
    <n v="6.1474358974358978"/>
  </r>
  <r>
    <s v="T205672"/>
    <s v="Super Kings Vs Royals"/>
    <s v="Super Kings"/>
    <x v="0"/>
    <s v="RuturajGaikwad"/>
    <s v="not_out"/>
    <n v="101"/>
    <n v="60"/>
    <n v="9"/>
    <n v="5"/>
    <n v="2.1111111111111112"/>
  </r>
  <r>
    <s v="T205672"/>
    <s v="Super Kings Vs Royals"/>
    <s v="Super Kings"/>
    <x v="1"/>
    <s v="FafduPlessis"/>
    <s v="out"/>
    <n v="25"/>
    <n v="19"/>
    <n v="2"/>
    <n v="1"/>
    <n v="4.5686274509803919"/>
  </r>
  <r>
    <s v="T205672"/>
    <s v="Super Kings Vs Royals"/>
    <s v="Super Kings"/>
    <x v="2"/>
    <s v="SureshRaina"/>
    <s v="out"/>
    <n v="3"/>
    <n v="5"/>
    <n v="0"/>
    <n v="0"/>
    <n v="5.0999999999999996"/>
  </r>
  <r>
    <s v="T205672"/>
    <s v="Super Kings Vs Royals"/>
    <s v="Super Kings"/>
    <x v="3"/>
    <s v="MoeenAli"/>
    <s v="out"/>
    <n v="21"/>
    <n v="17"/>
    <n v="1"/>
    <n v="1"/>
    <n v="4.795918367346939"/>
  </r>
  <r>
    <s v="T205672"/>
    <s v="Super Kings Vs Royals"/>
    <s v="Super Kings"/>
    <x v="4"/>
    <s v="AmbatiRayudu"/>
    <s v="out"/>
    <n v="2"/>
    <n v="4"/>
    <n v="0"/>
    <n v="0"/>
    <n v="5.3265306122448983"/>
  </r>
  <r>
    <s v="T205672"/>
    <s v="Super Kings Vs Royals"/>
    <s v="Super Kings"/>
    <x v="5"/>
    <s v="RavindraJadeja"/>
    <s v="not_out"/>
    <n v="32"/>
    <n v="15"/>
    <n v="4"/>
    <n v="1"/>
    <n v="4.7586206896551726"/>
  </r>
  <r>
    <s v="T205672"/>
    <s v="Super Kings Vs Royals"/>
    <s v="Royals"/>
    <x v="0"/>
    <s v="EvinLewis"/>
    <s v="out"/>
    <n v="27"/>
    <n v="12"/>
    <n v="2"/>
    <n v="2"/>
    <n v="4.9027777777777777"/>
  </r>
  <r>
    <s v="T205672"/>
    <s v="Super Kings Vs Royals"/>
    <s v="Royals"/>
    <x v="1"/>
    <s v="YashasviJaiswal"/>
    <s v="out"/>
    <n v="50"/>
    <n v="21"/>
    <n v="6"/>
    <n v="3"/>
    <n v="4.4561403508771926"/>
  </r>
  <r>
    <s v="T205672"/>
    <s v="Super Kings Vs Royals"/>
    <s v="Royals"/>
    <x v="2"/>
    <s v="SanjuSamson"/>
    <s v="out"/>
    <n v="28"/>
    <n v="24"/>
    <n v="4"/>
    <n v="0"/>
    <n v="4.15625"/>
  </r>
  <r>
    <s v="T205672"/>
    <s v="Super Kings Vs Royals"/>
    <s v="Royals"/>
    <x v="3"/>
    <s v="ShivamDube"/>
    <s v="not_out"/>
    <n v="64"/>
    <n v="42"/>
    <n v="4"/>
    <n v="4"/>
    <n v="3.3913043478260869"/>
  </r>
  <r>
    <s v="T205672"/>
    <s v="Super Kings Vs Royals"/>
    <s v="Royals"/>
    <x v="4"/>
    <s v="GlennPhillips"/>
    <s v="not_out"/>
    <n v="14"/>
    <n v="8"/>
    <n v="1"/>
    <n v="1"/>
    <n v="4.791666666666667"/>
  </r>
  <r>
    <s v="T209349"/>
    <s v="Mumbai Vs Capitals"/>
    <s v="Mumbai"/>
    <x v="0"/>
    <s v="RohitSharma"/>
    <s v="out"/>
    <n v="7"/>
    <n v="10"/>
    <n v="1"/>
    <n v="0"/>
    <n v="4.830985915492958"/>
  </r>
  <r>
    <s v="T209349"/>
    <s v="Mumbai Vs Capitals"/>
    <s v="Mumbai"/>
    <x v="1"/>
    <s v="QuintondeKock"/>
    <s v="out"/>
    <n v="19"/>
    <n v="18"/>
    <n v="1"/>
    <n v="1"/>
    <n v="4.4222222222222225"/>
  </r>
  <r>
    <s v="T209349"/>
    <s v="Mumbai Vs Capitals"/>
    <s v="Mumbai"/>
    <x v="2"/>
    <s v="SuryakumarYadav"/>
    <s v="out"/>
    <n v="33"/>
    <n v="26"/>
    <n v="2"/>
    <n v="2"/>
    <n v="4.2127659574468082"/>
  </r>
  <r>
    <s v="T209349"/>
    <s v="Mumbai Vs Capitals"/>
    <s v="Mumbai"/>
    <x v="3"/>
    <s v="SaurabhTiwary"/>
    <s v="out"/>
    <n v="15"/>
    <n v="18"/>
    <n v="1"/>
    <n v="0"/>
    <n v="4.4222222222222225"/>
  </r>
  <r>
    <s v="T209349"/>
    <s v="Mumbai Vs Capitals"/>
    <s v="Mumbai"/>
    <x v="4"/>
    <s v="KieronPollard"/>
    <s v="out"/>
    <n v="6"/>
    <n v="9"/>
    <n v="0"/>
    <n v="0"/>
    <n v="4.7945205479452051"/>
  </r>
  <r>
    <s v="T209349"/>
    <s v="Mumbai Vs Capitals"/>
    <s v="Mumbai"/>
    <x v="5"/>
    <s v="HardikPandya"/>
    <s v="out"/>
    <n v="17"/>
    <n v="18"/>
    <n v="2"/>
    <n v="0"/>
    <n v="4.4222222222222225"/>
  </r>
  <r>
    <s v="T209349"/>
    <s v="Mumbai Vs Capitals"/>
    <s v="Mumbai"/>
    <x v="6"/>
    <s v="KrunalPandya"/>
    <s v="not_out"/>
    <n v="13"/>
    <n v="15"/>
    <n v="1"/>
    <n v="1"/>
    <n v="4.7719298245614032"/>
  </r>
  <r>
    <s v="T209349"/>
    <s v="Mumbai Vs Capitals"/>
    <s v="Mumbai"/>
    <x v="7"/>
    <s v="NathanCoulter-Nile"/>
    <s v="out"/>
    <n v="1"/>
    <n v="2"/>
    <n v="0"/>
    <n v="0"/>
    <n v="6.1548387096774198"/>
  </r>
  <r>
    <s v="T209349"/>
    <s v="Mumbai Vs Capitals"/>
    <s v="Mumbai"/>
    <x v="8"/>
    <s v="JayantYadav"/>
    <s v="out"/>
    <n v="11"/>
    <n v="4"/>
    <n v="1"/>
    <n v="1"/>
    <n v="5.3265306122448983"/>
  </r>
  <r>
    <s v="T209349"/>
    <s v="Mumbai Vs Capitals"/>
    <s v="Mumbai"/>
    <x v="9"/>
    <s v="JaspritBumrah"/>
    <s v="not_out"/>
    <n v="1"/>
    <n v="1"/>
    <n v="0"/>
    <n v="0"/>
    <n v="6.6040609137055837"/>
  </r>
  <r>
    <s v="T209349"/>
    <s v="Mumbai Vs Capitals"/>
    <s v="Capitals"/>
    <x v="0"/>
    <s v="PrithviShaw"/>
    <s v="out"/>
    <n v="6"/>
    <n v="7"/>
    <n v="1"/>
    <n v="0"/>
    <n v="4.8777777777777782"/>
  </r>
  <r>
    <s v="T209349"/>
    <s v="Mumbai Vs Capitals"/>
    <s v="Capitals"/>
    <x v="1"/>
    <s v="ShikharDhawan"/>
    <s v="out"/>
    <n v="8"/>
    <n v="7"/>
    <n v="0"/>
    <n v="1"/>
    <n v="4.8777777777777782"/>
  </r>
  <r>
    <s v="T209349"/>
    <s v="Mumbai Vs Capitals"/>
    <s v="Capitals"/>
    <x v="2"/>
    <s v="StevenSmith"/>
    <s v="out"/>
    <n v="9"/>
    <n v="8"/>
    <n v="0"/>
    <n v="1"/>
    <n v="4.8210526315789473"/>
  </r>
  <r>
    <s v="T209349"/>
    <s v="Mumbai Vs Capitals"/>
    <s v="Capitals"/>
    <x v="3"/>
    <s v="RishabhPant"/>
    <s v="out"/>
    <n v="26"/>
    <n v="22"/>
    <n v="3"/>
    <n v="1"/>
    <n v="4.5098039215686274"/>
  </r>
  <r>
    <s v="T209349"/>
    <s v="Mumbai Vs Capitals"/>
    <s v="Capitals"/>
    <x v="4"/>
    <s v="ShreyasIyer"/>
    <s v="not_out"/>
    <n v="33"/>
    <n v="33"/>
    <n v="2"/>
    <n v="0"/>
    <n v="2.8823529411764706"/>
  </r>
  <r>
    <s v="T209349"/>
    <s v="Mumbai Vs Capitals"/>
    <s v="Capitals"/>
    <x v="5"/>
    <s v="AxarPatel"/>
    <s v="out"/>
    <n v="9"/>
    <n v="9"/>
    <n v="1"/>
    <n v="0"/>
    <n v="4.8194444444444446"/>
  </r>
  <r>
    <s v="T209349"/>
    <s v="Mumbai Vs Capitals"/>
    <s v="Capitals"/>
    <x v="6"/>
    <s v="ShimronHetmyer"/>
    <s v="out"/>
    <n v="15"/>
    <n v="8"/>
    <n v="2"/>
    <n v="0"/>
    <n v="4.8210526315789473"/>
  </r>
  <r>
    <s v="T209349"/>
    <s v="Mumbai Vs Capitals"/>
    <s v="Capitals"/>
    <x v="7"/>
    <s v="RavichandranAshwin"/>
    <s v="not_out"/>
    <n v="20"/>
    <n v="21"/>
    <n v="0"/>
    <n v="1"/>
    <n v="4.4561403508771926"/>
  </r>
  <r>
    <s v="T201051"/>
    <s v="KKR Vs Punjab Kings"/>
    <s v="KKR"/>
    <x v="0"/>
    <s v="VenkateshIyer"/>
    <s v="out"/>
    <n v="67"/>
    <n v="49"/>
    <n v="9"/>
    <n v="1"/>
    <n v="3.5714285714285716"/>
  </r>
  <r>
    <s v="T201051"/>
    <s v="KKR Vs Punjab Kings"/>
    <s v="KKR"/>
    <x v="1"/>
    <s v="ShubmanGill"/>
    <s v="out"/>
    <n v="7"/>
    <n v="7"/>
    <n v="1"/>
    <n v="0"/>
    <n v="4.8777777777777782"/>
  </r>
  <r>
    <s v="T201051"/>
    <s v="KKR Vs Punjab Kings"/>
    <s v="KKR"/>
    <x v="2"/>
    <s v="RahulTripathi"/>
    <s v="out"/>
    <n v="34"/>
    <n v="26"/>
    <n v="3"/>
    <n v="1"/>
    <n v="4.2173913043478262"/>
  </r>
  <r>
    <s v="T201051"/>
    <s v="KKR Vs Punjab Kings"/>
    <s v="KKR"/>
    <x v="3"/>
    <s v="NitishRana"/>
    <s v="out"/>
    <n v="31"/>
    <n v="18"/>
    <n v="2"/>
    <n v="2"/>
    <n v="4.4222222222222225"/>
  </r>
  <r>
    <s v="T201051"/>
    <s v="KKR Vs Punjab Kings"/>
    <s v="KKR"/>
    <x v="4"/>
    <s v="EoinMorgan"/>
    <s v="out"/>
    <n v="2"/>
    <n v="2"/>
    <n v="0"/>
    <n v="0"/>
    <n v="6.1548387096774198"/>
  </r>
  <r>
    <s v="T201051"/>
    <s v="KKR Vs Punjab Kings"/>
    <s v="KKR"/>
    <x v="5"/>
    <s v="DineshKarthik"/>
    <s v="out"/>
    <n v="11"/>
    <n v="11"/>
    <n v="0"/>
    <n v="0"/>
    <n v="4.8909090909090907"/>
  </r>
  <r>
    <s v="T201051"/>
    <s v="KKR Vs Punjab Kings"/>
    <s v="KKR"/>
    <x v="6"/>
    <s v="TimSeifert"/>
    <s v="out"/>
    <n v="2"/>
    <n v="4"/>
    <n v="0"/>
    <n v="0"/>
    <n v="5.3265306122448983"/>
  </r>
  <r>
    <s v="T201051"/>
    <s v="KKR Vs Punjab Kings"/>
    <s v="KKR"/>
    <x v="7"/>
    <s v="SunilNarine"/>
    <s v="not_out"/>
    <n v="3"/>
    <n v="3"/>
    <n v="0"/>
    <n v="0"/>
    <n v="5.7211538461538458"/>
  </r>
  <r>
    <s v="T201051"/>
    <s v="KKR Vs Punjab Kings"/>
    <s v="Punjab Kings"/>
    <x v="0"/>
    <s v="KLRahul"/>
    <s v="out"/>
    <n v="67"/>
    <n v="55"/>
    <n v="4"/>
    <n v="2"/>
    <n v="3.1428571428571428"/>
  </r>
  <r>
    <s v="T201051"/>
    <s v="KKR Vs Punjab Kings"/>
    <s v="Punjab Kings"/>
    <x v="1"/>
    <s v="MayankAgarwal"/>
    <s v="out"/>
    <n v="40"/>
    <n v="27"/>
    <n v="3"/>
    <n v="3"/>
    <n v="4.354838709677419"/>
  </r>
  <r>
    <s v="T201051"/>
    <s v="KKR Vs Punjab Kings"/>
    <s v="Punjab Kings"/>
    <x v="2"/>
    <s v="NicholasPooran"/>
    <s v="out"/>
    <n v="12"/>
    <n v="7"/>
    <n v="0"/>
    <n v="1"/>
    <n v="4.9101123595505616"/>
  </r>
  <r>
    <s v="T201051"/>
    <s v="KKR Vs Punjab Kings"/>
    <s v="Punjab Kings"/>
    <x v="3"/>
    <s v="AidenMarkram"/>
    <s v="out"/>
    <n v="18"/>
    <n v="16"/>
    <n v="0"/>
    <n v="1"/>
    <n v="4.6511627906976747"/>
  </r>
  <r>
    <s v="T201051"/>
    <s v="KKR Vs Punjab Kings"/>
    <s v="Punjab Kings"/>
    <x v="4"/>
    <s v="DeepakHooda"/>
    <s v="out"/>
    <n v="3"/>
    <n v="4"/>
    <n v="0"/>
    <n v="0"/>
    <n v="5.3265306122448983"/>
  </r>
  <r>
    <s v="T201051"/>
    <s v="KKR Vs Punjab Kings"/>
    <s v="Punjab Kings"/>
    <x v="5"/>
    <s v="MShahrukhKhan"/>
    <s v="not_out"/>
    <n v="22"/>
    <n v="9"/>
    <n v="1"/>
    <n v="2"/>
    <n v="4.802816901408451"/>
  </r>
  <r>
    <s v="T201051"/>
    <s v="KKR Vs Punjab Kings"/>
    <s v="Punjab Kings"/>
    <x v="6"/>
    <s v="FabianAllen"/>
    <s v="not_out"/>
    <n v="0"/>
    <n v="0"/>
    <n v="0"/>
    <n v="0"/>
    <n v="6.2386363636363633"/>
  </r>
  <r>
    <s v="T203061"/>
    <s v="Sunrisers Vs Super Kings"/>
    <s v="Sunrisers"/>
    <x v="0"/>
    <s v="JasonRoy"/>
    <s v="out"/>
    <n v="2"/>
    <n v="7"/>
    <n v="0"/>
    <n v="0"/>
    <n v="4.9101123595505616"/>
  </r>
  <r>
    <s v="T203061"/>
    <s v="Sunrisers Vs Super Kings"/>
    <s v="Sunrisers"/>
    <x v="1"/>
    <s v="WriddhimanSaha"/>
    <s v="out"/>
    <n v="44"/>
    <n v="46"/>
    <n v="1"/>
    <n v="2"/>
    <n v="3.6"/>
  </r>
  <r>
    <s v="T203061"/>
    <s v="Sunrisers Vs Super Kings"/>
    <s v="Sunrisers"/>
    <x v="2"/>
    <s v="KaneWilliamson"/>
    <s v="out"/>
    <n v="11"/>
    <n v="11"/>
    <n v="2"/>
    <n v="0"/>
    <n v="4.8703703703703702"/>
  </r>
  <r>
    <s v="T203061"/>
    <s v="Sunrisers Vs Super Kings"/>
    <s v="Sunrisers"/>
    <x v="3"/>
    <s v="PriyamGarg"/>
    <s v="out"/>
    <n v="7"/>
    <n v="10"/>
    <n v="0"/>
    <n v="0"/>
    <n v="4.830985915492958"/>
  </r>
  <r>
    <s v="T203061"/>
    <s v="Sunrisers Vs Super Kings"/>
    <s v="Sunrisers"/>
    <x v="4"/>
    <s v="AbhishekSharma"/>
    <s v="out"/>
    <n v="18"/>
    <n v="13"/>
    <n v="1"/>
    <n v="1"/>
    <n v="5.0175438596491224"/>
  </r>
  <r>
    <s v="T203061"/>
    <s v="Sunrisers Vs Super Kings"/>
    <s v="Sunrisers"/>
    <x v="5"/>
    <s v="AbdulSamad"/>
    <s v="out"/>
    <n v="18"/>
    <n v="14"/>
    <n v="1"/>
    <n v="1"/>
    <n v="4.795918367346939"/>
  </r>
  <r>
    <s v="T203061"/>
    <s v="Sunrisers Vs Super Kings"/>
    <s v="Sunrisers"/>
    <x v="6"/>
    <s v="JasonHolder"/>
    <s v="out"/>
    <n v="5"/>
    <n v="5"/>
    <n v="0"/>
    <n v="0"/>
    <n v="5.0999999999999996"/>
  </r>
  <r>
    <s v="T203061"/>
    <s v="Sunrisers Vs Super Kings"/>
    <s v="Sunrisers"/>
    <x v="7"/>
    <s v="RashidKhan"/>
    <s v="not_out"/>
    <n v="17"/>
    <n v="13"/>
    <n v="2"/>
    <n v="0"/>
    <n v="5.0175438596491224"/>
  </r>
  <r>
    <s v="T203061"/>
    <s v="Sunrisers Vs Super Kings"/>
    <s v="Sunrisers"/>
    <x v="8"/>
    <s v="BhuvneshwarKumar"/>
    <s v="not_out"/>
    <n v="2"/>
    <n v="2"/>
    <n v="0"/>
    <n v="0"/>
    <n v="6.1907894736842106"/>
  </r>
  <r>
    <s v="T203061"/>
    <s v="Sunrisers Vs Super Kings"/>
    <s v="Super Kings"/>
    <x v="0"/>
    <s v="RuturajGaikwad"/>
    <s v="out"/>
    <n v="45"/>
    <n v="38"/>
    <n v="4"/>
    <n v="2"/>
    <n v="3.7777777777777777"/>
  </r>
  <r>
    <s v="T203061"/>
    <s v="Sunrisers Vs Super Kings"/>
    <s v="Super Kings"/>
    <x v="1"/>
    <s v="FafduPlessis"/>
    <s v="out"/>
    <n v="41"/>
    <n v="36"/>
    <n v="3"/>
    <n v="2"/>
    <n v="4.1739130434782608"/>
  </r>
  <r>
    <s v="T203061"/>
    <s v="Sunrisers Vs Super Kings"/>
    <s v="Super Kings"/>
    <x v="2"/>
    <s v="MoeenAli"/>
    <s v="out"/>
    <n v="17"/>
    <n v="17"/>
    <n v="2"/>
    <n v="0"/>
    <n v="4.7021276595744679"/>
  </r>
  <r>
    <s v="T203061"/>
    <s v="Sunrisers Vs Super Kings"/>
    <s v="Super Kings"/>
    <x v="3"/>
    <s v="SureshRaina"/>
    <s v="out"/>
    <n v="2"/>
    <n v="3"/>
    <n v="0"/>
    <n v="0"/>
    <n v="5.7058823529411766"/>
  </r>
  <r>
    <s v="T203061"/>
    <s v="Sunrisers Vs Super Kings"/>
    <s v="Super Kings"/>
    <x v="4"/>
    <s v="AmbatiRayudu"/>
    <s v="not_out"/>
    <n v="17"/>
    <n v="13"/>
    <n v="1"/>
    <n v="1"/>
    <n v="5.0175438596491224"/>
  </r>
  <r>
    <s v="T203061"/>
    <s v="Sunrisers Vs Super Kings"/>
    <s v="Super Kings"/>
    <x v="5"/>
    <s v="MSDhoni"/>
    <s v="not_out"/>
    <n v="14"/>
    <n v="11"/>
    <n v="1"/>
    <n v="1"/>
    <n v="4.9056603773584904"/>
  </r>
  <r>
    <s v="T204742"/>
    <s v="Royals Vs RCB"/>
    <s v="Royals"/>
    <x v="0"/>
    <s v="EvinLewis"/>
    <s v="out"/>
    <n v="58"/>
    <n v="37"/>
    <n v="5"/>
    <n v="3"/>
    <n v="3.375"/>
  </r>
  <r>
    <s v="T204742"/>
    <s v="Royals Vs RCB"/>
    <s v="Royals"/>
    <x v="1"/>
    <s v="YashasviJaiswal"/>
    <s v="out"/>
    <n v="31"/>
    <n v="22"/>
    <n v="3"/>
    <n v="2"/>
    <n v="4.4800000000000004"/>
  </r>
  <r>
    <s v="T204742"/>
    <s v="Royals Vs RCB"/>
    <s v="Royals"/>
    <x v="2"/>
    <s v="SanjuSamson"/>
    <s v="out"/>
    <n v="19"/>
    <n v="15"/>
    <n v="0"/>
    <n v="2"/>
    <n v="4.7321428571428568"/>
  </r>
  <r>
    <s v="T204742"/>
    <s v="Royals Vs RCB"/>
    <s v="Royals"/>
    <x v="3"/>
    <s v="MahipalLomror"/>
    <s v="out"/>
    <n v="3"/>
    <n v="4"/>
    <n v="0"/>
    <n v="0"/>
    <n v="5.3265306122448983"/>
  </r>
  <r>
    <s v="T204742"/>
    <s v="Royals Vs RCB"/>
    <s v="Royals"/>
    <x v="4"/>
    <s v="LiamLivingstone"/>
    <s v="out"/>
    <n v="6"/>
    <n v="9"/>
    <n v="0"/>
    <n v="0"/>
    <n v="4.802816901408451"/>
  </r>
  <r>
    <s v="T204742"/>
    <s v="Royals Vs RCB"/>
    <s v="Royals"/>
    <x v="5"/>
    <s v="RahulTewatia"/>
    <s v="out"/>
    <n v="2"/>
    <n v="3"/>
    <n v="0"/>
    <n v="0"/>
    <n v="5.7227722772277225"/>
  </r>
  <r>
    <s v="T204742"/>
    <s v="Royals Vs RCB"/>
    <s v="Royals"/>
    <x v="6"/>
    <s v="RiyanParag"/>
    <s v="out"/>
    <n v="9"/>
    <n v="16"/>
    <n v="0"/>
    <n v="0"/>
    <n v="4.6511627906976747"/>
  </r>
  <r>
    <s v="T204742"/>
    <s v="Royals Vs RCB"/>
    <s v="Royals"/>
    <x v="7"/>
    <s v="ChrisMorris"/>
    <s v="out"/>
    <n v="14"/>
    <n v="11"/>
    <n v="2"/>
    <n v="0"/>
    <n v="4.9056603773584904"/>
  </r>
  <r>
    <s v="T204742"/>
    <s v="Royals Vs RCB"/>
    <s v="Royals"/>
    <x v="8"/>
    <s v="ChetanSakariya"/>
    <s v="out"/>
    <n v="2"/>
    <n v="2"/>
    <n v="0"/>
    <n v="0"/>
    <n v="6.1879194630872485"/>
  </r>
  <r>
    <s v="T204742"/>
    <s v="Royals Vs RCB"/>
    <s v="Royals"/>
    <x v="9"/>
    <s v="KartikTyagi"/>
    <s v="not_out"/>
    <n v="1"/>
    <n v="1"/>
    <n v="0"/>
    <n v="0"/>
    <n v="6.5867346938775508"/>
  </r>
  <r>
    <s v="T204742"/>
    <s v="Royals Vs RCB"/>
    <s v="RCB"/>
    <x v="0"/>
    <s v="ViratKohli"/>
    <s v="out"/>
    <n v="25"/>
    <n v="20"/>
    <n v="4"/>
    <n v="0"/>
    <n v="4.7428571428571429"/>
  </r>
  <r>
    <s v="T204742"/>
    <s v="Royals Vs RCB"/>
    <s v="RCB"/>
    <x v="1"/>
    <s v="DevduttPadikkal"/>
    <s v="out"/>
    <n v="22"/>
    <n v="17"/>
    <n v="4"/>
    <n v="0"/>
    <n v="4.7333333333333334"/>
  </r>
  <r>
    <s v="T204742"/>
    <s v="Royals Vs RCB"/>
    <s v="RCB"/>
    <x v="2"/>
    <s v="SrikarBharat"/>
    <s v="out"/>
    <n v="44"/>
    <n v="35"/>
    <n v="3"/>
    <n v="1"/>
    <n v="3.5769230769230771"/>
  </r>
  <r>
    <s v="T204742"/>
    <s v="Royals Vs RCB"/>
    <s v="RCB"/>
    <x v="3"/>
    <s v="GlennMaxwell"/>
    <s v="not_out"/>
    <n v="50"/>
    <n v="30"/>
    <n v="6"/>
    <n v="1"/>
    <n v="3.6666666666666665"/>
  </r>
  <r>
    <s v="T204742"/>
    <s v="Royals Vs RCB"/>
    <s v="RCB"/>
    <x v="4"/>
    <s v="ABdeVilliers"/>
    <s v="not_out"/>
    <n v="4"/>
    <n v="1"/>
    <n v="1"/>
    <n v="0"/>
    <n v="6.569230769230769"/>
  </r>
  <r>
    <s v="T208262"/>
    <s v="Punjab Kings Vs Mumbai"/>
    <s v="Punjab Kings"/>
    <x v="0"/>
    <s v="KLRahul"/>
    <s v="out"/>
    <n v="21"/>
    <n v="22"/>
    <n v="2"/>
    <n v="0"/>
    <n v="4.5306122448979593"/>
  </r>
  <r>
    <s v="T208262"/>
    <s v="Punjab Kings Vs Mumbai"/>
    <s v="Punjab Kings"/>
    <x v="1"/>
    <s v="MandeepSingh"/>
    <s v="out"/>
    <n v="15"/>
    <n v="14"/>
    <n v="2"/>
    <n v="0"/>
    <n v="4.7021276595744679"/>
  </r>
  <r>
    <s v="T208262"/>
    <s v="Punjab Kings Vs Mumbai"/>
    <s v="Punjab Kings"/>
    <x v="2"/>
    <s v="ChrisGayle"/>
    <s v="out"/>
    <n v="1"/>
    <n v="4"/>
    <n v="0"/>
    <n v="0"/>
    <n v="5.3298969072164946"/>
  </r>
  <r>
    <s v="T208262"/>
    <s v="Punjab Kings Vs Mumbai"/>
    <s v="Punjab Kings"/>
    <x v="3"/>
    <s v="AidenMarkram"/>
    <s v="out"/>
    <n v="42"/>
    <n v="29"/>
    <n v="6"/>
    <n v="0"/>
    <n v="4.0526315789473681"/>
  </r>
  <r>
    <s v="T208262"/>
    <s v="Punjab Kings Vs Mumbai"/>
    <s v="Punjab Kings"/>
    <x v="4"/>
    <s v="NicholasPooran"/>
    <s v="out"/>
    <n v="2"/>
    <n v="3"/>
    <n v="0"/>
    <n v="0"/>
    <n v="5.7227722772277225"/>
  </r>
  <r>
    <s v="T208262"/>
    <s v="Punjab Kings Vs Mumbai"/>
    <s v="Punjab Kings"/>
    <x v="5"/>
    <s v="DeepakHooda"/>
    <s v="out"/>
    <n v="28"/>
    <n v="26"/>
    <n v="1"/>
    <n v="1"/>
    <n v="4.2173913043478262"/>
  </r>
  <r>
    <s v="T208262"/>
    <s v="Punjab Kings Vs Mumbai"/>
    <s v="Punjab Kings"/>
    <x v="6"/>
    <s v="HarpreetBrar"/>
    <s v="not_out"/>
    <n v="14"/>
    <n v="19"/>
    <n v="0"/>
    <n v="0"/>
    <n v="4.6530612244897958"/>
  </r>
  <r>
    <s v="T208262"/>
    <s v="Punjab Kings Vs Mumbai"/>
    <s v="Punjab Kings"/>
    <x v="7"/>
    <s v="NathanEllis"/>
    <s v="not_out"/>
    <n v="6"/>
    <n v="4"/>
    <n v="0"/>
    <n v="0"/>
    <n v="5.3298969072164946"/>
  </r>
  <r>
    <s v="T208262"/>
    <s v="Punjab Kings Vs Mumbai"/>
    <s v="Mumbai"/>
    <x v="0"/>
    <s v="RohitSharma"/>
    <s v="out"/>
    <n v="8"/>
    <n v="10"/>
    <n v="1"/>
    <n v="0"/>
    <n v="4.830985915492958"/>
  </r>
  <r>
    <s v="T208262"/>
    <s v="Punjab Kings Vs Mumbai"/>
    <s v="Mumbai"/>
    <x v="1"/>
    <s v="QuintondeKock"/>
    <s v="out"/>
    <n v="27"/>
    <n v="29"/>
    <n v="2"/>
    <n v="0"/>
    <n v="4.0526315789473681"/>
  </r>
  <r>
    <s v="T208262"/>
    <s v="Punjab Kings Vs Mumbai"/>
    <s v="Mumbai"/>
    <x v="2"/>
    <s v="SuryakumarYadav"/>
    <s v="out"/>
    <n v="0"/>
    <n v="1"/>
    <n v="0"/>
    <n v="0"/>
    <n v="6.5876288659793811"/>
  </r>
  <r>
    <s v="T208262"/>
    <s v="Punjab Kings Vs Mumbai"/>
    <s v="Mumbai"/>
    <x v="3"/>
    <s v="SaurabhTiwary"/>
    <s v="out"/>
    <n v="45"/>
    <n v="37"/>
    <n v="3"/>
    <n v="2"/>
    <n v="3.375"/>
  </r>
  <r>
    <s v="T208262"/>
    <s v="Punjab Kings Vs Mumbai"/>
    <s v="Mumbai"/>
    <x v="4"/>
    <s v="HardikPandya"/>
    <s v="not_out"/>
    <n v="40"/>
    <n v="30"/>
    <n v="4"/>
    <n v="2"/>
    <n v="3.6666666666666665"/>
  </r>
  <r>
    <s v="T208262"/>
    <s v="Punjab Kings Vs Mumbai"/>
    <s v="Mumbai"/>
    <x v="5"/>
    <s v="KieronPollard"/>
    <s v="not_out"/>
    <n v="15"/>
    <n v="7"/>
    <n v="1"/>
    <n v="1"/>
    <n v="4.9204545454545459"/>
  </r>
  <r>
    <s v="T206700"/>
    <s v="Capitals Vs KKR"/>
    <s v="Capitals"/>
    <x v="0"/>
    <s v="StevenSmith"/>
    <s v="out"/>
    <n v="39"/>
    <n v="34"/>
    <n v="4"/>
    <n v="0"/>
    <n v="4.5925925925925926"/>
  </r>
  <r>
    <s v="T206700"/>
    <s v="Capitals Vs KKR"/>
    <s v="Capitals"/>
    <x v="1"/>
    <s v="ShikharDhawan"/>
    <s v="out"/>
    <n v="24"/>
    <n v="20"/>
    <n v="5"/>
    <n v="0"/>
    <n v="4.7428571428571429"/>
  </r>
  <r>
    <s v="T206700"/>
    <s v="Capitals Vs KKR"/>
    <s v="Capitals"/>
    <x v="2"/>
    <s v="ShreyasIyer"/>
    <s v="out"/>
    <n v="1"/>
    <n v="5"/>
    <n v="0"/>
    <n v="0"/>
    <n v="5.0808080808080804"/>
  </r>
  <r>
    <s v="T206700"/>
    <s v="Capitals Vs KKR"/>
    <s v="Capitals"/>
    <x v="3"/>
    <s v="RishabhPant"/>
    <s v="out"/>
    <n v="39"/>
    <n v="36"/>
    <n v="3"/>
    <n v="0"/>
    <n v="4.1739130434782608"/>
  </r>
  <r>
    <s v="T206700"/>
    <s v="Capitals Vs KKR"/>
    <s v="Capitals"/>
    <x v="4"/>
    <s v="ShimronHetmyer"/>
    <s v="out"/>
    <n v="4"/>
    <n v="5"/>
    <n v="0"/>
    <n v="0"/>
    <n v="5.0808080808080804"/>
  </r>
  <r>
    <s v="T206700"/>
    <s v="Capitals Vs KKR"/>
    <s v="Capitals"/>
    <x v="5"/>
    <s v="LalitYadav"/>
    <s v="out"/>
    <n v="0"/>
    <n v="3"/>
    <n v="0"/>
    <n v="0"/>
    <n v="5.7227722772277225"/>
  </r>
  <r>
    <s v="T206700"/>
    <s v="Capitals Vs KKR"/>
    <s v="Capitals"/>
    <x v="6"/>
    <s v="AxarPatel"/>
    <s v="out"/>
    <n v="0"/>
    <n v="5"/>
    <n v="0"/>
    <n v="0"/>
    <n v="5.0808080808080804"/>
  </r>
  <r>
    <s v="T206700"/>
    <s v="Capitals Vs KKR"/>
    <s v="Capitals"/>
    <x v="7"/>
    <s v="RavichandranAshwin"/>
    <s v="out"/>
    <n v="9"/>
    <n v="8"/>
    <n v="1"/>
    <n v="0"/>
    <n v="4.8617021276595747"/>
  </r>
  <r>
    <s v="T206700"/>
    <s v="Capitals Vs KKR"/>
    <s v="Capitals"/>
    <x v="8"/>
    <s v="KagisoRabada"/>
    <s v="not_out"/>
    <n v="0"/>
    <n v="1"/>
    <n v="0"/>
    <n v="0"/>
    <n v="6.6062176165803113"/>
  </r>
  <r>
    <s v="T206700"/>
    <s v="Capitals Vs KKR"/>
    <s v="Capitals"/>
    <x v="9"/>
    <s v="AveshKhan"/>
    <s v="out"/>
    <n v="5"/>
    <n v="3"/>
    <n v="1"/>
    <n v="0"/>
    <n v="5.7227722772277225"/>
  </r>
  <r>
    <s v="T206700"/>
    <s v="Capitals Vs KKR"/>
    <s v="KKR"/>
    <x v="0"/>
    <s v="ShubmanGill"/>
    <s v="out"/>
    <n v="30"/>
    <n v="33"/>
    <n v="1"/>
    <n v="2"/>
    <n v="2.75"/>
  </r>
  <r>
    <s v="T206700"/>
    <s v="Capitals Vs KKR"/>
    <s v="KKR"/>
    <x v="1"/>
    <s v="VenkateshIyer"/>
    <s v="out"/>
    <n v="14"/>
    <n v="15"/>
    <n v="2"/>
    <n v="0"/>
    <n v="4.7592592592592595"/>
  </r>
  <r>
    <s v="T206700"/>
    <s v="Capitals Vs KKR"/>
    <s v="KKR"/>
    <x v="2"/>
    <s v="RahulTripathi"/>
    <s v="out"/>
    <n v="9"/>
    <n v="5"/>
    <n v="0"/>
    <n v="1"/>
    <n v="5.0306122448979593"/>
  </r>
  <r>
    <s v="T206700"/>
    <s v="Capitals Vs KKR"/>
    <s v="KKR"/>
    <x v="3"/>
    <s v="NitishRana"/>
    <s v="not_out"/>
    <n v="36"/>
    <n v="27"/>
    <n v="2"/>
    <n v="2"/>
    <n v="4.4333333333333336"/>
  </r>
  <r>
    <s v="T206700"/>
    <s v="Capitals Vs KKR"/>
    <s v="KKR"/>
    <x v="4"/>
    <s v="EoinMorgan"/>
    <s v="out"/>
    <n v="0"/>
    <n v="2"/>
    <n v="0"/>
    <n v="0"/>
    <n v="6.1768707482993195"/>
  </r>
  <r>
    <s v="T206700"/>
    <s v="Capitals Vs KKR"/>
    <s v="KKR"/>
    <x v="5"/>
    <s v="DineshKarthik"/>
    <s v="out"/>
    <n v="12"/>
    <n v="14"/>
    <n v="2"/>
    <n v="0"/>
    <n v="4.7111111111111112"/>
  </r>
  <r>
    <s v="T206700"/>
    <s v="Capitals Vs KKR"/>
    <s v="KKR"/>
    <x v="6"/>
    <s v="SunilNarine"/>
    <s v="out"/>
    <n v="21"/>
    <n v="10"/>
    <n v="1"/>
    <n v="2"/>
    <n v="4.830985915492958"/>
  </r>
  <r>
    <s v="T206700"/>
    <s v="Capitals Vs KKR"/>
    <s v="KKR"/>
    <x v="7"/>
    <s v="TimSouthee"/>
    <s v="out"/>
    <n v="3"/>
    <n v="5"/>
    <n v="0"/>
    <n v="0"/>
    <n v="5.0306122448979593"/>
  </r>
  <r>
    <s v="T206700"/>
    <s v="Capitals Vs KKR"/>
    <s v="KKR"/>
    <x v="8"/>
    <s v="LockieFerguson"/>
    <s v="not_out"/>
    <n v="0"/>
    <n v="0"/>
    <n v="0"/>
    <n v="0"/>
    <n v="6.2398843930635834"/>
  </r>
  <r>
    <s v="T206862"/>
    <s v="Royals Vs Sunrisers"/>
    <s v="Royals"/>
    <x v="0"/>
    <s v="EvinLewis"/>
    <s v="out"/>
    <n v="6"/>
    <n v="4"/>
    <n v="1"/>
    <n v="0"/>
    <n v="5.333333333333333"/>
  </r>
  <r>
    <s v="T206862"/>
    <s v="Royals Vs Sunrisers"/>
    <s v="Royals"/>
    <x v="1"/>
    <s v="YashasviJaiswal"/>
    <s v="out"/>
    <n v="36"/>
    <n v="23"/>
    <n v="5"/>
    <n v="1"/>
    <n v="5.1515151515151514"/>
  </r>
  <r>
    <s v="T206862"/>
    <s v="Royals Vs Sunrisers"/>
    <s v="Royals"/>
    <x v="2"/>
    <s v="SanjuSamson"/>
    <s v="out"/>
    <n v="82"/>
    <n v="57"/>
    <n v="7"/>
    <n v="3"/>
    <n v="3"/>
  </r>
  <r>
    <s v="T206862"/>
    <s v="Royals Vs Sunrisers"/>
    <s v="Royals"/>
    <x v="3"/>
    <s v="LiamLivingstone"/>
    <s v="out"/>
    <n v="4"/>
    <n v="6"/>
    <n v="0"/>
    <n v="0"/>
    <n v="5.5432098765432096"/>
  </r>
  <r>
    <s v="T206862"/>
    <s v="Royals Vs Sunrisers"/>
    <s v="Royals"/>
    <x v="4"/>
    <s v="MahipalLomror"/>
    <s v="not_out"/>
    <n v="29"/>
    <n v="28"/>
    <n v="1"/>
    <n v="1"/>
    <n v="3.6428571428571428"/>
  </r>
  <r>
    <s v="T206862"/>
    <s v="Royals Vs Sunrisers"/>
    <s v="Royals"/>
    <x v="5"/>
    <s v="RiyanParag"/>
    <s v="out"/>
    <n v="0"/>
    <n v="1"/>
    <n v="0"/>
    <n v="0"/>
    <n v="6.6062176165803113"/>
  </r>
  <r>
    <s v="T206862"/>
    <s v="Royals Vs Sunrisers"/>
    <s v="Royals"/>
    <x v="6"/>
    <s v="RahulTewatia"/>
    <s v="not_out"/>
    <n v="0"/>
    <n v="1"/>
    <n v="0"/>
    <n v="0"/>
    <n v="6.6062176165803113"/>
  </r>
  <r>
    <s v="T206862"/>
    <s v="Royals Vs Sunrisers"/>
    <s v="Sunrisers"/>
    <x v="0"/>
    <s v="JasonRoy"/>
    <s v="out"/>
    <n v="60"/>
    <n v="42"/>
    <n v="8"/>
    <n v="1"/>
    <n v="3.3636363636363638"/>
  </r>
  <r>
    <s v="T206862"/>
    <s v="Royals Vs Sunrisers"/>
    <s v="Sunrisers"/>
    <x v="1"/>
    <s v="WriddhimanSaha"/>
    <s v="out"/>
    <n v="18"/>
    <n v="11"/>
    <n v="2"/>
    <n v="1"/>
    <n v="4.9056603773584904"/>
  </r>
  <r>
    <s v="T206862"/>
    <s v="Royals Vs Sunrisers"/>
    <s v="Sunrisers"/>
    <x v="2"/>
    <s v="KaneWilliamson"/>
    <s v="not_out"/>
    <n v="51"/>
    <n v="41"/>
    <n v="5"/>
    <n v="1"/>
    <n v="3.2"/>
  </r>
  <r>
    <s v="T206862"/>
    <s v="Royals Vs Sunrisers"/>
    <s v="Sunrisers"/>
    <x v="3"/>
    <s v="PriyamGarg"/>
    <s v="out"/>
    <n v="0"/>
    <n v="1"/>
    <n v="0"/>
    <n v="0"/>
    <n v="6.6062176165803113"/>
  </r>
  <r>
    <s v="T206862"/>
    <s v="Royals Vs Sunrisers"/>
    <s v="Sunrisers"/>
    <x v="4"/>
    <s v="AbhishekSharma"/>
    <s v="not_out"/>
    <n v="21"/>
    <n v="16"/>
    <n v="1"/>
    <n v="1"/>
    <n v="4.6511627906976747"/>
  </r>
  <r>
    <s v="T203043"/>
    <s v="RCB Vs Mumbai"/>
    <s v="RCB"/>
    <x v="0"/>
    <s v="ViratKohli"/>
    <s v="out"/>
    <n v="51"/>
    <n v="42"/>
    <n v="3"/>
    <n v="3"/>
    <n v="3.3636363636363638"/>
  </r>
  <r>
    <s v="T203043"/>
    <s v="RCB Vs Mumbai"/>
    <s v="RCB"/>
    <x v="1"/>
    <s v="DevduttPadikkal"/>
    <s v="out"/>
    <n v="0"/>
    <n v="4"/>
    <n v="0"/>
    <n v="0"/>
    <n v="5.3473684210526313"/>
  </r>
  <r>
    <s v="T203043"/>
    <s v="RCB Vs Mumbai"/>
    <s v="RCB"/>
    <x v="2"/>
    <s v="SrikarBharat"/>
    <s v="out"/>
    <n v="32"/>
    <n v="24"/>
    <n v="2"/>
    <n v="2"/>
    <n v="4.225806451612903"/>
  </r>
  <r>
    <s v="T203043"/>
    <s v="RCB Vs Mumbai"/>
    <s v="RCB"/>
    <x v="3"/>
    <s v="GlennMaxwell"/>
    <s v="out"/>
    <n v="56"/>
    <n v="37"/>
    <n v="6"/>
    <n v="3"/>
    <n v="3.375"/>
  </r>
  <r>
    <s v="T203043"/>
    <s v="RCB Vs Mumbai"/>
    <s v="RCB"/>
    <x v="4"/>
    <s v="ABdeVilliers"/>
    <s v="out"/>
    <n v="11"/>
    <n v="6"/>
    <n v="1"/>
    <n v="1"/>
    <n v="5.5432098765432096"/>
  </r>
  <r>
    <s v="T203043"/>
    <s v="RCB Vs Mumbai"/>
    <s v="RCB"/>
    <x v="5"/>
    <s v="DanChristian"/>
    <s v="not_out"/>
    <n v="1"/>
    <n v="3"/>
    <n v="0"/>
    <n v="0"/>
    <n v="5.7"/>
  </r>
  <r>
    <s v="T203043"/>
    <s v="RCB Vs Mumbai"/>
    <s v="RCB"/>
    <x v="6"/>
    <s v="ShahbazAhmed"/>
    <s v="out"/>
    <n v="1"/>
    <n v="3"/>
    <n v="0"/>
    <n v="0"/>
    <n v="5.7"/>
  </r>
  <r>
    <s v="T203043"/>
    <s v="RCB Vs Mumbai"/>
    <s v="RCB"/>
    <x v="7"/>
    <s v="KyleJamieson"/>
    <s v="not_out"/>
    <n v="2"/>
    <n v="2"/>
    <n v="0"/>
    <n v="0"/>
    <n v="6.1768707482993195"/>
  </r>
  <r>
    <s v="T203043"/>
    <s v="RCB Vs Mumbai"/>
    <s v="Mumbai"/>
    <x v="0"/>
    <s v="RohitSharma"/>
    <s v="out"/>
    <n v="43"/>
    <n v="28"/>
    <n v="5"/>
    <n v="1"/>
    <n v="3.6428571428571428"/>
  </r>
  <r>
    <s v="T203043"/>
    <s v="RCB Vs Mumbai"/>
    <s v="Mumbai"/>
    <x v="1"/>
    <s v="QuintondeKock"/>
    <s v="out"/>
    <n v="24"/>
    <n v="23"/>
    <n v="4"/>
    <n v="0"/>
    <n v="5.1515151515151514"/>
  </r>
  <r>
    <s v="T203043"/>
    <s v="RCB Vs Mumbai"/>
    <s v="Mumbai"/>
    <x v="2"/>
    <s v="IshanKishan"/>
    <s v="out"/>
    <n v="9"/>
    <n v="12"/>
    <n v="1"/>
    <n v="0"/>
    <n v="4.9142857142857146"/>
  </r>
  <r>
    <s v="T203043"/>
    <s v="RCB Vs Mumbai"/>
    <s v="Mumbai"/>
    <x v="3"/>
    <s v="SuryakumarYadav"/>
    <s v="out"/>
    <n v="8"/>
    <n v="9"/>
    <n v="0"/>
    <n v="0"/>
    <n v="4.7761194029850742"/>
  </r>
  <r>
    <s v="T203043"/>
    <s v="RCB Vs Mumbai"/>
    <s v="Mumbai"/>
    <x v="4"/>
    <s v="KrunalPandya"/>
    <s v="out"/>
    <n v="5"/>
    <n v="11"/>
    <n v="0"/>
    <n v="0"/>
    <n v="4.9038461538461542"/>
  </r>
  <r>
    <s v="T203043"/>
    <s v="RCB Vs Mumbai"/>
    <s v="Mumbai"/>
    <x v="5"/>
    <s v="KieronPollard"/>
    <s v="out"/>
    <n v="7"/>
    <n v="10"/>
    <n v="0"/>
    <n v="0"/>
    <n v="4.830985915492958"/>
  </r>
  <r>
    <s v="T203043"/>
    <s v="RCB Vs Mumbai"/>
    <s v="Mumbai"/>
    <x v="6"/>
    <s v="HardikPandya"/>
    <s v="out"/>
    <n v="3"/>
    <n v="6"/>
    <n v="0"/>
    <n v="0"/>
    <n v="5.5432098765432096"/>
  </r>
  <r>
    <s v="T203043"/>
    <s v="RCB Vs Mumbai"/>
    <s v="Mumbai"/>
    <x v="7"/>
    <s v="AdamMilne"/>
    <s v="out"/>
    <n v="0"/>
    <n v="1"/>
    <n v="0"/>
    <n v="0"/>
    <n v="6.6073298429319376"/>
  </r>
  <r>
    <s v="T203043"/>
    <s v="RCB Vs Mumbai"/>
    <s v="Mumbai"/>
    <x v="8"/>
    <s v="RahulChahar"/>
    <s v="out"/>
    <n v="0"/>
    <n v="1"/>
    <n v="0"/>
    <n v="0"/>
    <n v="6.6073298429319376"/>
  </r>
  <r>
    <s v="T203043"/>
    <s v="RCB Vs Mumbai"/>
    <s v="Mumbai"/>
    <x v="9"/>
    <s v="JaspritBumrah"/>
    <s v="out"/>
    <n v="5"/>
    <n v="6"/>
    <n v="1"/>
    <n v="0"/>
    <n v="5.5432098765432096"/>
  </r>
  <r>
    <s v="T203043"/>
    <s v="RCB Vs Mumbai"/>
    <s v="Mumbai"/>
    <x v="10"/>
    <s v="TrentBoult"/>
    <s v="not_out"/>
    <n v="0"/>
    <n v="3"/>
    <n v="0"/>
    <n v="0"/>
    <n v="5.6868686868686869"/>
  </r>
  <r>
    <s v="T202406"/>
    <s v="KKR Vs Super Kings"/>
    <s v="KKR"/>
    <x v="0"/>
    <s v="ShubmanGill"/>
    <s v="out"/>
    <n v="9"/>
    <n v="5"/>
    <n v="2"/>
    <n v="0"/>
    <n v="4.979166666666667"/>
  </r>
  <r>
    <s v="T202406"/>
    <s v="KKR Vs Super Kings"/>
    <s v="KKR"/>
    <x v="1"/>
    <s v="VenkateshIyer"/>
    <s v="out"/>
    <n v="18"/>
    <n v="15"/>
    <n v="3"/>
    <n v="0"/>
    <n v="4.7592592592592595"/>
  </r>
  <r>
    <s v="T202406"/>
    <s v="KKR Vs Super Kings"/>
    <s v="KKR"/>
    <x v="2"/>
    <s v="RahulTripathi"/>
    <s v="out"/>
    <n v="45"/>
    <n v="33"/>
    <n v="4"/>
    <n v="1"/>
    <n v="2.75"/>
  </r>
  <r>
    <s v="T202406"/>
    <s v="KKR Vs Super Kings"/>
    <s v="KKR"/>
    <x v="3"/>
    <s v="EoinMorgan"/>
    <s v="out"/>
    <n v="8"/>
    <n v="14"/>
    <n v="0"/>
    <n v="0"/>
    <n v="4.7111111111111112"/>
  </r>
  <r>
    <s v="T202406"/>
    <s v="KKR Vs Super Kings"/>
    <s v="KKR"/>
    <x v="4"/>
    <s v="NitishRana"/>
    <s v="not_out"/>
    <n v="37"/>
    <n v="27"/>
    <n v="3"/>
    <n v="1"/>
    <n v="4.4333333333333336"/>
  </r>
  <r>
    <s v="T202406"/>
    <s v="KKR Vs Super Kings"/>
    <s v="KKR"/>
    <x v="5"/>
    <s v="AndreRussell"/>
    <s v="out"/>
    <n v="20"/>
    <n v="15"/>
    <n v="2"/>
    <n v="1"/>
    <n v="4.7592592592592595"/>
  </r>
  <r>
    <s v="T202406"/>
    <s v="KKR Vs Super Kings"/>
    <s v="KKR"/>
    <x v="6"/>
    <s v="DineshKarthik"/>
    <s v="out"/>
    <n v="26"/>
    <n v="11"/>
    <n v="3"/>
    <n v="1"/>
    <n v="4.9038461538461542"/>
  </r>
  <r>
    <s v="T202406"/>
    <s v="KKR Vs Super Kings"/>
    <s v="KKR"/>
    <x v="7"/>
    <s v="SunilNarine"/>
    <s v="not_out"/>
    <n v="0"/>
    <n v="1"/>
    <n v="0"/>
    <n v="0"/>
    <n v="6.6073298429319376"/>
  </r>
  <r>
    <s v="T202406"/>
    <s v="KKR Vs Super Kings"/>
    <s v="Super Kings"/>
    <x v="0"/>
    <s v="RuturajGaikwad"/>
    <s v="out"/>
    <n v="40"/>
    <n v="28"/>
    <n v="2"/>
    <n v="3"/>
    <n v="3.6428571428571428"/>
  </r>
  <r>
    <s v="T202406"/>
    <s v="KKR Vs Super Kings"/>
    <s v="Super Kings"/>
    <x v="1"/>
    <s v="FafduPlessis"/>
    <s v="out"/>
    <n v="43"/>
    <n v="30"/>
    <n v="7"/>
    <n v="0"/>
    <n v="3.7586206896551726"/>
  </r>
  <r>
    <s v="T202406"/>
    <s v="KKR Vs Super Kings"/>
    <s v="Super Kings"/>
    <x v="2"/>
    <s v="MoeenAli"/>
    <s v="out"/>
    <n v="32"/>
    <n v="28"/>
    <n v="2"/>
    <n v="1"/>
    <n v="3.6428571428571428"/>
  </r>
  <r>
    <s v="T202406"/>
    <s v="KKR Vs Super Kings"/>
    <s v="Super Kings"/>
    <x v="3"/>
    <s v="AmbatiRayudu"/>
    <s v="out"/>
    <n v="10"/>
    <n v="9"/>
    <n v="1"/>
    <n v="0"/>
    <n v="4.833333333333333"/>
  </r>
  <r>
    <s v="T202406"/>
    <s v="KKR Vs Super Kings"/>
    <s v="Super Kings"/>
    <x v="4"/>
    <s v="SureshRaina"/>
    <s v="out"/>
    <n v="11"/>
    <n v="7"/>
    <n v="1"/>
    <n v="0"/>
    <n v="4.9080459770114944"/>
  </r>
  <r>
    <s v="T202406"/>
    <s v="KKR Vs Super Kings"/>
    <s v="Super Kings"/>
    <x v="5"/>
    <s v="MSDhoni"/>
    <s v="out"/>
    <n v="1"/>
    <n v="4"/>
    <n v="0"/>
    <n v="0"/>
    <n v="5.3473684210526313"/>
  </r>
  <r>
    <s v="T202406"/>
    <s v="KKR Vs Super Kings"/>
    <s v="Super Kings"/>
    <x v="6"/>
    <s v="RavindraJadeja"/>
    <s v="out"/>
    <n v="22"/>
    <n v="8"/>
    <n v="2"/>
    <n v="2"/>
    <n v="4.8804347826086953"/>
  </r>
  <r>
    <s v="T202406"/>
    <s v="KKR Vs Super Kings"/>
    <s v="Super Kings"/>
    <x v="7"/>
    <s v="SamCurran"/>
    <s v="out"/>
    <n v="4"/>
    <n v="4"/>
    <n v="0"/>
    <n v="0"/>
    <n v="5.3473684210526313"/>
  </r>
  <r>
    <s v="T202406"/>
    <s v="KKR Vs Super Kings"/>
    <s v="Super Kings"/>
    <x v="8"/>
    <s v="ShardulThakur"/>
    <s v="not_out"/>
    <n v="3"/>
    <n v="2"/>
    <n v="0"/>
    <n v="0"/>
    <n v="6.1643835616438354"/>
  </r>
  <r>
    <s v="T202406"/>
    <s v="KKR Vs Super Kings"/>
    <s v="Super Kings"/>
    <x v="9"/>
    <s v="DeepakChahar"/>
    <s v="not_out"/>
    <n v="1"/>
    <n v="1"/>
    <n v="0"/>
    <n v="0"/>
    <n v="6.6105263157894738"/>
  </r>
  <r>
    <s v="T203188"/>
    <s v="Punjab Kings Vs Sunrisers"/>
    <s v="Punjab Kings"/>
    <x v="0"/>
    <s v="KLRahul"/>
    <s v="out"/>
    <n v="21"/>
    <n v="21"/>
    <n v="3"/>
    <n v="0"/>
    <n v="4.4629629629629628"/>
  </r>
  <r>
    <s v="T203188"/>
    <s v="Punjab Kings Vs Sunrisers"/>
    <s v="Punjab Kings"/>
    <x v="1"/>
    <s v="MayankAgarwal"/>
    <s v="out"/>
    <n v="5"/>
    <n v="6"/>
    <n v="0"/>
    <n v="0"/>
    <n v="5.5432098765432096"/>
  </r>
  <r>
    <s v="T203188"/>
    <s v="Punjab Kings Vs Sunrisers"/>
    <s v="Punjab Kings"/>
    <x v="2"/>
    <s v="ChrisGayle"/>
    <s v="out"/>
    <n v="14"/>
    <n v="17"/>
    <n v="1"/>
    <n v="0"/>
    <n v="4.7333333333333334"/>
  </r>
  <r>
    <s v="T203188"/>
    <s v="Punjab Kings Vs Sunrisers"/>
    <s v="Punjab Kings"/>
    <x v="3"/>
    <s v="AidenMarkram"/>
    <s v="out"/>
    <n v="27"/>
    <n v="32"/>
    <n v="2"/>
    <n v="0"/>
    <n v="4.0357142857142856"/>
  </r>
  <r>
    <s v="T203188"/>
    <s v="Punjab Kings Vs Sunrisers"/>
    <s v="Punjab Kings"/>
    <x v="4"/>
    <s v="NicholasPooran"/>
    <s v="out"/>
    <n v="8"/>
    <n v="4"/>
    <n v="0"/>
    <n v="1"/>
    <n v="5.3191489361702127"/>
  </r>
  <r>
    <s v="T203188"/>
    <s v="Punjab Kings Vs Sunrisers"/>
    <s v="Punjab Kings"/>
    <x v="5"/>
    <s v="DeepakHooda"/>
    <s v="out"/>
    <n v="13"/>
    <n v="10"/>
    <n v="1"/>
    <n v="0"/>
    <n v="4.8428571428571425"/>
  </r>
  <r>
    <s v="T203188"/>
    <s v="Punjab Kings Vs Sunrisers"/>
    <s v="Punjab Kings"/>
    <x v="6"/>
    <s v="HarpreetBrar"/>
    <s v="not_out"/>
    <n v="18"/>
    <n v="18"/>
    <n v="1"/>
    <n v="0"/>
    <n v="4.5"/>
  </r>
  <r>
    <s v="T203188"/>
    <s v="Punjab Kings Vs Sunrisers"/>
    <s v="Punjab Kings"/>
    <x v="7"/>
    <s v="NathanEllis"/>
    <s v="out"/>
    <n v="12"/>
    <n v="12"/>
    <n v="0"/>
    <n v="1"/>
    <n v="4.9142857142857146"/>
  </r>
  <r>
    <s v="T203188"/>
    <s v="Punjab Kings Vs Sunrisers"/>
    <s v="Punjab Kings"/>
    <x v="8"/>
    <s v="MohammedShami"/>
    <s v="not_out"/>
    <n v="0"/>
    <n v="0"/>
    <n v="0"/>
    <n v="0"/>
    <n v="6.2166172106824922"/>
  </r>
  <r>
    <s v="T203188"/>
    <s v="Punjab Kings Vs Sunrisers"/>
    <s v="Sunrisers"/>
    <x v="0"/>
    <s v="DavidWarner"/>
    <s v="out"/>
    <n v="2"/>
    <n v="3"/>
    <n v="0"/>
    <n v="0"/>
    <n v="5.6530612244897958"/>
  </r>
  <r>
    <s v="T203188"/>
    <s v="Punjab Kings Vs Sunrisers"/>
    <s v="Sunrisers"/>
    <x v="1"/>
    <s v="WriddhimanSaha"/>
    <s v="out"/>
    <n v="31"/>
    <n v="37"/>
    <n v="1"/>
    <n v="0"/>
    <n v="3.2666666666666666"/>
  </r>
  <r>
    <s v="T203188"/>
    <s v="Punjab Kings Vs Sunrisers"/>
    <s v="Sunrisers"/>
    <x v="2"/>
    <s v="KaneWilliamson"/>
    <s v="out"/>
    <n v="1"/>
    <n v="6"/>
    <n v="0"/>
    <n v="0"/>
    <n v="5.5432098765432096"/>
  </r>
  <r>
    <s v="T203188"/>
    <s v="Punjab Kings Vs Sunrisers"/>
    <s v="Sunrisers"/>
    <x v="3"/>
    <s v="ManishPandey"/>
    <s v="out"/>
    <n v="13"/>
    <n v="23"/>
    <n v="1"/>
    <n v="0"/>
    <n v="5.1515151515151514"/>
  </r>
  <r>
    <s v="T203188"/>
    <s v="Punjab Kings Vs Sunrisers"/>
    <s v="Sunrisers"/>
    <x v="4"/>
    <s v="KedarJadhav"/>
    <s v="out"/>
    <n v="12"/>
    <n v="12"/>
    <n v="0"/>
    <n v="0"/>
    <n v="4.8695652173913047"/>
  </r>
  <r>
    <s v="T203188"/>
    <s v="Punjab Kings Vs Sunrisers"/>
    <s v="Sunrisers"/>
    <x v="5"/>
    <s v="AbdulSamad"/>
    <s v="out"/>
    <n v="1"/>
    <n v="2"/>
    <n v="0"/>
    <n v="0"/>
    <n v="6.2"/>
  </r>
  <r>
    <s v="T203188"/>
    <s v="Punjab Kings Vs Sunrisers"/>
    <s v="Sunrisers"/>
    <x v="6"/>
    <s v="JasonHolder"/>
    <s v="not_out"/>
    <n v="47"/>
    <n v="29"/>
    <n v="0"/>
    <n v="5"/>
    <n v="4"/>
  </r>
  <r>
    <s v="T203188"/>
    <s v="Punjab Kings Vs Sunrisers"/>
    <s v="Sunrisers"/>
    <x v="7"/>
    <s v="RashidKhan"/>
    <s v="out"/>
    <n v="3"/>
    <n v="4"/>
    <n v="0"/>
    <n v="0"/>
    <n v="5.3191489361702127"/>
  </r>
  <r>
    <s v="T203188"/>
    <s v="Punjab Kings Vs Sunrisers"/>
    <s v="Sunrisers"/>
    <x v="8"/>
    <s v="BhuvneshwarKumar"/>
    <s v="not_out"/>
    <n v="3"/>
    <n v="4"/>
    <n v="0"/>
    <n v="0"/>
    <n v="5.3191489361702127"/>
  </r>
  <r>
    <s v="T202046"/>
    <s v="Capitals Vs Royals"/>
    <s v="Capitals"/>
    <x v="0"/>
    <s v="PrithviShaw"/>
    <s v="out"/>
    <n v="10"/>
    <n v="12"/>
    <n v="0"/>
    <n v="0"/>
    <n v="4.867647058823529"/>
  </r>
  <r>
    <s v="T202046"/>
    <s v="Capitals Vs Royals"/>
    <s v="Capitals"/>
    <x v="1"/>
    <s v="ShikharDhawan"/>
    <s v="out"/>
    <n v="8"/>
    <n v="8"/>
    <n v="1"/>
    <n v="0"/>
    <n v="4.8791208791208796"/>
  </r>
  <r>
    <s v="T202046"/>
    <s v="Capitals Vs Royals"/>
    <s v="Capitals"/>
    <x v="2"/>
    <s v="ShreyasIyer"/>
    <s v="out"/>
    <n v="43"/>
    <n v="32"/>
    <n v="1"/>
    <n v="2"/>
    <n v="4.0357142857142856"/>
  </r>
  <r>
    <s v="T202046"/>
    <s v="Capitals Vs Royals"/>
    <s v="Capitals"/>
    <x v="3"/>
    <s v="RishabhPant"/>
    <s v="out"/>
    <n v="24"/>
    <n v="24"/>
    <n v="2"/>
    <n v="0"/>
    <n v="4.3"/>
  </r>
  <r>
    <s v="T202046"/>
    <s v="Capitals Vs Royals"/>
    <s v="Capitals"/>
    <x v="4"/>
    <s v="ShimronHetmyer"/>
    <s v="out"/>
    <n v="28"/>
    <n v="16"/>
    <n v="5"/>
    <n v="0"/>
    <n v="4.6511627906976747"/>
  </r>
  <r>
    <s v="T202046"/>
    <s v="Capitals Vs Royals"/>
    <s v="Capitals"/>
    <x v="5"/>
    <s v="LalitYadav"/>
    <s v="not_out"/>
    <n v="14"/>
    <n v="15"/>
    <n v="1"/>
    <n v="0"/>
    <n v="4.7592592592592595"/>
  </r>
  <r>
    <s v="T202046"/>
    <s v="Capitals Vs Royals"/>
    <s v="Capitals"/>
    <x v="6"/>
    <s v="AxarPatel"/>
    <s v="out"/>
    <n v="12"/>
    <n v="7"/>
    <n v="0"/>
    <n v="1"/>
    <n v="4.9080459770114944"/>
  </r>
  <r>
    <s v="T202046"/>
    <s v="Capitals Vs Royals"/>
    <s v="Capitals"/>
    <x v="7"/>
    <s v="RavichandranAshwin"/>
    <s v="not_out"/>
    <n v="6"/>
    <n v="6"/>
    <n v="0"/>
    <n v="0"/>
    <n v="5.5432098765432096"/>
  </r>
  <r>
    <s v="T202046"/>
    <s v="Capitals Vs Royals"/>
    <s v="Royals"/>
    <x v="0"/>
    <s v="LiamLivingstone"/>
    <s v="out"/>
    <n v="1"/>
    <n v="3"/>
    <n v="0"/>
    <n v="0"/>
    <n v="5.59375"/>
  </r>
  <r>
    <s v="T202046"/>
    <s v="Capitals Vs Royals"/>
    <s v="Royals"/>
    <x v="1"/>
    <s v="YashasviJaiswal"/>
    <s v="out"/>
    <n v="5"/>
    <n v="4"/>
    <n v="0"/>
    <n v="0"/>
    <n v="5.3191489361702127"/>
  </r>
  <r>
    <s v="T202046"/>
    <s v="Capitals Vs Royals"/>
    <s v="Royals"/>
    <x v="2"/>
    <s v="SanjuSamson"/>
    <s v="not_out"/>
    <n v="70"/>
    <n v="53"/>
    <n v="8"/>
    <n v="1"/>
    <n v="3.3"/>
  </r>
  <r>
    <s v="T202046"/>
    <s v="Capitals Vs Royals"/>
    <s v="Royals"/>
    <x v="3"/>
    <s v="DavidMiller"/>
    <s v="out"/>
    <n v="7"/>
    <n v="10"/>
    <n v="0"/>
    <n v="0"/>
    <n v="4.8985507246376816"/>
  </r>
  <r>
    <s v="T202046"/>
    <s v="Capitals Vs Royals"/>
    <s v="Royals"/>
    <x v="4"/>
    <s v="MahipalLomror"/>
    <s v="out"/>
    <n v="19"/>
    <n v="24"/>
    <n v="0"/>
    <n v="1"/>
    <n v="4.3103448275862073"/>
  </r>
  <r>
    <s v="T202046"/>
    <s v="Capitals Vs Royals"/>
    <s v="Royals"/>
    <x v="5"/>
    <s v="RiyanParag"/>
    <s v="out"/>
    <n v="2"/>
    <n v="7"/>
    <n v="0"/>
    <n v="0"/>
    <n v="4.9186046511627906"/>
  </r>
  <r>
    <s v="T202046"/>
    <s v="Capitals Vs Royals"/>
    <s v="Royals"/>
    <x v="6"/>
    <s v="RahulTewatia"/>
    <s v="out"/>
    <n v="9"/>
    <n v="15"/>
    <n v="0"/>
    <n v="0"/>
    <n v="4.7592592592592595"/>
  </r>
  <r>
    <s v="T202046"/>
    <s v="Capitals Vs Royals"/>
    <s v="Royals"/>
    <x v="7"/>
    <s v="TabraizShamsi"/>
    <s v="not_out"/>
    <n v="2"/>
    <n v="4"/>
    <n v="0"/>
    <n v="0"/>
    <n v="5.3191489361702127"/>
  </r>
  <r>
    <s v="T207776"/>
    <s v="RCB Vs Super Kings"/>
    <s v="RCB"/>
    <x v="0"/>
    <s v="ViratKohli"/>
    <s v="out"/>
    <n v="53"/>
    <n v="41"/>
    <n v="6"/>
    <n v="1"/>
    <n v="3.2"/>
  </r>
  <r>
    <s v="T207776"/>
    <s v="RCB Vs Super Kings"/>
    <s v="RCB"/>
    <x v="1"/>
    <s v="DevduttPadikkal"/>
    <s v="out"/>
    <n v="70"/>
    <n v="50"/>
    <n v="5"/>
    <n v="3"/>
    <n v="3"/>
  </r>
  <r>
    <s v="T207776"/>
    <s v="RCB Vs Super Kings"/>
    <s v="RCB"/>
    <x v="2"/>
    <s v="ABdeVilliers"/>
    <s v="out"/>
    <n v="12"/>
    <n v="11"/>
    <n v="0"/>
    <n v="1"/>
    <n v="4.9019607843137258"/>
  </r>
  <r>
    <s v="T207776"/>
    <s v="RCB Vs Super Kings"/>
    <s v="RCB"/>
    <x v="3"/>
    <s v="GlennMaxwell"/>
    <s v="out"/>
    <n v="11"/>
    <n v="9"/>
    <n v="0"/>
    <n v="1"/>
    <n v="4.8"/>
  </r>
  <r>
    <s v="T207776"/>
    <s v="RCB Vs Super Kings"/>
    <s v="RCB"/>
    <x v="4"/>
    <s v="TimDavid"/>
    <s v="out"/>
    <n v="1"/>
    <n v="3"/>
    <n v="0"/>
    <n v="0"/>
    <n v="5.59375"/>
  </r>
  <r>
    <s v="T207776"/>
    <s v="RCB Vs Super Kings"/>
    <s v="RCB"/>
    <x v="5"/>
    <s v="HarshalPatel"/>
    <s v="out"/>
    <n v="3"/>
    <n v="5"/>
    <n v="0"/>
    <n v="0"/>
    <n v="5.042553191489362"/>
  </r>
  <r>
    <s v="T207776"/>
    <s v="RCB Vs Super Kings"/>
    <s v="RCB"/>
    <x v="6"/>
    <s v="WaninduHasaranga"/>
    <s v="not_out"/>
    <n v="1"/>
    <n v="1"/>
    <n v="0"/>
    <n v="0"/>
    <n v="6.654054054054054"/>
  </r>
  <r>
    <s v="T207776"/>
    <s v="RCB Vs Super Kings"/>
    <s v="Super Kings"/>
    <x v="0"/>
    <s v="RuturajGaikwad"/>
    <s v="out"/>
    <n v="38"/>
    <n v="26"/>
    <n v="4"/>
    <n v="1"/>
    <n v="4.1555555555555559"/>
  </r>
  <r>
    <s v="T207776"/>
    <s v="RCB Vs Super Kings"/>
    <s v="Super Kings"/>
    <x v="1"/>
    <s v="FafduPlessis"/>
    <s v="out"/>
    <n v="31"/>
    <n v="26"/>
    <n v="2"/>
    <n v="2"/>
    <n v="4.1555555555555559"/>
  </r>
  <r>
    <s v="T207776"/>
    <s v="RCB Vs Super Kings"/>
    <s v="Super Kings"/>
    <x v="2"/>
    <s v="MoeenAli"/>
    <s v="out"/>
    <n v="23"/>
    <n v="18"/>
    <n v="0"/>
    <n v="2"/>
    <n v="4.4358974358974361"/>
  </r>
  <r>
    <s v="T207776"/>
    <s v="RCB Vs Super Kings"/>
    <s v="Super Kings"/>
    <x v="3"/>
    <s v="AmbatiRayudu"/>
    <s v="out"/>
    <n v="32"/>
    <n v="22"/>
    <n v="3"/>
    <n v="1"/>
    <n v="4.479166666666667"/>
  </r>
  <r>
    <s v="T207776"/>
    <s v="RCB Vs Super Kings"/>
    <s v="Super Kings"/>
    <x v="4"/>
    <s v="SureshRaina"/>
    <s v="not_out"/>
    <n v="17"/>
    <n v="10"/>
    <n v="2"/>
    <n v="1"/>
    <n v="4.8985507246376816"/>
  </r>
  <r>
    <s v="T207776"/>
    <s v="RCB Vs Super Kings"/>
    <s v="Super Kings"/>
    <x v="5"/>
    <s v="MSDhoni"/>
    <s v="not_out"/>
    <n v="11"/>
    <n v="9"/>
    <n v="2"/>
    <n v="0"/>
    <n v="4.8"/>
  </r>
  <r>
    <s v="T202680"/>
    <s v="Mumbai Vs KKR"/>
    <s v="Mumbai"/>
    <x v="0"/>
    <s v="RohitSharma"/>
    <s v="out"/>
    <n v="33"/>
    <n v="30"/>
    <n v="4"/>
    <n v="0"/>
    <n v="3.7586206896551726"/>
  </r>
  <r>
    <s v="T202680"/>
    <s v="Mumbai Vs KKR"/>
    <s v="Mumbai"/>
    <x v="1"/>
    <s v="QuintondeKock"/>
    <s v="out"/>
    <n v="55"/>
    <n v="42"/>
    <n v="4"/>
    <n v="3"/>
    <n v="3.3636363636363638"/>
  </r>
  <r>
    <s v="T202680"/>
    <s v="Mumbai Vs KKR"/>
    <s v="Mumbai"/>
    <x v="2"/>
    <s v="SuryakumarYadav"/>
    <s v="out"/>
    <n v="5"/>
    <n v="10"/>
    <n v="0"/>
    <n v="0"/>
    <n v="4.8985507246376816"/>
  </r>
  <r>
    <s v="T202680"/>
    <s v="Mumbai Vs KKR"/>
    <s v="Mumbai"/>
    <x v="3"/>
    <s v="IshanKishan"/>
    <s v="out"/>
    <n v="14"/>
    <n v="13"/>
    <n v="0"/>
    <n v="1"/>
    <n v="5.0181818181818185"/>
  </r>
  <r>
    <s v="T202680"/>
    <s v="Mumbai Vs KKR"/>
    <s v="Mumbai"/>
    <x v="4"/>
    <s v="KieronPollard"/>
    <s v="out"/>
    <n v="21"/>
    <n v="15"/>
    <n v="2"/>
    <n v="1"/>
    <n v="4.7592592592592595"/>
  </r>
  <r>
    <s v="T202680"/>
    <s v="Mumbai Vs KKR"/>
    <s v="Mumbai"/>
    <x v="5"/>
    <s v="KrunalPandya"/>
    <s v="out"/>
    <n v="12"/>
    <n v="9"/>
    <n v="0"/>
    <n v="1"/>
    <n v="4.8"/>
  </r>
  <r>
    <s v="T202680"/>
    <s v="Mumbai Vs KKR"/>
    <s v="Mumbai"/>
    <x v="6"/>
    <s v="SaurabhTiwary"/>
    <s v="not_out"/>
    <n v="5"/>
    <n v="2"/>
    <n v="1"/>
    <n v="0"/>
    <n v="6.1888111888111892"/>
  </r>
  <r>
    <s v="T202680"/>
    <s v="Mumbai Vs KKR"/>
    <s v="Mumbai"/>
    <x v="7"/>
    <s v="AdamMilne"/>
    <s v="not_out"/>
    <n v="1"/>
    <n v="1"/>
    <n v="0"/>
    <n v="0"/>
    <n v="6.6521739130434785"/>
  </r>
  <r>
    <s v="T202680"/>
    <s v="Mumbai Vs KKR"/>
    <s v="KKR"/>
    <x v="0"/>
    <s v="ShubmanGill"/>
    <s v="out"/>
    <n v="13"/>
    <n v="9"/>
    <n v="1"/>
    <n v="1"/>
    <n v="4.8"/>
  </r>
  <r>
    <s v="T202680"/>
    <s v="Mumbai Vs KKR"/>
    <s v="KKR"/>
    <x v="1"/>
    <s v="VenkateshIyer"/>
    <s v="out"/>
    <n v="53"/>
    <n v="30"/>
    <n v="4"/>
    <n v="3"/>
    <n v="3.7586206896551726"/>
  </r>
  <r>
    <s v="T202680"/>
    <s v="Mumbai Vs KKR"/>
    <s v="KKR"/>
    <x v="2"/>
    <s v="RahulTripathi"/>
    <s v="not_out"/>
    <n v="74"/>
    <n v="42"/>
    <n v="8"/>
    <n v="3"/>
    <n v="3.3636363636363638"/>
  </r>
  <r>
    <s v="T202680"/>
    <s v="Mumbai Vs KKR"/>
    <s v="KKR"/>
    <x v="3"/>
    <s v="EoinMorgan"/>
    <s v="out"/>
    <n v="7"/>
    <n v="8"/>
    <n v="0"/>
    <n v="1"/>
    <n v="4.9111111111111114"/>
  </r>
  <r>
    <s v="T202680"/>
    <s v="Mumbai Vs KKR"/>
    <s v="KKR"/>
    <x v="4"/>
    <s v="NitishRana"/>
    <s v="not_out"/>
    <n v="5"/>
    <n v="2"/>
    <n v="1"/>
    <n v="0"/>
    <n v="6.1888111888111892"/>
  </r>
  <r>
    <s v="T204364"/>
    <s v="Sunrisers Vs Capitals"/>
    <s v="Sunrisers"/>
    <x v="0"/>
    <s v="DavidWarner"/>
    <s v="out"/>
    <n v="0"/>
    <n v="3"/>
    <n v="0"/>
    <n v="0"/>
    <n v="5.5894736842105264"/>
  </r>
  <r>
    <s v="T204364"/>
    <s v="Sunrisers Vs Capitals"/>
    <s v="Sunrisers"/>
    <x v="1"/>
    <s v="WriddhimanSaha"/>
    <s v="out"/>
    <n v="18"/>
    <n v="17"/>
    <n v="2"/>
    <n v="1"/>
    <n v="4.7272727272727275"/>
  </r>
  <r>
    <s v="T204364"/>
    <s v="Sunrisers Vs Capitals"/>
    <s v="Sunrisers"/>
    <x v="2"/>
    <s v="KaneWilliamson"/>
    <s v="out"/>
    <n v="18"/>
    <n v="26"/>
    <n v="1"/>
    <n v="0"/>
    <n v="4.1555555555555559"/>
  </r>
  <r>
    <s v="T204364"/>
    <s v="Sunrisers Vs Capitals"/>
    <s v="Sunrisers"/>
    <x v="3"/>
    <s v="ManishPandey"/>
    <s v="out"/>
    <n v="17"/>
    <n v="16"/>
    <n v="1"/>
    <n v="0"/>
    <n v="4.6511627906976747"/>
  </r>
  <r>
    <s v="T204364"/>
    <s v="Sunrisers Vs Capitals"/>
    <s v="Sunrisers"/>
    <x v="4"/>
    <s v="KedarJadhav"/>
    <s v="out"/>
    <n v="3"/>
    <n v="8"/>
    <n v="0"/>
    <n v="0"/>
    <n v="4.9111111111111114"/>
  </r>
  <r>
    <s v="T204364"/>
    <s v="Sunrisers Vs Capitals"/>
    <s v="Sunrisers"/>
    <x v="5"/>
    <s v="AbdulSamad"/>
    <s v="out"/>
    <n v="28"/>
    <n v="21"/>
    <n v="2"/>
    <n v="1"/>
    <n v="4.5192307692307692"/>
  </r>
  <r>
    <s v="T204364"/>
    <s v="Sunrisers Vs Capitals"/>
    <s v="Sunrisers"/>
    <x v="6"/>
    <s v="JasonHolder"/>
    <s v="out"/>
    <n v="10"/>
    <n v="9"/>
    <n v="0"/>
    <n v="1"/>
    <n v="4.8"/>
  </r>
  <r>
    <s v="T204364"/>
    <s v="Sunrisers Vs Capitals"/>
    <s v="Sunrisers"/>
    <x v="7"/>
    <s v="RashidKhan"/>
    <s v="out"/>
    <n v="22"/>
    <n v="19"/>
    <n v="2"/>
    <n v="1"/>
    <n v="4.645833333333333"/>
  </r>
  <r>
    <s v="T204364"/>
    <s v="Sunrisers Vs Capitals"/>
    <s v="Sunrisers"/>
    <x v="8"/>
    <s v="BhuvneshwarKumar"/>
    <s v="not_out"/>
    <n v="5"/>
    <n v="3"/>
    <n v="1"/>
    <n v="0"/>
    <n v="5.5957446808510642"/>
  </r>
  <r>
    <s v="T204364"/>
    <s v="Sunrisers Vs Capitals"/>
    <s v="Sunrisers"/>
    <x v="9"/>
    <s v="SandeepSharma"/>
    <s v="out"/>
    <n v="0"/>
    <n v="1"/>
    <n v="0"/>
    <n v="0"/>
    <n v="6.6448087431693992"/>
  </r>
  <r>
    <s v="T204364"/>
    <s v="Sunrisers Vs Capitals"/>
    <s v="Capitals"/>
    <x v="0"/>
    <s v="PrithviShaw"/>
    <s v="out"/>
    <n v="11"/>
    <n v="8"/>
    <n v="2"/>
    <n v="0"/>
    <n v="4.9111111111111114"/>
  </r>
  <r>
    <s v="T204364"/>
    <s v="Sunrisers Vs Capitals"/>
    <s v="Capitals"/>
    <x v="1"/>
    <s v="ShikharDhawan"/>
    <s v="out"/>
    <n v="42"/>
    <n v="37"/>
    <n v="6"/>
    <n v="1"/>
    <n v="3.2666666666666666"/>
  </r>
  <r>
    <s v="T204364"/>
    <s v="Sunrisers Vs Capitals"/>
    <s v="Capitals"/>
    <x v="2"/>
    <s v="ShreyasIyer"/>
    <s v="not_out"/>
    <n v="47"/>
    <n v="41"/>
    <n v="2"/>
    <n v="2"/>
    <n v="3.2"/>
  </r>
  <r>
    <s v="T204364"/>
    <s v="Sunrisers Vs Capitals"/>
    <s v="Capitals"/>
    <x v="3"/>
    <s v="RishabhPant"/>
    <s v="not_out"/>
    <n v="35"/>
    <n v="21"/>
    <n v="3"/>
    <n v="2"/>
    <n v="4.5192307692307692"/>
  </r>
  <r>
    <s v="T207857"/>
    <s v="Royals Vs Punjab Kings"/>
    <s v="Royals"/>
    <x v="0"/>
    <s v="EvinLewis"/>
    <s v="out"/>
    <n v="36"/>
    <n v="21"/>
    <n v="7"/>
    <n v="1"/>
    <n v="4.5192307692307692"/>
  </r>
  <r>
    <s v="T207857"/>
    <s v="Royals Vs Punjab Kings"/>
    <s v="Royals"/>
    <x v="1"/>
    <s v="YashasviJaiswal"/>
    <s v="out"/>
    <n v="49"/>
    <n v="36"/>
    <n v="6"/>
    <n v="2"/>
    <n v="4.45"/>
  </r>
  <r>
    <s v="T207857"/>
    <s v="Royals Vs Punjab Kings"/>
    <s v="Royals"/>
    <x v="2"/>
    <s v="SanjuSamson"/>
    <s v="out"/>
    <n v="4"/>
    <n v="5"/>
    <n v="0"/>
    <n v="0"/>
    <n v="5"/>
  </r>
  <r>
    <s v="T207857"/>
    <s v="Royals Vs Punjab Kings"/>
    <s v="Royals"/>
    <x v="3"/>
    <s v="LiamLivingstone"/>
    <s v="out"/>
    <n v="25"/>
    <n v="17"/>
    <n v="2"/>
    <n v="1"/>
    <n v="4.7441860465116283"/>
  </r>
  <r>
    <s v="T207857"/>
    <s v="Royals Vs Punjab Kings"/>
    <s v="Royals"/>
    <x v="4"/>
    <s v="MahipalLomror"/>
    <s v="out"/>
    <n v="43"/>
    <n v="17"/>
    <n v="2"/>
    <n v="4"/>
    <n v="4.7441860465116283"/>
  </r>
  <r>
    <s v="T207857"/>
    <s v="Royals Vs Punjab Kings"/>
    <s v="Royals"/>
    <x v="5"/>
    <s v="RiyanParag"/>
    <s v="out"/>
    <n v="4"/>
    <n v="5"/>
    <n v="0"/>
    <n v="0"/>
    <n v="5"/>
  </r>
  <r>
    <s v="T207857"/>
    <s v="Royals Vs Punjab Kings"/>
    <s v="Royals"/>
    <x v="6"/>
    <s v="RahulTewatia"/>
    <s v="out"/>
    <n v="2"/>
    <n v="5"/>
    <n v="0"/>
    <n v="0"/>
    <n v="5"/>
  </r>
  <r>
    <s v="T207857"/>
    <s v="Royals Vs Punjab Kings"/>
    <s v="Royals"/>
    <x v="7"/>
    <s v="ChrisMorris"/>
    <s v="out"/>
    <n v="5"/>
    <n v="5"/>
    <n v="0"/>
    <n v="0"/>
    <n v="5"/>
  </r>
  <r>
    <s v="T207857"/>
    <s v="Royals Vs Punjab Kings"/>
    <s v="Royals"/>
    <x v="8"/>
    <s v="ChetanSakariya"/>
    <s v="out"/>
    <n v="7"/>
    <n v="6"/>
    <n v="1"/>
    <n v="0"/>
    <n v="5.5125000000000002"/>
  </r>
  <r>
    <s v="T207857"/>
    <s v="Royals Vs Punjab Kings"/>
    <s v="Royals"/>
    <x v="9"/>
    <s v="KartikTyagi"/>
    <s v="out"/>
    <n v="1"/>
    <n v="3"/>
    <n v="0"/>
    <n v="0"/>
    <n v="5.5957446808510642"/>
  </r>
  <r>
    <s v="T207857"/>
    <s v="Royals Vs Punjab Kings"/>
    <s v="Royals"/>
    <x v="10"/>
    <s v="MustafizurRahman"/>
    <s v="not_out"/>
    <n v="0"/>
    <n v="0"/>
    <n v="0"/>
    <n v="0"/>
    <n v="6.2125748502994016"/>
  </r>
  <r>
    <s v="T207857"/>
    <s v="Royals Vs Punjab Kings"/>
    <s v="Punjab Kings"/>
    <x v="0"/>
    <s v="KLRahul"/>
    <s v="out"/>
    <n v="49"/>
    <n v="33"/>
    <n v="4"/>
    <n v="2"/>
    <n v="2.8666666666666667"/>
  </r>
  <r>
    <s v="T207857"/>
    <s v="Royals Vs Punjab Kings"/>
    <s v="Punjab Kings"/>
    <x v="1"/>
    <s v="MayankAgarwal"/>
    <s v="out"/>
    <n v="67"/>
    <n v="43"/>
    <n v="7"/>
    <n v="2"/>
    <n v="2.9545454545454546"/>
  </r>
  <r>
    <s v="T207857"/>
    <s v="Royals Vs Punjab Kings"/>
    <s v="Punjab Kings"/>
    <x v="2"/>
    <s v="AidenMarkram"/>
    <s v="not_out"/>
    <n v="26"/>
    <n v="20"/>
    <n v="2"/>
    <n v="1"/>
    <n v="4.7058823529411766"/>
  </r>
  <r>
    <s v="T207857"/>
    <s v="Royals Vs Punjab Kings"/>
    <s v="Punjab Kings"/>
    <x v="3"/>
    <s v="NicholasPooran"/>
    <s v="out"/>
    <n v="32"/>
    <n v="22"/>
    <n v="1"/>
    <n v="2"/>
    <n v="4.4042553191489358"/>
  </r>
  <r>
    <s v="T207857"/>
    <s v="Royals Vs Punjab Kings"/>
    <s v="Punjab Kings"/>
    <x v="4"/>
    <s v="DeepakHooda"/>
    <s v="out"/>
    <n v="0"/>
    <n v="2"/>
    <n v="0"/>
    <n v="0"/>
    <n v="6.183098591549296"/>
  </r>
  <r>
    <s v="T207857"/>
    <s v="Royals Vs Punjab Kings"/>
    <s v="Punjab Kings"/>
    <x v="5"/>
    <s v="FabianAllen"/>
    <s v="not_out"/>
    <n v="0"/>
    <n v="1"/>
    <n v="0"/>
    <n v="0"/>
    <n v="6.6263736263736268"/>
  </r>
  <r>
    <s v="T204307"/>
    <s v="RCB Vs KKR"/>
    <s v="RCB"/>
    <x v="0"/>
    <s v="ViratKohli"/>
    <s v="out"/>
    <n v="5"/>
    <n v="4"/>
    <n v="1"/>
    <n v="0"/>
    <n v="5.3369565217391308"/>
  </r>
  <r>
    <s v="T204307"/>
    <s v="RCB Vs KKR"/>
    <s v="RCB"/>
    <x v="1"/>
    <s v="DevduttPadikkal"/>
    <s v="out"/>
    <n v="22"/>
    <n v="20"/>
    <n v="3"/>
    <n v="0"/>
    <n v="4.7058823529411766"/>
  </r>
  <r>
    <s v="T204307"/>
    <s v="RCB Vs KKR"/>
    <s v="RCB"/>
    <x v="2"/>
    <s v="SrikarBharat"/>
    <s v="out"/>
    <n v="16"/>
    <n v="19"/>
    <n v="1"/>
    <n v="0"/>
    <n v="4.645833333333333"/>
  </r>
  <r>
    <s v="T204307"/>
    <s v="RCB Vs KKR"/>
    <s v="RCB"/>
    <x v="3"/>
    <s v="GlennMaxwell"/>
    <s v="out"/>
    <n v="10"/>
    <n v="17"/>
    <n v="0"/>
    <n v="0"/>
    <n v="4.7441860465116283"/>
  </r>
  <r>
    <s v="T204307"/>
    <s v="RCB Vs KKR"/>
    <s v="RCB"/>
    <x v="4"/>
    <s v="ABdeVilliers"/>
    <s v="out"/>
    <n v="0"/>
    <n v="1"/>
    <n v="0"/>
    <n v="0"/>
    <n v="6.6263736263736268"/>
  </r>
  <r>
    <s v="T204307"/>
    <s v="RCB Vs KKR"/>
    <s v="RCB"/>
    <x v="5"/>
    <s v="SachinBaby"/>
    <s v="out"/>
    <n v="7"/>
    <n v="17"/>
    <n v="0"/>
    <n v="0"/>
    <n v="4.7441860465116283"/>
  </r>
  <r>
    <s v="T204307"/>
    <s v="RCB Vs KKR"/>
    <s v="RCB"/>
    <x v="6"/>
    <s v="WaninduHasaranga"/>
    <s v="out"/>
    <n v="0"/>
    <n v="1"/>
    <n v="0"/>
    <n v="0"/>
    <n v="6.6263736263736268"/>
  </r>
  <r>
    <s v="T204307"/>
    <s v="RCB Vs KKR"/>
    <s v="RCB"/>
    <x v="7"/>
    <s v="KyleJamieson"/>
    <s v="out"/>
    <n v="4"/>
    <n v="12"/>
    <n v="0"/>
    <n v="0"/>
    <n v="4.8461538461538458"/>
  </r>
  <r>
    <s v="T204307"/>
    <s v="RCB Vs KKR"/>
    <s v="RCB"/>
    <x v="8"/>
    <s v="HarshalPatel"/>
    <s v="out"/>
    <n v="12"/>
    <n v="10"/>
    <n v="2"/>
    <n v="0"/>
    <n v="4.8805970149253728"/>
  </r>
  <r>
    <s v="T204307"/>
    <s v="RCB Vs KKR"/>
    <s v="RCB"/>
    <x v="9"/>
    <s v="MohammedSiraj"/>
    <s v="out"/>
    <n v="8"/>
    <n v="10"/>
    <n v="1"/>
    <n v="0"/>
    <n v="4.8805970149253728"/>
  </r>
  <r>
    <s v="T204307"/>
    <s v="RCB Vs KKR"/>
    <s v="RCB"/>
    <x v="10"/>
    <s v="YuzvendraChahal"/>
    <s v="not_out"/>
    <n v="2"/>
    <n v="6"/>
    <n v="0"/>
    <n v="0"/>
    <n v="5.5125000000000002"/>
  </r>
  <r>
    <s v="T204307"/>
    <s v="RCB Vs KKR"/>
    <s v="KKR"/>
    <x v="0"/>
    <s v="ShubmanGill"/>
    <s v="out"/>
    <n v="48"/>
    <n v="34"/>
    <n v="6"/>
    <n v="1"/>
    <n v="4.5925925925925926"/>
  </r>
  <r>
    <s v="T204307"/>
    <s v="RCB Vs KKR"/>
    <s v="KKR"/>
    <x v="1"/>
    <s v="VenkateshIyer"/>
    <s v="not_out"/>
    <n v="41"/>
    <n v="27"/>
    <n v="7"/>
    <n v="1"/>
    <n v="4.4482758620689653"/>
  </r>
  <r>
    <s v="T204307"/>
    <s v="RCB Vs KKR"/>
    <s v="KKR"/>
    <x v="2"/>
    <s v="AndreRussell"/>
    <s v="not_out"/>
    <n v="0"/>
    <n v="0"/>
    <n v="0"/>
    <n v="0"/>
    <n v="6.2036474164133741"/>
  </r>
  <r>
    <s v="T201256"/>
    <s v="Super Kings Vs Mumbai"/>
    <s v="Super Kings"/>
    <x v="0"/>
    <s v="RuturajGaikwad"/>
    <s v="not_out"/>
    <n v="88"/>
    <n v="58"/>
    <n v="9"/>
    <n v="4"/>
    <n v="3.4444444444444446"/>
  </r>
  <r>
    <s v="T201256"/>
    <s v="Super Kings Vs Mumbai"/>
    <s v="Super Kings"/>
    <x v="1"/>
    <s v="FafduPlessis"/>
    <s v="out"/>
    <n v="0"/>
    <n v="3"/>
    <n v="0"/>
    <n v="0"/>
    <n v="5.5957446808510642"/>
  </r>
  <r>
    <s v="T201256"/>
    <s v="Super Kings Vs Mumbai"/>
    <s v="Super Kings"/>
    <x v="2"/>
    <s v="MoeenAli"/>
    <s v="out"/>
    <n v="0"/>
    <n v="3"/>
    <n v="0"/>
    <n v="0"/>
    <n v="5.5957446808510642"/>
  </r>
  <r>
    <s v="T201256"/>
    <s v="Super Kings Vs Mumbai"/>
    <s v="Super Kings"/>
    <x v="3"/>
    <s v="AmbatiRayudu"/>
    <s v="out"/>
    <n v="0"/>
    <n v="3"/>
    <n v="0"/>
    <n v="0"/>
    <n v="5.5957446808510642"/>
  </r>
  <r>
    <s v="T201256"/>
    <s v="Super Kings Vs Mumbai"/>
    <s v="Super Kings"/>
    <x v="4"/>
    <s v="SureshRaina"/>
    <s v="out"/>
    <n v="4"/>
    <n v="6"/>
    <n v="1"/>
    <n v="0"/>
    <n v="5.5125000000000002"/>
  </r>
  <r>
    <s v="T201256"/>
    <s v="Super Kings Vs Mumbai"/>
    <s v="Super Kings"/>
    <x v="5"/>
    <s v="MSDhoni"/>
    <s v="out"/>
    <n v="3"/>
    <n v="5"/>
    <n v="0"/>
    <n v="0"/>
    <n v="5.0113636363636367"/>
  </r>
  <r>
    <s v="T201256"/>
    <s v="Super Kings Vs Mumbai"/>
    <s v="Super Kings"/>
    <x v="6"/>
    <s v="RavindraJadeja"/>
    <s v="out"/>
    <n v="26"/>
    <n v="33"/>
    <n v="1"/>
    <n v="0"/>
    <n v="2.8666666666666667"/>
  </r>
  <r>
    <s v="T201256"/>
    <s v="Super Kings Vs Mumbai"/>
    <s v="Super Kings"/>
    <x v="7"/>
    <s v="DwayneBravo"/>
    <s v="out"/>
    <n v="23"/>
    <n v="8"/>
    <n v="0"/>
    <n v="3"/>
    <n v="4.8539325842696632"/>
  </r>
  <r>
    <s v="T201256"/>
    <s v="Super Kings Vs Mumbai"/>
    <s v="Super Kings"/>
    <x v="8"/>
    <s v="ShardulThakur"/>
    <s v="not_out"/>
    <n v="1"/>
    <n v="1"/>
    <n v="0"/>
    <n v="0"/>
    <n v="6.6263736263736268"/>
  </r>
  <r>
    <s v="T201256"/>
    <s v="Super Kings Vs Mumbai"/>
    <s v="Mumbai"/>
    <x v="0"/>
    <s v="QuintondeKock"/>
    <s v="out"/>
    <n v="17"/>
    <n v="12"/>
    <n v="3"/>
    <n v="0"/>
    <n v="4.78125"/>
  </r>
  <r>
    <s v="T201256"/>
    <s v="Super Kings Vs Mumbai"/>
    <s v="Mumbai"/>
    <x v="1"/>
    <s v="AnmolpreetSingh"/>
    <s v="out"/>
    <n v="16"/>
    <n v="14"/>
    <n v="2"/>
    <n v="1"/>
    <n v="4.7380952380952381"/>
  </r>
  <r>
    <s v="T201256"/>
    <s v="Super Kings Vs Mumbai"/>
    <s v="Mumbai"/>
    <x v="2"/>
    <s v="SuryakumarYadav"/>
    <s v="out"/>
    <n v="3"/>
    <n v="7"/>
    <n v="0"/>
    <n v="0"/>
    <n v="4.8674698795180724"/>
  </r>
  <r>
    <s v="T201256"/>
    <s v="Super Kings Vs Mumbai"/>
    <s v="Mumbai"/>
    <x v="3"/>
    <s v="IshanKishan"/>
    <s v="out"/>
    <n v="11"/>
    <n v="10"/>
    <n v="1"/>
    <n v="0"/>
    <n v="4.8805970149253728"/>
  </r>
  <r>
    <s v="T201256"/>
    <s v="Super Kings Vs Mumbai"/>
    <s v="Mumbai"/>
    <x v="4"/>
    <s v="SaurabhTiwary"/>
    <s v="not_out"/>
    <n v="50"/>
    <n v="40"/>
    <n v="5"/>
    <n v="0"/>
    <n v="4.2173913043478262"/>
  </r>
  <r>
    <s v="T201256"/>
    <s v="Super Kings Vs Mumbai"/>
    <s v="Mumbai"/>
    <x v="5"/>
    <s v="KieronPollard"/>
    <s v="out"/>
    <n v="15"/>
    <n v="14"/>
    <n v="1"/>
    <n v="1"/>
    <n v="4.7380952380952381"/>
  </r>
  <r>
    <s v="T201256"/>
    <s v="Super Kings Vs Mumbai"/>
    <s v="Mumbai"/>
    <x v="6"/>
    <s v="KrunalPandya"/>
    <s v="out"/>
    <n v="4"/>
    <n v="5"/>
    <n v="0"/>
    <n v="0"/>
    <n v="5.0113636363636367"/>
  </r>
  <r>
    <s v="T201256"/>
    <s v="Super Kings Vs Mumbai"/>
    <s v="Mumbai"/>
    <x v="7"/>
    <s v="AdamMilne"/>
    <s v="out"/>
    <n v="15"/>
    <n v="15"/>
    <n v="0"/>
    <n v="1"/>
    <n v="4.7358490566037732"/>
  </r>
  <r>
    <s v="T201256"/>
    <s v="Super Kings Vs Mumbai"/>
    <s v="Mumbai"/>
    <x v="8"/>
    <s v="RahulChahar"/>
    <s v="out"/>
    <n v="0"/>
    <n v="1"/>
    <n v="0"/>
    <n v="0"/>
    <n v="6.6132596685082872"/>
  </r>
  <r>
    <s v="T201256"/>
    <s v="Super Kings Vs Mumbai"/>
    <s v="Mumbai"/>
    <x v="9"/>
    <s v="JaspritBumrah"/>
    <s v="not_out"/>
    <n v="1"/>
    <n v="2"/>
    <n v="0"/>
    <n v="0"/>
    <n v="6.1489361702127656"/>
  </r>
  <r>
    <s v="T208407"/>
    <s v="Punjab Kings Vs Capitals"/>
    <s v="Punjab Kings"/>
    <x v="0"/>
    <s v="PrabhsimranSingh"/>
    <s v="out"/>
    <n v="12"/>
    <n v="16"/>
    <n v="0"/>
    <n v="1"/>
    <n v="4.7560975609756095"/>
  </r>
  <r>
    <s v="T208407"/>
    <s v="Punjab Kings Vs Capitals"/>
    <s v="Punjab Kings"/>
    <x v="1"/>
    <s v="MayankAgarwal"/>
    <s v="not_out"/>
    <n v="99"/>
    <n v="58"/>
    <n v="8"/>
    <n v="4"/>
    <n v="3.4444444444444446"/>
  </r>
  <r>
    <s v="T208407"/>
    <s v="Punjab Kings Vs Capitals"/>
    <s v="Punjab Kings"/>
    <x v="2"/>
    <s v="ChrisGayle"/>
    <s v="out"/>
    <n v="13"/>
    <n v="9"/>
    <n v="1"/>
    <n v="1"/>
    <n v="4.8"/>
  </r>
  <r>
    <s v="T208407"/>
    <s v="Punjab Kings Vs Capitals"/>
    <s v="Punjab Kings"/>
    <x v="3"/>
    <s v="DawidMalan"/>
    <s v="out"/>
    <n v="26"/>
    <n v="26"/>
    <n v="1"/>
    <n v="1"/>
    <n v="4.1162790697674421"/>
  </r>
  <r>
    <s v="T208407"/>
    <s v="Punjab Kings Vs Capitals"/>
    <s v="Punjab Kings"/>
    <x v="4"/>
    <s v="DeepakHooda"/>
    <s v="out"/>
    <n v="1"/>
    <n v="1"/>
    <n v="0"/>
    <n v="0"/>
    <n v="6.5944444444444441"/>
  </r>
  <r>
    <s v="T208407"/>
    <s v="Punjab Kings Vs Capitals"/>
    <s v="Punjab Kings"/>
    <x v="5"/>
    <s v="MShahrukhKhan"/>
    <s v="out"/>
    <n v="4"/>
    <n v="5"/>
    <n v="0"/>
    <n v="0"/>
    <n v="5.0113636363636367"/>
  </r>
  <r>
    <s v="T208407"/>
    <s v="Punjab Kings Vs Capitals"/>
    <s v="Punjab Kings"/>
    <x v="6"/>
    <s v="ChrisJordan"/>
    <s v="out"/>
    <n v="2"/>
    <n v="3"/>
    <n v="0"/>
    <n v="0"/>
    <n v="5.6195652173913047"/>
  </r>
  <r>
    <s v="T208407"/>
    <s v="Punjab Kings Vs Capitals"/>
    <s v="Punjab Kings"/>
    <x v="7"/>
    <s v="HarpreetBrar"/>
    <s v="not_out"/>
    <n v="4"/>
    <n v="2"/>
    <n v="1"/>
    <n v="0"/>
    <n v="6.1428571428571432"/>
  </r>
  <r>
    <s v="T208407"/>
    <s v="Punjab Kings Vs Capitals"/>
    <s v="Capitals"/>
    <x v="0"/>
    <s v="PrithviShaw"/>
    <s v="out"/>
    <n v="39"/>
    <n v="22"/>
    <n v="3"/>
    <n v="3"/>
    <n v="4.4565217391304346"/>
  </r>
  <r>
    <s v="T208407"/>
    <s v="Punjab Kings Vs Capitals"/>
    <s v="Capitals"/>
    <x v="1"/>
    <s v="ShikharDhawan"/>
    <s v="not_out"/>
    <n v="69"/>
    <n v="47"/>
    <n v="6"/>
    <n v="2"/>
    <n v="2.6923076923076925"/>
  </r>
  <r>
    <s v="T208407"/>
    <s v="Punjab Kings Vs Capitals"/>
    <s v="Capitals"/>
    <x v="2"/>
    <s v="StevenSmith"/>
    <s v="out"/>
    <n v="24"/>
    <n v="22"/>
    <n v="1"/>
    <n v="0"/>
    <n v="4.4565217391304346"/>
  </r>
  <r>
    <s v="T208407"/>
    <s v="Punjab Kings Vs Capitals"/>
    <s v="Capitals"/>
    <x v="3"/>
    <s v="RishabhPant"/>
    <s v="out"/>
    <n v="14"/>
    <n v="11"/>
    <n v="1"/>
    <n v="1"/>
    <n v="5"/>
  </r>
  <r>
    <s v="T208407"/>
    <s v="Punjab Kings Vs Capitals"/>
    <s v="Capitals"/>
    <x v="4"/>
    <s v="ShimronHetmyer"/>
    <s v="not_out"/>
    <n v="16"/>
    <n v="4"/>
    <n v="1"/>
    <n v="2"/>
    <n v="5.2528735632183912"/>
  </r>
  <r>
    <s v="T209103"/>
    <s v="Royals Vs Sunrisers"/>
    <s v="Royals"/>
    <x v="0"/>
    <s v="JosButtler"/>
    <s v="out"/>
    <n v="124"/>
    <n v="64"/>
    <n v="11"/>
    <n v="8"/>
    <n v="3.625"/>
  </r>
  <r>
    <s v="T209103"/>
    <s v="Royals Vs Sunrisers"/>
    <s v="Royals"/>
    <x v="1"/>
    <s v="YashasviJaiswal"/>
    <s v="out"/>
    <n v="12"/>
    <n v="13"/>
    <n v="2"/>
    <n v="0"/>
    <n v="5.132075471698113"/>
  </r>
  <r>
    <s v="T209103"/>
    <s v="Royals Vs Sunrisers"/>
    <s v="Royals"/>
    <x v="2"/>
    <s v="SanjuSamson"/>
    <s v="out"/>
    <n v="48"/>
    <n v="33"/>
    <n v="4"/>
    <n v="2"/>
    <n v="2.8666666666666667"/>
  </r>
  <r>
    <s v="T209103"/>
    <s v="Royals Vs Sunrisers"/>
    <s v="Royals"/>
    <x v="3"/>
    <s v="RiyanParag"/>
    <s v="not_out"/>
    <n v="15"/>
    <n v="8"/>
    <n v="0"/>
    <n v="1"/>
    <n v="4.8539325842696632"/>
  </r>
  <r>
    <s v="T209103"/>
    <s v="Royals Vs Sunrisers"/>
    <s v="Royals"/>
    <x v="4"/>
    <s v="DavidMiller"/>
    <s v="not_out"/>
    <n v="7"/>
    <n v="3"/>
    <n v="0"/>
    <n v="1"/>
    <n v="5.6195652173913047"/>
  </r>
  <r>
    <s v="T209103"/>
    <s v="Royals Vs Sunrisers"/>
    <s v="Sunrisers"/>
    <x v="0"/>
    <s v="ManishPandey"/>
    <s v="out"/>
    <n v="31"/>
    <n v="20"/>
    <n v="3"/>
    <n v="2"/>
    <n v="4.7058823529411766"/>
  </r>
  <r>
    <s v="T209103"/>
    <s v="Royals Vs Sunrisers"/>
    <s v="Sunrisers"/>
    <x v="1"/>
    <s v="JonnyBairstow"/>
    <s v="out"/>
    <n v="30"/>
    <n v="21"/>
    <n v="4"/>
    <n v="1"/>
    <n v="4.5192307692307692"/>
  </r>
  <r>
    <s v="T209103"/>
    <s v="Royals Vs Sunrisers"/>
    <s v="Sunrisers"/>
    <x v="2"/>
    <s v="KaneWilliamson"/>
    <s v="out"/>
    <n v="20"/>
    <n v="21"/>
    <n v="1"/>
    <n v="0"/>
    <n v="4.5192307692307692"/>
  </r>
  <r>
    <s v="T209103"/>
    <s v="Royals Vs Sunrisers"/>
    <s v="Sunrisers"/>
    <x v="3"/>
    <s v="VijayShankar"/>
    <s v="out"/>
    <n v="8"/>
    <n v="8"/>
    <n v="1"/>
    <n v="0"/>
    <n v="4.8539325842696632"/>
  </r>
  <r>
    <s v="T209103"/>
    <s v="Royals Vs Sunrisers"/>
    <s v="Sunrisers"/>
    <x v="4"/>
    <s v="KedarJadhav"/>
    <s v="out"/>
    <n v="19"/>
    <n v="19"/>
    <n v="0"/>
    <n v="1"/>
    <n v="4.645833333333333"/>
  </r>
  <r>
    <s v="T209103"/>
    <s v="Royals Vs Sunrisers"/>
    <s v="Sunrisers"/>
    <x v="5"/>
    <s v="MohammadNabi"/>
    <s v="out"/>
    <n v="17"/>
    <n v="5"/>
    <n v="1"/>
    <n v="2"/>
    <n v="5.0113636363636367"/>
  </r>
  <r>
    <s v="T209103"/>
    <s v="Royals Vs Sunrisers"/>
    <s v="Sunrisers"/>
    <x v="6"/>
    <s v="AbdulSamad"/>
    <s v="out"/>
    <n v="10"/>
    <n v="8"/>
    <n v="0"/>
    <n v="1"/>
    <n v="4.8636363636363633"/>
  </r>
  <r>
    <s v="T209103"/>
    <s v="Royals Vs Sunrisers"/>
    <s v="Sunrisers"/>
    <x v="7"/>
    <s v="RashidKhan"/>
    <s v="out"/>
    <n v="0"/>
    <n v="2"/>
    <n v="0"/>
    <n v="0"/>
    <n v="6.1428571428571432"/>
  </r>
  <r>
    <s v="T209103"/>
    <s v="Royals Vs Sunrisers"/>
    <s v="Sunrisers"/>
    <x v="8"/>
    <s v="BhuvneshwarKumar"/>
    <s v="not_out"/>
    <n v="14"/>
    <n v="10"/>
    <n v="2"/>
    <n v="0"/>
    <n v="4.8484848484848486"/>
  </r>
  <r>
    <s v="T209103"/>
    <s v="Royals Vs Sunrisers"/>
    <s v="Sunrisers"/>
    <x v="9"/>
    <s v="SandeepSharma"/>
    <s v="not_out"/>
    <n v="8"/>
    <n v="6"/>
    <n v="1"/>
    <n v="0"/>
    <n v="5.5125000000000002"/>
  </r>
  <r>
    <s v="T203694"/>
    <s v="Super Kings Vs Mumbai"/>
    <s v="Super Kings"/>
    <x v="0"/>
    <s v="RuturajGaikwad"/>
    <s v="out"/>
    <n v="4"/>
    <n v="4"/>
    <n v="1"/>
    <n v="0"/>
    <n v="5.2528735632183912"/>
  </r>
  <r>
    <s v="T203694"/>
    <s v="Super Kings Vs Mumbai"/>
    <s v="Super Kings"/>
    <x v="1"/>
    <s v="FafduPlessis"/>
    <s v="out"/>
    <n v="50"/>
    <n v="28"/>
    <n v="2"/>
    <n v="4"/>
    <n v="3.5"/>
  </r>
  <r>
    <s v="T203694"/>
    <s v="Super Kings Vs Mumbai"/>
    <s v="Super Kings"/>
    <x v="2"/>
    <s v="MoeenAli"/>
    <s v="out"/>
    <n v="58"/>
    <n v="36"/>
    <n v="5"/>
    <n v="5"/>
    <n v="4.45"/>
  </r>
  <r>
    <s v="T203694"/>
    <s v="Super Kings Vs Mumbai"/>
    <s v="Super Kings"/>
    <x v="3"/>
    <s v="SureshRaina"/>
    <s v="out"/>
    <n v="2"/>
    <n v="4"/>
    <n v="0"/>
    <n v="0"/>
    <n v="5.3023255813953485"/>
  </r>
  <r>
    <s v="T203694"/>
    <s v="Super Kings Vs Mumbai"/>
    <s v="Super Kings"/>
    <x v="4"/>
    <s v="AmbatiRayudu"/>
    <s v="not_out"/>
    <n v="72"/>
    <n v="27"/>
    <n v="4"/>
    <n v="7"/>
    <n v="4.4482758620689653"/>
  </r>
  <r>
    <s v="T203694"/>
    <s v="Super Kings Vs Mumbai"/>
    <s v="Super Kings"/>
    <x v="5"/>
    <s v="RavindraJadeja"/>
    <s v="not_out"/>
    <n v="22"/>
    <n v="22"/>
    <n v="2"/>
    <n v="0"/>
    <n v="4.4565217391304346"/>
  </r>
  <r>
    <s v="T203694"/>
    <s v="Super Kings Vs Mumbai"/>
    <s v="Mumbai"/>
    <x v="0"/>
    <s v="QuintondeKock"/>
    <s v="out"/>
    <n v="38"/>
    <n v="28"/>
    <n v="4"/>
    <n v="1"/>
    <n v="3.5"/>
  </r>
  <r>
    <s v="T203694"/>
    <s v="Super Kings Vs Mumbai"/>
    <s v="Mumbai"/>
    <x v="1"/>
    <s v="RohitSharma"/>
    <s v="out"/>
    <n v="35"/>
    <n v="24"/>
    <n v="4"/>
    <n v="1"/>
    <n v="4.3571428571428568"/>
  </r>
  <r>
    <s v="T203694"/>
    <s v="Super Kings Vs Mumbai"/>
    <s v="Mumbai"/>
    <x v="2"/>
    <s v="SuryakumarYadav"/>
    <s v="out"/>
    <n v="3"/>
    <n v="3"/>
    <n v="0"/>
    <n v="0"/>
    <n v="5.6195652173913047"/>
  </r>
  <r>
    <s v="T203694"/>
    <s v="Super Kings Vs Mumbai"/>
    <s v="Mumbai"/>
    <x v="3"/>
    <s v="KrunalPandya"/>
    <s v="out"/>
    <n v="32"/>
    <n v="23"/>
    <n v="2"/>
    <n v="2"/>
    <n v="5.129032258064516"/>
  </r>
  <r>
    <s v="T203694"/>
    <s v="Super Kings Vs Mumbai"/>
    <s v="Mumbai"/>
    <x v="4"/>
    <s v="KieronPollard"/>
    <s v="not_out"/>
    <n v="87"/>
    <n v="34"/>
    <n v="6"/>
    <n v="8"/>
    <n v="4.5925925925925926"/>
  </r>
  <r>
    <s v="T203694"/>
    <s v="Super Kings Vs Mumbai"/>
    <s v="Mumbai"/>
    <x v="5"/>
    <s v="HardikPandya"/>
    <s v="out"/>
    <n v="16"/>
    <n v="7"/>
    <n v="0"/>
    <n v="2"/>
    <n v="4.8658536585365857"/>
  </r>
  <r>
    <s v="T203694"/>
    <s v="Super Kings Vs Mumbai"/>
    <s v="Mumbai"/>
    <x v="6"/>
    <s v="JamesNeesham"/>
    <s v="out"/>
    <n v="0"/>
    <n v="1"/>
    <n v="0"/>
    <n v="0"/>
    <n v="6.6033519553072626"/>
  </r>
  <r>
    <s v="T203694"/>
    <s v="Super Kings Vs Mumbai"/>
    <s v="Mumbai"/>
    <x v="7"/>
    <s v="DhawalKulkarni"/>
    <s v="not_out"/>
    <n v="0"/>
    <n v="0"/>
    <n v="0"/>
    <n v="0"/>
    <n v="6.2267080745341614"/>
  </r>
  <r>
    <s v="T208245"/>
    <s v="Punjab Kings Vs RCB"/>
    <s v="Punjab Kings"/>
    <x v="0"/>
    <s v="KLRahul"/>
    <s v="not_out"/>
    <n v="91"/>
    <n v="57"/>
    <n v="7"/>
    <n v="5"/>
    <n v="3"/>
  </r>
  <r>
    <s v="T208245"/>
    <s v="Punjab Kings Vs RCB"/>
    <s v="Punjab Kings"/>
    <x v="1"/>
    <s v="PrabhsimranSingh"/>
    <s v="out"/>
    <n v="7"/>
    <n v="7"/>
    <n v="1"/>
    <n v="0"/>
    <n v="4.8658536585365857"/>
  </r>
  <r>
    <s v="T208245"/>
    <s v="Punjab Kings Vs RCB"/>
    <s v="Punjab Kings"/>
    <x v="2"/>
    <s v="ChrisGayle"/>
    <s v="out"/>
    <n v="46"/>
    <n v="24"/>
    <n v="6"/>
    <n v="2"/>
    <n v="4.3571428571428568"/>
  </r>
  <r>
    <s v="T208245"/>
    <s v="Punjab Kings Vs RCB"/>
    <s v="Punjab Kings"/>
    <x v="3"/>
    <s v="NicholasPooran"/>
    <s v="out"/>
    <n v="0"/>
    <n v="3"/>
    <n v="0"/>
    <n v="0"/>
    <n v="5.6483516483516487"/>
  </r>
  <r>
    <s v="T208245"/>
    <s v="Punjab Kings Vs RCB"/>
    <s v="Punjab Kings"/>
    <x v="4"/>
    <s v="DeepakHooda"/>
    <s v="out"/>
    <n v="5"/>
    <n v="9"/>
    <n v="0"/>
    <n v="0"/>
    <n v="4.8"/>
  </r>
  <r>
    <s v="T208245"/>
    <s v="Punjab Kings Vs RCB"/>
    <s v="Punjab Kings"/>
    <x v="5"/>
    <s v="MShahrukhKhan"/>
    <s v="out"/>
    <n v="0"/>
    <n v="3"/>
    <n v="0"/>
    <n v="0"/>
    <n v="5.6483516483516487"/>
  </r>
  <r>
    <s v="T208245"/>
    <s v="Punjab Kings Vs RCB"/>
    <s v="Punjab Kings"/>
    <x v="6"/>
    <s v="HarpreetBrar"/>
    <s v="not_out"/>
    <n v="25"/>
    <n v="17"/>
    <n v="1"/>
    <n v="2"/>
    <n v="4.8048780487804876"/>
  </r>
  <r>
    <s v="T208245"/>
    <s v="Punjab Kings Vs RCB"/>
    <s v="RCB"/>
    <x v="0"/>
    <s v="ViratKohli"/>
    <s v="out"/>
    <n v="35"/>
    <n v="34"/>
    <n v="3"/>
    <n v="1"/>
    <n v="4.5925925925925926"/>
  </r>
  <r>
    <s v="T208245"/>
    <s v="Punjab Kings Vs RCB"/>
    <s v="RCB"/>
    <x v="1"/>
    <s v="DevduttPadikkal"/>
    <s v="out"/>
    <n v="7"/>
    <n v="6"/>
    <n v="0"/>
    <n v="1"/>
    <n v="5.5125000000000002"/>
  </r>
  <r>
    <s v="T208245"/>
    <s v="Punjab Kings Vs RCB"/>
    <s v="RCB"/>
    <x v="2"/>
    <s v="RajatPatidar"/>
    <s v="out"/>
    <n v="31"/>
    <n v="30"/>
    <n v="2"/>
    <n v="1"/>
    <n v="3.8214285714285716"/>
  </r>
  <r>
    <s v="T208245"/>
    <s v="Punjab Kings Vs RCB"/>
    <s v="RCB"/>
    <x v="3"/>
    <s v="GlennMaxwell"/>
    <s v="out"/>
    <n v="0"/>
    <n v="1"/>
    <n v="0"/>
    <n v="0"/>
    <n v="6.6033519553072626"/>
  </r>
  <r>
    <s v="T208245"/>
    <s v="Punjab Kings Vs RCB"/>
    <s v="RCB"/>
    <x v="4"/>
    <s v="ABdeVilliers"/>
    <s v="out"/>
    <n v="3"/>
    <n v="9"/>
    <n v="0"/>
    <n v="0"/>
    <n v="4.8"/>
  </r>
  <r>
    <s v="T208245"/>
    <s v="Punjab Kings Vs RCB"/>
    <s v="RCB"/>
    <x v="5"/>
    <s v="ShahbazAhmed"/>
    <s v="out"/>
    <n v="8"/>
    <n v="11"/>
    <n v="1"/>
    <n v="0"/>
    <n v="5"/>
  </r>
  <r>
    <s v="T208245"/>
    <s v="Punjab Kings Vs RCB"/>
    <s v="RCB"/>
    <x v="6"/>
    <s v="DanielSams"/>
    <s v="out"/>
    <n v="3"/>
    <n v="4"/>
    <n v="0"/>
    <n v="0"/>
    <n v="5.3023255813953485"/>
  </r>
  <r>
    <s v="T208245"/>
    <s v="Punjab Kings Vs RCB"/>
    <s v="RCB"/>
    <x v="7"/>
    <s v="KyleJamieson"/>
    <s v="not_out"/>
    <n v="16"/>
    <n v="11"/>
    <n v="1"/>
    <n v="1"/>
    <n v="5"/>
  </r>
  <r>
    <s v="T208245"/>
    <s v="Punjab Kings Vs RCB"/>
    <s v="RCB"/>
    <x v="8"/>
    <s v="HarshalPatel"/>
    <s v="out"/>
    <n v="31"/>
    <n v="13"/>
    <n v="3"/>
    <n v="2"/>
    <n v="5.132075471698113"/>
  </r>
  <r>
    <s v="T208245"/>
    <s v="Punjab Kings Vs RCB"/>
    <s v="RCB"/>
    <x v="9"/>
    <s v="MohammedSiraj"/>
    <s v="not_out"/>
    <n v="0"/>
    <n v="1"/>
    <n v="0"/>
    <n v="0"/>
    <n v="6.6033519553072626"/>
  </r>
  <r>
    <s v="T201595"/>
    <s v="KKR Vs Capitals"/>
    <s v="KKR"/>
    <x v="0"/>
    <s v="NitishRana"/>
    <s v="out"/>
    <n v="15"/>
    <n v="12"/>
    <n v="1"/>
    <n v="1"/>
    <n v="4.887096774193548"/>
  </r>
  <r>
    <s v="T201595"/>
    <s v="KKR Vs Capitals"/>
    <s v="KKR"/>
    <x v="1"/>
    <s v="ShubmanGill"/>
    <s v="out"/>
    <n v="43"/>
    <n v="38"/>
    <n v="3"/>
    <n v="1"/>
    <n v="4.125"/>
  </r>
  <r>
    <s v="T201595"/>
    <s v="KKR Vs Capitals"/>
    <s v="KKR"/>
    <x v="2"/>
    <s v="RahulTripathi"/>
    <s v="out"/>
    <n v="19"/>
    <n v="17"/>
    <n v="2"/>
    <n v="0"/>
    <n v="4.8048780487804876"/>
  </r>
  <r>
    <s v="T201595"/>
    <s v="KKR Vs Capitals"/>
    <s v="KKR"/>
    <x v="3"/>
    <s v="EoinMorgan"/>
    <s v="out"/>
    <n v="0"/>
    <n v="2"/>
    <n v="0"/>
    <n v="0"/>
    <n v="6.1582733812949639"/>
  </r>
  <r>
    <s v="T201595"/>
    <s v="KKR Vs Capitals"/>
    <s v="KKR"/>
    <x v="4"/>
    <s v="SunilNarine"/>
    <s v="out"/>
    <n v="0"/>
    <n v="1"/>
    <n v="0"/>
    <n v="0"/>
    <n v="6.6033519553072626"/>
  </r>
  <r>
    <s v="T201595"/>
    <s v="KKR Vs Capitals"/>
    <s v="KKR"/>
    <x v="5"/>
    <s v="AndreRussell"/>
    <s v="not_out"/>
    <n v="45"/>
    <n v="27"/>
    <n v="2"/>
    <n v="4"/>
    <n v="4.4482758620689653"/>
  </r>
  <r>
    <s v="T201595"/>
    <s v="KKR Vs Capitals"/>
    <s v="KKR"/>
    <x v="6"/>
    <s v="DineshKarthik"/>
    <s v="out"/>
    <n v="14"/>
    <n v="10"/>
    <n v="1"/>
    <n v="1"/>
    <n v="4.8484848484848486"/>
  </r>
  <r>
    <s v="T201595"/>
    <s v="KKR Vs Capitals"/>
    <s v="KKR"/>
    <x v="7"/>
    <s v="PatCummins"/>
    <s v="not_out"/>
    <n v="11"/>
    <n v="13"/>
    <n v="1"/>
    <n v="0"/>
    <n v="5.132075471698113"/>
  </r>
  <r>
    <s v="T201595"/>
    <s v="KKR Vs Capitals"/>
    <s v="Capitals"/>
    <x v="0"/>
    <s v="PrithviShaw"/>
    <s v="out"/>
    <n v="82"/>
    <n v="41"/>
    <n v="11"/>
    <n v="3"/>
    <n v="3.263157894736842"/>
  </r>
  <r>
    <s v="T201595"/>
    <s v="KKR Vs Capitals"/>
    <s v="Capitals"/>
    <x v="1"/>
    <s v="ShikharDhawan"/>
    <s v="out"/>
    <n v="46"/>
    <n v="47"/>
    <n v="4"/>
    <n v="1"/>
    <n v="2.6923076923076925"/>
  </r>
  <r>
    <s v="T201595"/>
    <s v="KKR Vs Capitals"/>
    <s v="Capitals"/>
    <x v="2"/>
    <s v="RishabhPant"/>
    <s v="out"/>
    <n v="16"/>
    <n v="8"/>
    <n v="2"/>
    <n v="1"/>
    <n v="4.7906976744186043"/>
  </r>
  <r>
    <s v="T201595"/>
    <s v="KKR Vs Capitals"/>
    <s v="Capitals"/>
    <x v="3"/>
    <s v="MarcusStoinis"/>
    <s v="not_out"/>
    <n v="6"/>
    <n v="3"/>
    <n v="1"/>
    <n v="0"/>
    <n v="5.6404494382022472"/>
  </r>
  <r>
    <s v="T201595"/>
    <s v="KKR Vs Capitals"/>
    <s v="Capitals"/>
    <x v="4"/>
    <s v="ShimronHetmyer"/>
    <s v="not_out"/>
    <n v="0"/>
    <n v="1"/>
    <n v="0"/>
    <n v="0"/>
    <n v="6.6033519553072626"/>
  </r>
  <r>
    <s v="T209461"/>
    <s v="Royals Vs Mumbai"/>
    <s v="Royals"/>
    <x v="0"/>
    <s v="JosButtler"/>
    <s v="out"/>
    <n v="41"/>
    <n v="32"/>
    <n v="3"/>
    <n v="3"/>
    <n v="4.04"/>
  </r>
  <r>
    <s v="T209461"/>
    <s v="Royals Vs Mumbai"/>
    <s v="Royals"/>
    <x v="1"/>
    <s v="YashasviJaiswal"/>
    <s v="out"/>
    <n v="32"/>
    <n v="20"/>
    <n v="2"/>
    <n v="2"/>
    <n v="4.7575757575757578"/>
  </r>
  <r>
    <s v="T209461"/>
    <s v="Royals Vs Mumbai"/>
    <s v="Royals"/>
    <x v="2"/>
    <s v="SanjuSamson"/>
    <s v="out"/>
    <n v="42"/>
    <n v="27"/>
    <n v="5"/>
    <n v="0"/>
    <n v="4.4482758620689653"/>
  </r>
  <r>
    <s v="T209461"/>
    <s v="Royals Vs Mumbai"/>
    <s v="Royals"/>
    <x v="3"/>
    <s v="ShivamDube"/>
    <s v="out"/>
    <n v="35"/>
    <n v="31"/>
    <n v="2"/>
    <n v="2"/>
    <n v="3.5217391304347827"/>
  </r>
  <r>
    <s v="T209461"/>
    <s v="Royals Vs Mumbai"/>
    <s v="Royals"/>
    <x v="4"/>
    <s v="DavidMiller"/>
    <s v="not_out"/>
    <n v="7"/>
    <n v="4"/>
    <n v="1"/>
    <n v="0"/>
    <n v="5.3023255813953485"/>
  </r>
  <r>
    <s v="T209461"/>
    <s v="Royals Vs Mumbai"/>
    <s v="Royals"/>
    <x v="5"/>
    <s v="RiyanParag"/>
    <s v="not_out"/>
    <n v="8"/>
    <n v="7"/>
    <n v="1"/>
    <n v="0"/>
    <n v="4.9367088607594933"/>
  </r>
  <r>
    <s v="T209461"/>
    <s v="Royals Vs Mumbai"/>
    <s v="Mumbai"/>
    <x v="0"/>
    <s v="RohitSharma"/>
    <s v="out"/>
    <n v="14"/>
    <n v="17"/>
    <n v="0"/>
    <n v="1"/>
    <n v="4.8048780487804876"/>
  </r>
  <r>
    <s v="T209461"/>
    <s v="Royals Vs Mumbai"/>
    <s v="Mumbai"/>
    <x v="1"/>
    <s v="QuintondeKock"/>
    <s v="not_out"/>
    <n v="70"/>
    <n v="50"/>
    <n v="6"/>
    <n v="2"/>
    <n v="2.9333333333333331"/>
  </r>
  <r>
    <s v="T209461"/>
    <s v="Royals Vs Mumbai"/>
    <s v="Mumbai"/>
    <x v="2"/>
    <s v="SuryakumarYadav"/>
    <s v="out"/>
    <n v="16"/>
    <n v="10"/>
    <n v="3"/>
    <n v="0"/>
    <n v="4.8484848484848486"/>
  </r>
  <r>
    <s v="T209461"/>
    <s v="Royals Vs Mumbai"/>
    <s v="Mumbai"/>
    <x v="3"/>
    <s v="KrunalPandya"/>
    <s v="out"/>
    <n v="39"/>
    <n v="26"/>
    <n v="2"/>
    <n v="2"/>
    <n v="4.1190476190476186"/>
  </r>
  <r>
    <s v="T209461"/>
    <s v="Royals Vs Mumbai"/>
    <s v="Mumbai"/>
    <x v="4"/>
    <s v="KieronPollard"/>
    <s v="not_out"/>
    <n v="16"/>
    <n v="8"/>
    <n v="2"/>
    <n v="1"/>
    <n v="4.776470588235294"/>
  </r>
  <r>
    <s v="T205094"/>
    <s v="Sunrisers Vs Super Kings"/>
    <s v="Sunrisers"/>
    <x v="0"/>
    <s v="DavidWarner"/>
    <s v="out"/>
    <n v="57"/>
    <n v="55"/>
    <n v="3"/>
    <n v="2"/>
    <n v="3.2307692307692308"/>
  </r>
  <r>
    <s v="T205094"/>
    <s v="Sunrisers Vs Super Kings"/>
    <s v="Sunrisers"/>
    <x v="1"/>
    <s v="JonnyBairstow"/>
    <s v="out"/>
    <n v="7"/>
    <n v="5"/>
    <n v="1"/>
    <n v="0"/>
    <n v="5.0114942528735629"/>
  </r>
  <r>
    <s v="T205094"/>
    <s v="Sunrisers Vs Super Kings"/>
    <s v="Sunrisers"/>
    <x v="2"/>
    <s v="ManishPandey"/>
    <s v="out"/>
    <n v="61"/>
    <n v="46"/>
    <n v="5"/>
    <n v="1"/>
    <n v="3.7692307692307692"/>
  </r>
  <r>
    <s v="T205094"/>
    <s v="Sunrisers Vs Super Kings"/>
    <s v="Sunrisers"/>
    <x v="3"/>
    <s v="KaneWilliamson"/>
    <s v="not_out"/>
    <n v="26"/>
    <n v="10"/>
    <n v="4"/>
    <n v="1"/>
    <n v="4.8484848484848486"/>
  </r>
  <r>
    <s v="T205094"/>
    <s v="Sunrisers Vs Super Kings"/>
    <s v="Sunrisers"/>
    <x v="4"/>
    <s v="KedarJadhav"/>
    <s v="not_out"/>
    <n v="12"/>
    <n v="4"/>
    <n v="1"/>
    <n v="1"/>
    <n v="5.3023255813953485"/>
  </r>
  <r>
    <s v="T205094"/>
    <s v="Sunrisers Vs Super Kings"/>
    <s v="Super Kings"/>
    <x v="0"/>
    <s v="RuturajGaikwad"/>
    <s v="out"/>
    <n v="75"/>
    <n v="44"/>
    <n v="12"/>
    <n v="0"/>
    <n v="3.375"/>
  </r>
  <r>
    <s v="T205094"/>
    <s v="Sunrisers Vs Super Kings"/>
    <s v="Super Kings"/>
    <x v="1"/>
    <s v="FafduPlessis"/>
    <s v="out"/>
    <n v="56"/>
    <n v="38"/>
    <n v="6"/>
    <n v="1"/>
    <n v="4.125"/>
  </r>
  <r>
    <s v="T205094"/>
    <s v="Sunrisers Vs Super Kings"/>
    <s v="Super Kings"/>
    <x v="2"/>
    <s v="MoeenAli"/>
    <s v="out"/>
    <n v="15"/>
    <n v="8"/>
    <n v="3"/>
    <n v="0"/>
    <n v="4.776470588235294"/>
  </r>
  <r>
    <s v="T205094"/>
    <s v="Sunrisers Vs Super Kings"/>
    <s v="Super Kings"/>
    <x v="3"/>
    <s v="RavindraJadeja"/>
    <s v="not_out"/>
    <n v="7"/>
    <n v="6"/>
    <n v="1"/>
    <n v="0"/>
    <n v="5.5316455696202533"/>
  </r>
  <r>
    <s v="T205094"/>
    <s v="Sunrisers Vs Super Kings"/>
    <s v="Super Kings"/>
    <x v="4"/>
    <s v="SureshRaina"/>
    <s v="not_out"/>
    <n v="17"/>
    <n v="15"/>
    <n v="3"/>
    <n v="0"/>
    <n v="4.795918367346939"/>
  </r>
  <r>
    <s v="T208915"/>
    <s v="RCB Vs Capitals"/>
    <s v="RCB"/>
    <x v="0"/>
    <s v="ViratKohli"/>
    <s v="out"/>
    <n v="12"/>
    <n v="11"/>
    <n v="2"/>
    <n v="0"/>
    <n v="4.9347826086956523"/>
  </r>
  <r>
    <s v="T208915"/>
    <s v="RCB Vs Capitals"/>
    <s v="RCB"/>
    <x v="1"/>
    <s v="DevduttPadikkal"/>
    <s v="out"/>
    <n v="17"/>
    <n v="14"/>
    <n v="3"/>
    <n v="0"/>
    <n v="4.6842105263157894"/>
  </r>
  <r>
    <s v="T208915"/>
    <s v="RCB Vs Capitals"/>
    <s v="RCB"/>
    <x v="2"/>
    <s v="RajatPatidar"/>
    <s v="out"/>
    <n v="31"/>
    <n v="22"/>
    <n v="0"/>
    <n v="2"/>
    <n v="4.4222222222222225"/>
  </r>
  <r>
    <s v="T208915"/>
    <s v="RCB Vs Capitals"/>
    <s v="RCB"/>
    <x v="3"/>
    <s v="GlennMaxwell"/>
    <s v="out"/>
    <n v="25"/>
    <n v="20"/>
    <n v="1"/>
    <n v="2"/>
    <n v="4.7575757575757578"/>
  </r>
  <r>
    <s v="T208915"/>
    <s v="RCB Vs Capitals"/>
    <s v="RCB"/>
    <x v="4"/>
    <s v="ABdeVilliers"/>
    <s v="not_out"/>
    <n v="75"/>
    <n v="42"/>
    <n v="3"/>
    <n v="5"/>
    <n v="3.45"/>
  </r>
  <r>
    <s v="T208915"/>
    <s v="RCB Vs Capitals"/>
    <s v="RCB"/>
    <x v="5"/>
    <s v="WashingtonSundar"/>
    <s v="out"/>
    <n v="6"/>
    <n v="9"/>
    <n v="0"/>
    <n v="0"/>
    <n v="4.8"/>
  </r>
  <r>
    <s v="T208915"/>
    <s v="RCB Vs Capitals"/>
    <s v="RCB"/>
    <x v="6"/>
    <s v="DanielSams"/>
    <s v="not_out"/>
    <n v="3"/>
    <n v="2"/>
    <n v="0"/>
    <n v="0"/>
    <n v="6.1582733812949639"/>
  </r>
  <r>
    <s v="T208915"/>
    <s v="RCB Vs Capitals"/>
    <s v="Capitals"/>
    <x v="0"/>
    <s v="PrithviShaw"/>
    <s v="out"/>
    <n v="21"/>
    <n v="18"/>
    <n v="3"/>
    <n v="0"/>
    <n v="4.5405405405405403"/>
  </r>
  <r>
    <s v="T208915"/>
    <s v="RCB Vs Capitals"/>
    <s v="Capitals"/>
    <x v="1"/>
    <s v="ShikharDhawan"/>
    <s v="out"/>
    <n v="6"/>
    <n v="7"/>
    <n v="1"/>
    <n v="0"/>
    <n v="4.9870129870129869"/>
  </r>
  <r>
    <s v="T208915"/>
    <s v="RCB Vs Capitals"/>
    <s v="Capitals"/>
    <x v="2"/>
    <s v="StevenSmith"/>
    <s v="out"/>
    <n v="4"/>
    <n v="5"/>
    <n v="1"/>
    <n v="0"/>
    <n v="5.0114942528735629"/>
  </r>
  <r>
    <s v="T208915"/>
    <s v="RCB Vs Capitals"/>
    <s v="Capitals"/>
    <x v="3"/>
    <s v="RishabhPant"/>
    <s v="not_out"/>
    <n v="58"/>
    <n v="48"/>
    <n v="6"/>
    <n v="0"/>
    <n v="3.5"/>
  </r>
  <r>
    <s v="T208915"/>
    <s v="RCB Vs Capitals"/>
    <s v="Capitals"/>
    <x v="4"/>
    <s v="MarcusStoinis"/>
    <s v="out"/>
    <n v="22"/>
    <n v="17"/>
    <n v="3"/>
    <n v="0"/>
    <n v="4.8717948717948714"/>
  </r>
  <r>
    <s v="T208915"/>
    <s v="RCB Vs Capitals"/>
    <s v="Capitals"/>
    <x v="5"/>
    <s v="ShimronHetmyer"/>
    <s v="not_out"/>
    <n v="53"/>
    <n v="25"/>
    <n v="2"/>
    <n v="4"/>
    <n v="4.6578947368421053"/>
  </r>
  <r>
    <s v="T209997"/>
    <s v="Punjab Kings Vs KKR"/>
    <s v="Punjab Kings"/>
    <x v="0"/>
    <s v="KLRahul"/>
    <s v="out"/>
    <n v="19"/>
    <n v="20"/>
    <n v="2"/>
    <n v="1"/>
    <n v="4.7575757575757578"/>
  </r>
  <r>
    <s v="T209997"/>
    <s v="Punjab Kings Vs KKR"/>
    <s v="Punjab Kings"/>
    <x v="1"/>
    <s v="MayankAgarwal"/>
    <s v="out"/>
    <n v="31"/>
    <n v="34"/>
    <n v="1"/>
    <n v="2"/>
    <n v="4.5925925925925926"/>
  </r>
  <r>
    <s v="T209997"/>
    <s v="Punjab Kings Vs KKR"/>
    <s v="Punjab Kings"/>
    <x v="2"/>
    <s v="ChrisGayle"/>
    <s v="out"/>
    <n v="0"/>
    <n v="1"/>
    <n v="0"/>
    <n v="0"/>
    <n v="6.6033519553072626"/>
  </r>
  <r>
    <s v="T209997"/>
    <s v="Punjab Kings Vs KKR"/>
    <s v="Punjab Kings"/>
    <x v="3"/>
    <s v="DeepakHooda"/>
    <s v="out"/>
    <n v="1"/>
    <n v="4"/>
    <n v="0"/>
    <n v="0"/>
    <n v="5.3294117647058821"/>
  </r>
  <r>
    <s v="T209997"/>
    <s v="Punjab Kings Vs KKR"/>
    <s v="Punjab Kings"/>
    <x v="4"/>
    <s v="NicholasPooran"/>
    <s v="out"/>
    <n v="19"/>
    <n v="19"/>
    <n v="1"/>
    <n v="1"/>
    <n v="4.7555555555555555"/>
  </r>
  <r>
    <s v="T209997"/>
    <s v="Punjab Kings Vs KKR"/>
    <s v="Punjab Kings"/>
    <x v="5"/>
    <s v="MoisesHenriques"/>
    <s v="out"/>
    <n v="2"/>
    <n v="3"/>
    <n v="0"/>
    <n v="0"/>
    <n v="5.625"/>
  </r>
  <r>
    <s v="T209997"/>
    <s v="Punjab Kings Vs KKR"/>
    <s v="Punjab Kings"/>
    <x v="6"/>
    <s v="MShahrukhKhan"/>
    <s v="out"/>
    <n v="13"/>
    <n v="14"/>
    <n v="0"/>
    <n v="1"/>
    <n v="4.6842105263157894"/>
  </r>
  <r>
    <s v="T209997"/>
    <s v="Punjab Kings Vs KKR"/>
    <s v="Punjab Kings"/>
    <x v="7"/>
    <s v="ChrisJordan"/>
    <s v="out"/>
    <n v="30"/>
    <n v="18"/>
    <n v="1"/>
    <n v="3"/>
    <n v="4.5405405405405403"/>
  </r>
  <r>
    <s v="T209997"/>
    <s v="Punjab Kings Vs KKR"/>
    <s v="Punjab Kings"/>
    <x v="8"/>
    <s v="RaviBishnoi"/>
    <s v="out"/>
    <n v="1"/>
    <n v="4"/>
    <n v="0"/>
    <n v="0"/>
    <n v="5.3294117647058821"/>
  </r>
  <r>
    <s v="T209997"/>
    <s v="Punjab Kings Vs KKR"/>
    <s v="Punjab Kings"/>
    <x v="9"/>
    <s v="MohammedShami"/>
    <s v="not_out"/>
    <n v="1"/>
    <n v="2"/>
    <n v="0"/>
    <n v="0"/>
    <n v="6.1594202898550723"/>
  </r>
  <r>
    <s v="T209997"/>
    <s v="Punjab Kings Vs KKR"/>
    <s v="Punjab Kings"/>
    <x v="10"/>
    <s v="ArshdeepSingh"/>
    <s v="not_out"/>
    <n v="1"/>
    <n v="1"/>
    <n v="0"/>
    <n v="0"/>
    <n v="6.5852272727272725"/>
  </r>
  <r>
    <s v="T209997"/>
    <s v="Punjab Kings Vs KKR"/>
    <s v="KKR"/>
    <x v="0"/>
    <s v="ShubmanGill"/>
    <s v="out"/>
    <n v="9"/>
    <n v="8"/>
    <n v="2"/>
    <n v="0"/>
    <n v="4.776470588235294"/>
  </r>
  <r>
    <s v="T209997"/>
    <s v="Punjab Kings Vs KKR"/>
    <s v="KKR"/>
    <x v="1"/>
    <s v="NitishRana"/>
    <s v="out"/>
    <n v="0"/>
    <n v="1"/>
    <n v="0"/>
    <n v="0"/>
    <n v="6.56"/>
  </r>
  <r>
    <s v="T209997"/>
    <s v="Punjab Kings Vs KKR"/>
    <s v="KKR"/>
    <x v="2"/>
    <s v="RahulTripathi"/>
    <s v="out"/>
    <n v="41"/>
    <n v="32"/>
    <n v="7"/>
    <n v="0"/>
    <n v="4.125"/>
  </r>
  <r>
    <s v="T209997"/>
    <s v="Punjab Kings Vs KKR"/>
    <s v="KKR"/>
    <x v="3"/>
    <s v="SunilNarine"/>
    <s v="out"/>
    <n v="0"/>
    <n v="4"/>
    <n v="0"/>
    <n v="0"/>
    <n v="5.3294117647058821"/>
  </r>
  <r>
    <s v="T209997"/>
    <s v="Punjab Kings Vs KKR"/>
    <s v="KKR"/>
    <x v="4"/>
    <s v="EoinMorgan"/>
    <s v="not_out"/>
    <n v="47"/>
    <n v="40"/>
    <n v="4"/>
    <n v="2"/>
    <n v="4.2173913043478262"/>
  </r>
  <r>
    <s v="T209997"/>
    <s v="Punjab Kings Vs KKR"/>
    <s v="KKR"/>
    <x v="5"/>
    <s v="AndreRussell"/>
    <s v="out"/>
    <n v="10"/>
    <n v="9"/>
    <n v="2"/>
    <n v="0"/>
    <n v="4.859375"/>
  </r>
  <r>
    <s v="T209997"/>
    <s v="Punjab Kings Vs KKR"/>
    <s v="KKR"/>
    <x v="6"/>
    <s v="DineshKarthik"/>
    <s v="not_out"/>
    <n v="12"/>
    <n v="6"/>
    <n v="2"/>
    <n v="0"/>
    <n v="5.5714285714285712"/>
  </r>
  <r>
    <s v="T202915"/>
    <s v="Super Kings Vs RCB"/>
    <s v="Super Kings"/>
    <x v="0"/>
    <s v="RuturajGaikwad"/>
    <s v="out"/>
    <n v="33"/>
    <n v="25"/>
    <n v="4"/>
    <n v="1"/>
    <n v="4.6578947368421053"/>
  </r>
  <r>
    <s v="T202915"/>
    <s v="Super Kings Vs RCB"/>
    <s v="Super Kings"/>
    <x v="1"/>
    <s v="FafduPlessis"/>
    <s v="out"/>
    <n v="50"/>
    <n v="41"/>
    <n v="5"/>
    <n v="1"/>
    <n v="3.4117647058823528"/>
  </r>
  <r>
    <s v="T202915"/>
    <s v="Super Kings Vs RCB"/>
    <s v="Super Kings"/>
    <x v="2"/>
    <s v="SureshRaina"/>
    <s v="out"/>
    <n v="24"/>
    <n v="18"/>
    <n v="1"/>
    <n v="3"/>
    <n v="4.5405405405405403"/>
  </r>
  <r>
    <s v="T202915"/>
    <s v="Super Kings Vs RCB"/>
    <s v="Super Kings"/>
    <x v="3"/>
    <s v="AmbatiRayudu"/>
    <s v="out"/>
    <n v="14"/>
    <n v="7"/>
    <n v="1"/>
    <n v="1"/>
    <n v="4.9870129870129869"/>
  </r>
  <r>
    <s v="T202915"/>
    <s v="Super Kings Vs RCB"/>
    <s v="Super Kings"/>
    <x v="4"/>
    <s v="RavindraJadeja"/>
    <s v="not_out"/>
    <n v="62"/>
    <n v="28"/>
    <n v="4"/>
    <n v="5"/>
    <n v="3.5"/>
  </r>
  <r>
    <s v="T202915"/>
    <s v="Super Kings Vs RCB"/>
    <s v="Super Kings"/>
    <x v="5"/>
    <s v="MSDhoni"/>
    <s v="not_out"/>
    <n v="2"/>
    <n v="3"/>
    <n v="0"/>
    <n v="0"/>
    <n v="5.625"/>
  </r>
  <r>
    <s v="T202915"/>
    <s v="Super Kings Vs RCB"/>
    <s v="RCB"/>
    <x v="0"/>
    <s v="ViratKohli"/>
    <s v="out"/>
    <n v="8"/>
    <n v="7"/>
    <n v="1"/>
    <n v="0"/>
    <n v="4.9870129870129869"/>
  </r>
  <r>
    <s v="T202915"/>
    <s v="Super Kings Vs RCB"/>
    <s v="RCB"/>
    <x v="1"/>
    <s v="DevduttPadikkal"/>
    <s v="out"/>
    <n v="34"/>
    <n v="15"/>
    <n v="4"/>
    <n v="2"/>
    <n v="4.795918367346939"/>
  </r>
  <r>
    <s v="T202915"/>
    <s v="Super Kings Vs RCB"/>
    <s v="RCB"/>
    <x v="2"/>
    <s v="WashingtonSundar"/>
    <s v="out"/>
    <n v="7"/>
    <n v="11"/>
    <n v="1"/>
    <n v="0"/>
    <n v="4.9347826086956523"/>
  </r>
  <r>
    <s v="T202915"/>
    <s v="Super Kings Vs RCB"/>
    <s v="RCB"/>
    <x v="3"/>
    <s v="GlennMaxwell"/>
    <s v="out"/>
    <n v="22"/>
    <n v="15"/>
    <n v="3"/>
    <n v="0"/>
    <n v="4.795918367346939"/>
  </r>
  <r>
    <s v="T202915"/>
    <s v="Super Kings Vs RCB"/>
    <s v="RCB"/>
    <x v="4"/>
    <s v="ABdeVilliers"/>
    <s v="out"/>
    <n v="4"/>
    <n v="9"/>
    <n v="0"/>
    <n v="0"/>
    <n v="4.859375"/>
  </r>
  <r>
    <s v="T202915"/>
    <s v="Super Kings Vs RCB"/>
    <s v="RCB"/>
    <x v="5"/>
    <s v="DanChristian"/>
    <s v="out"/>
    <n v="1"/>
    <n v="3"/>
    <n v="0"/>
    <n v="0"/>
    <n v="5.625"/>
  </r>
  <r>
    <s v="T202915"/>
    <s v="Super Kings Vs RCB"/>
    <s v="RCB"/>
    <x v="6"/>
    <s v="KyleJamieson"/>
    <s v="out"/>
    <n v="16"/>
    <n v="13"/>
    <n v="1"/>
    <n v="1"/>
    <n v="5.0961538461538458"/>
  </r>
  <r>
    <s v="T202915"/>
    <s v="Super Kings Vs RCB"/>
    <s v="RCB"/>
    <x v="7"/>
    <s v="HarshalPatel"/>
    <s v="out"/>
    <n v="0"/>
    <n v="8"/>
    <n v="0"/>
    <n v="0"/>
    <n v="4.8214285714285712"/>
  </r>
  <r>
    <s v="T202915"/>
    <s v="Super Kings Vs RCB"/>
    <s v="RCB"/>
    <x v="8"/>
    <s v="NavdeepSaini"/>
    <s v="out"/>
    <n v="2"/>
    <n v="4"/>
    <n v="0"/>
    <n v="0"/>
    <n v="5.333333333333333"/>
  </r>
  <r>
    <s v="T202915"/>
    <s v="Super Kings Vs RCB"/>
    <s v="RCB"/>
    <x v="9"/>
    <s v="YuzvendraChahal"/>
    <s v="not_out"/>
    <n v="8"/>
    <n v="21"/>
    <n v="0"/>
    <n v="0"/>
    <n v="4.5882352941176467"/>
  </r>
  <r>
    <s v="T202915"/>
    <s v="Super Kings Vs RCB"/>
    <s v="RCB"/>
    <x v="10"/>
    <s v="MohammedSiraj"/>
    <s v="not_out"/>
    <n v="12"/>
    <n v="14"/>
    <n v="0"/>
    <n v="1"/>
    <n v="4.7027027027027026"/>
  </r>
  <r>
    <s v="T205585"/>
    <s v="KKR Vs Royals"/>
    <s v="KKR"/>
    <x v="0"/>
    <s v="NitishRana"/>
    <s v="out"/>
    <n v="22"/>
    <n v="25"/>
    <n v="1"/>
    <n v="1"/>
    <n v="4.6578947368421053"/>
  </r>
  <r>
    <s v="T205585"/>
    <s v="KKR Vs Royals"/>
    <s v="KKR"/>
    <x v="1"/>
    <s v="ShubmanGill"/>
    <s v="out"/>
    <n v="11"/>
    <n v="19"/>
    <n v="1"/>
    <n v="0"/>
    <n v="4.75"/>
  </r>
  <r>
    <s v="T205585"/>
    <s v="KKR Vs Royals"/>
    <s v="KKR"/>
    <x v="2"/>
    <s v="RahulTripathi"/>
    <s v="out"/>
    <n v="36"/>
    <n v="26"/>
    <n v="1"/>
    <n v="2"/>
    <n v="4.1219512195121952"/>
  </r>
  <r>
    <s v="T205585"/>
    <s v="KKR Vs Royals"/>
    <s v="KKR"/>
    <x v="3"/>
    <s v="SunilNarine"/>
    <s v="out"/>
    <n v="6"/>
    <n v="7"/>
    <n v="1"/>
    <n v="0"/>
    <n v="5.0131578947368425"/>
  </r>
  <r>
    <s v="T205585"/>
    <s v="KKR Vs Royals"/>
    <s v="KKR"/>
    <x v="4"/>
    <s v="EoinMorgan"/>
    <s v="out"/>
    <n v="0"/>
    <n v="0"/>
    <n v="0"/>
    <n v="0"/>
    <n v="6.2645161290322582"/>
  </r>
  <r>
    <s v="T205585"/>
    <s v="KKR Vs Royals"/>
    <s v="KKR"/>
    <x v="5"/>
    <s v="DineshKarthik"/>
    <s v="out"/>
    <n v="25"/>
    <n v="24"/>
    <n v="4"/>
    <n v="0"/>
    <n v="4.4074074074074074"/>
  </r>
  <r>
    <s v="T205585"/>
    <s v="KKR Vs Royals"/>
    <s v="KKR"/>
    <x v="6"/>
    <s v="AndreRussell"/>
    <s v="out"/>
    <n v="9"/>
    <n v="7"/>
    <n v="0"/>
    <n v="1"/>
    <n v="5.0131578947368425"/>
  </r>
  <r>
    <s v="T205585"/>
    <s v="KKR Vs Royals"/>
    <s v="KKR"/>
    <x v="7"/>
    <s v="PatCummins"/>
    <s v="out"/>
    <n v="10"/>
    <n v="6"/>
    <n v="0"/>
    <n v="1"/>
    <n v="5.5921052631578947"/>
  </r>
  <r>
    <s v="T205585"/>
    <s v="KKR Vs Royals"/>
    <s v="KKR"/>
    <x v="8"/>
    <s v="ShivamMavi"/>
    <s v="out"/>
    <n v="5"/>
    <n v="7"/>
    <n v="1"/>
    <n v="0"/>
    <n v="5.0131578947368425"/>
  </r>
  <r>
    <s v="T205585"/>
    <s v="KKR Vs Royals"/>
    <s v="KKR"/>
    <x v="9"/>
    <s v="PrasidhKrishna"/>
    <s v="not_out"/>
    <n v="0"/>
    <n v="0"/>
    <n v="0"/>
    <n v="0"/>
    <n v="6.2686084142394822"/>
  </r>
  <r>
    <s v="T205585"/>
    <s v="KKR Vs Royals"/>
    <s v="Royals"/>
    <x v="0"/>
    <s v="JosButtler"/>
    <s v="out"/>
    <n v="5"/>
    <n v="7"/>
    <n v="1"/>
    <n v="0"/>
    <n v="5.0131578947368425"/>
  </r>
  <r>
    <s v="T205585"/>
    <s v="KKR Vs Royals"/>
    <s v="Royals"/>
    <x v="1"/>
    <s v="YashasviJaiswal"/>
    <s v="out"/>
    <n v="22"/>
    <n v="17"/>
    <n v="5"/>
    <n v="0"/>
    <n v="4.8717948717948714"/>
  </r>
  <r>
    <s v="T205585"/>
    <s v="KKR Vs Royals"/>
    <s v="Royals"/>
    <x v="2"/>
    <s v="SanjuSamson"/>
    <s v="not_out"/>
    <n v="42"/>
    <n v="41"/>
    <n v="2"/>
    <n v="1"/>
    <n v="3.4117647058823528"/>
  </r>
  <r>
    <s v="T205585"/>
    <s v="KKR Vs Royals"/>
    <s v="Royals"/>
    <x v="3"/>
    <s v="ShivamDube"/>
    <s v="out"/>
    <n v="22"/>
    <n v="18"/>
    <n v="2"/>
    <n v="1"/>
    <n v="4.5405405405405403"/>
  </r>
  <r>
    <s v="T205585"/>
    <s v="KKR Vs Royals"/>
    <s v="Royals"/>
    <x v="4"/>
    <s v="RahulTewatia"/>
    <s v="out"/>
    <n v="5"/>
    <n v="8"/>
    <n v="0"/>
    <n v="0"/>
    <n v="4.7590361445783129"/>
  </r>
  <r>
    <s v="T205585"/>
    <s v="KKR Vs Royals"/>
    <s v="Royals"/>
    <x v="5"/>
    <s v="DavidMiller"/>
    <s v="not_out"/>
    <n v="24"/>
    <n v="23"/>
    <n v="3"/>
    <n v="0"/>
    <n v="5.129032258064516"/>
  </r>
  <r>
    <s v="T204808"/>
    <s v="Mumbai Vs Punjab Kings"/>
    <s v="Mumbai"/>
    <x v="0"/>
    <s v="QuintondeKock"/>
    <s v="out"/>
    <n v="3"/>
    <n v="5"/>
    <n v="0"/>
    <n v="0"/>
    <n v="5.0119047619047619"/>
  </r>
  <r>
    <s v="T204808"/>
    <s v="Mumbai Vs Punjab Kings"/>
    <s v="Mumbai"/>
    <x v="1"/>
    <s v="RohitSharma"/>
    <s v="out"/>
    <n v="63"/>
    <n v="52"/>
    <n v="5"/>
    <n v="2"/>
    <n v="2.9090909090909092"/>
  </r>
  <r>
    <s v="T204808"/>
    <s v="Mumbai Vs Punjab Kings"/>
    <s v="Mumbai"/>
    <x v="2"/>
    <s v="IshanKishan"/>
    <s v="out"/>
    <n v="6"/>
    <n v="17"/>
    <n v="0"/>
    <n v="0"/>
    <n v="4.8717948717948714"/>
  </r>
  <r>
    <s v="T204808"/>
    <s v="Mumbai Vs Punjab Kings"/>
    <s v="Mumbai"/>
    <x v="3"/>
    <s v="SuryakumarYadav"/>
    <s v="out"/>
    <n v="33"/>
    <n v="27"/>
    <n v="3"/>
    <n v="1"/>
    <n v="4.4482758620689653"/>
  </r>
  <r>
    <s v="T204808"/>
    <s v="Mumbai Vs Punjab Kings"/>
    <s v="Mumbai"/>
    <x v="4"/>
    <s v="KieronPollard"/>
    <s v="not_out"/>
    <n v="16"/>
    <n v="12"/>
    <n v="0"/>
    <n v="1"/>
    <n v="4.8103448275862073"/>
  </r>
  <r>
    <s v="T204808"/>
    <s v="Mumbai Vs Punjab Kings"/>
    <s v="Mumbai"/>
    <x v="5"/>
    <s v="HardikPandya"/>
    <s v="out"/>
    <n v="1"/>
    <n v="4"/>
    <n v="0"/>
    <n v="0"/>
    <n v="5.333333333333333"/>
  </r>
  <r>
    <s v="T204808"/>
    <s v="Mumbai Vs Punjab Kings"/>
    <s v="Mumbai"/>
    <x v="6"/>
    <s v="KrunalPandya"/>
    <s v="out"/>
    <n v="3"/>
    <n v="3"/>
    <n v="0"/>
    <n v="0"/>
    <n v="5.6781609195402298"/>
  </r>
  <r>
    <s v="T204808"/>
    <s v="Mumbai Vs Punjab Kings"/>
    <s v="Mumbai"/>
    <x v="7"/>
    <s v="JayantYadav"/>
    <s v="not_out"/>
    <n v="0"/>
    <n v="0"/>
    <n v="0"/>
    <n v="0"/>
    <n v="6.2564935064935066"/>
  </r>
  <r>
    <s v="T204808"/>
    <s v="Mumbai Vs Punjab Kings"/>
    <s v="Punjab Kings"/>
    <x v="0"/>
    <s v="KLRahul"/>
    <s v="not_out"/>
    <n v="60"/>
    <n v="52"/>
    <n v="3"/>
    <n v="3"/>
    <n v="2.9090909090909092"/>
  </r>
  <r>
    <s v="T204808"/>
    <s v="Mumbai Vs Punjab Kings"/>
    <s v="Punjab Kings"/>
    <x v="1"/>
    <s v="MayankAgarwal"/>
    <s v="out"/>
    <n v="25"/>
    <n v="20"/>
    <n v="4"/>
    <n v="1"/>
    <n v="4.7575757575757578"/>
  </r>
  <r>
    <s v="T204808"/>
    <s v="Mumbai Vs Punjab Kings"/>
    <s v="Punjab Kings"/>
    <x v="2"/>
    <s v="ChrisGayle"/>
    <s v="not_out"/>
    <n v="43"/>
    <n v="35"/>
    <n v="5"/>
    <n v="2"/>
    <n v="3.7272727272727271"/>
  </r>
  <r>
    <s v="T201545"/>
    <s v="Royals Vs RCB"/>
    <s v="Royals"/>
    <x v="0"/>
    <s v="JosButtler"/>
    <s v="out"/>
    <n v="8"/>
    <n v="8"/>
    <n v="2"/>
    <n v="0"/>
    <n v="4.7590361445783129"/>
  </r>
  <r>
    <s v="T201545"/>
    <s v="Royals Vs RCB"/>
    <s v="Royals"/>
    <x v="1"/>
    <s v="MananVohra"/>
    <s v="out"/>
    <n v="7"/>
    <n v="9"/>
    <n v="1"/>
    <n v="0"/>
    <n v="4.8253968253968251"/>
  </r>
  <r>
    <s v="T201545"/>
    <s v="Royals Vs RCB"/>
    <s v="Royals"/>
    <x v="2"/>
    <s v="SanjuSamson"/>
    <s v="out"/>
    <n v="21"/>
    <n v="18"/>
    <n v="2"/>
    <n v="1"/>
    <n v="4.5405405405405403"/>
  </r>
  <r>
    <s v="T201545"/>
    <s v="Royals Vs RCB"/>
    <s v="Royals"/>
    <x v="3"/>
    <s v="DavidMiller"/>
    <s v="out"/>
    <n v="0"/>
    <n v="2"/>
    <n v="0"/>
    <n v="0"/>
    <n v="6.1397058823529411"/>
  </r>
  <r>
    <s v="T201545"/>
    <s v="Royals Vs RCB"/>
    <s v="Royals"/>
    <x v="4"/>
    <s v="ShivamDube"/>
    <s v="out"/>
    <n v="46"/>
    <n v="32"/>
    <n v="5"/>
    <n v="2"/>
    <n v="4.125"/>
  </r>
  <r>
    <s v="T201545"/>
    <s v="Royals Vs RCB"/>
    <s v="Royals"/>
    <x v="5"/>
    <s v="RiyanParag"/>
    <s v="out"/>
    <n v="25"/>
    <n v="16"/>
    <n v="4"/>
    <n v="0"/>
    <n v="4.6363636363636367"/>
  </r>
  <r>
    <s v="T201545"/>
    <s v="Royals Vs RCB"/>
    <s v="Royals"/>
    <x v="6"/>
    <s v="RahulTewatia"/>
    <s v="out"/>
    <n v="40"/>
    <n v="23"/>
    <n v="4"/>
    <n v="2"/>
    <n v="5.129032258064516"/>
  </r>
  <r>
    <s v="T201545"/>
    <s v="Royals Vs RCB"/>
    <s v="Royals"/>
    <x v="7"/>
    <s v="ChrisMorris"/>
    <s v="out"/>
    <n v="10"/>
    <n v="7"/>
    <n v="0"/>
    <n v="1"/>
    <n v="5.0533333333333337"/>
  </r>
  <r>
    <s v="T201545"/>
    <s v="Royals Vs RCB"/>
    <s v="Royals"/>
    <x v="8"/>
    <s v="ShreyasGopal"/>
    <s v="not_out"/>
    <n v="7"/>
    <n v="4"/>
    <n v="0"/>
    <n v="1"/>
    <n v="5.333333333333333"/>
  </r>
  <r>
    <s v="T201545"/>
    <s v="Royals Vs RCB"/>
    <s v="Royals"/>
    <x v="9"/>
    <s v="ChetanSakariya"/>
    <s v="out"/>
    <n v="0"/>
    <n v="1"/>
    <n v="0"/>
    <n v="0"/>
    <n v="6.5664739884393066"/>
  </r>
  <r>
    <s v="T201545"/>
    <s v="Royals Vs RCB"/>
    <s v="Royals"/>
    <x v="10"/>
    <s v="MustafizurRahman"/>
    <s v="not_out"/>
    <n v="0"/>
    <n v="0"/>
    <n v="0"/>
    <n v="0"/>
    <n v="6.2459016393442619"/>
  </r>
  <r>
    <s v="T201545"/>
    <s v="Royals Vs RCB"/>
    <s v="RCB"/>
    <x v="0"/>
    <s v="ViratKohli"/>
    <s v="not_out"/>
    <n v="72"/>
    <n v="47"/>
    <n v="6"/>
    <n v="3"/>
    <n v="2.5"/>
  </r>
  <r>
    <s v="T201545"/>
    <s v="Royals Vs RCB"/>
    <s v="RCB"/>
    <x v="1"/>
    <s v="DevduttPadikkal"/>
    <s v="not_out"/>
    <n v="101"/>
    <n v="52"/>
    <n v="11"/>
    <n v="6"/>
    <n v="2.9090909090909092"/>
  </r>
  <r>
    <s v="T202233"/>
    <s v="Super Kings Vs KKR"/>
    <s v="Super Kings"/>
    <x v="0"/>
    <s v="RuturajGaikwad"/>
    <s v="out"/>
    <n v="64"/>
    <n v="42"/>
    <n v="6"/>
    <n v="4"/>
    <n v="3.4736842105263159"/>
  </r>
  <r>
    <s v="T202233"/>
    <s v="Super Kings Vs KKR"/>
    <s v="Super Kings"/>
    <x v="1"/>
    <s v="FafduPlessis"/>
    <s v="not_out"/>
    <n v="95"/>
    <n v="60"/>
    <n v="9"/>
    <n v="4"/>
    <n v="2.4285714285714284"/>
  </r>
  <r>
    <s v="T202233"/>
    <s v="Super Kings Vs KKR"/>
    <s v="Super Kings"/>
    <x v="2"/>
    <s v="MoeenAli"/>
    <s v="out"/>
    <n v="25"/>
    <n v="12"/>
    <n v="2"/>
    <n v="2"/>
    <n v="4.8103448275862073"/>
  </r>
  <r>
    <s v="T202233"/>
    <s v="Super Kings Vs KKR"/>
    <s v="Super Kings"/>
    <x v="3"/>
    <s v="MSDhoni"/>
    <s v="out"/>
    <n v="17"/>
    <n v="8"/>
    <n v="2"/>
    <n v="1"/>
    <n v="4.8048780487804876"/>
  </r>
  <r>
    <s v="T202233"/>
    <s v="Super Kings Vs KKR"/>
    <s v="Super Kings"/>
    <x v="4"/>
    <s v="RavindraJadeja"/>
    <s v="not_out"/>
    <n v="6"/>
    <n v="1"/>
    <n v="0"/>
    <n v="1"/>
    <n v="6.5664739884393066"/>
  </r>
  <r>
    <s v="T202233"/>
    <s v="Super Kings Vs KKR"/>
    <s v="KKR"/>
    <x v="0"/>
    <s v="NitishRana"/>
    <s v="out"/>
    <n v="9"/>
    <n v="12"/>
    <n v="2"/>
    <n v="0"/>
    <n v="4.8103448275862073"/>
  </r>
  <r>
    <s v="T202233"/>
    <s v="Super Kings Vs KKR"/>
    <s v="KKR"/>
    <x v="1"/>
    <s v="ShubmanGill"/>
    <s v="out"/>
    <n v="0"/>
    <n v="1"/>
    <n v="0"/>
    <n v="0"/>
    <n v="6.5664739884393066"/>
  </r>
  <r>
    <s v="T202233"/>
    <s v="Super Kings Vs KKR"/>
    <s v="KKR"/>
    <x v="2"/>
    <s v="RahulTripathi"/>
    <s v="out"/>
    <n v="8"/>
    <n v="9"/>
    <n v="1"/>
    <n v="0"/>
    <n v="4.887096774193548"/>
  </r>
  <r>
    <s v="T202233"/>
    <s v="Super Kings Vs KKR"/>
    <s v="KKR"/>
    <x v="3"/>
    <s v="EoinMorgan"/>
    <s v="out"/>
    <n v="7"/>
    <n v="7"/>
    <n v="1"/>
    <n v="0"/>
    <n v="5"/>
  </r>
  <r>
    <s v="T202233"/>
    <s v="Super Kings Vs KKR"/>
    <s v="KKR"/>
    <x v="4"/>
    <s v="SunilNarine"/>
    <s v="out"/>
    <n v="4"/>
    <n v="3"/>
    <n v="1"/>
    <n v="0"/>
    <n v="5.6627906976744189"/>
  </r>
  <r>
    <s v="T202233"/>
    <s v="Super Kings Vs KKR"/>
    <s v="KKR"/>
    <x v="5"/>
    <s v="DineshKarthik"/>
    <s v="out"/>
    <n v="40"/>
    <n v="24"/>
    <n v="4"/>
    <n v="2"/>
    <n v="4.3461538461538458"/>
  </r>
  <r>
    <s v="T202233"/>
    <s v="Super Kings Vs KKR"/>
    <s v="KKR"/>
    <x v="6"/>
    <s v="AndreRussell"/>
    <s v="out"/>
    <n v="54"/>
    <n v="22"/>
    <n v="3"/>
    <n v="6"/>
    <n v="4.5750000000000002"/>
  </r>
  <r>
    <s v="T202233"/>
    <s v="Super Kings Vs KKR"/>
    <s v="KKR"/>
    <x v="7"/>
    <s v="PatCummins"/>
    <s v="not_out"/>
    <n v="66"/>
    <n v="34"/>
    <n v="4"/>
    <n v="6"/>
    <n v="4.6923076923076925"/>
  </r>
  <r>
    <s v="T202233"/>
    <s v="Super Kings Vs KKR"/>
    <s v="KKR"/>
    <x v="8"/>
    <s v="KamleshNagarkoti"/>
    <s v="out"/>
    <n v="0"/>
    <n v="2"/>
    <n v="0"/>
    <n v="0"/>
    <n v="6.1397058823529411"/>
  </r>
  <r>
    <s v="T202233"/>
    <s v="Super Kings Vs KKR"/>
    <s v="KKR"/>
    <x v="9"/>
    <s v="VarunChakravarthy"/>
    <s v="out"/>
    <n v="0"/>
    <n v="1"/>
    <n v="0"/>
    <n v="0"/>
    <n v="6.5664739884393066"/>
  </r>
  <r>
    <s v="T202233"/>
    <s v="Super Kings Vs KKR"/>
    <s v="KKR"/>
    <x v="10"/>
    <s v="PrasidhKrishna"/>
    <s v="out"/>
    <n v="0"/>
    <n v="1"/>
    <n v="0"/>
    <n v="0"/>
    <n v="6.5664739884393066"/>
  </r>
  <r>
    <s v="T204912"/>
    <s v="Punjab Kings Vs Sunrisers"/>
    <s v="Punjab Kings"/>
    <x v="0"/>
    <s v="KLRahul"/>
    <s v="out"/>
    <n v="4"/>
    <n v="6"/>
    <n v="0"/>
    <n v="0"/>
    <n v="5.6351351351351351"/>
  </r>
  <r>
    <s v="T204912"/>
    <s v="Punjab Kings Vs Sunrisers"/>
    <s v="Punjab Kings"/>
    <x v="1"/>
    <s v="MayankAgarwal"/>
    <s v="out"/>
    <n v="22"/>
    <n v="25"/>
    <n v="2"/>
    <n v="0"/>
    <n v="4.7058823529411766"/>
  </r>
  <r>
    <s v="T204912"/>
    <s v="Punjab Kings Vs Sunrisers"/>
    <s v="Punjab Kings"/>
    <x v="2"/>
    <s v="ChrisGayle"/>
    <s v="out"/>
    <n v="15"/>
    <n v="17"/>
    <n v="2"/>
    <n v="0"/>
    <n v="4.8947368421052628"/>
  </r>
  <r>
    <s v="T204912"/>
    <s v="Punjab Kings Vs Sunrisers"/>
    <s v="Punjab Kings"/>
    <x v="3"/>
    <s v="NicholasPooran"/>
    <s v="out"/>
    <n v="0"/>
    <n v="0"/>
    <n v="0"/>
    <n v="0"/>
    <n v="6.206666666666667"/>
  </r>
  <r>
    <s v="T204912"/>
    <s v="Punjab Kings Vs Sunrisers"/>
    <s v="Punjab Kings"/>
    <x v="4"/>
    <s v="DeepakHooda"/>
    <s v="out"/>
    <n v="13"/>
    <n v="11"/>
    <n v="2"/>
    <n v="0"/>
    <n v="5"/>
  </r>
  <r>
    <s v="T204912"/>
    <s v="Punjab Kings Vs Sunrisers"/>
    <s v="Punjab Kings"/>
    <x v="5"/>
    <s v="MoisesHenriques"/>
    <s v="out"/>
    <n v="14"/>
    <n v="17"/>
    <n v="0"/>
    <n v="0"/>
    <n v="4.8947368421052628"/>
  </r>
  <r>
    <s v="T204912"/>
    <s v="Punjab Kings Vs Sunrisers"/>
    <s v="Punjab Kings"/>
    <x v="6"/>
    <s v="MShahrukhKhan"/>
    <s v="out"/>
    <n v="22"/>
    <n v="17"/>
    <n v="0"/>
    <n v="2"/>
    <n v="4.8947368421052628"/>
  </r>
  <r>
    <s v="T204912"/>
    <s v="Punjab Kings Vs Sunrisers"/>
    <s v="Punjab Kings"/>
    <x v="7"/>
    <s v="FabianAllen"/>
    <s v="out"/>
    <n v="6"/>
    <n v="11"/>
    <n v="0"/>
    <n v="0"/>
    <n v="5"/>
  </r>
  <r>
    <s v="T204912"/>
    <s v="Punjab Kings Vs Sunrisers"/>
    <s v="Punjab Kings"/>
    <x v="8"/>
    <s v="MuruganAshwin"/>
    <s v="out"/>
    <n v="9"/>
    <n v="10"/>
    <n v="1"/>
    <n v="0"/>
    <n v="4.7301587301587302"/>
  </r>
  <r>
    <s v="T204912"/>
    <s v="Punjab Kings Vs Sunrisers"/>
    <s v="Punjab Kings"/>
    <x v="9"/>
    <s v="MohammedShami"/>
    <s v="out"/>
    <n v="3"/>
    <n v="3"/>
    <n v="0"/>
    <n v="0"/>
    <n v="5.6627906976744189"/>
  </r>
  <r>
    <s v="T204912"/>
    <s v="Punjab Kings Vs Sunrisers"/>
    <s v="Punjab Kings"/>
    <x v="10"/>
    <s v="ArshdeepSingh"/>
    <s v="not_out"/>
    <n v="1"/>
    <n v="2"/>
    <n v="0"/>
    <n v="0"/>
    <n v="6.1397058823529411"/>
  </r>
  <r>
    <s v="T204912"/>
    <s v="Punjab Kings Vs Sunrisers"/>
    <s v="Sunrisers"/>
    <x v="0"/>
    <s v="DavidWarner"/>
    <s v="out"/>
    <n v="37"/>
    <n v="37"/>
    <n v="3"/>
    <n v="1"/>
    <n v="3.2666666666666666"/>
  </r>
  <r>
    <s v="T204912"/>
    <s v="Punjab Kings Vs Sunrisers"/>
    <s v="Sunrisers"/>
    <x v="1"/>
    <s v="JonnyBairstow"/>
    <s v="not_out"/>
    <n v="63"/>
    <n v="56"/>
    <n v="3"/>
    <n v="3"/>
    <n v="3.1666666666666665"/>
  </r>
  <r>
    <s v="T204912"/>
    <s v="Punjab Kings Vs Sunrisers"/>
    <s v="Sunrisers"/>
    <x v="2"/>
    <s v="KaneWilliamson"/>
    <s v="not_out"/>
    <n v="16"/>
    <n v="19"/>
    <n v="0"/>
    <n v="0"/>
    <n v="4.75"/>
  </r>
  <r>
    <s v="T207273"/>
    <s v="Mumbai Vs Capitals"/>
    <s v="Mumbai"/>
    <x v="0"/>
    <s v="RohitSharma"/>
    <s v="out"/>
    <n v="44"/>
    <n v="30"/>
    <n v="3"/>
    <n v="3"/>
    <n v="3.6666666666666665"/>
  </r>
  <r>
    <s v="T207273"/>
    <s v="Mumbai Vs Capitals"/>
    <s v="Mumbai"/>
    <x v="1"/>
    <s v="QuintondeKock"/>
    <s v="out"/>
    <n v="2"/>
    <n v="4"/>
    <n v="0"/>
    <n v="0"/>
    <n v="5.3902439024390247"/>
  </r>
  <r>
    <s v="T207273"/>
    <s v="Mumbai Vs Capitals"/>
    <s v="Mumbai"/>
    <x v="2"/>
    <s v="SuryakumarYadav"/>
    <s v="out"/>
    <n v="24"/>
    <n v="15"/>
    <n v="4"/>
    <n v="0"/>
    <n v="4.833333333333333"/>
  </r>
  <r>
    <s v="T207273"/>
    <s v="Mumbai Vs Capitals"/>
    <s v="Mumbai"/>
    <x v="3"/>
    <s v="IshanKishan"/>
    <s v="out"/>
    <n v="26"/>
    <n v="28"/>
    <n v="1"/>
    <n v="1"/>
    <n v="3.5"/>
  </r>
  <r>
    <s v="T207273"/>
    <s v="Mumbai Vs Capitals"/>
    <s v="Mumbai"/>
    <x v="4"/>
    <s v="HardikPandya"/>
    <s v="out"/>
    <n v="0"/>
    <n v="1"/>
    <n v="0"/>
    <n v="0"/>
    <n v="6.5406976744186043"/>
  </r>
  <r>
    <s v="T207273"/>
    <s v="Mumbai Vs Capitals"/>
    <s v="Mumbai"/>
    <x v="5"/>
    <s v="KrunalPandya"/>
    <s v="out"/>
    <n v="1"/>
    <n v="5"/>
    <n v="0"/>
    <n v="0"/>
    <n v="5.0119047619047619"/>
  </r>
  <r>
    <s v="T207273"/>
    <s v="Mumbai Vs Capitals"/>
    <s v="Mumbai"/>
    <x v="6"/>
    <s v="KieronPollard"/>
    <s v="out"/>
    <n v="2"/>
    <n v="5"/>
    <n v="0"/>
    <n v="0"/>
    <n v="5.0119047619047619"/>
  </r>
  <r>
    <s v="T207273"/>
    <s v="Mumbai Vs Capitals"/>
    <s v="Mumbai"/>
    <x v="7"/>
    <s v="JayantYadav"/>
    <s v="out"/>
    <n v="23"/>
    <n v="22"/>
    <n v="1"/>
    <n v="0"/>
    <n v="4.5789473684210522"/>
  </r>
  <r>
    <s v="T207273"/>
    <s v="Mumbai Vs Capitals"/>
    <s v="Mumbai"/>
    <x v="8"/>
    <s v="RahulChahar"/>
    <s v="out"/>
    <n v="6"/>
    <n v="6"/>
    <n v="1"/>
    <n v="0"/>
    <n v="5.602739726027397"/>
  </r>
  <r>
    <s v="T207273"/>
    <s v="Mumbai Vs Capitals"/>
    <s v="Mumbai"/>
    <x v="9"/>
    <s v="JaspritBumrah"/>
    <s v="not_out"/>
    <n v="3"/>
    <n v="3"/>
    <n v="0"/>
    <n v="0"/>
    <n v="5.6117647058823525"/>
  </r>
  <r>
    <s v="T207273"/>
    <s v="Mumbai Vs Capitals"/>
    <s v="Mumbai"/>
    <x v="10"/>
    <s v="TrentBoult"/>
    <s v="not_out"/>
    <n v="1"/>
    <n v="1"/>
    <n v="0"/>
    <n v="0"/>
    <n v="6.5438596491228074"/>
  </r>
  <r>
    <s v="T207273"/>
    <s v="Mumbai Vs Capitals"/>
    <s v="Capitals"/>
    <x v="0"/>
    <s v="PrithviShaw"/>
    <s v="out"/>
    <n v="7"/>
    <n v="5"/>
    <n v="1"/>
    <n v="0"/>
    <n v="5.0119047619047619"/>
  </r>
  <r>
    <s v="T207273"/>
    <s v="Mumbai Vs Capitals"/>
    <s v="Capitals"/>
    <x v="1"/>
    <s v="ShikharDhawan"/>
    <s v="out"/>
    <n v="45"/>
    <n v="42"/>
    <n v="5"/>
    <n v="1"/>
    <n v="3.4736842105263159"/>
  </r>
  <r>
    <s v="T207273"/>
    <s v="Mumbai Vs Capitals"/>
    <s v="Capitals"/>
    <x v="2"/>
    <s v="StevenSmith"/>
    <s v="out"/>
    <n v="33"/>
    <n v="29"/>
    <n v="4"/>
    <n v="0"/>
    <n v="4"/>
  </r>
  <r>
    <s v="T207273"/>
    <s v="Mumbai Vs Capitals"/>
    <s v="Capitals"/>
    <x v="3"/>
    <s v="LalitYadav"/>
    <s v="not_out"/>
    <n v="22"/>
    <n v="25"/>
    <n v="1"/>
    <n v="0"/>
    <n v="4.7058823529411766"/>
  </r>
  <r>
    <s v="T207273"/>
    <s v="Mumbai Vs Capitals"/>
    <s v="Capitals"/>
    <x v="4"/>
    <s v="RishabhPant"/>
    <s v="out"/>
    <n v="7"/>
    <n v="8"/>
    <n v="1"/>
    <n v="0"/>
    <n v="4.8271604938271606"/>
  </r>
  <r>
    <s v="T207273"/>
    <s v="Mumbai Vs Capitals"/>
    <s v="Capitals"/>
    <x v="5"/>
    <s v="ShimronHetmyer"/>
    <s v="not_out"/>
    <n v="14"/>
    <n v="9"/>
    <n v="2"/>
    <n v="0"/>
    <n v="4.8196721311475406"/>
  </r>
  <r>
    <s v="T209089"/>
    <s v="Super Kings Vs Royals"/>
    <s v="Super Kings"/>
    <x v="0"/>
    <s v="RuturajGaikwad"/>
    <s v="out"/>
    <n v="10"/>
    <n v="13"/>
    <n v="1"/>
    <n v="0"/>
    <n v="5.0980392156862742"/>
  </r>
  <r>
    <s v="T209089"/>
    <s v="Super Kings Vs Royals"/>
    <s v="Super Kings"/>
    <x v="1"/>
    <s v="FafduPlessis"/>
    <s v="out"/>
    <n v="33"/>
    <n v="17"/>
    <n v="4"/>
    <n v="2"/>
    <n v="4.8947368421052628"/>
  </r>
  <r>
    <s v="T209089"/>
    <s v="Super Kings Vs Royals"/>
    <s v="Super Kings"/>
    <x v="2"/>
    <s v="MoeenAli"/>
    <s v="out"/>
    <n v="26"/>
    <n v="20"/>
    <n v="1"/>
    <n v="2"/>
    <n v="4.7575757575757578"/>
  </r>
  <r>
    <s v="T209089"/>
    <s v="Super Kings Vs Royals"/>
    <s v="Super Kings"/>
    <x v="3"/>
    <s v="SureshRaina"/>
    <s v="out"/>
    <n v="18"/>
    <n v="15"/>
    <n v="1"/>
    <n v="1"/>
    <n v="4.833333333333333"/>
  </r>
  <r>
    <s v="T209089"/>
    <s v="Super Kings Vs Royals"/>
    <s v="Super Kings"/>
    <x v="4"/>
    <s v="AmbatiRayudu"/>
    <s v="out"/>
    <n v="27"/>
    <n v="17"/>
    <n v="0"/>
    <n v="3"/>
    <n v="4.8947368421052628"/>
  </r>
  <r>
    <s v="T209089"/>
    <s v="Super Kings Vs Royals"/>
    <s v="Super Kings"/>
    <x v="5"/>
    <s v="RavindraJadeja"/>
    <s v="out"/>
    <n v="8"/>
    <n v="7"/>
    <n v="1"/>
    <n v="0"/>
    <n v="5.070422535211268"/>
  </r>
  <r>
    <s v="T209089"/>
    <s v="Super Kings Vs Royals"/>
    <s v="Super Kings"/>
    <x v="6"/>
    <s v="MSDhoni"/>
    <s v="out"/>
    <n v="18"/>
    <n v="17"/>
    <n v="2"/>
    <n v="0"/>
    <n v="4.8947368421052628"/>
  </r>
  <r>
    <s v="T209089"/>
    <s v="Super Kings Vs Royals"/>
    <s v="Super Kings"/>
    <x v="7"/>
    <s v="SamCurran"/>
    <s v="out"/>
    <n v="13"/>
    <n v="6"/>
    <n v="0"/>
    <n v="1"/>
    <n v="5.5555555555555554"/>
  </r>
  <r>
    <s v="T209089"/>
    <s v="Super Kings Vs Royals"/>
    <s v="Super Kings"/>
    <x v="8"/>
    <s v="DwayneBravo"/>
    <s v="not_out"/>
    <n v="20"/>
    <n v="8"/>
    <n v="2"/>
    <n v="1"/>
    <n v="4.8125"/>
  </r>
  <r>
    <s v="T209089"/>
    <s v="Super Kings Vs Royals"/>
    <s v="Super Kings"/>
    <x v="9"/>
    <s v="ShardulThakur"/>
    <s v="out"/>
    <n v="1"/>
    <n v="1"/>
    <n v="0"/>
    <n v="0"/>
    <n v="6.5176470588235293"/>
  </r>
  <r>
    <s v="T209089"/>
    <s v="Super Kings Vs Royals"/>
    <s v="Super Kings"/>
    <x v="10"/>
    <s v="DeepakChahar"/>
    <s v="not_out"/>
    <n v="0"/>
    <n v="0"/>
    <n v="0"/>
    <n v="0"/>
    <n v="6.2181208053691277"/>
  </r>
  <r>
    <s v="T209089"/>
    <s v="Super Kings Vs Royals"/>
    <s v="Royals"/>
    <x v="0"/>
    <s v="JosButtler"/>
    <s v="out"/>
    <n v="49"/>
    <n v="35"/>
    <n v="5"/>
    <n v="2"/>
    <n v="3.7272727272727271"/>
  </r>
  <r>
    <s v="T209089"/>
    <s v="Super Kings Vs Royals"/>
    <s v="Royals"/>
    <x v="1"/>
    <s v="MananVohra"/>
    <s v="out"/>
    <n v="14"/>
    <n v="11"/>
    <n v="1"/>
    <n v="1"/>
    <n v="5"/>
  </r>
  <r>
    <s v="T209089"/>
    <s v="Super Kings Vs Royals"/>
    <s v="Royals"/>
    <x v="2"/>
    <s v="SanjuSamson"/>
    <s v="out"/>
    <n v="1"/>
    <n v="5"/>
    <n v="0"/>
    <n v="0"/>
    <n v="5.0119047619047619"/>
  </r>
  <r>
    <s v="T209089"/>
    <s v="Super Kings Vs Royals"/>
    <s v="Royals"/>
    <x v="3"/>
    <s v="ShivamDube"/>
    <s v="out"/>
    <n v="17"/>
    <n v="20"/>
    <n v="2"/>
    <n v="0"/>
    <n v="4.625"/>
  </r>
  <r>
    <s v="T209089"/>
    <s v="Super Kings Vs Royals"/>
    <s v="Royals"/>
    <x v="4"/>
    <s v="DavidMiller"/>
    <s v="out"/>
    <n v="2"/>
    <n v="5"/>
    <n v="0"/>
    <n v="0"/>
    <n v="5.0119047619047619"/>
  </r>
  <r>
    <s v="T209089"/>
    <s v="Super Kings Vs Royals"/>
    <s v="Royals"/>
    <x v="5"/>
    <s v="RiyanParag"/>
    <s v="out"/>
    <n v="3"/>
    <n v="7"/>
    <n v="0"/>
    <n v="0"/>
    <n v="5.070422535211268"/>
  </r>
  <r>
    <s v="T209089"/>
    <s v="Super Kings Vs Royals"/>
    <s v="Royals"/>
    <x v="6"/>
    <s v="RahulTewatia"/>
    <s v="out"/>
    <n v="20"/>
    <n v="15"/>
    <n v="0"/>
    <n v="2"/>
    <n v="4.833333333333333"/>
  </r>
  <r>
    <s v="T209089"/>
    <s v="Super Kings Vs Royals"/>
    <s v="Royals"/>
    <x v="7"/>
    <s v="ChrisMorris"/>
    <s v="out"/>
    <n v="0"/>
    <n v="2"/>
    <n v="0"/>
    <n v="0"/>
    <n v="6.1729323308270674"/>
  </r>
  <r>
    <s v="T209089"/>
    <s v="Super Kings Vs Royals"/>
    <s v="Royals"/>
    <x v="8"/>
    <s v="JaydevUnadkat"/>
    <s v="out"/>
    <n v="24"/>
    <n v="17"/>
    <n v="2"/>
    <n v="1"/>
    <n v="4.9189189189189193"/>
  </r>
  <r>
    <s v="T209089"/>
    <s v="Super Kings Vs Royals"/>
    <s v="Royals"/>
    <x v="9"/>
    <s v="ChetanSakariya"/>
    <s v="not_out"/>
    <n v="0"/>
    <n v="0"/>
    <n v="0"/>
    <n v="0"/>
    <n v="6.1959459459459456"/>
  </r>
  <r>
    <s v="T209089"/>
    <s v="Super Kings Vs Royals"/>
    <s v="Royals"/>
    <x v="10"/>
    <s v="MustafizurRahman"/>
    <s v="not_out"/>
    <n v="0"/>
    <n v="4"/>
    <n v="0"/>
    <n v="0"/>
    <n v="5.3902439024390247"/>
  </r>
  <r>
    <s v="T209593"/>
    <s v="Punjab Kings Vs Capitals"/>
    <s v="Punjab Kings"/>
    <x v="0"/>
    <s v="KLRahul"/>
    <s v="out"/>
    <n v="61"/>
    <n v="51"/>
    <n v="7"/>
    <n v="2"/>
    <n v="3.3333333333333335"/>
  </r>
  <r>
    <s v="T209593"/>
    <s v="Punjab Kings Vs Capitals"/>
    <s v="Punjab Kings"/>
    <x v="1"/>
    <s v="MayankAgarwal"/>
    <s v="out"/>
    <n v="69"/>
    <n v="36"/>
    <n v="7"/>
    <n v="4"/>
    <n v="4.5263157894736841"/>
  </r>
  <r>
    <s v="T209593"/>
    <s v="Punjab Kings Vs Capitals"/>
    <s v="Punjab Kings"/>
    <x v="2"/>
    <s v="ChrisGayle"/>
    <s v="out"/>
    <n v="11"/>
    <n v="9"/>
    <n v="0"/>
    <n v="1"/>
    <n v="4.8196721311475406"/>
  </r>
  <r>
    <s v="T209593"/>
    <s v="Punjab Kings Vs Capitals"/>
    <s v="Punjab Kings"/>
    <x v="3"/>
    <s v="DeepakHooda"/>
    <s v="not_out"/>
    <n v="22"/>
    <n v="13"/>
    <n v="0"/>
    <n v="2"/>
    <n v="5.04"/>
  </r>
  <r>
    <s v="T209593"/>
    <s v="Punjab Kings Vs Capitals"/>
    <s v="Punjab Kings"/>
    <x v="4"/>
    <s v="NicholasPooran"/>
    <s v="out"/>
    <n v="9"/>
    <n v="8"/>
    <n v="1"/>
    <n v="0"/>
    <n v="4.8125"/>
  </r>
  <r>
    <s v="T209593"/>
    <s v="Punjab Kings Vs Capitals"/>
    <s v="Punjab Kings"/>
    <x v="5"/>
    <s v="MShahrukhKhan"/>
    <s v="not_out"/>
    <n v="15"/>
    <n v="5"/>
    <n v="2"/>
    <n v="1"/>
    <n v="5.0119047619047619"/>
  </r>
  <r>
    <s v="T209593"/>
    <s v="Punjab Kings Vs Capitals"/>
    <s v="Capitals"/>
    <x v="0"/>
    <s v="PrithviShaw"/>
    <s v="out"/>
    <n v="32"/>
    <n v="17"/>
    <n v="3"/>
    <n v="2"/>
    <n v="4.9189189189189193"/>
  </r>
  <r>
    <s v="T209593"/>
    <s v="Punjab Kings Vs Capitals"/>
    <s v="Capitals"/>
    <x v="1"/>
    <s v="ShikharDhawan"/>
    <s v="out"/>
    <n v="92"/>
    <n v="49"/>
    <n v="13"/>
    <n v="2"/>
    <n v="4.1818181818181817"/>
  </r>
  <r>
    <s v="T209593"/>
    <s v="Punjab Kings Vs Capitals"/>
    <s v="Capitals"/>
    <x v="2"/>
    <s v="StevenSmith"/>
    <s v="out"/>
    <n v="9"/>
    <n v="12"/>
    <n v="0"/>
    <n v="0"/>
    <n v="4.8103448275862073"/>
  </r>
  <r>
    <s v="T209593"/>
    <s v="Punjab Kings Vs Capitals"/>
    <s v="Capitals"/>
    <x v="3"/>
    <s v="RishabhPant"/>
    <s v="out"/>
    <n v="15"/>
    <n v="16"/>
    <n v="0"/>
    <n v="1"/>
    <n v="4.6875"/>
  </r>
  <r>
    <s v="T209593"/>
    <s v="Punjab Kings Vs Capitals"/>
    <s v="Capitals"/>
    <x v="4"/>
    <s v="MarcusStoinis"/>
    <s v="not_out"/>
    <n v="27"/>
    <n v="13"/>
    <n v="3"/>
    <n v="1"/>
    <n v="5.04"/>
  </r>
  <r>
    <s v="T209593"/>
    <s v="Punjab Kings Vs Capitals"/>
    <s v="Capitals"/>
    <x v="5"/>
    <s v="LalitYadav"/>
    <s v="not_out"/>
    <n v="12"/>
    <n v="6"/>
    <n v="2"/>
    <n v="0"/>
    <n v="5.5555555555555554"/>
  </r>
  <r>
    <s v="T202791"/>
    <s v="RCB Vs KKR"/>
    <s v="RCB"/>
    <x v="0"/>
    <s v="ViratKohli"/>
    <s v="out"/>
    <n v="5"/>
    <n v="6"/>
    <n v="1"/>
    <n v="0"/>
    <n v="5.5555555555555554"/>
  </r>
  <r>
    <s v="T202791"/>
    <s v="RCB Vs KKR"/>
    <s v="RCB"/>
    <x v="1"/>
    <s v="DevduttPadikkal"/>
    <s v="out"/>
    <n v="25"/>
    <n v="28"/>
    <n v="2"/>
    <n v="0"/>
    <n v="3.5"/>
  </r>
  <r>
    <s v="T202791"/>
    <s v="RCB Vs KKR"/>
    <s v="RCB"/>
    <x v="2"/>
    <s v="RajatPatidar"/>
    <s v="out"/>
    <n v="1"/>
    <n v="2"/>
    <n v="0"/>
    <n v="0"/>
    <n v="6.1729323308270674"/>
  </r>
  <r>
    <s v="T202791"/>
    <s v="RCB Vs KKR"/>
    <s v="RCB"/>
    <x v="3"/>
    <s v="GlennMaxwell"/>
    <s v="out"/>
    <n v="78"/>
    <n v="49"/>
    <n v="9"/>
    <n v="3"/>
    <n v="4.1818181818181817"/>
  </r>
  <r>
    <s v="T202791"/>
    <s v="RCB Vs KKR"/>
    <s v="RCB"/>
    <x v="4"/>
    <s v="ABdeVilliers"/>
    <s v="not_out"/>
    <n v="76"/>
    <n v="34"/>
    <n v="9"/>
    <n v="3"/>
    <n v="4.6923076923076925"/>
  </r>
  <r>
    <s v="T202791"/>
    <s v="RCB Vs KKR"/>
    <s v="RCB"/>
    <x v="5"/>
    <s v="KyleJamieson"/>
    <s v="not_out"/>
    <n v="11"/>
    <n v="4"/>
    <n v="1"/>
    <n v="1"/>
    <n v="5.3902439024390247"/>
  </r>
  <r>
    <s v="T202791"/>
    <s v="RCB Vs KKR"/>
    <s v="KKR"/>
    <x v="0"/>
    <s v="NitishRana"/>
    <s v="out"/>
    <n v="18"/>
    <n v="11"/>
    <n v="2"/>
    <n v="1"/>
    <n v="5.0232558139534884"/>
  </r>
  <r>
    <s v="T202791"/>
    <s v="RCB Vs KKR"/>
    <s v="KKR"/>
    <x v="1"/>
    <s v="ShubmanGill"/>
    <s v="out"/>
    <n v="21"/>
    <n v="9"/>
    <n v="2"/>
    <n v="2"/>
    <n v="4.8474576271186445"/>
  </r>
  <r>
    <s v="T202791"/>
    <s v="RCB Vs KKR"/>
    <s v="KKR"/>
    <x v="2"/>
    <s v="RahulTripathi"/>
    <s v="out"/>
    <n v="25"/>
    <n v="20"/>
    <n v="5"/>
    <n v="0"/>
    <n v="4.5483870967741939"/>
  </r>
  <r>
    <s v="T202791"/>
    <s v="RCB Vs KKR"/>
    <s v="KKR"/>
    <x v="3"/>
    <s v="EoinMorgan"/>
    <s v="out"/>
    <n v="29"/>
    <n v="23"/>
    <n v="1"/>
    <n v="2"/>
    <n v="5.0333333333333332"/>
  </r>
  <r>
    <s v="T202791"/>
    <s v="RCB Vs KKR"/>
    <s v="KKR"/>
    <x v="4"/>
    <s v="DineshKarthik"/>
    <s v="out"/>
    <n v="2"/>
    <n v="5"/>
    <n v="0"/>
    <n v="0"/>
    <n v="5.0602409638554215"/>
  </r>
  <r>
    <s v="T202791"/>
    <s v="RCB Vs KKR"/>
    <s v="KKR"/>
    <x v="5"/>
    <s v="ShakibAlHasan"/>
    <s v="out"/>
    <n v="26"/>
    <n v="25"/>
    <n v="1"/>
    <n v="1"/>
    <n v="4.84375"/>
  </r>
  <r>
    <s v="T202791"/>
    <s v="RCB Vs KKR"/>
    <s v="KKR"/>
    <x v="6"/>
    <s v="AndreRussell"/>
    <s v="out"/>
    <n v="31"/>
    <n v="20"/>
    <n v="3"/>
    <n v="2"/>
    <n v="4.5483870967741939"/>
  </r>
  <r>
    <s v="T202791"/>
    <s v="RCB Vs KKR"/>
    <s v="KKR"/>
    <x v="7"/>
    <s v="PatCummins"/>
    <s v="out"/>
    <n v="6"/>
    <n v="2"/>
    <n v="0"/>
    <n v="1"/>
    <n v="6.1818181818181817"/>
  </r>
  <r>
    <s v="T202791"/>
    <s v="RCB Vs KKR"/>
    <s v="KKR"/>
    <x v="8"/>
    <s v="HarbhajanSingh"/>
    <s v="not_out"/>
    <n v="2"/>
    <n v="2"/>
    <n v="0"/>
    <n v="0"/>
    <n v="6.1818181818181817"/>
  </r>
  <r>
    <s v="T202791"/>
    <s v="RCB Vs KKR"/>
    <s v="KKR"/>
    <x v="9"/>
    <s v="VarunChakravarthy"/>
    <s v="not_out"/>
    <n v="2"/>
    <n v="3"/>
    <n v="0"/>
    <n v="0"/>
    <n v="5.5542168674698793"/>
  </r>
  <r>
    <s v="T201372"/>
    <s v="Mumbai Vs Sunrisers"/>
    <s v="Mumbai"/>
    <x v="0"/>
    <s v="QuintondeKock"/>
    <s v="out"/>
    <n v="40"/>
    <n v="39"/>
    <n v="5"/>
    <n v="0"/>
    <n v="2.9411764705882355"/>
  </r>
  <r>
    <s v="T201372"/>
    <s v="Mumbai Vs Sunrisers"/>
    <s v="Mumbai"/>
    <x v="1"/>
    <s v="RohitSharma"/>
    <s v="out"/>
    <n v="32"/>
    <n v="25"/>
    <n v="2"/>
    <n v="2"/>
    <n v="4.84375"/>
  </r>
  <r>
    <s v="T201372"/>
    <s v="Mumbai Vs Sunrisers"/>
    <s v="Mumbai"/>
    <x v="2"/>
    <s v="SuryakumarYadav"/>
    <s v="out"/>
    <n v="10"/>
    <n v="6"/>
    <n v="1"/>
    <n v="1"/>
    <n v="5.52112676056338"/>
  </r>
  <r>
    <s v="T201372"/>
    <s v="Mumbai Vs Sunrisers"/>
    <s v="Mumbai"/>
    <x v="3"/>
    <s v="IshanKishan"/>
    <s v="out"/>
    <n v="12"/>
    <n v="21"/>
    <n v="0"/>
    <n v="0"/>
    <n v="4.6734693877551017"/>
  </r>
  <r>
    <s v="T201372"/>
    <s v="Mumbai Vs Sunrisers"/>
    <s v="Mumbai"/>
    <x v="4"/>
    <s v="KieronPollard"/>
    <s v="not_out"/>
    <n v="35"/>
    <n v="22"/>
    <n v="1"/>
    <n v="3"/>
    <n v="4.6111111111111107"/>
  </r>
  <r>
    <s v="T201372"/>
    <s v="Mumbai Vs Sunrisers"/>
    <s v="Mumbai"/>
    <x v="5"/>
    <s v="HardikPandya"/>
    <s v="out"/>
    <n v="7"/>
    <n v="5"/>
    <n v="1"/>
    <n v="0"/>
    <n v="5.0602409638554215"/>
  </r>
  <r>
    <s v="T201372"/>
    <s v="Mumbai Vs Sunrisers"/>
    <s v="Mumbai"/>
    <x v="6"/>
    <s v="KrunalPandya"/>
    <s v="not_out"/>
    <n v="3"/>
    <n v="3"/>
    <n v="0"/>
    <n v="0"/>
    <n v="5.5542168674698793"/>
  </r>
  <r>
    <s v="T201372"/>
    <s v="Mumbai Vs Sunrisers"/>
    <s v="Sunrisers"/>
    <x v="0"/>
    <s v="DavidWarner"/>
    <s v="out"/>
    <n v="36"/>
    <n v="34"/>
    <n v="2"/>
    <n v="2"/>
    <n v="4.6923076923076925"/>
  </r>
  <r>
    <s v="T201372"/>
    <s v="Mumbai Vs Sunrisers"/>
    <s v="Sunrisers"/>
    <x v="1"/>
    <s v="JonnyBairstow"/>
    <s v="out"/>
    <n v="43"/>
    <n v="22"/>
    <n v="3"/>
    <n v="4"/>
    <n v="4.6111111111111107"/>
  </r>
  <r>
    <s v="T201372"/>
    <s v="Mumbai Vs Sunrisers"/>
    <s v="Sunrisers"/>
    <x v="2"/>
    <s v="ManishPandey"/>
    <s v="out"/>
    <n v="2"/>
    <n v="7"/>
    <n v="0"/>
    <n v="0"/>
    <n v="5.0571428571428569"/>
  </r>
  <r>
    <s v="T201372"/>
    <s v="Mumbai Vs Sunrisers"/>
    <s v="Sunrisers"/>
    <x v="3"/>
    <s v="ViratSingh"/>
    <s v="out"/>
    <n v="11"/>
    <n v="12"/>
    <n v="1"/>
    <n v="0"/>
    <n v="4.8035714285714288"/>
  </r>
  <r>
    <s v="T201372"/>
    <s v="Mumbai Vs Sunrisers"/>
    <s v="Sunrisers"/>
    <x v="4"/>
    <s v="VijayShankar"/>
    <s v="out"/>
    <n v="28"/>
    <n v="25"/>
    <n v="0"/>
    <n v="2"/>
    <n v="4.84375"/>
  </r>
  <r>
    <s v="T201372"/>
    <s v="Mumbai Vs Sunrisers"/>
    <s v="Sunrisers"/>
    <x v="5"/>
    <s v="AbhishekSharma"/>
    <s v="out"/>
    <n v="2"/>
    <n v="4"/>
    <n v="0"/>
    <n v="0"/>
    <n v="5.3902439024390247"/>
  </r>
  <r>
    <s v="T201372"/>
    <s v="Mumbai Vs Sunrisers"/>
    <s v="Sunrisers"/>
    <x v="6"/>
    <s v="AbdulSamad"/>
    <s v="out"/>
    <n v="7"/>
    <n v="8"/>
    <n v="1"/>
    <n v="0"/>
    <n v="4.8125"/>
  </r>
  <r>
    <s v="T201372"/>
    <s v="Mumbai Vs Sunrisers"/>
    <s v="Sunrisers"/>
    <x v="7"/>
    <s v="RashidKhan"/>
    <s v="out"/>
    <n v="0"/>
    <n v="1"/>
    <n v="0"/>
    <n v="0"/>
    <n v="6.5389221556886223"/>
  </r>
  <r>
    <s v="T201372"/>
    <s v="Mumbai Vs Sunrisers"/>
    <s v="Sunrisers"/>
    <x v="8"/>
    <s v="BhuvneshwarKumar"/>
    <s v="out"/>
    <n v="1"/>
    <n v="2"/>
    <n v="0"/>
    <n v="0"/>
    <n v="6.15625"/>
  </r>
  <r>
    <s v="T201372"/>
    <s v="Mumbai Vs Sunrisers"/>
    <s v="Sunrisers"/>
    <x v="9"/>
    <s v="MujeebUrRahman"/>
    <s v="not_out"/>
    <n v="1"/>
    <n v="1"/>
    <n v="0"/>
    <n v="0"/>
    <n v="6.524096385542169"/>
  </r>
  <r>
    <s v="T201372"/>
    <s v="Mumbai Vs Sunrisers"/>
    <s v="Sunrisers"/>
    <x v="10"/>
    <s v="KhaleelAhmed"/>
    <s v="out"/>
    <n v="1"/>
    <n v="2"/>
    <n v="0"/>
    <n v="0"/>
    <n v="6.15625"/>
  </r>
  <r>
    <s v="T205292"/>
    <s v="Punjab Kings Vs Super Kings"/>
    <s v="Punjab Kings"/>
    <x v="0"/>
    <s v="KLRahul"/>
    <s v="out"/>
    <n v="5"/>
    <n v="7"/>
    <n v="1"/>
    <n v="0"/>
    <n v="5.0289855072463769"/>
  </r>
  <r>
    <s v="T205292"/>
    <s v="Punjab Kings Vs Super Kings"/>
    <s v="Punjab Kings"/>
    <x v="1"/>
    <s v="MayankAgarwal"/>
    <s v="out"/>
    <n v="0"/>
    <n v="2"/>
    <n v="0"/>
    <n v="0"/>
    <n v="6.15625"/>
  </r>
  <r>
    <s v="T205292"/>
    <s v="Punjab Kings Vs Super Kings"/>
    <s v="Punjab Kings"/>
    <x v="2"/>
    <s v="ChrisGayle"/>
    <s v="out"/>
    <n v="10"/>
    <n v="10"/>
    <n v="2"/>
    <n v="0"/>
    <n v="4.8196721311475406"/>
  </r>
  <r>
    <s v="T205292"/>
    <s v="Punjab Kings Vs Super Kings"/>
    <s v="Punjab Kings"/>
    <x v="3"/>
    <s v="DeepakHooda"/>
    <s v="out"/>
    <n v="10"/>
    <n v="15"/>
    <n v="1"/>
    <n v="0"/>
    <n v="4.8260869565217392"/>
  </r>
  <r>
    <s v="T205292"/>
    <s v="Punjab Kings Vs Super Kings"/>
    <s v="Punjab Kings"/>
    <x v="4"/>
    <s v="NicholasPooran"/>
    <s v="out"/>
    <n v="0"/>
    <n v="2"/>
    <n v="0"/>
    <n v="0"/>
    <n v="6.15625"/>
  </r>
  <r>
    <s v="T205292"/>
    <s v="Punjab Kings Vs Super Kings"/>
    <s v="Punjab Kings"/>
    <x v="5"/>
    <s v="MShahrukhKhan"/>
    <s v="out"/>
    <n v="47"/>
    <n v="36"/>
    <n v="4"/>
    <n v="2"/>
    <n v="4.7222222222222223"/>
  </r>
  <r>
    <s v="T205292"/>
    <s v="Punjab Kings Vs Super Kings"/>
    <s v="Punjab Kings"/>
    <x v="6"/>
    <s v="JhyeRichardson"/>
    <s v="out"/>
    <n v="15"/>
    <n v="22"/>
    <n v="2"/>
    <n v="0"/>
    <n v="4.6111111111111107"/>
  </r>
  <r>
    <s v="T205292"/>
    <s v="Punjab Kings Vs Super Kings"/>
    <s v="Punjab Kings"/>
    <x v="7"/>
    <s v="MuruganAshwin"/>
    <s v="out"/>
    <n v="6"/>
    <n v="14"/>
    <n v="0"/>
    <n v="0"/>
    <n v="4.7058823529411766"/>
  </r>
  <r>
    <s v="T205292"/>
    <s v="Punjab Kings Vs Super Kings"/>
    <s v="Punjab Kings"/>
    <x v="8"/>
    <s v="MohammedShami"/>
    <s v="not_out"/>
    <n v="9"/>
    <n v="12"/>
    <n v="0"/>
    <n v="0"/>
    <n v="4.8035714285714288"/>
  </r>
  <r>
    <s v="T205292"/>
    <s v="Punjab Kings Vs Super Kings"/>
    <s v="Punjab Kings"/>
    <x v="9"/>
    <s v="RileyMeredith"/>
    <s v="not_out"/>
    <n v="0"/>
    <n v="0"/>
    <n v="0"/>
    <n v="0"/>
    <n v="6.1786941580756016"/>
  </r>
  <r>
    <s v="T205292"/>
    <s v="Punjab Kings Vs Super Kings"/>
    <s v="Super Kings"/>
    <x v="0"/>
    <s v="RuturajGaikwad"/>
    <s v="out"/>
    <n v="5"/>
    <n v="16"/>
    <n v="0"/>
    <n v="0"/>
    <n v="4.6875"/>
  </r>
  <r>
    <s v="T205292"/>
    <s v="Punjab Kings Vs Super Kings"/>
    <s v="Super Kings"/>
    <x v="1"/>
    <s v="FafduPlessis"/>
    <s v="not_out"/>
    <n v="36"/>
    <n v="33"/>
    <n v="3"/>
    <n v="1"/>
    <n v="3"/>
  </r>
  <r>
    <s v="T205292"/>
    <s v="Punjab Kings Vs Super Kings"/>
    <s v="Super Kings"/>
    <x v="2"/>
    <s v="MoeenAli"/>
    <s v="out"/>
    <n v="46"/>
    <n v="31"/>
    <n v="7"/>
    <n v="1"/>
    <n v="3.45"/>
  </r>
  <r>
    <s v="T205292"/>
    <s v="Punjab Kings Vs Super Kings"/>
    <s v="Super Kings"/>
    <x v="3"/>
    <s v="SureshRaina"/>
    <s v="out"/>
    <n v="8"/>
    <n v="9"/>
    <n v="1"/>
    <n v="0"/>
    <n v="4.7758620689655169"/>
  </r>
  <r>
    <s v="T205292"/>
    <s v="Punjab Kings Vs Super Kings"/>
    <s v="Super Kings"/>
    <x v="4"/>
    <s v="AmbatiRayudu"/>
    <s v="out"/>
    <n v="0"/>
    <n v="1"/>
    <n v="0"/>
    <n v="0"/>
    <n v="6.475609756097561"/>
  </r>
  <r>
    <s v="T205292"/>
    <s v="Punjab Kings Vs Super Kings"/>
    <s v="Super Kings"/>
    <x v="5"/>
    <s v="SamCurran"/>
    <s v="not_out"/>
    <n v="5"/>
    <n v="4"/>
    <n v="1"/>
    <n v="0"/>
    <n v="5.3902439024390247"/>
  </r>
  <r>
    <s v="T203570"/>
    <s v="Capitals Vs Royals"/>
    <s v="Capitals"/>
    <x v="0"/>
    <s v="PrithviShaw"/>
    <s v="out"/>
    <n v="2"/>
    <n v="5"/>
    <n v="0"/>
    <n v="0"/>
    <n v="5.15"/>
  </r>
  <r>
    <s v="T203570"/>
    <s v="Capitals Vs Royals"/>
    <s v="Capitals"/>
    <x v="1"/>
    <s v="ShikharDhawan"/>
    <s v="out"/>
    <n v="9"/>
    <n v="11"/>
    <n v="1"/>
    <n v="0"/>
    <n v="5.0476190476190474"/>
  </r>
  <r>
    <s v="T203570"/>
    <s v="Capitals Vs Royals"/>
    <s v="Capitals"/>
    <x v="2"/>
    <s v="AjinkyaRahane"/>
    <s v="out"/>
    <n v="8"/>
    <n v="8"/>
    <n v="1"/>
    <n v="0"/>
    <n v="4.8227848101265822"/>
  </r>
  <r>
    <s v="T203570"/>
    <s v="Capitals Vs Royals"/>
    <s v="Capitals"/>
    <x v="3"/>
    <s v="RishabhPant"/>
    <s v="out"/>
    <n v="51"/>
    <n v="32"/>
    <n v="9"/>
    <n v="0"/>
    <n v="4.3636363636363633"/>
  </r>
  <r>
    <s v="T203570"/>
    <s v="Capitals Vs Royals"/>
    <s v="Capitals"/>
    <x v="4"/>
    <s v="MarcusStoinis"/>
    <s v="out"/>
    <n v="0"/>
    <n v="5"/>
    <n v="0"/>
    <n v="0"/>
    <n v="5.15"/>
  </r>
  <r>
    <s v="T203570"/>
    <s v="Capitals Vs Royals"/>
    <s v="Capitals"/>
    <x v="5"/>
    <s v="LalitYadav"/>
    <s v="out"/>
    <n v="20"/>
    <n v="24"/>
    <n v="3"/>
    <n v="0"/>
    <n v="4.208333333333333"/>
  </r>
  <r>
    <s v="T203570"/>
    <s v="Capitals Vs Royals"/>
    <s v="Capitals"/>
    <x v="6"/>
    <s v="TomCurran"/>
    <s v="out"/>
    <n v="21"/>
    <n v="16"/>
    <n v="2"/>
    <n v="0"/>
    <n v="4.6875"/>
  </r>
  <r>
    <s v="T203570"/>
    <s v="Capitals Vs Royals"/>
    <s v="Capitals"/>
    <x v="7"/>
    <s v="ChrisWoakes"/>
    <s v="not_out"/>
    <n v="15"/>
    <n v="11"/>
    <n v="2"/>
    <n v="0"/>
    <n v="5.0476190476190474"/>
  </r>
  <r>
    <s v="T203570"/>
    <s v="Capitals Vs Royals"/>
    <s v="Capitals"/>
    <x v="8"/>
    <s v="RavichandranAshwin"/>
    <s v="out"/>
    <n v="7"/>
    <n v="4"/>
    <n v="1"/>
    <n v="0"/>
    <n v="5.3902439024390247"/>
  </r>
  <r>
    <s v="T203570"/>
    <s v="Capitals Vs Royals"/>
    <s v="Capitals"/>
    <x v="9"/>
    <s v="KagisoRabada"/>
    <s v="not_out"/>
    <n v="9"/>
    <n v="4"/>
    <n v="1"/>
    <n v="0"/>
    <n v="5.3902439024390247"/>
  </r>
  <r>
    <s v="T203570"/>
    <s v="Capitals Vs Royals"/>
    <s v="Royals"/>
    <x v="0"/>
    <s v="JosButtler"/>
    <s v="out"/>
    <n v="2"/>
    <n v="7"/>
    <n v="0"/>
    <n v="0"/>
    <n v="4.9705882352941178"/>
  </r>
  <r>
    <s v="T203570"/>
    <s v="Capitals Vs Royals"/>
    <s v="Royals"/>
    <x v="1"/>
    <s v="MananVohra"/>
    <s v="out"/>
    <n v="9"/>
    <n v="11"/>
    <n v="2"/>
    <n v="0"/>
    <n v="5.0476190476190474"/>
  </r>
  <r>
    <s v="T203570"/>
    <s v="Capitals Vs Royals"/>
    <s v="Royals"/>
    <x v="2"/>
    <s v="SanjuSamson"/>
    <s v="out"/>
    <n v="4"/>
    <n v="3"/>
    <n v="1"/>
    <n v="0"/>
    <n v="5.5365853658536581"/>
  </r>
  <r>
    <s v="T203570"/>
    <s v="Capitals Vs Royals"/>
    <s v="Royals"/>
    <x v="3"/>
    <s v="ShivamDube"/>
    <s v="out"/>
    <n v="2"/>
    <n v="7"/>
    <n v="0"/>
    <n v="0"/>
    <n v="4.9705882352941178"/>
  </r>
  <r>
    <s v="T203570"/>
    <s v="Capitals Vs Royals"/>
    <s v="Royals"/>
    <x v="4"/>
    <s v="DavidMiller"/>
    <s v="out"/>
    <n v="62"/>
    <n v="43"/>
    <n v="7"/>
    <n v="2"/>
    <n v="3.0526315789473686"/>
  </r>
  <r>
    <s v="T203570"/>
    <s v="Capitals Vs Royals"/>
    <s v="Royals"/>
    <x v="5"/>
    <s v="RiyanParag"/>
    <s v="out"/>
    <n v="2"/>
    <n v="5"/>
    <n v="0"/>
    <n v="0"/>
    <n v="5.15"/>
  </r>
  <r>
    <s v="T203570"/>
    <s v="Capitals Vs Royals"/>
    <s v="Royals"/>
    <x v="6"/>
    <s v="RahulTewatia"/>
    <s v="out"/>
    <n v="19"/>
    <n v="17"/>
    <n v="2"/>
    <n v="0"/>
    <n v="4.9189189189189193"/>
  </r>
  <r>
    <s v="T203570"/>
    <s v="Capitals Vs Royals"/>
    <s v="Royals"/>
    <x v="7"/>
    <s v="ChrisMorris"/>
    <s v="not_out"/>
    <n v="36"/>
    <n v="18"/>
    <n v="0"/>
    <n v="4"/>
    <n v="4.5882352941176467"/>
  </r>
  <r>
    <s v="T203570"/>
    <s v="Capitals Vs Royals"/>
    <s v="Royals"/>
    <x v="8"/>
    <s v="JaydevUnadkat"/>
    <s v="not_out"/>
    <n v="11"/>
    <n v="7"/>
    <n v="0"/>
    <n v="1"/>
    <n v="4.9705882352941178"/>
  </r>
  <r>
    <s v="T202204"/>
    <s v="RCB Vs Sunrisers"/>
    <s v="RCB"/>
    <x v="0"/>
    <s v="ViratKohli"/>
    <s v="out"/>
    <n v="33"/>
    <n v="29"/>
    <n v="4"/>
    <n v="0"/>
    <n v="4"/>
  </r>
  <r>
    <s v="T202204"/>
    <s v="RCB Vs Sunrisers"/>
    <s v="RCB"/>
    <x v="1"/>
    <s v="DevduttPadikkal"/>
    <s v="out"/>
    <n v="11"/>
    <n v="13"/>
    <n v="2"/>
    <n v="0"/>
    <n v="5.04"/>
  </r>
  <r>
    <s v="T202204"/>
    <s v="RCB Vs Sunrisers"/>
    <s v="RCB"/>
    <x v="2"/>
    <s v="ShahbazAhmed"/>
    <s v="out"/>
    <n v="14"/>
    <n v="10"/>
    <n v="0"/>
    <n v="1"/>
    <n v="4.8644067796610173"/>
  </r>
  <r>
    <s v="T202204"/>
    <s v="RCB Vs Sunrisers"/>
    <s v="RCB"/>
    <x v="3"/>
    <s v="GlennMaxwell"/>
    <s v="out"/>
    <n v="59"/>
    <n v="41"/>
    <n v="5"/>
    <n v="3"/>
    <n v="3.4117647058823528"/>
  </r>
  <r>
    <s v="T202204"/>
    <s v="RCB Vs Sunrisers"/>
    <s v="RCB"/>
    <x v="4"/>
    <s v="ABdeVilliers"/>
    <s v="out"/>
    <n v="1"/>
    <n v="5"/>
    <n v="0"/>
    <n v="0"/>
    <n v="5.15"/>
  </r>
  <r>
    <s v="T202204"/>
    <s v="RCB Vs Sunrisers"/>
    <s v="RCB"/>
    <x v="5"/>
    <s v="WashingtonSundar"/>
    <s v="out"/>
    <n v="8"/>
    <n v="11"/>
    <n v="1"/>
    <n v="0"/>
    <n v="5.0250000000000004"/>
  </r>
  <r>
    <s v="T202204"/>
    <s v="RCB Vs Sunrisers"/>
    <s v="RCB"/>
    <x v="6"/>
    <s v="DanChristian"/>
    <s v="out"/>
    <n v="1"/>
    <n v="2"/>
    <n v="0"/>
    <n v="0"/>
    <n v="6.258064516129032"/>
  </r>
  <r>
    <s v="T202204"/>
    <s v="RCB Vs Sunrisers"/>
    <s v="RCB"/>
    <x v="7"/>
    <s v="KyleJamieson"/>
    <s v="out"/>
    <n v="12"/>
    <n v="9"/>
    <n v="2"/>
    <n v="0"/>
    <n v="4.7818181818181822"/>
  </r>
  <r>
    <s v="T202204"/>
    <s v="RCB Vs Sunrisers"/>
    <s v="RCB"/>
    <x v="8"/>
    <s v="HarshalPatel"/>
    <s v="not_out"/>
    <n v="0"/>
    <n v="0"/>
    <n v="0"/>
    <n v="0"/>
    <n v="6.1736111111111107"/>
  </r>
  <r>
    <s v="T202204"/>
    <s v="RCB Vs Sunrisers"/>
    <s v="Sunrisers"/>
    <x v="0"/>
    <s v="WriddhimanSaha"/>
    <s v="out"/>
    <n v="1"/>
    <n v="9"/>
    <n v="0"/>
    <n v="0"/>
    <n v="4.7818181818181822"/>
  </r>
  <r>
    <s v="T202204"/>
    <s v="RCB Vs Sunrisers"/>
    <s v="Sunrisers"/>
    <x v="1"/>
    <s v="DavidWarner"/>
    <s v="out"/>
    <n v="54"/>
    <n v="37"/>
    <n v="7"/>
    <n v="1"/>
    <n v="3.4285714285714284"/>
  </r>
  <r>
    <s v="T202204"/>
    <s v="RCB Vs Sunrisers"/>
    <s v="Sunrisers"/>
    <x v="2"/>
    <s v="ManishPandey"/>
    <s v="out"/>
    <n v="38"/>
    <n v="39"/>
    <n v="2"/>
    <n v="2"/>
    <n v="2.9411764705882355"/>
  </r>
  <r>
    <s v="T202204"/>
    <s v="RCB Vs Sunrisers"/>
    <s v="Sunrisers"/>
    <x v="3"/>
    <s v="JonnyBairstow"/>
    <s v="out"/>
    <n v="12"/>
    <n v="13"/>
    <n v="1"/>
    <n v="0"/>
    <n v="5.04"/>
  </r>
  <r>
    <s v="T202204"/>
    <s v="RCB Vs Sunrisers"/>
    <s v="Sunrisers"/>
    <x v="4"/>
    <s v="AbdulSamad"/>
    <s v="out"/>
    <n v="0"/>
    <n v="2"/>
    <n v="0"/>
    <n v="0"/>
    <n v="6.258064516129032"/>
  </r>
  <r>
    <s v="T202204"/>
    <s v="RCB Vs Sunrisers"/>
    <s v="Sunrisers"/>
    <x v="5"/>
    <s v="VijayShankar"/>
    <s v="out"/>
    <n v="3"/>
    <n v="5"/>
    <n v="0"/>
    <n v="0"/>
    <n v="5.15"/>
  </r>
  <r>
    <s v="T202204"/>
    <s v="RCB Vs Sunrisers"/>
    <s v="Sunrisers"/>
    <x v="6"/>
    <s v="JasonHolder"/>
    <s v="out"/>
    <n v="4"/>
    <n v="5"/>
    <n v="0"/>
    <n v="0"/>
    <n v="5.15"/>
  </r>
  <r>
    <s v="T202204"/>
    <s v="RCB Vs Sunrisers"/>
    <s v="Sunrisers"/>
    <x v="7"/>
    <s v="RashidKhan"/>
    <s v="out"/>
    <n v="17"/>
    <n v="9"/>
    <n v="1"/>
    <n v="1"/>
    <n v="4.7818181818181822"/>
  </r>
  <r>
    <s v="T202204"/>
    <s v="RCB Vs Sunrisers"/>
    <s v="Sunrisers"/>
    <x v="8"/>
    <s v="BhuvneshwarKumar"/>
    <s v="not_out"/>
    <n v="2"/>
    <n v="2"/>
    <n v="0"/>
    <n v="0"/>
    <n v="6.258064516129032"/>
  </r>
  <r>
    <s v="T202204"/>
    <s v="RCB Vs Sunrisers"/>
    <s v="Sunrisers"/>
    <x v="9"/>
    <s v="ShahbazNadeem"/>
    <s v="out"/>
    <n v="0"/>
    <n v="1"/>
    <n v="0"/>
    <n v="0"/>
    <n v="6.5155279503105588"/>
  </r>
  <r>
    <s v="T202204"/>
    <s v="RCB Vs Sunrisers"/>
    <s v="Sunrisers"/>
    <x v="10"/>
    <s v="TNatarajan"/>
    <s v="not_out"/>
    <n v="0"/>
    <n v="0"/>
    <n v="0"/>
    <n v="0"/>
    <n v="6.1543859649122803"/>
  </r>
  <r>
    <s v="T209194"/>
    <s v="Mumbai Vs KKR"/>
    <s v="Mumbai"/>
    <x v="0"/>
    <s v="RohitSharma"/>
    <s v="out"/>
    <n v="43"/>
    <n v="32"/>
    <n v="3"/>
    <n v="1"/>
    <n v="4.3636363636363633"/>
  </r>
  <r>
    <s v="T209194"/>
    <s v="Mumbai Vs KKR"/>
    <s v="Mumbai"/>
    <x v="1"/>
    <s v="QuintondeKock"/>
    <s v="out"/>
    <n v="2"/>
    <n v="6"/>
    <n v="0"/>
    <n v="0"/>
    <n v="5.4857142857142858"/>
  </r>
  <r>
    <s v="T209194"/>
    <s v="Mumbai Vs KKR"/>
    <s v="Mumbai"/>
    <x v="2"/>
    <s v="SuryakumarYadav"/>
    <s v="out"/>
    <n v="56"/>
    <n v="36"/>
    <n v="7"/>
    <n v="2"/>
    <n v="4.6875"/>
  </r>
  <r>
    <s v="T209194"/>
    <s v="Mumbai Vs KKR"/>
    <s v="Mumbai"/>
    <x v="3"/>
    <s v="IshanKishan"/>
    <s v="out"/>
    <n v="1"/>
    <n v="3"/>
    <n v="0"/>
    <n v="0"/>
    <n v="5.5308641975308639"/>
  </r>
  <r>
    <s v="T209194"/>
    <s v="Mumbai Vs KKR"/>
    <s v="Mumbai"/>
    <x v="4"/>
    <s v="HardikPandya"/>
    <s v="out"/>
    <n v="15"/>
    <n v="17"/>
    <n v="2"/>
    <n v="0"/>
    <n v="4.833333333333333"/>
  </r>
  <r>
    <s v="T209194"/>
    <s v="Mumbai Vs KKR"/>
    <s v="Mumbai"/>
    <x v="5"/>
    <s v="KieronPollard"/>
    <s v="out"/>
    <n v="5"/>
    <n v="8"/>
    <n v="1"/>
    <n v="0"/>
    <n v="4.8311688311688314"/>
  </r>
  <r>
    <s v="T209194"/>
    <s v="Mumbai Vs KKR"/>
    <s v="Mumbai"/>
    <x v="6"/>
    <s v="KrunalPandya"/>
    <s v="out"/>
    <n v="15"/>
    <n v="9"/>
    <n v="3"/>
    <n v="0"/>
    <n v="4.7818181818181822"/>
  </r>
  <r>
    <s v="T209194"/>
    <s v="Mumbai Vs KKR"/>
    <s v="Mumbai"/>
    <x v="7"/>
    <s v="MarcoJansen"/>
    <s v="out"/>
    <n v="0"/>
    <n v="1"/>
    <n v="0"/>
    <n v="0"/>
    <n v="6.53125"/>
  </r>
  <r>
    <s v="T209194"/>
    <s v="Mumbai Vs KKR"/>
    <s v="Mumbai"/>
    <x v="8"/>
    <s v="RahulChahar"/>
    <s v="out"/>
    <n v="8"/>
    <n v="7"/>
    <n v="0"/>
    <n v="0"/>
    <n v="4.9705882352941178"/>
  </r>
  <r>
    <s v="T209194"/>
    <s v="Mumbai Vs KKR"/>
    <s v="Mumbai"/>
    <x v="9"/>
    <s v="JaspritBumrah"/>
    <s v="out"/>
    <n v="0"/>
    <n v="1"/>
    <n v="0"/>
    <n v="0"/>
    <n v="6.53125"/>
  </r>
  <r>
    <s v="T209194"/>
    <s v="Mumbai Vs KKR"/>
    <s v="Mumbai"/>
    <x v="10"/>
    <s v="TrentBoult"/>
    <s v="not_out"/>
    <n v="0"/>
    <n v="0"/>
    <n v="0"/>
    <n v="0"/>
    <n v="6.1170212765957448"/>
  </r>
  <r>
    <s v="T209194"/>
    <s v="Mumbai Vs KKR"/>
    <s v="KKR"/>
    <x v="0"/>
    <s v="NitishRana"/>
    <s v="out"/>
    <n v="57"/>
    <n v="47"/>
    <n v="6"/>
    <n v="2"/>
    <n v="2.1818181818181817"/>
  </r>
  <r>
    <s v="T209194"/>
    <s v="Mumbai Vs KKR"/>
    <s v="KKR"/>
    <x v="1"/>
    <s v="ShubmanGill"/>
    <s v="out"/>
    <n v="33"/>
    <n v="24"/>
    <n v="5"/>
    <n v="1"/>
    <n v="4.208333333333333"/>
  </r>
  <r>
    <s v="T209194"/>
    <s v="Mumbai Vs KKR"/>
    <s v="KKR"/>
    <x v="2"/>
    <s v="RahulTripathi"/>
    <s v="out"/>
    <n v="5"/>
    <n v="5"/>
    <n v="0"/>
    <n v="0"/>
    <n v="5.1392405063291138"/>
  </r>
  <r>
    <s v="T209194"/>
    <s v="Mumbai Vs KKR"/>
    <s v="KKR"/>
    <x v="3"/>
    <s v="EoinMorgan"/>
    <s v="out"/>
    <n v="7"/>
    <n v="7"/>
    <n v="1"/>
    <n v="0"/>
    <n v="4.9705882352941178"/>
  </r>
  <r>
    <s v="T209194"/>
    <s v="Mumbai Vs KKR"/>
    <s v="KKR"/>
    <x v="4"/>
    <s v="ShakibAlHasan"/>
    <s v="out"/>
    <n v="9"/>
    <n v="9"/>
    <n v="1"/>
    <n v="0"/>
    <n v="4.7818181818181822"/>
  </r>
  <r>
    <s v="T209194"/>
    <s v="Mumbai Vs KKR"/>
    <s v="KKR"/>
    <x v="5"/>
    <s v="DineshKarthik"/>
    <s v="not_out"/>
    <n v="8"/>
    <n v="11"/>
    <n v="0"/>
    <n v="0"/>
    <n v="5.0250000000000004"/>
  </r>
  <r>
    <s v="T209194"/>
    <s v="Mumbai Vs KKR"/>
    <s v="KKR"/>
    <x v="6"/>
    <s v="AndreRussell"/>
    <s v="out"/>
    <n v="9"/>
    <n v="15"/>
    <n v="1"/>
    <n v="0"/>
    <n v="4.6428571428571432"/>
  </r>
  <r>
    <s v="T209194"/>
    <s v="Mumbai Vs KKR"/>
    <s v="KKR"/>
    <x v="7"/>
    <s v="PatCummins"/>
    <s v="out"/>
    <n v="0"/>
    <n v="1"/>
    <n v="0"/>
    <n v="0"/>
    <n v="6.53125"/>
  </r>
  <r>
    <s v="T209194"/>
    <s v="Mumbai Vs KKR"/>
    <s v="KKR"/>
    <x v="8"/>
    <s v="HarbhajanSingh"/>
    <s v="not_out"/>
    <n v="2"/>
    <n v="2"/>
    <n v="0"/>
    <n v="0"/>
    <n v="6.2704918032786887"/>
  </r>
  <r>
    <s v="T207896"/>
    <s v="Punjab Kings Vs Royals"/>
    <s v="Punjab Kings"/>
    <x v="0"/>
    <s v="KLRahul"/>
    <s v="out"/>
    <n v="91"/>
    <n v="50"/>
    <n v="7"/>
    <n v="5"/>
    <n v="3"/>
  </r>
  <r>
    <s v="T207896"/>
    <s v="Punjab Kings Vs Royals"/>
    <s v="Punjab Kings"/>
    <x v="1"/>
    <s v="MayankAgarwal"/>
    <s v="out"/>
    <n v="14"/>
    <n v="9"/>
    <n v="2"/>
    <n v="0"/>
    <n v="4.7358490566037732"/>
  </r>
  <r>
    <s v="T207896"/>
    <s v="Punjab Kings Vs Royals"/>
    <s v="Punjab Kings"/>
    <x v="2"/>
    <s v="ChrisGayle"/>
    <s v="out"/>
    <n v="40"/>
    <n v="28"/>
    <n v="4"/>
    <n v="2"/>
    <n v="3.44"/>
  </r>
  <r>
    <s v="T207896"/>
    <s v="Punjab Kings Vs Royals"/>
    <s v="Punjab Kings"/>
    <x v="3"/>
    <s v="DeepakHooda"/>
    <s v="out"/>
    <n v="64"/>
    <n v="28"/>
    <n v="4"/>
    <n v="6"/>
    <n v="3.44"/>
  </r>
  <r>
    <s v="T207896"/>
    <s v="Punjab Kings Vs Royals"/>
    <s v="Punjab Kings"/>
    <x v="4"/>
    <s v="NicholasPooran"/>
    <s v="out"/>
    <n v="0"/>
    <n v="1"/>
    <n v="0"/>
    <n v="0"/>
    <n v="6.53125"/>
  </r>
  <r>
    <s v="T207896"/>
    <s v="Punjab Kings Vs Royals"/>
    <s v="Punjab Kings"/>
    <x v="5"/>
    <s v="MShahrukhKhan"/>
    <s v="not_out"/>
    <n v="6"/>
    <n v="4"/>
    <n v="1"/>
    <n v="0"/>
    <n v="5.4"/>
  </r>
  <r>
    <s v="T207896"/>
    <s v="Punjab Kings Vs Royals"/>
    <s v="Punjab Kings"/>
    <x v="6"/>
    <s v="JhyeRichardson"/>
    <s v="out"/>
    <n v="0"/>
    <n v="2"/>
    <n v="0"/>
    <n v="0"/>
    <n v="6.2479338842975203"/>
  </r>
  <r>
    <s v="T207896"/>
    <s v="Punjab Kings Vs Royals"/>
    <s v="Royals"/>
    <x v="0"/>
    <s v="BenStokes"/>
    <s v="out"/>
    <n v="0"/>
    <n v="3"/>
    <n v="0"/>
    <n v="0"/>
    <n v="5.5308641975308639"/>
  </r>
  <r>
    <s v="T207896"/>
    <s v="Punjab Kings Vs Royals"/>
    <s v="Royals"/>
    <x v="1"/>
    <s v="MananVohra"/>
    <s v="out"/>
    <n v="12"/>
    <n v="8"/>
    <n v="1"/>
    <n v="1"/>
    <n v="4.76"/>
  </r>
  <r>
    <s v="T207896"/>
    <s v="Punjab Kings Vs Royals"/>
    <s v="Royals"/>
    <x v="2"/>
    <s v="SanjuSamson"/>
    <s v="out"/>
    <n v="119"/>
    <n v="63"/>
    <n v="12"/>
    <n v="7"/>
    <n v="3"/>
  </r>
  <r>
    <s v="T207896"/>
    <s v="Punjab Kings Vs Royals"/>
    <s v="Royals"/>
    <x v="3"/>
    <s v="JosButtler"/>
    <s v="out"/>
    <n v="25"/>
    <n v="13"/>
    <n v="5"/>
    <n v="0"/>
    <n v="5.04"/>
  </r>
  <r>
    <s v="T207896"/>
    <s v="Punjab Kings Vs Royals"/>
    <s v="Royals"/>
    <x v="4"/>
    <s v="ShivamDube"/>
    <s v="out"/>
    <n v="23"/>
    <n v="15"/>
    <n v="3"/>
    <n v="0"/>
    <n v="4.6428571428571432"/>
  </r>
  <r>
    <s v="T207896"/>
    <s v="Punjab Kings Vs Royals"/>
    <s v="Royals"/>
    <x v="5"/>
    <s v="RiyanParag"/>
    <s v="out"/>
    <n v="25"/>
    <n v="11"/>
    <n v="1"/>
    <n v="3"/>
    <n v="5.0250000000000004"/>
  </r>
  <r>
    <s v="T207896"/>
    <s v="Punjab Kings Vs Royals"/>
    <s v="Royals"/>
    <x v="6"/>
    <s v="RahulTewatia"/>
    <s v="out"/>
    <n v="2"/>
    <n v="4"/>
    <n v="0"/>
    <n v="0"/>
    <n v="5.4"/>
  </r>
  <r>
    <s v="T207896"/>
    <s v="Punjab Kings Vs Royals"/>
    <s v="Royals"/>
    <x v="7"/>
    <s v="ChrisMorris"/>
    <s v="not_out"/>
    <n v="2"/>
    <n v="4"/>
    <n v="0"/>
    <n v="0"/>
    <n v="5.4"/>
  </r>
  <r>
    <s v="T209178"/>
    <s v="KKR Vs Sunrisers"/>
    <s v="KKR"/>
    <x v="0"/>
    <s v="NitishRana"/>
    <s v="out"/>
    <n v="80"/>
    <n v="56"/>
    <n v="9"/>
    <n v="4"/>
    <n v="3.1818181818181817"/>
  </r>
  <r>
    <s v="T209178"/>
    <s v="KKR Vs Sunrisers"/>
    <s v="KKR"/>
    <x v="1"/>
    <s v="ShubmanGill"/>
    <s v="out"/>
    <n v="15"/>
    <n v="13"/>
    <n v="1"/>
    <n v="1"/>
    <n v="5.04"/>
  </r>
  <r>
    <s v="T209178"/>
    <s v="KKR Vs Sunrisers"/>
    <s v="KKR"/>
    <x v="2"/>
    <s v="RahulTripathi"/>
    <s v="out"/>
    <n v="53"/>
    <n v="29"/>
    <n v="5"/>
    <n v="2"/>
    <n v="4"/>
  </r>
  <r>
    <s v="T209178"/>
    <s v="KKR Vs Sunrisers"/>
    <s v="KKR"/>
    <x v="3"/>
    <s v="AndreRussell"/>
    <s v="out"/>
    <n v="5"/>
    <n v="5"/>
    <n v="1"/>
    <n v="0"/>
    <n v="5.166666666666667"/>
  </r>
  <r>
    <s v="T209178"/>
    <s v="KKR Vs Sunrisers"/>
    <s v="KKR"/>
    <x v="4"/>
    <s v="EoinMorgan"/>
    <s v="out"/>
    <n v="2"/>
    <n v="3"/>
    <n v="0"/>
    <n v="0"/>
    <n v="5.5308641975308639"/>
  </r>
  <r>
    <s v="T209178"/>
    <s v="KKR Vs Sunrisers"/>
    <s v="KKR"/>
    <x v="5"/>
    <s v="DineshKarthik"/>
    <s v="not_out"/>
    <n v="22"/>
    <n v="9"/>
    <n v="2"/>
    <n v="1"/>
    <n v="4.7358490566037732"/>
  </r>
  <r>
    <s v="T209178"/>
    <s v="KKR Vs Sunrisers"/>
    <s v="KKR"/>
    <x v="6"/>
    <s v="ShakibAlHasan"/>
    <s v="out"/>
    <n v="3"/>
    <n v="5"/>
    <n v="0"/>
    <n v="0"/>
    <n v="5.1818181818181817"/>
  </r>
  <r>
    <s v="T209178"/>
    <s v="KKR Vs Sunrisers"/>
    <s v="Sunrisers"/>
    <x v="0"/>
    <s v="WriddhimanSaha"/>
    <s v="out"/>
    <n v="7"/>
    <n v="6"/>
    <n v="0"/>
    <n v="1"/>
    <n v="5.4782608695652177"/>
  </r>
  <r>
    <s v="T209178"/>
    <s v="KKR Vs Sunrisers"/>
    <s v="Sunrisers"/>
    <x v="1"/>
    <s v="DavidWarner"/>
    <s v="out"/>
    <n v="3"/>
    <n v="4"/>
    <n v="0"/>
    <n v="0"/>
    <n v="5.4"/>
  </r>
  <r>
    <s v="T209178"/>
    <s v="KKR Vs Sunrisers"/>
    <s v="Sunrisers"/>
    <x v="2"/>
    <s v="ManishPandey"/>
    <s v="not_out"/>
    <n v="61"/>
    <n v="44"/>
    <n v="2"/>
    <n v="3"/>
    <n v="3.5333333333333332"/>
  </r>
  <r>
    <s v="T209178"/>
    <s v="KKR Vs Sunrisers"/>
    <s v="Sunrisers"/>
    <x v="3"/>
    <s v="JonnyBairstow"/>
    <s v="out"/>
    <n v="55"/>
    <n v="40"/>
    <n v="5"/>
    <n v="3"/>
    <n v="4.2105263157894735"/>
  </r>
  <r>
    <s v="T209178"/>
    <s v="KKR Vs Sunrisers"/>
    <s v="Sunrisers"/>
    <x v="4"/>
    <s v="MohammadNabi"/>
    <s v="out"/>
    <n v="14"/>
    <n v="11"/>
    <n v="2"/>
    <n v="0"/>
    <n v="5.0250000000000004"/>
  </r>
  <r>
    <s v="T209178"/>
    <s v="KKR Vs Sunrisers"/>
    <s v="Sunrisers"/>
    <x v="5"/>
    <s v="VijayShankar"/>
    <s v="out"/>
    <n v="11"/>
    <n v="7"/>
    <n v="0"/>
    <n v="1"/>
    <n v="5.0454545454545459"/>
  </r>
  <r>
    <s v="T209178"/>
    <s v="KKR Vs Sunrisers"/>
    <s v="Sunrisers"/>
    <x v="6"/>
    <s v="AbdulSamad"/>
    <s v="not_out"/>
    <n v="19"/>
    <n v="8"/>
    <n v="0"/>
    <n v="2"/>
    <n v="4.76"/>
  </r>
  <r>
    <s v="T206363"/>
    <s v="Super Kings Vs Capitals"/>
    <s v="Super Kings"/>
    <x v="0"/>
    <s v="RuturajGaikwad"/>
    <s v="out"/>
    <n v="5"/>
    <n v="8"/>
    <n v="1"/>
    <n v="0"/>
    <n v="4.76"/>
  </r>
  <r>
    <s v="T206363"/>
    <s v="Super Kings Vs Capitals"/>
    <s v="Super Kings"/>
    <x v="1"/>
    <s v="FafduPlessis"/>
    <s v="out"/>
    <n v="0"/>
    <n v="3"/>
    <n v="0"/>
    <n v="0"/>
    <n v="5.556962025316456"/>
  </r>
  <r>
    <s v="T206363"/>
    <s v="Super Kings Vs Capitals"/>
    <s v="Super Kings"/>
    <x v="2"/>
    <s v="MoeenAli"/>
    <s v="out"/>
    <n v="36"/>
    <n v="24"/>
    <n v="4"/>
    <n v="2"/>
    <n v="4.208333333333333"/>
  </r>
  <r>
    <s v="T206363"/>
    <s v="Super Kings Vs Capitals"/>
    <s v="Super Kings"/>
    <x v="3"/>
    <s v="SureshRaina"/>
    <s v="out"/>
    <n v="54"/>
    <n v="36"/>
    <n v="3"/>
    <n v="4"/>
    <n v="4.8"/>
  </r>
  <r>
    <s v="T206363"/>
    <s v="Super Kings Vs Capitals"/>
    <s v="Super Kings"/>
    <x v="4"/>
    <s v="AmbatiRayudu"/>
    <s v="out"/>
    <n v="23"/>
    <n v="16"/>
    <n v="1"/>
    <n v="2"/>
    <n v="4.6875"/>
  </r>
  <r>
    <s v="T206363"/>
    <s v="Super Kings Vs Capitals"/>
    <s v="Super Kings"/>
    <x v="5"/>
    <s v="RavindraJadeja"/>
    <s v="not_out"/>
    <n v="26"/>
    <n v="17"/>
    <n v="3"/>
    <n v="0"/>
    <n v="4.833333333333333"/>
  </r>
  <r>
    <s v="T206363"/>
    <s v="Super Kings Vs Capitals"/>
    <s v="Super Kings"/>
    <x v="6"/>
    <s v="MSDhoni"/>
    <s v="out"/>
    <n v="0"/>
    <n v="2"/>
    <n v="0"/>
    <n v="0"/>
    <n v="6.2372881355932206"/>
  </r>
  <r>
    <s v="T206363"/>
    <s v="Super Kings Vs Capitals"/>
    <s v="Super Kings"/>
    <x v="7"/>
    <s v="SamCurran"/>
    <s v="out"/>
    <n v="34"/>
    <n v="15"/>
    <n v="4"/>
    <n v="2"/>
    <n v="4.7073170731707314"/>
  </r>
  <r>
    <s v="T206363"/>
    <s v="Super Kings Vs Capitals"/>
    <s v="Capitals"/>
    <x v="0"/>
    <s v="PrithviShaw"/>
    <s v="out"/>
    <n v="72"/>
    <n v="38"/>
    <n v="9"/>
    <n v="3"/>
    <n v="4.2"/>
  </r>
  <r>
    <s v="T206363"/>
    <s v="Super Kings Vs Capitals"/>
    <s v="Capitals"/>
    <x v="1"/>
    <s v="ShikharDhawan"/>
    <s v="out"/>
    <n v="85"/>
    <n v="54"/>
    <n v="10"/>
    <n v="2"/>
    <n v="2.7777777777777777"/>
  </r>
  <r>
    <s v="T206363"/>
    <s v="Super Kings Vs Capitals"/>
    <s v="Capitals"/>
    <x v="2"/>
    <s v="RishabhPant"/>
    <s v="not_out"/>
    <n v="15"/>
    <n v="12"/>
    <n v="2"/>
    <n v="0"/>
    <n v="4.8113207547169807"/>
  </r>
  <r>
    <s v="T206363"/>
    <s v="Super Kings Vs Capitals"/>
    <s v="Capitals"/>
    <x v="3"/>
    <s v="MarcusStoinis"/>
    <s v="out"/>
    <n v="14"/>
    <n v="9"/>
    <n v="3"/>
    <n v="0"/>
    <n v="4.7358490566037732"/>
  </r>
  <r>
    <s v="T206363"/>
    <s v="Super Kings Vs Capitals"/>
    <s v="Capitals"/>
    <x v="4"/>
    <s v="ShimronHetmyer"/>
    <s v="not_out"/>
    <n v="0"/>
    <n v="0"/>
    <n v="0"/>
    <n v="0"/>
    <n v="6.123636363636364"/>
  </r>
  <r>
    <s v="T203784"/>
    <s v="Mumbai Vs RCB"/>
    <s v="Mumbai"/>
    <x v="0"/>
    <s v="RohitSharma"/>
    <s v="out"/>
    <n v="19"/>
    <n v="15"/>
    <n v="1"/>
    <n v="1"/>
    <n v="4.75"/>
  </r>
  <r>
    <s v="T203784"/>
    <s v="Mumbai Vs RCB"/>
    <s v="Mumbai"/>
    <x v="1"/>
    <s v="ChrisLynn"/>
    <s v="out"/>
    <n v="49"/>
    <n v="35"/>
    <n v="4"/>
    <n v="3"/>
    <n v="3.6666666666666665"/>
  </r>
  <r>
    <s v="T203784"/>
    <s v="Mumbai Vs RCB"/>
    <s v="Mumbai"/>
    <x v="2"/>
    <s v="SuryakumarYadav"/>
    <s v="out"/>
    <n v="31"/>
    <n v="23"/>
    <n v="4"/>
    <n v="1"/>
    <n v="5.0357142857142856"/>
  </r>
  <r>
    <s v="T203784"/>
    <s v="Mumbai Vs RCB"/>
    <s v="Mumbai"/>
    <x v="3"/>
    <s v="IshanKishan"/>
    <s v="out"/>
    <n v="28"/>
    <n v="19"/>
    <n v="2"/>
    <n v="1"/>
    <n v="4.7317073170731705"/>
  </r>
  <r>
    <s v="T203784"/>
    <s v="Mumbai Vs RCB"/>
    <s v="Mumbai"/>
    <x v="4"/>
    <s v="HardikPandya"/>
    <s v="out"/>
    <n v="13"/>
    <n v="10"/>
    <n v="2"/>
    <n v="0"/>
    <n v="4.8644067796610173"/>
  </r>
  <r>
    <s v="T203784"/>
    <s v="Mumbai Vs RCB"/>
    <s v="Mumbai"/>
    <x v="5"/>
    <s v="KieronPollard"/>
    <s v="out"/>
    <n v="7"/>
    <n v="9"/>
    <n v="1"/>
    <n v="0"/>
    <n v="4.7358490566037732"/>
  </r>
  <r>
    <s v="T203784"/>
    <s v="Mumbai Vs RCB"/>
    <s v="Mumbai"/>
    <x v="6"/>
    <s v="KrunalPandya"/>
    <s v="out"/>
    <n v="7"/>
    <n v="7"/>
    <n v="1"/>
    <n v="0"/>
    <n v="5.0307692307692307"/>
  </r>
  <r>
    <s v="T203784"/>
    <s v="Mumbai Vs RCB"/>
    <s v="Mumbai"/>
    <x v="7"/>
    <s v="MarcoJansen"/>
    <s v="out"/>
    <n v="0"/>
    <n v="2"/>
    <n v="0"/>
    <n v="0"/>
    <n v="6.2372881355932206"/>
  </r>
  <r>
    <s v="T203784"/>
    <s v="Mumbai Vs RCB"/>
    <s v="Mumbai"/>
    <x v="8"/>
    <s v="RahulChahar"/>
    <s v="out"/>
    <n v="0"/>
    <n v="0"/>
    <n v="0"/>
    <n v="0"/>
    <n v="6.1208791208791204"/>
  </r>
  <r>
    <s v="T203784"/>
    <s v="Mumbai Vs RCB"/>
    <s v="Mumbai"/>
    <x v="9"/>
    <s v="JaspritBumrah"/>
    <s v="not_out"/>
    <n v="1"/>
    <n v="2"/>
    <n v="0"/>
    <n v="0"/>
    <n v="6.2372881355932206"/>
  </r>
  <r>
    <s v="T203784"/>
    <s v="Mumbai Vs RCB"/>
    <s v="RCB"/>
    <x v="0"/>
    <s v="WashingtonSundar"/>
    <s v="out"/>
    <n v="10"/>
    <n v="16"/>
    <n v="0"/>
    <n v="0"/>
    <n v="4.6875"/>
  </r>
  <r>
    <s v="T203784"/>
    <s v="Mumbai Vs RCB"/>
    <s v="RCB"/>
    <x v="1"/>
    <s v="ViratKohli"/>
    <s v="out"/>
    <n v="33"/>
    <n v="29"/>
    <n v="4"/>
    <n v="0"/>
    <n v="4"/>
  </r>
  <r>
    <s v="T203784"/>
    <s v="Mumbai Vs RCB"/>
    <s v="RCB"/>
    <x v="2"/>
    <s v="RajatPatidar"/>
    <s v="out"/>
    <n v="8"/>
    <n v="8"/>
    <n v="1"/>
    <n v="0"/>
    <n v="4.76"/>
  </r>
  <r>
    <s v="T203784"/>
    <s v="Mumbai Vs RCB"/>
    <s v="RCB"/>
    <x v="3"/>
    <s v="GlennMaxwell"/>
    <s v="out"/>
    <n v="39"/>
    <n v="28"/>
    <n v="3"/>
    <n v="2"/>
    <n v="3.4166666666666665"/>
  </r>
  <r>
    <s v="T203784"/>
    <s v="Mumbai Vs RCB"/>
    <s v="RCB"/>
    <x v="4"/>
    <s v="ABdeVilliers"/>
    <s v="out"/>
    <n v="48"/>
    <n v="27"/>
    <n v="4"/>
    <n v="2"/>
    <n v="4.4074074074074074"/>
  </r>
  <r>
    <s v="T203784"/>
    <s v="Mumbai Vs RCB"/>
    <s v="RCB"/>
    <x v="5"/>
    <s v="ShahbazAhmed"/>
    <s v="out"/>
    <n v="1"/>
    <n v="2"/>
    <n v="0"/>
    <n v="0"/>
    <n v="6.2372881355932206"/>
  </r>
  <r>
    <s v="T203784"/>
    <s v="Mumbai Vs RCB"/>
    <s v="RCB"/>
    <x v="6"/>
    <s v="DanChristian"/>
    <s v="out"/>
    <n v="1"/>
    <n v="3"/>
    <n v="0"/>
    <n v="0"/>
    <n v="5.556962025316456"/>
  </r>
  <r>
    <s v="T203784"/>
    <s v="Mumbai Vs RCB"/>
    <s v="RCB"/>
    <x v="7"/>
    <s v="KyleJamieson"/>
    <s v="out"/>
    <n v="4"/>
    <n v="4"/>
    <n v="0"/>
    <n v="0"/>
    <n v="5.4"/>
  </r>
  <r>
    <s v="T203784"/>
    <s v="Mumbai Vs RCB"/>
    <s v="RCB"/>
    <x v="8"/>
    <s v="HarshalPatel"/>
    <s v="not_out"/>
    <n v="4"/>
    <n v="3"/>
    <n v="0"/>
    <n v="0"/>
    <n v="5.556962025316456"/>
  </r>
  <r>
    <s v="T203784"/>
    <s v="Mumbai Vs RCB"/>
    <s v="RCB"/>
    <x v="9"/>
    <s v="MohammedSiraj"/>
    <s v="not_out"/>
    <n v="0"/>
    <n v="1"/>
    <n v="0"/>
    <n v="0"/>
    <n v="6.5095541401273884"/>
  </r>
  <r>
    <s v="T202715"/>
    <s v="Royals Vs Titans"/>
    <s v="Royals"/>
    <x v="0"/>
    <s v="YashasviJaiswal"/>
    <s v="out"/>
    <n v="22"/>
    <n v="16"/>
    <n v="1"/>
    <n v="2"/>
    <n v="4.6875"/>
  </r>
  <r>
    <s v="T202715"/>
    <s v="Royals Vs Titans"/>
    <s v="Royals"/>
    <x v="1"/>
    <s v="JosButtler"/>
    <s v="out"/>
    <n v="39"/>
    <n v="35"/>
    <n v="5"/>
    <n v="0"/>
    <n v="3.6666666666666665"/>
  </r>
  <r>
    <s v="T202715"/>
    <s v="Royals Vs Titans"/>
    <s v="Royals"/>
    <x v="2"/>
    <s v="SanjuSamson"/>
    <s v="out"/>
    <n v="14"/>
    <n v="11"/>
    <n v="2"/>
    <n v="0"/>
    <n v="5"/>
  </r>
  <r>
    <s v="T202715"/>
    <s v="Royals Vs Titans"/>
    <s v="Royals"/>
    <x v="3"/>
    <s v="DevduttPadikkal"/>
    <s v="out"/>
    <n v="2"/>
    <n v="10"/>
    <n v="0"/>
    <n v="0"/>
    <n v="4.931034482758621"/>
  </r>
  <r>
    <s v="T202715"/>
    <s v="Royals Vs Titans"/>
    <s v="Royals"/>
    <x v="4"/>
    <s v="ShimronHetmyer"/>
    <s v="out"/>
    <n v="11"/>
    <n v="12"/>
    <n v="2"/>
    <n v="0"/>
    <n v="4.8113207547169807"/>
  </r>
  <r>
    <s v="T202715"/>
    <s v="Royals Vs Titans"/>
    <s v="Royals"/>
    <x v="5"/>
    <s v="RavichandranAshwin"/>
    <s v="out"/>
    <n v="6"/>
    <n v="9"/>
    <n v="0"/>
    <n v="0"/>
    <n v="4.7358490566037732"/>
  </r>
  <r>
    <s v="T202715"/>
    <s v="Royals Vs Titans"/>
    <s v="Royals"/>
    <x v="6"/>
    <s v="RiyanParag"/>
    <s v="out"/>
    <n v="15"/>
    <n v="15"/>
    <n v="1"/>
    <n v="0"/>
    <n v="4.75"/>
  </r>
  <r>
    <s v="T202715"/>
    <s v="Royals Vs Titans"/>
    <s v="Royals"/>
    <x v="7"/>
    <s v="TrentBoult"/>
    <s v="out"/>
    <n v="11"/>
    <n v="7"/>
    <n v="0"/>
    <n v="1"/>
    <n v="5"/>
  </r>
  <r>
    <s v="T202715"/>
    <s v="Royals Vs Titans"/>
    <s v="Royals"/>
    <x v="8"/>
    <s v="ObedMcCoy"/>
    <s v="out"/>
    <n v="8"/>
    <n v="5"/>
    <n v="0"/>
    <n v="1"/>
    <n v="5.2368421052631575"/>
  </r>
  <r>
    <s v="T202715"/>
    <s v="Royals Vs Titans"/>
    <s v="Royals"/>
    <x v="9"/>
    <s v="PrasidhKrishna"/>
    <s v="not_out"/>
    <n v="0"/>
    <n v="0"/>
    <n v="0"/>
    <n v="0"/>
    <n v="6.0959409594095941"/>
  </r>
  <r>
    <s v="T202715"/>
    <s v="Royals Vs Titans"/>
    <s v="Titans"/>
    <x v="0"/>
    <s v="WriddhimanSaha"/>
    <s v="out"/>
    <n v="5"/>
    <n v="7"/>
    <n v="1"/>
    <n v="0"/>
    <n v="5"/>
  </r>
  <r>
    <s v="T202715"/>
    <s v="Royals Vs Titans"/>
    <s v="Titans"/>
    <x v="1"/>
    <s v="ShubmanGill"/>
    <s v="not_out"/>
    <n v="45"/>
    <n v="43"/>
    <n v="3"/>
    <n v="1"/>
    <n v="3.1666666666666665"/>
  </r>
  <r>
    <s v="T202715"/>
    <s v="Royals Vs Titans"/>
    <s v="Titans"/>
    <x v="2"/>
    <s v="MatthewWade"/>
    <s v="out"/>
    <n v="8"/>
    <n v="10"/>
    <n v="0"/>
    <n v="1"/>
    <n v="4.931034482758621"/>
  </r>
  <r>
    <s v="T202715"/>
    <s v="Royals Vs Titans"/>
    <s v="Titans"/>
    <x v="3"/>
    <s v="HardikPandya"/>
    <s v="out"/>
    <n v="34"/>
    <n v="30"/>
    <n v="3"/>
    <n v="1"/>
    <n v="3.6666666666666665"/>
  </r>
  <r>
    <s v="T202715"/>
    <s v="Royals Vs Titans"/>
    <s v="Titans"/>
    <x v="4"/>
    <s v="DavidMiller"/>
    <s v="not_out"/>
    <n v="32"/>
    <n v="19"/>
    <n v="3"/>
    <n v="1"/>
    <n v="4.7317073170731705"/>
  </r>
  <r>
    <s v="T201109"/>
    <s v="RCB Vs Royals"/>
    <s v="RCB"/>
    <x v="0"/>
    <s v="ViratKohli"/>
    <s v="out"/>
    <n v="7"/>
    <n v="8"/>
    <n v="0"/>
    <n v="1"/>
    <n v="4.75"/>
  </r>
  <r>
    <s v="T201109"/>
    <s v="RCB Vs Royals"/>
    <s v="RCB"/>
    <x v="1"/>
    <s v="FafduPlessis"/>
    <s v="out"/>
    <n v="25"/>
    <n v="27"/>
    <n v="3"/>
    <n v="0"/>
    <n v="4.4074074074074074"/>
  </r>
  <r>
    <s v="T201109"/>
    <s v="RCB Vs Royals"/>
    <s v="RCB"/>
    <x v="2"/>
    <s v="RajatPatidar"/>
    <s v="out"/>
    <n v="58"/>
    <n v="42"/>
    <n v="4"/>
    <n v="3"/>
    <n v="3.4736842105263159"/>
  </r>
  <r>
    <s v="T201109"/>
    <s v="RCB Vs Royals"/>
    <s v="RCB"/>
    <x v="3"/>
    <s v="GlennMaxwell"/>
    <s v="out"/>
    <n v="24"/>
    <n v="13"/>
    <n v="1"/>
    <n v="2"/>
    <n v="5.0408163265306118"/>
  </r>
  <r>
    <s v="T201109"/>
    <s v="RCB Vs Royals"/>
    <s v="RCB"/>
    <x v="4"/>
    <s v="MahipalLomror"/>
    <s v="out"/>
    <n v="8"/>
    <n v="10"/>
    <n v="0"/>
    <n v="0"/>
    <n v="4.931034482758621"/>
  </r>
  <r>
    <s v="T201109"/>
    <s v="RCB Vs Royals"/>
    <s v="RCB"/>
    <x v="5"/>
    <s v="DineshKarthik"/>
    <s v="out"/>
    <n v="6"/>
    <n v="7"/>
    <n v="0"/>
    <n v="0"/>
    <n v="5.0634920634920633"/>
  </r>
  <r>
    <s v="T201109"/>
    <s v="RCB Vs Royals"/>
    <s v="RCB"/>
    <x v="6"/>
    <s v="ShahbazAhmed"/>
    <s v="not_out"/>
    <n v="12"/>
    <n v="8"/>
    <n v="1"/>
    <n v="1"/>
    <n v="4.746478873239437"/>
  </r>
  <r>
    <s v="T201109"/>
    <s v="RCB Vs Royals"/>
    <s v="RCB"/>
    <x v="7"/>
    <s v="WaninduHasaranga"/>
    <s v="out"/>
    <n v="0"/>
    <n v="1"/>
    <n v="0"/>
    <n v="0"/>
    <n v="6.5095541401273884"/>
  </r>
  <r>
    <s v="T201109"/>
    <s v="RCB Vs Royals"/>
    <s v="RCB"/>
    <x v="8"/>
    <s v="HarshalPatel"/>
    <s v="out"/>
    <n v="1"/>
    <n v="2"/>
    <n v="0"/>
    <n v="0"/>
    <n v="6.2564102564102564"/>
  </r>
  <r>
    <s v="T201109"/>
    <s v="RCB Vs Royals"/>
    <s v="RCB"/>
    <x v="9"/>
    <s v="JoshHazlewood"/>
    <s v="not_out"/>
    <n v="1"/>
    <n v="2"/>
    <n v="0"/>
    <n v="0"/>
    <n v="6.2564102564102564"/>
  </r>
  <r>
    <s v="T201109"/>
    <s v="RCB Vs Royals"/>
    <s v="Royals"/>
    <x v="0"/>
    <s v="YashasviJaiswal"/>
    <s v="out"/>
    <n v="21"/>
    <n v="13"/>
    <n v="1"/>
    <n v="2"/>
    <n v="5.0408163265306118"/>
  </r>
  <r>
    <s v="T201109"/>
    <s v="RCB Vs Royals"/>
    <s v="Royals"/>
    <x v="1"/>
    <s v="JosButtler"/>
    <s v="not_out"/>
    <n v="106"/>
    <n v="60"/>
    <n v="10"/>
    <n v="6"/>
    <n v="2.4285714285714284"/>
  </r>
  <r>
    <s v="T201109"/>
    <s v="RCB Vs Royals"/>
    <s v="Royals"/>
    <x v="2"/>
    <s v="SanjuSamson"/>
    <s v="out"/>
    <n v="23"/>
    <n v="21"/>
    <n v="1"/>
    <n v="2"/>
    <n v="4.7021276595744679"/>
  </r>
  <r>
    <s v="T201109"/>
    <s v="RCB Vs Royals"/>
    <s v="Royals"/>
    <x v="3"/>
    <s v="DevduttPadikkal"/>
    <s v="out"/>
    <n v="9"/>
    <n v="12"/>
    <n v="0"/>
    <n v="0"/>
    <n v="4.7692307692307692"/>
  </r>
  <r>
    <s v="T201109"/>
    <s v="RCB Vs Royals"/>
    <s v="Royals"/>
    <x v="4"/>
    <s v="ShimronHetmyer"/>
    <s v="not_out"/>
    <n v="2"/>
    <n v="3"/>
    <n v="0"/>
    <n v="0"/>
    <n v="5.556962025316456"/>
  </r>
  <r>
    <s v="T207136"/>
    <s v="RCB Vs Super Giants"/>
    <s v="RCB"/>
    <x v="0"/>
    <s v="ViratKohli"/>
    <s v="out"/>
    <n v="25"/>
    <n v="24"/>
    <n v="2"/>
    <n v="0"/>
    <n v="4.2173913043478262"/>
  </r>
  <r>
    <s v="T207136"/>
    <s v="RCB Vs Super Giants"/>
    <s v="RCB"/>
    <x v="1"/>
    <s v="FafduPlessis"/>
    <s v="out"/>
    <n v="0"/>
    <n v="1"/>
    <n v="0"/>
    <n v="0"/>
    <n v="6.4709677419354836"/>
  </r>
  <r>
    <s v="T207136"/>
    <s v="RCB Vs Super Giants"/>
    <s v="RCB"/>
    <x v="2"/>
    <s v="RajatPatidar"/>
    <s v="not_out"/>
    <n v="112"/>
    <n v="54"/>
    <n v="12"/>
    <n v="7"/>
    <n v="2.7777777777777777"/>
  </r>
  <r>
    <s v="T207136"/>
    <s v="RCB Vs Super Giants"/>
    <s v="RCB"/>
    <x v="3"/>
    <s v="GlennMaxwell"/>
    <s v="out"/>
    <n v="9"/>
    <n v="10"/>
    <n v="0"/>
    <n v="1"/>
    <n v="4.931034482758621"/>
  </r>
  <r>
    <s v="T207136"/>
    <s v="RCB Vs Super Giants"/>
    <s v="RCB"/>
    <x v="4"/>
    <s v="MahipalLomror"/>
    <s v="out"/>
    <n v="14"/>
    <n v="9"/>
    <n v="2"/>
    <n v="0"/>
    <n v="4.7647058823529411"/>
  </r>
  <r>
    <s v="T207136"/>
    <s v="RCB Vs Super Giants"/>
    <s v="RCB"/>
    <x v="5"/>
    <s v="DineshKarthik"/>
    <s v="not_out"/>
    <n v="37"/>
    <n v="23"/>
    <n v="5"/>
    <n v="1"/>
    <n v="5.1111111111111107"/>
  </r>
  <r>
    <s v="T207136"/>
    <s v="RCB Vs Super Giants"/>
    <s v="Super Giants"/>
    <x v="0"/>
    <s v="QuintondeKock"/>
    <s v="out"/>
    <n v="6"/>
    <n v="5"/>
    <n v="0"/>
    <n v="1"/>
    <n v="5.293333333333333"/>
  </r>
  <r>
    <s v="T207136"/>
    <s v="RCB Vs Super Giants"/>
    <s v="Super Giants"/>
    <x v="1"/>
    <s v="KLRahul"/>
    <s v="out"/>
    <n v="79"/>
    <n v="58"/>
    <n v="3"/>
    <n v="5"/>
    <n v="3.5"/>
  </r>
  <r>
    <s v="T207136"/>
    <s v="RCB Vs Super Giants"/>
    <s v="Super Giants"/>
    <x v="2"/>
    <s v="MananVohra"/>
    <s v="out"/>
    <n v="19"/>
    <n v="11"/>
    <n v="1"/>
    <n v="2"/>
    <n v="4.9189189189189193"/>
  </r>
  <r>
    <s v="T207136"/>
    <s v="RCB Vs Super Giants"/>
    <s v="Super Giants"/>
    <x v="3"/>
    <s v="DeepakHooda"/>
    <s v="out"/>
    <n v="45"/>
    <n v="26"/>
    <n v="1"/>
    <n v="4"/>
    <n v="4.0540540540540544"/>
  </r>
  <r>
    <s v="T207136"/>
    <s v="RCB Vs Super Giants"/>
    <s v="Super Giants"/>
    <x v="4"/>
    <s v="MarcusStoinis"/>
    <s v="out"/>
    <n v="9"/>
    <n v="9"/>
    <n v="0"/>
    <n v="1"/>
    <n v="4.7647058823529411"/>
  </r>
  <r>
    <s v="T207136"/>
    <s v="RCB Vs Super Giants"/>
    <s v="Super Giants"/>
    <x v="5"/>
    <s v="EvinLewis"/>
    <s v="not_out"/>
    <n v="2"/>
    <n v="6"/>
    <n v="0"/>
    <n v="0"/>
    <n v="5.5303030303030303"/>
  </r>
  <r>
    <s v="T207136"/>
    <s v="RCB Vs Super Giants"/>
    <s v="Super Giants"/>
    <x v="6"/>
    <s v="KrunalPandya"/>
    <s v="out"/>
    <n v="0"/>
    <n v="1"/>
    <n v="0"/>
    <n v="0"/>
    <n v="6.4709677419354836"/>
  </r>
  <r>
    <s v="T207136"/>
    <s v="RCB Vs Super Giants"/>
    <s v="Super Giants"/>
    <x v="7"/>
    <s v="DushmanthaChameera"/>
    <s v="not_out"/>
    <n v="11"/>
    <n v="4"/>
    <n v="1"/>
    <n v="1"/>
    <n v="5.3205128205128203"/>
  </r>
  <r>
    <s v="T203302"/>
    <s v="Royals Vs Titans"/>
    <s v="Royals"/>
    <x v="0"/>
    <s v="YashasviJaiswal"/>
    <s v="out"/>
    <n v="3"/>
    <n v="8"/>
    <n v="0"/>
    <n v="0"/>
    <n v="4.746478873239437"/>
  </r>
  <r>
    <s v="T203302"/>
    <s v="Royals Vs Titans"/>
    <s v="Royals"/>
    <x v="1"/>
    <s v="JosButtler"/>
    <s v="out"/>
    <n v="89"/>
    <n v="56"/>
    <n v="12"/>
    <n v="2"/>
    <n v="3.1818181818181817"/>
  </r>
  <r>
    <s v="T203302"/>
    <s v="Royals Vs Titans"/>
    <s v="Royals"/>
    <x v="2"/>
    <s v="SanjuSamson"/>
    <s v="out"/>
    <n v="47"/>
    <n v="26"/>
    <n v="5"/>
    <n v="3"/>
    <n v="4.0540540540540544"/>
  </r>
  <r>
    <s v="T203302"/>
    <s v="Royals Vs Titans"/>
    <s v="Royals"/>
    <x v="3"/>
    <s v="DevduttPadikkal"/>
    <s v="out"/>
    <n v="28"/>
    <n v="20"/>
    <n v="2"/>
    <n v="2"/>
    <n v="4.5"/>
  </r>
  <r>
    <s v="T203302"/>
    <s v="Royals Vs Titans"/>
    <s v="Royals"/>
    <x v="4"/>
    <s v="ShimronHetmyer"/>
    <s v="out"/>
    <n v="4"/>
    <n v="7"/>
    <n v="0"/>
    <n v="0"/>
    <n v="5.0634920634920633"/>
  </r>
  <r>
    <s v="T203302"/>
    <s v="Royals Vs Titans"/>
    <s v="Royals"/>
    <x v="5"/>
    <s v="RiyanParag"/>
    <s v="out"/>
    <n v="4"/>
    <n v="3"/>
    <n v="0"/>
    <n v="0"/>
    <n v="5.615384615384615"/>
  </r>
  <r>
    <s v="T203302"/>
    <s v="Royals Vs Titans"/>
    <s v="Royals"/>
    <x v="6"/>
    <s v="RavichandranAshwin"/>
    <s v="not_out"/>
    <n v="2"/>
    <n v="1"/>
    <n v="0"/>
    <n v="0"/>
    <n v="6.4709677419354836"/>
  </r>
  <r>
    <s v="T203302"/>
    <s v="Royals Vs Titans"/>
    <s v="Royals"/>
    <x v="7"/>
    <s v="TrentBoult"/>
    <s v="not_out"/>
    <n v="0"/>
    <n v="0"/>
    <n v="0"/>
    <n v="0"/>
    <n v="6.0861423220973787"/>
  </r>
  <r>
    <s v="T203302"/>
    <s v="Royals Vs Titans"/>
    <s v="Titans"/>
    <x v="0"/>
    <s v="WriddhimanSaha"/>
    <s v="out"/>
    <n v="0"/>
    <n v="2"/>
    <n v="0"/>
    <n v="0"/>
    <n v="6.2631578947368425"/>
  </r>
  <r>
    <s v="T203302"/>
    <s v="Royals Vs Titans"/>
    <s v="Titans"/>
    <x v="1"/>
    <s v="ShubmanGill"/>
    <s v="out"/>
    <n v="35"/>
    <n v="21"/>
    <n v="5"/>
    <n v="1"/>
    <n v="4.7021276595744679"/>
  </r>
  <r>
    <s v="T203302"/>
    <s v="Royals Vs Titans"/>
    <s v="Titans"/>
    <x v="2"/>
    <s v="MatthewWade"/>
    <s v="out"/>
    <n v="35"/>
    <n v="30"/>
    <n v="6"/>
    <n v="0"/>
    <n v="3.6666666666666665"/>
  </r>
  <r>
    <s v="T203302"/>
    <s v="Royals Vs Titans"/>
    <s v="Titans"/>
    <x v="3"/>
    <s v="HardikPandya"/>
    <s v="not_out"/>
    <n v="40"/>
    <n v="27"/>
    <n v="5"/>
    <n v="0"/>
    <n v="4.4074074074074074"/>
  </r>
  <r>
    <s v="T203302"/>
    <s v="Royals Vs Titans"/>
    <s v="Titans"/>
    <x v="4"/>
    <s v="DavidMiller"/>
    <s v="not_out"/>
    <n v="68"/>
    <n v="38"/>
    <n v="3"/>
    <n v="5"/>
    <n v="4.2"/>
  </r>
  <r>
    <s v="T204029"/>
    <s v="Sunrisers Vs Punjab Kings"/>
    <s v="Sunrisers"/>
    <x v="0"/>
    <s v="PriyamGarg"/>
    <s v="out"/>
    <n v="4"/>
    <n v="7"/>
    <n v="0"/>
    <n v="0"/>
    <n v="5.0634920634920633"/>
  </r>
  <r>
    <s v="T204029"/>
    <s v="Sunrisers Vs Punjab Kings"/>
    <s v="Sunrisers"/>
    <x v="1"/>
    <s v="AbhishekSharma"/>
    <s v="out"/>
    <n v="43"/>
    <n v="32"/>
    <n v="5"/>
    <n v="2"/>
    <n v="4.333333333333333"/>
  </r>
  <r>
    <s v="T204029"/>
    <s v="Sunrisers Vs Punjab Kings"/>
    <s v="Sunrisers"/>
    <x v="2"/>
    <s v="RahulTripathi"/>
    <s v="out"/>
    <n v="20"/>
    <n v="18"/>
    <n v="1"/>
    <n v="1"/>
    <n v="4.5882352941176467"/>
  </r>
  <r>
    <s v="T204029"/>
    <s v="Sunrisers Vs Punjab Kings"/>
    <s v="Sunrisers"/>
    <x v="3"/>
    <s v="AidenMarkram"/>
    <s v="out"/>
    <n v="21"/>
    <n v="17"/>
    <n v="2"/>
    <n v="0"/>
    <n v="4.833333333333333"/>
  </r>
  <r>
    <s v="T204029"/>
    <s v="Sunrisers Vs Punjab Kings"/>
    <s v="Sunrisers"/>
    <x v="4"/>
    <s v="NicholasPooran"/>
    <s v="out"/>
    <n v="5"/>
    <n v="10"/>
    <n v="0"/>
    <n v="0"/>
    <n v="4.931034482758621"/>
  </r>
  <r>
    <s v="T204029"/>
    <s v="Sunrisers Vs Punjab Kings"/>
    <s v="Sunrisers"/>
    <x v="5"/>
    <s v="WashingtonSundar"/>
    <s v="out"/>
    <n v="25"/>
    <n v="19"/>
    <n v="3"/>
    <n v="1"/>
    <n v="4.7750000000000004"/>
  </r>
  <r>
    <s v="T204029"/>
    <s v="Sunrisers Vs Punjab Kings"/>
    <s v="Sunrisers"/>
    <x v="6"/>
    <s v="RomarioShepherd"/>
    <s v="not_out"/>
    <n v="26"/>
    <n v="15"/>
    <n v="2"/>
    <n v="2"/>
    <n v="4.6923076923076925"/>
  </r>
  <r>
    <s v="T204029"/>
    <s v="Sunrisers Vs Punjab Kings"/>
    <s v="Sunrisers"/>
    <x v="7"/>
    <s v="JagadeeshaSuchith"/>
    <s v="out"/>
    <n v="0"/>
    <n v="1"/>
    <n v="0"/>
    <n v="0"/>
    <n v="6.4709677419354836"/>
  </r>
  <r>
    <s v="T204029"/>
    <s v="Sunrisers Vs Punjab Kings"/>
    <s v="Sunrisers"/>
    <x v="8"/>
    <s v="BhuvneshwarKumar"/>
    <s v="out"/>
    <n v="1"/>
    <n v="1"/>
    <n v="0"/>
    <n v="0"/>
    <n v="6.4709677419354836"/>
  </r>
  <r>
    <s v="T204029"/>
    <s v="Sunrisers Vs Punjab Kings"/>
    <s v="Sunrisers"/>
    <x v="9"/>
    <s v="UmranMalik"/>
    <s v="not_out"/>
    <n v="0"/>
    <n v="1"/>
    <n v="0"/>
    <n v="0"/>
    <n v="6.4545454545454541"/>
  </r>
  <r>
    <s v="T204029"/>
    <s v="Sunrisers Vs Punjab Kings"/>
    <s v="Punjab Kings"/>
    <x v="0"/>
    <s v="JonnyBairstow"/>
    <s v="out"/>
    <n v="23"/>
    <n v="15"/>
    <n v="5"/>
    <n v="0"/>
    <n v="4.6923076923076925"/>
  </r>
  <r>
    <s v="T204029"/>
    <s v="Sunrisers Vs Punjab Kings"/>
    <s v="Punjab Kings"/>
    <x v="1"/>
    <s v="ShikharDhawan"/>
    <s v="out"/>
    <n v="39"/>
    <n v="32"/>
    <n v="2"/>
    <n v="2"/>
    <n v="4.333333333333333"/>
  </r>
  <r>
    <s v="T204029"/>
    <s v="Sunrisers Vs Punjab Kings"/>
    <s v="Punjab Kings"/>
    <x v="2"/>
    <s v="MShahrukhKhan"/>
    <s v="out"/>
    <n v="19"/>
    <n v="10"/>
    <n v="2"/>
    <n v="1"/>
    <n v="4.931034482758621"/>
  </r>
  <r>
    <s v="T204029"/>
    <s v="Sunrisers Vs Punjab Kings"/>
    <s v="Punjab Kings"/>
    <x v="3"/>
    <s v="MayankAgarwal"/>
    <s v="out"/>
    <n v="1"/>
    <n v="4"/>
    <n v="0"/>
    <n v="0"/>
    <n v="5.3733333333333331"/>
  </r>
  <r>
    <s v="T204029"/>
    <s v="Sunrisers Vs Punjab Kings"/>
    <s v="Punjab Kings"/>
    <x v="4"/>
    <s v="LiamLivingstone"/>
    <s v="not_out"/>
    <n v="49"/>
    <n v="22"/>
    <n v="2"/>
    <n v="5"/>
    <n v="4.6764705882352944"/>
  </r>
  <r>
    <s v="T204029"/>
    <s v="Sunrisers Vs Punjab Kings"/>
    <s v="Punjab Kings"/>
    <x v="5"/>
    <s v="JiteshSharma"/>
    <s v="out"/>
    <n v="19"/>
    <n v="7"/>
    <n v="3"/>
    <n v="1"/>
    <n v="5.0634920634920633"/>
  </r>
  <r>
    <s v="T204029"/>
    <s v="Sunrisers Vs Punjab Kings"/>
    <s v="Punjab Kings"/>
    <x v="6"/>
    <s v="PrerakMankad"/>
    <s v="not_out"/>
    <n v="4"/>
    <n v="1"/>
    <n v="1"/>
    <n v="0"/>
    <n v="6.4705882352941178"/>
  </r>
  <r>
    <s v="T205729"/>
    <s v="Capitals Vs Mumbai"/>
    <s v="Capitals"/>
    <x v="0"/>
    <s v="PrithviShaw"/>
    <s v="out"/>
    <n v="24"/>
    <n v="23"/>
    <n v="2"/>
    <n v="1"/>
    <n v="5.2692307692307692"/>
  </r>
  <r>
    <s v="T205729"/>
    <s v="Capitals Vs Mumbai"/>
    <s v="Capitals"/>
    <x v="1"/>
    <s v="DavidWarner"/>
    <s v="out"/>
    <n v="5"/>
    <n v="6"/>
    <n v="1"/>
    <n v="0"/>
    <n v="5.5303030303030303"/>
  </r>
  <r>
    <s v="T205729"/>
    <s v="Capitals Vs Mumbai"/>
    <s v="Capitals"/>
    <x v="2"/>
    <s v="MitchellMarsh"/>
    <s v="out"/>
    <n v="0"/>
    <n v="1"/>
    <n v="0"/>
    <n v="0"/>
    <n v="6.4705882352941178"/>
  </r>
  <r>
    <s v="T205729"/>
    <s v="Capitals Vs Mumbai"/>
    <s v="Capitals"/>
    <x v="3"/>
    <s v="RishabhPant"/>
    <s v="out"/>
    <n v="39"/>
    <n v="33"/>
    <n v="4"/>
    <n v="1"/>
    <n v="3.5"/>
  </r>
  <r>
    <s v="T205729"/>
    <s v="Capitals Vs Mumbai"/>
    <s v="Capitals"/>
    <x v="4"/>
    <s v="SarfarazKhan"/>
    <s v="out"/>
    <n v="10"/>
    <n v="7"/>
    <n v="0"/>
    <n v="1"/>
    <n v="5.0634920634920633"/>
  </r>
  <r>
    <s v="T205729"/>
    <s v="Capitals Vs Mumbai"/>
    <s v="Capitals"/>
    <x v="5"/>
    <s v="RovmanPowell"/>
    <s v="out"/>
    <n v="43"/>
    <n v="34"/>
    <n v="1"/>
    <n v="4"/>
    <n v="4.583333333333333"/>
  </r>
  <r>
    <s v="T205729"/>
    <s v="Capitals Vs Mumbai"/>
    <s v="Capitals"/>
    <x v="6"/>
    <s v="AxarPatel"/>
    <s v="not_out"/>
    <n v="19"/>
    <n v="10"/>
    <n v="0"/>
    <n v="2"/>
    <n v="4.9298245614035086"/>
  </r>
  <r>
    <s v="T205729"/>
    <s v="Capitals Vs Mumbai"/>
    <s v="Capitals"/>
    <x v="7"/>
    <s v="ShardulThakur"/>
    <s v="out"/>
    <n v="4"/>
    <n v="5"/>
    <n v="0"/>
    <n v="0"/>
    <n v="5.3424657534246576"/>
  </r>
  <r>
    <s v="T205729"/>
    <s v="Capitals Vs Mumbai"/>
    <s v="Capitals"/>
    <x v="8"/>
    <s v="KuldeepYadav"/>
    <s v="not_out"/>
    <n v="1"/>
    <n v="1"/>
    <n v="0"/>
    <n v="0"/>
    <n v="6.4705882352941178"/>
  </r>
  <r>
    <s v="T205729"/>
    <s v="Capitals Vs Mumbai"/>
    <s v="Mumbai"/>
    <x v="0"/>
    <s v="IshanKishan"/>
    <s v="out"/>
    <n v="48"/>
    <n v="35"/>
    <n v="3"/>
    <n v="4"/>
    <n v="3.7894736842105261"/>
  </r>
  <r>
    <s v="T205729"/>
    <s v="Capitals Vs Mumbai"/>
    <s v="Mumbai"/>
    <x v="1"/>
    <s v="RohitSharma"/>
    <s v="out"/>
    <n v="2"/>
    <n v="13"/>
    <n v="0"/>
    <n v="0"/>
    <n v="5.0408163265306118"/>
  </r>
  <r>
    <s v="T205729"/>
    <s v="Capitals Vs Mumbai"/>
    <s v="Mumbai"/>
    <x v="2"/>
    <s v="DewaldBrevis"/>
    <s v="out"/>
    <n v="37"/>
    <n v="33"/>
    <n v="1"/>
    <n v="3"/>
    <n v="3.5"/>
  </r>
  <r>
    <s v="T205729"/>
    <s v="Capitals Vs Mumbai"/>
    <s v="Mumbai"/>
    <x v="3"/>
    <s v="TilakVarma"/>
    <s v="out"/>
    <n v="21"/>
    <n v="17"/>
    <n v="1"/>
    <n v="1"/>
    <n v="4.833333333333333"/>
  </r>
  <r>
    <s v="T205729"/>
    <s v="Capitals Vs Mumbai"/>
    <s v="Mumbai"/>
    <x v="4"/>
    <s v="TimDavid"/>
    <s v="out"/>
    <n v="34"/>
    <n v="11"/>
    <n v="2"/>
    <n v="4"/>
    <n v="4.833333333333333"/>
  </r>
  <r>
    <s v="T205729"/>
    <s v="Capitals Vs Mumbai"/>
    <s v="Mumbai"/>
    <x v="5"/>
    <s v="RamandeepSingh"/>
    <s v="not_out"/>
    <n v="13"/>
    <n v="6"/>
    <n v="2"/>
    <n v="0"/>
    <n v="5.5303030303030303"/>
  </r>
  <r>
    <s v="T205729"/>
    <s v="Capitals Vs Mumbai"/>
    <s v="Mumbai"/>
    <x v="6"/>
    <s v="DanielSams"/>
    <s v="not_out"/>
    <n v="0"/>
    <n v="1"/>
    <n v="0"/>
    <n v="0"/>
    <n v="6.4539473684210522"/>
  </r>
  <r>
    <s v="T203588"/>
    <s v="Super Kings Vs Royals"/>
    <s v="Super Kings"/>
    <x v="0"/>
    <s v="RuturajGaikwad"/>
    <s v="out"/>
    <n v="2"/>
    <n v="6"/>
    <n v="0"/>
    <n v="0"/>
    <n v="5.5303030303030303"/>
  </r>
  <r>
    <s v="T203588"/>
    <s v="Super Kings Vs Royals"/>
    <s v="Super Kings"/>
    <x v="1"/>
    <s v="DevonConway"/>
    <s v="out"/>
    <n v="16"/>
    <n v="14"/>
    <n v="1"/>
    <n v="1"/>
    <n v="4.9285714285714288"/>
  </r>
  <r>
    <s v="T203588"/>
    <s v="Super Kings Vs Royals"/>
    <s v="Super Kings"/>
    <x v="2"/>
    <s v="MoeenAli"/>
    <s v="out"/>
    <n v="93"/>
    <n v="57"/>
    <n v="13"/>
    <n v="3"/>
    <n v="3.3333333333333335"/>
  </r>
  <r>
    <s v="T203588"/>
    <s v="Super Kings Vs Royals"/>
    <s v="Super Kings"/>
    <x v="3"/>
    <s v="NarayanJagadeesan"/>
    <s v="out"/>
    <n v="1"/>
    <n v="4"/>
    <n v="0"/>
    <n v="0"/>
    <n v="5.3150684931506849"/>
  </r>
  <r>
    <s v="T203588"/>
    <s v="Super Kings Vs Royals"/>
    <s v="Super Kings"/>
    <x v="4"/>
    <s v="AmbatiRayudu"/>
    <s v="out"/>
    <n v="3"/>
    <n v="6"/>
    <n v="0"/>
    <n v="0"/>
    <n v="5.5303030303030303"/>
  </r>
  <r>
    <s v="T203588"/>
    <s v="Super Kings Vs Royals"/>
    <s v="Super Kings"/>
    <x v="5"/>
    <s v="MSDhoni"/>
    <s v="out"/>
    <n v="26"/>
    <n v="28"/>
    <n v="1"/>
    <n v="1"/>
    <n v="3.3913043478260869"/>
  </r>
  <r>
    <s v="T203588"/>
    <s v="Super Kings Vs Royals"/>
    <s v="Super Kings"/>
    <x v="6"/>
    <s v="MitchellSantner"/>
    <s v="not_out"/>
    <n v="1"/>
    <n v="2"/>
    <n v="0"/>
    <n v="0"/>
    <n v="6.3482142857142856"/>
  </r>
  <r>
    <s v="T203588"/>
    <s v="Super Kings Vs Royals"/>
    <s v="Super Kings"/>
    <x v="7"/>
    <s v="SimarjeetSingh"/>
    <s v="not_out"/>
    <n v="3"/>
    <n v="3"/>
    <n v="0"/>
    <n v="0"/>
    <n v="5.6233766233766236"/>
  </r>
  <r>
    <s v="T203588"/>
    <s v="Super Kings Vs Royals"/>
    <s v="Royals"/>
    <x v="0"/>
    <s v="YashasviJaiswal"/>
    <s v="out"/>
    <n v="59"/>
    <n v="44"/>
    <n v="8"/>
    <n v="1"/>
    <n v="3.5333333333333332"/>
  </r>
  <r>
    <s v="T203588"/>
    <s v="Super Kings Vs Royals"/>
    <s v="Royals"/>
    <x v="1"/>
    <s v="JosButtler"/>
    <s v="out"/>
    <n v="2"/>
    <n v="5"/>
    <n v="0"/>
    <n v="0"/>
    <n v="5.3424657534246576"/>
  </r>
  <r>
    <s v="T203588"/>
    <s v="Super Kings Vs Royals"/>
    <s v="Royals"/>
    <x v="2"/>
    <s v="SanjuSamson"/>
    <s v="out"/>
    <n v="15"/>
    <n v="20"/>
    <n v="2"/>
    <n v="0"/>
    <n v="4.5517241379310347"/>
  </r>
  <r>
    <s v="T203588"/>
    <s v="Super Kings Vs Royals"/>
    <s v="Royals"/>
    <x v="3"/>
    <s v="DevduttPadikkal"/>
    <s v="out"/>
    <n v="3"/>
    <n v="9"/>
    <n v="0"/>
    <n v="0"/>
    <n v="4.76"/>
  </r>
  <r>
    <s v="T203588"/>
    <s v="Super Kings Vs Royals"/>
    <s v="Royals"/>
    <x v="4"/>
    <s v="RavichandranAshwin"/>
    <s v="not_out"/>
    <n v="40"/>
    <n v="23"/>
    <n v="2"/>
    <n v="3"/>
    <n v="5.2692307692307692"/>
  </r>
  <r>
    <s v="T203588"/>
    <s v="Super Kings Vs Royals"/>
    <s v="Royals"/>
    <x v="5"/>
    <s v="ShimronHetmyer"/>
    <s v="out"/>
    <n v="6"/>
    <n v="7"/>
    <n v="1"/>
    <n v="0"/>
    <n v="5.0634920634920633"/>
  </r>
  <r>
    <s v="T203588"/>
    <s v="Super Kings Vs Royals"/>
    <s v="Royals"/>
    <x v="6"/>
    <s v="RiyanParag"/>
    <s v="not_out"/>
    <n v="10"/>
    <n v="10"/>
    <n v="1"/>
    <n v="0"/>
    <n v="4.9298245614035086"/>
  </r>
  <r>
    <s v="T201867"/>
    <s v="Titans Vs RCB"/>
    <s v="Titans"/>
    <x v="0"/>
    <s v="WriddhimanSaha"/>
    <s v="out"/>
    <n v="31"/>
    <n v="22"/>
    <n v="4"/>
    <n v="1"/>
    <n v="4.6764705882352944"/>
  </r>
  <r>
    <s v="T201867"/>
    <s v="Titans Vs RCB"/>
    <s v="Titans"/>
    <x v="1"/>
    <s v="ShubmanGill"/>
    <s v="out"/>
    <n v="1"/>
    <n v="4"/>
    <n v="0"/>
    <n v="0"/>
    <n v="5.3150684931506849"/>
  </r>
  <r>
    <s v="T201867"/>
    <s v="Titans Vs RCB"/>
    <s v="Titans"/>
    <x v="2"/>
    <s v="MatthewWade"/>
    <s v="out"/>
    <n v="16"/>
    <n v="13"/>
    <n v="2"/>
    <n v="1"/>
    <n v="5.020833333333333"/>
  </r>
  <r>
    <s v="T201867"/>
    <s v="Titans Vs RCB"/>
    <s v="Titans"/>
    <x v="3"/>
    <s v="HardikPandya"/>
    <s v="not_out"/>
    <n v="62"/>
    <n v="47"/>
    <n v="4"/>
    <n v="3"/>
    <n v="2.1"/>
  </r>
  <r>
    <s v="T201867"/>
    <s v="Titans Vs RCB"/>
    <s v="Titans"/>
    <x v="4"/>
    <s v="DavidMiller"/>
    <s v="out"/>
    <n v="34"/>
    <n v="25"/>
    <n v="0"/>
    <n v="3"/>
    <n v="5.0370370370370372"/>
  </r>
  <r>
    <s v="T201867"/>
    <s v="Titans Vs RCB"/>
    <s v="Titans"/>
    <x v="5"/>
    <s v="RahulTewatia"/>
    <s v="out"/>
    <n v="2"/>
    <n v="3"/>
    <n v="0"/>
    <n v="0"/>
    <n v="5.6133333333333333"/>
  </r>
  <r>
    <s v="T201867"/>
    <s v="Titans Vs RCB"/>
    <s v="Titans"/>
    <x v="6"/>
    <s v="RashidKhan"/>
    <s v="not_out"/>
    <n v="19"/>
    <n v="6"/>
    <n v="1"/>
    <n v="2"/>
    <n v="5.523076923076923"/>
  </r>
  <r>
    <s v="T201867"/>
    <s v="Titans Vs RCB"/>
    <s v="RCB"/>
    <x v="0"/>
    <s v="ViratKohli"/>
    <s v="out"/>
    <n v="73"/>
    <n v="54"/>
    <n v="8"/>
    <n v="2"/>
    <n v="2.7777777777777777"/>
  </r>
  <r>
    <s v="T201867"/>
    <s v="Titans Vs RCB"/>
    <s v="RCB"/>
    <x v="1"/>
    <s v="FafduPlessis"/>
    <s v="out"/>
    <n v="44"/>
    <n v="38"/>
    <n v="5"/>
    <n v="0"/>
    <n v="4.2"/>
  </r>
  <r>
    <s v="T201867"/>
    <s v="Titans Vs RCB"/>
    <s v="RCB"/>
    <x v="2"/>
    <s v="GlennMaxwell"/>
    <s v="not_out"/>
    <n v="40"/>
    <n v="18"/>
    <n v="5"/>
    <n v="2"/>
    <n v="4.5882352941176467"/>
  </r>
  <r>
    <s v="T201867"/>
    <s v="Titans Vs RCB"/>
    <s v="RCB"/>
    <x v="3"/>
    <s v="DineshKarthik"/>
    <s v="not_out"/>
    <n v="2"/>
    <n v="2"/>
    <n v="0"/>
    <n v="0"/>
    <n v="6.3909090909090907"/>
  </r>
  <r>
    <s v="T202863"/>
    <s v="Super Giants Vs KKR"/>
    <s v="Super Giants"/>
    <x v="0"/>
    <s v="QuintondeKock"/>
    <s v="not_out"/>
    <n v="140"/>
    <n v="70"/>
    <n v="10"/>
    <n v="10"/>
    <n v="3"/>
  </r>
  <r>
    <s v="T202863"/>
    <s v="Super Giants Vs KKR"/>
    <s v="Super Giants"/>
    <x v="1"/>
    <s v="KLRahul"/>
    <s v="not_out"/>
    <n v="68"/>
    <n v="51"/>
    <n v="3"/>
    <n v="4"/>
    <n v="3.2727272727272729"/>
  </r>
  <r>
    <s v="T202863"/>
    <s v="Super Giants Vs KKR"/>
    <s v="KKR"/>
    <x v="0"/>
    <s v="VenkateshIyer"/>
    <s v="out"/>
    <n v="0"/>
    <n v="4"/>
    <n v="0"/>
    <n v="0"/>
    <n v="5.3150684931506849"/>
  </r>
  <r>
    <s v="T202863"/>
    <s v="Super Giants Vs KKR"/>
    <s v="KKR"/>
    <x v="1"/>
    <s v="AbhijeetTomar"/>
    <s v="out"/>
    <n v="4"/>
    <n v="8"/>
    <n v="1"/>
    <n v="0"/>
    <n v="4.746478873239437"/>
  </r>
  <r>
    <s v="T202863"/>
    <s v="Super Giants Vs KKR"/>
    <s v="KKR"/>
    <x v="2"/>
    <s v="NitishRana"/>
    <s v="out"/>
    <n v="42"/>
    <n v="22"/>
    <n v="9"/>
    <n v="0"/>
    <n v="4.6764705882352944"/>
  </r>
  <r>
    <s v="T202863"/>
    <s v="Super Giants Vs KKR"/>
    <s v="KKR"/>
    <x v="3"/>
    <s v="ShreyasIyer"/>
    <s v="out"/>
    <n v="50"/>
    <n v="29"/>
    <n v="4"/>
    <n v="3"/>
    <n v="4"/>
  </r>
  <r>
    <s v="T202863"/>
    <s v="Super Giants Vs KKR"/>
    <s v="KKR"/>
    <x v="4"/>
    <s v="SamBillings"/>
    <s v="out"/>
    <n v="36"/>
    <n v="24"/>
    <n v="2"/>
    <n v="3"/>
    <n v="4.3636363636363633"/>
  </r>
  <r>
    <s v="T202863"/>
    <s v="Super Giants Vs KKR"/>
    <s v="KKR"/>
    <x v="5"/>
    <s v="AndreRussell"/>
    <s v="out"/>
    <n v="5"/>
    <n v="11"/>
    <n v="0"/>
    <n v="0"/>
    <n v="4.833333333333333"/>
  </r>
  <r>
    <s v="T202863"/>
    <s v="Super Giants Vs KKR"/>
    <s v="KKR"/>
    <x v="6"/>
    <s v="RinkuSingh"/>
    <s v="out"/>
    <n v="40"/>
    <n v="15"/>
    <n v="2"/>
    <n v="4"/>
    <n v="4.7368421052631575"/>
  </r>
  <r>
    <s v="T202863"/>
    <s v="Super Giants Vs KKR"/>
    <s v="KKR"/>
    <x v="7"/>
    <s v="SunilNarine"/>
    <s v="not_out"/>
    <n v="21"/>
    <n v="7"/>
    <n v="0"/>
    <n v="3"/>
    <n v="5.0634920634920633"/>
  </r>
  <r>
    <s v="T202863"/>
    <s v="Super Giants Vs KKR"/>
    <s v="KKR"/>
    <x v="8"/>
    <s v="UmeshYadav"/>
    <s v="out"/>
    <n v="0"/>
    <n v="1"/>
    <n v="0"/>
    <n v="0"/>
    <n v="6.4966442953020138"/>
  </r>
  <r>
    <s v="T206060"/>
    <s v="Sunrisers Vs Mumbai"/>
    <s v="Sunrisers"/>
    <x v="0"/>
    <s v="AbhishekSharma"/>
    <s v="out"/>
    <n v="9"/>
    <n v="10"/>
    <n v="1"/>
    <n v="0"/>
    <n v="4.8928571428571432"/>
  </r>
  <r>
    <s v="T206060"/>
    <s v="Sunrisers Vs Mumbai"/>
    <s v="Sunrisers"/>
    <x v="1"/>
    <s v="PriyamGarg"/>
    <s v="out"/>
    <n v="42"/>
    <n v="26"/>
    <n v="4"/>
    <n v="2"/>
    <n v="3.9142857142857141"/>
  </r>
  <r>
    <s v="T206060"/>
    <s v="Sunrisers Vs Mumbai"/>
    <s v="Sunrisers"/>
    <x v="2"/>
    <s v="RahulTripathi"/>
    <s v="out"/>
    <n v="76"/>
    <n v="44"/>
    <n v="9"/>
    <n v="3"/>
    <n v="3.6428571428571428"/>
  </r>
  <r>
    <s v="T206060"/>
    <s v="Sunrisers Vs Mumbai"/>
    <s v="Sunrisers"/>
    <x v="3"/>
    <s v="NicholasPooran"/>
    <s v="out"/>
    <n v="38"/>
    <n v="22"/>
    <n v="2"/>
    <n v="3"/>
    <n v="4.6764705882352944"/>
  </r>
  <r>
    <s v="T206060"/>
    <s v="Sunrisers Vs Mumbai"/>
    <s v="Sunrisers"/>
    <x v="4"/>
    <s v="AidenMarkram"/>
    <s v="out"/>
    <n v="2"/>
    <n v="4"/>
    <n v="0"/>
    <n v="0"/>
    <n v="5.3611111111111107"/>
  </r>
  <r>
    <s v="T206060"/>
    <s v="Sunrisers Vs Mumbai"/>
    <s v="Sunrisers"/>
    <x v="5"/>
    <s v="KaneWilliamson"/>
    <s v="not_out"/>
    <n v="8"/>
    <n v="7"/>
    <n v="1"/>
    <n v="0"/>
    <n v="5.0634920634920633"/>
  </r>
  <r>
    <s v="T206060"/>
    <s v="Sunrisers Vs Mumbai"/>
    <s v="Sunrisers"/>
    <x v="6"/>
    <s v="WashingtonSundar"/>
    <s v="out"/>
    <n v="9"/>
    <n v="7"/>
    <n v="0"/>
    <n v="0"/>
    <n v="5.0634920634920633"/>
  </r>
  <r>
    <s v="T206060"/>
    <s v="Sunrisers Vs Mumbai"/>
    <s v="Mumbai"/>
    <x v="0"/>
    <s v="RohitSharma"/>
    <s v="out"/>
    <n v="48"/>
    <n v="36"/>
    <n v="2"/>
    <n v="4"/>
    <n v="4.7857142857142856"/>
  </r>
  <r>
    <s v="T206060"/>
    <s v="Sunrisers Vs Mumbai"/>
    <s v="Mumbai"/>
    <x v="1"/>
    <s v="IshanKishan"/>
    <s v="out"/>
    <n v="43"/>
    <n v="34"/>
    <n v="5"/>
    <n v="1"/>
    <n v="4.5454545454545459"/>
  </r>
  <r>
    <s v="T206060"/>
    <s v="Sunrisers Vs Mumbai"/>
    <s v="Mumbai"/>
    <x v="2"/>
    <s v="DanielSams"/>
    <s v="out"/>
    <n v="15"/>
    <n v="11"/>
    <n v="0"/>
    <n v="1"/>
    <n v="4.833333333333333"/>
  </r>
  <r>
    <s v="T206060"/>
    <s v="Sunrisers Vs Mumbai"/>
    <s v="Mumbai"/>
    <x v="3"/>
    <s v="TilakVarma"/>
    <s v="out"/>
    <n v="8"/>
    <n v="9"/>
    <n v="1"/>
    <n v="0"/>
    <n v="4.791666666666667"/>
  </r>
  <r>
    <s v="T206060"/>
    <s v="Sunrisers Vs Mumbai"/>
    <s v="Mumbai"/>
    <x v="4"/>
    <s v="TimDavid"/>
    <s v="out"/>
    <n v="46"/>
    <n v="18"/>
    <n v="3"/>
    <n v="4"/>
    <n v="4.5882352941176467"/>
  </r>
  <r>
    <s v="T206060"/>
    <s v="Sunrisers Vs Mumbai"/>
    <s v="Mumbai"/>
    <x v="5"/>
    <s v="TristanStubbs"/>
    <s v="out"/>
    <n v="2"/>
    <n v="2"/>
    <n v="0"/>
    <n v="0"/>
    <n v="6.4259259259259256"/>
  </r>
  <r>
    <s v="T206060"/>
    <s v="Sunrisers Vs Mumbai"/>
    <s v="Mumbai"/>
    <x v="6"/>
    <s v="RamandeepSingh"/>
    <s v="not_out"/>
    <n v="14"/>
    <n v="6"/>
    <n v="1"/>
    <n v="1"/>
    <n v="5.523076923076923"/>
  </r>
  <r>
    <s v="T206060"/>
    <s v="Sunrisers Vs Mumbai"/>
    <s v="Mumbai"/>
    <x v="7"/>
    <s v="SanjayYadav"/>
    <s v="out"/>
    <n v="0"/>
    <n v="2"/>
    <n v="0"/>
    <n v="0"/>
    <n v="6.4299065420560746"/>
  </r>
  <r>
    <s v="T206060"/>
    <s v="Sunrisers Vs Mumbai"/>
    <s v="Mumbai"/>
    <x v="8"/>
    <s v="JaspritBumrah"/>
    <s v="not_out"/>
    <n v="0"/>
    <n v="4"/>
    <n v="0"/>
    <n v="0"/>
    <n v="5.3611111111111107"/>
  </r>
  <r>
    <s v="T209295"/>
    <s v="Capitals Vs Punjab Kings"/>
    <s v="Capitals"/>
    <x v="0"/>
    <s v="DavidWarner"/>
    <s v="out"/>
    <n v="0"/>
    <n v="1"/>
    <n v="0"/>
    <n v="0"/>
    <n v="6.4966442953020138"/>
  </r>
  <r>
    <s v="T209295"/>
    <s v="Capitals Vs Punjab Kings"/>
    <s v="Capitals"/>
    <x v="1"/>
    <s v="SarfarazKhan"/>
    <s v="out"/>
    <n v="32"/>
    <n v="16"/>
    <n v="5"/>
    <n v="1"/>
    <n v="4.833333333333333"/>
  </r>
  <r>
    <s v="T209295"/>
    <s v="Capitals Vs Punjab Kings"/>
    <s v="Capitals"/>
    <x v="2"/>
    <s v="MitchellMarsh"/>
    <s v="out"/>
    <n v="63"/>
    <n v="48"/>
    <n v="4"/>
    <n v="3"/>
    <n v="3.7692307692307692"/>
  </r>
  <r>
    <s v="T209295"/>
    <s v="Capitals Vs Punjab Kings"/>
    <s v="Capitals"/>
    <x v="3"/>
    <s v="LalitYadav"/>
    <s v="out"/>
    <n v="24"/>
    <n v="21"/>
    <n v="1"/>
    <n v="1"/>
    <n v="4.6590909090909092"/>
  </r>
  <r>
    <s v="T209295"/>
    <s v="Capitals Vs Punjab Kings"/>
    <s v="Capitals"/>
    <x v="4"/>
    <s v="RishabhPant"/>
    <s v="out"/>
    <n v="7"/>
    <n v="3"/>
    <n v="0"/>
    <n v="1"/>
    <n v="5.6133333333333333"/>
  </r>
  <r>
    <s v="T209295"/>
    <s v="Capitals Vs Punjab Kings"/>
    <s v="Capitals"/>
    <x v="5"/>
    <s v="RovmanPowell"/>
    <s v="out"/>
    <n v="2"/>
    <n v="6"/>
    <n v="0"/>
    <n v="0"/>
    <n v="5.523076923076923"/>
  </r>
  <r>
    <s v="T209295"/>
    <s v="Capitals Vs Punjab Kings"/>
    <s v="Capitals"/>
    <x v="6"/>
    <s v="AxarPatel"/>
    <s v="not_out"/>
    <n v="17"/>
    <n v="20"/>
    <n v="2"/>
    <n v="0"/>
    <n v="4.5517241379310347"/>
  </r>
  <r>
    <s v="T209295"/>
    <s v="Capitals Vs Punjab Kings"/>
    <s v="Capitals"/>
    <x v="7"/>
    <s v="ShardulThakur"/>
    <s v="out"/>
    <n v="3"/>
    <n v="4"/>
    <n v="0"/>
    <n v="0"/>
    <n v="5.3611111111111107"/>
  </r>
  <r>
    <s v="T209295"/>
    <s v="Capitals Vs Punjab Kings"/>
    <s v="Capitals"/>
    <x v="8"/>
    <s v="KuldeepYadav"/>
    <s v="not_out"/>
    <n v="2"/>
    <n v="2"/>
    <n v="0"/>
    <n v="0"/>
    <n v="6.4339622641509431"/>
  </r>
  <r>
    <s v="T209295"/>
    <s v="Capitals Vs Punjab Kings"/>
    <s v="Punjab Kings"/>
    <x v="0"/>
    <s v="JonnyBairstow"/>
    <s v="out"/>
    <n v="28"/>
    <n v="15"/>
    <n v="4"/>
    <n v="1"/>
    <n v="4.7837837837837842"/>
  </r>
  <r>
    <s v="T209295"/>
    <s v="Capitals Vs Punjab Kings"/>
    <s v="Punjab Kings"/>
    <x v="1"/>
    <s v="ShikharDhawan"/>
    <s v="out"/>
    <n v="19"/>
    <n v="16"/>
    <n v="3"/>
    <n v="0"/>
    <n v="4.833333333333333"/>
  </r>
  <r>
    <s v="T209295"/>
    <s v="Capitals Vs Punjab Kings"/>
    <s v="Punjab Kings"/>
    <x v="2"/>
    <s v="BhanukaRajapaksa"/>
    <s v="out"/>
    <n v="4"/>
    <n v="5"/>
    <n v="1"/>
    <n v="0"/>
    <n v="5.333333333333333"/>
  </r>
  <r>
    <s v="T209295"/>
    <s v="Capitals Vs Punjab Kings"/>
    <s v="Punjab Kings"/>
    <x v="3"/>
    <s v="LiamLivingstone"/>
    <s v="out"/>
    <n v="3"/>
    <n v="5"/>
    <n v="0"/>
    <n v="0"/>
    <n v="5.333333333333333"/>
  </r>
  <r>
    <s v="T209295"/>
    <s v="Capitals Vs Punjab Kings"/>
    <s v="Punjab Kings"/>
    <x v="4"/>
    <s v="MayankAgarwal"/>
    <s v="out"/>
    <n v="0"/>
    <n v="2"/>
    <n v="0"/>
    <n v="0"/>
    <n v="6.4095238095238098"/>
  </r>
  <r>
    <s v="T209295"/>
    <s v="Capitals Vs Punjab Kings"/>
    <s v="Punjab Kings"/>
    <x v="5"/>
    <s v="JiteshSharma"/>
    <s v="out"/>
    <n v="44"/>
    <n v="34"/>
    <n v="3"/>
    <n v="2"/>
    <n v="4.5454545454545459"/>
  </r>
  <r>
    <s v="T209295"/>
    <s v="Capitals Vs Punjab Kings"/>
    <s v="Punjab Kings"/>
    <x v="6"/>
    <s v="HarpreetBrar"/>
    <s v="out"/>
    <n v="1"/>
    <n v="2"/>
    <n v="0"/>
    <n v="0"/>
    <n v="6.4095238095238098"/>
  </r>
  <r>
    <s v="T209295"/>
    <s v="Capitals Vs Punjab Kings"/>
    <s v="Punjab Kings"/>
    <x v="7"/>
    <s v="RishiDhawan"/>
    <s v="out"/>
    <n v="4"/>
    <n v="13"/>
    <n v="0"/>
    <n v="0"/>
    <n v="5.020833333333333"/>
  </r>
  <r>
    <s v="T209295"/>
    <s v="Capitals Vs Punjab Kings"/>
    <s v="Punjab Kings"/>
    <x v="8"/>
    <s v="RahulChahar"/>
    <s v="not_out"/>
    <n v="25"/>
    <n v="24"/>
    <n v="2"/>
    <n v="1"/>
    <n v="4.3809523809523814"/>
  </r>
  <r>
    <s v="T209295"/>
    <s v="Capitals Vs Punjab Kings"/>
    <s v="Punjab Kings"/>
    <x v="9"/>
    <s v="KagisoRabada"/>
    <s v="out"/>
    <n v="6"/>
    <n v="2"/>
    <n v="0"/>
    <n v="1"/>
    <n v="6.4095238095238098"/>
  </r>
  <r>
    <s v="T209295"/>
    <s v="Capitals Vs Punjab Kings"/>
    <s v="Punjab Kings"/>
    <x v="10"/>
    <s v="ArshdeepSingh"/>
    <s v="not_out"/>
    <n v="2"/>
    <n v="3"/>
    <n v="0"/>
    <n v="0"/>
    <n v="5.602739726027397"/>
  </r>
  <r>
    <s v="T204939"/>
    <s v="Royals Vs Super Giants"/>
    <s v="Royals"/>
    <x v="0"/>
    <s v="YashasviJaiswal"/>
    <s v="out"/>
    <n v="41"/>
    <n v="29"/>
    <n v="6"/>
    <n v="1"/>
    <n v="4"/>
  </r>
  <r>
    <s v="T204939"/>
    <s v="Royals Vs Super Giants"/>
    <s v="Royals"/>
    <x v="1"/>
    <s v="JosButtler"/>
    <s v="out"/>
    <n v="2"/>
    <n v="6"/>
    <n v="0"/>
    <n v="0"/>
    <n v="5.453125"/>
  </r>
  <r>
    <s v="T204939"/>
    <s v="Royals Vs Super Giants"/>
    <s v="Royals"/>
    <x v="2"/>
    <s v="SanjuSamson"/>
    <s v="out"/>
    <n v="32"/>
    <n v="24"/>
    <n v="6"/>
    <n v="0"/>
    <n v="4.3809523809523814"/>
  </r>
  <r>
    <s v="T204939"/>
    <s v="Royals Vs Super Giants"/>
    <s v="Royals"/>
    <x v="3"/>
    <s v="DevduttPadikkal"/>
    <s v="out"/>
    <n v="39"/>
    <n v="18"/>
    <n v="5"/>
    <n v="2"/>
    <n v="4.5882352941176467"/>
  </r>
  <r>
    <s v="T204939"/>
    <s v="Royals Vs Super Giants"/>
    <s v="Royals"/>
    <x v="4"/>
    <s v="RiyanParag"/>
    <s v="out"/>
    <n v="19"/>
    <n v="16"/>
    <n v="0"/>
    <n v="1"/>
    <n v="4.833333333333333"/>
  </r>
  <r>
    <s v="T204939"/>
    <s v="Royals Vs Super Giants"/>
    <s v="Royals"/>
    <x v="5"/>
    <s v="JamesNeesham"/>
    <s v="out"/>
    <n v="14"/>
    <n v="12"/>
    <n v="2"/>
    <n v="0"/>
    <n v="4.7692307692307692"/>
  </r>
  <r>
    <s v="T204939"/>
    <s v="Royals Vs Super Giants"/>
    <s v="Royals"/>
    <x v="6"/>
    <s v="RavichandranAshwin"/>
    <s v="not_out"/>
    <n v="10"/>
    <n v="7"/>
    <n v="1"/>
    <n v="0"/>
    <n v="5.064516129032258"/>
  </r>
  <r>
    <s v="T204939"/>
    <s v="Royals Vs Super Giants"/>
    <s v="Royals"/>
    <x v="7"/>
    <s v="TrentBoult"/>
    <s v="not_out"/>
    <n v="17"/>
    <n v="9"/>
    <n v="2"/>
    <n v="0"/>
    <n v="4.791666666666667"/>
  </r>
  <r>
    <s v="T204939"/>
    <s v="Royals Vs Super Giants"/>
    <s v="Super Giants"/>
    <x v="0"/>
    <s v="QuintondeKock"/>
    <s v="out"/>
    <n v="7"/>
    <n v="8"/>
    <n v="1"/>
    <n v="0"/>
    <n v="4.7391304347826084"/>
  </r>
  <r>
    <s v="T204939"/>
    <s v="Royals Vs Super Giants"/>
    <s v="Super Giants"/>
    <x v="1"/>
    <s v="KLRahul"/>
    <s v="out"/>
    <n v="10"/>
    <n v="19"/>
    <n v="0"/>
    <n v="1"/>
    <n v="4.7352941176470589"/>
  </r>
  <r>
    <s v="T204939"/>
    <s v="Royals Vs Super Giants"/>
    <s v="Super Giants"/>
    <x v="2"/>
    <s v="AyushBadoni"/>
    <s v="out"/>
    <n v="0"/>
    <n v="1"/>
    <n v="0"/>
    <n v="0"/>
    <n v="6.493243243243243"/>
  </r>
  <r>
    <s v="T204939"/>
    <s v="Royals Vs Super Giants"/>
    <s v="Super Giants"/>
    <x v="3"/>
    <s v="DeepakHooda"/>
    <s v="out"/>
    <n v="59"/>
    <n v="39"/>
    <n v="5"/>
    <n v="2"/>
    <n v="2.8333333333333335"/>
  </r>
  <r>
    <s v="T204939"/>
    <s v="Royals Vs Super Giants"/>
    <s v="Super Giants"/>
    <x v="4"/>
    <s v="KrunalPandya"/>
    <s v="out"/>
    <n v="25"/>
    <n v="23"/>
    <n v="1"/>
    <n v="1"/>
    <n v="5.2692307692307692"/>
  </r>
  <r>
    <s v="T204939"/>
    <s v="Royals Vs Super Giants"/>
    <s v="Super Giants"/>
    <x v="5"/>
    <s v="MarcusStoinis"/>
    <s v="out"/>
    <n v="27"/>
    <n v="17"/>
    <n v="1"/>
    <n v="2"/>
    <n v="4.6764705882352944"/>
  </r>
  <r>
    <s v="T204939"/>
    <s v="Royals Vs Super Giants"/>
    <s v="Super Giants"/>
    <x v="6"/>
    <s v="JasonHolder"/>
    <s v="out"/>
    <n v="1"/>
    <n v="2"/>
    <n v="0"/>
    <n v="0"/>
    <n v="6.407766990291262"/>
  </r>
  <r>
    <s v="T204939"/>
    <s v="Royals Vs Super Giants"/>
    <s v="Super Giants"/>
    <x v="7"/>
    <s v="DushmanthaChameera"/>
    <s v="out"/>
    <n v="0"/>
    <n v="2"/>
    <n v="0"/>
    <n v="0"/>
    <n v="6.407766990291262"/>
  </r>
  <r>
    <s v="T204939"/>
    <s v="Royals Vs Super Giants"/>
    <s v="Super Giants"/>
    <x v="8"/>
    <s v="MohsinKhan"/>
    <s v="not_out"/>
    <n v="9"/>
    <n v="7"/>
    <n v="1"/>
    <n v="0"/>
    <n v="5.1311475409836067"/>
  </r>
  <r>
    <s v="T204939"/>
    <s v="Royals Vs Super Giants"/>
    <s v="Super Giants"/>
    <x v="9"/>
    <s v="AveshKhan"/>
    <s v="not_out"/>
    <n v="1"/>
    <n v="2"/>
    <n v="0"/>
    <n v="0"/>
    <n v="6.407766990291262"/>
  </r>
  <r>
    <s v="T204140"/>
    <s v="Super Kings Vs Titans"/>
    <s v="Super Kings"/>
    <x v="0"/>
    <s v="RuturajGaikwad"/>
    <s v="out"/>
    <n v="53"/>
    <n v="49"/>
    <n v="4"/>
    <n v="1"/>
    <n v="4.333333333333333"/>
  </r>
  <r>
    <s v="T204140"/>
    <s v="Super Kings Vs Titans"/>
    <s v="Super Kings"/>
    <x v="1"/>
    <s v="DevonConway"/>
    <s v="out"/>
    <n v="5"/>
    <n v="9"/>
    <n v="0"/>
    <n v="0"/>
    <n v="4.7021276595744679"/>
  </r>
  <r>
    <s v="T204140"/>
    <s v="Super Kings Vs Titans"/>
    <s v="Super Kings"/>
    <x v="2"/>
    <s v="MoeenAli"/>
    <s v="out"/>
    <n v="21"/>
    <n v="17"/>
    <n v="0"/>
    <n v="2"/>
    <n v="4.6764705882352944"/>
  </r>
  <r>
    <s v="T204140"/>
    <s v="Super Kings Vs Titans"/>
    <s v="Super Kings"/>
    <x v="3"/>
    <s v="NarayanJagadeesan"/>
    <s v="not_out"/>
    <n v="39"/>
    <n v="33"/>
    <n v="3"/>
    <n v="1"/>
    <n v="3.5"/>
  </r>
  <r>
    <s v="T204140"/>
    <s v="Super Kings Vs Titans"/>
    <s v="Super Kings"/>
    <x v="4"/>
    <s v="ShivamDube"/>
    <s v="out"/>
    <n v="0"/>
    <n v="2"/>
    <n v="0"/>
    <n v="0"/>
    <n v="6.407766990291262"/>
  </r>
  <r>
    <s v="T204140"/>
    <s v="Super Kings Vs Titans"/>
    <s v="Super Kings"/>
    <x v="5"/>
    <s v="MSDhoni"/>
    <s v="out"/>
    <n v="7"/>
    <n v="10"/>
    <n v="0"/>
    <n v="0"/>
    <n v="4.9074074074074074"/>
  </r>
  <r>
    <s v="T204140"/>
    <s v="Super Kings Vs Titans"/>
    <s v="Super Kings"/>
    <x v="6"/>
    <s v="MitchellSantner"/>
    <s v="not_out"/>
    <n v="1"/>
    <n v="1"/>
    <n v="0"/>
    <n v="0"/>
    <n v="6.4657534246575343"/>
  </r>
  <r>
    <s v="T204140"/>
    <s v="Super Kings Vs Titans"/>
    <s v="Titans"/>
    <x v="0"/>
    <s v="WriddhimanSaha"/>
    <s v="not_out"/>
    <n v="67"/>
    <n v="57"/>
    <n v="8"/>
    <n v="1"/>
    <n v="3.3333333333333335"/>
  </r>
  <r>
    <s v="T204140"/>
    <s v="Super Kings Vs Titans"/>
    <s v="Titans"/>
    <x v="1"/>
    <s v="ShubmanGill"/>
    <s v="out"/>
    <n v="18"/>
    <n v="17"/>
    <n v="3"/>
    <n v="0"/>
    <n v="4.6764705882352944"/>
  </r>
  <r>
    <s v="T204140"/>
    <s v="Super Kings Vs Titans"/>
    <s v="Titans"/>
    <x v="2"/>
    <s v="MatthewWade"/>
    <s v="out"/>
    <n v="20"/>
    <n v="15"/>
    <n v="2"/>
    <n v="0"/>
    <n v="4.7837837837837842"/>
  </r>
  <r>
    <s v="T204140"/>
    <s v="Super Kings Vs Titans"/>
    <s v="Titans"/>
    <x v="3"/>
    <s v="HardikPandya"/>
    <s v="out"/>
    <n v="7"/>
    <n v="6"/>
    <n v="1"/>
    <n v="0"/>
    <n v="5.453125"/>
  </r>
  <r>
    <s v="T204140"/>
    <s v="Super Kings Vs Titans"/>
    <s v="Titans"/>
    <x v="4"/>
    <s v="DavidMiller"/>
    <s v="not_out"/>
    <n v="15"/>
    <n v="20"/>
    <n v="1"/>
    <n v="0"/>
    <n v="4.6071428571428568"/>
  </r>
  <r>
    <s v="T209676"/>
    <s v="KKR Vs Sunrisers"/>
    <s v="KKR"/>
    <x v="0"/>
    <s v="VenkateshIyer"/>
    <s v="out"/>
    <n v="7"/>
    <n v="6"/>
    <n v="1"/>
    <n v="0"/>
    <n v="5.453125"/>
  </r>
  <r>
    <s v="T209676"/>
    <s v="KKR Vs Sunrisers"/>
    <s v="KKR"/>
    <x v="1"/>
    <s v="AjinkyaRahane"/>
    <s v="out"/>
    <n v="28"/>
    <n v="24"/>
    <n v="0"/>
    <n v="3"/>
    <n v="4.3809523809523814"/>
  </r>
  <r>
    <s v="T209676"/>
    <s v="KKR Vs Sunrisers"/>
    <s v="KKR"/>
    <x v="2"/>
    <s v="NitishRana"/>
    <s v="out"/>
    <n v="26"/>
    <n v="16"/>
    <n v="1"/>
    <n v="3"/>
    <n v="4.833333333333333"/>
  </r>
  <r>
    <s v="T209676"/>
    <s v="KKR Vs Sunrisers"/>
    <s v="KKR"/>
    <x v="3"/>
    <s v="ShreyasIyer"/>
    <s v="out"/>
    <n v="15"/>
    <n v="9"/>
    <n v="2"/>
    <n v="0"/>
    <n v="4.7021276595744679"/>
  </r>
  <r>
    <s v="T209676"/>
    <s v="KKR Vs Sunrisers"/>
    <s v="KKR"/>
    <x v="4"/>
    <s v="SamBillings"/>
    <s v="out"/>
    <n v="34"/>
    <n v="29"/>
    <n v="3"/>
    <n v="1"/>
    <n v="4"/>
  </r>
  <r>
    <s v="T209676"/>
    <s v="KKR Vs Sunrisers"/>
    <s v="KKR"/>
    <x v="5"/>
    <s v="RinkuSingh"/>
    <s v="out"/>
    <n v="5"/>
    <n v="6"/>
    <n v="0"/>
    <n v="0"/>
    <n v="5.453125"/>
  </r>
  <r>
    <s v="T209676"/>
    <s v="KKR Vs Sunrisers"/>
    <s v="KKR"/>
    <x v="6"/>
    <s v="AndreRussell"/>
    <s v="not_out"/>
    <n v="49"/>
    <n v="28"/>
    <n v="3"/>
    <n v="4"/>
    <n v="3.5714285714285716"/>
  </r>
  <r>
    <s v="T209676"/>
    <s v="KKR Vs Sunrisers"/>
    <s v="KKR"/>
    <x v="7"/>
    <s v="SunilNarine"/>
    <s v="not_out"/>
    <n v="1"/>
    <n v="2"/>
    <n v="0"/>
    <n v="0"/>
    <n v="6.407766990291262"/>
  </r>
  <r>
    <s v="T209676"/>
    <s v="KKR Vs Sunrisers"/>
    <s v="Sunrisers"/>
    <x v="0"/>
    <s v="AbhishekSharma"/>
    <s v="out"/>
    <n v="43"/>
    <n v="28"/>
    <n v="4"/>
    <n v="2"/>
    <n v="3.5714285714285716"/>
  </r>
  <r>
    <s v="T209676"/>
    <s v="KKR Vs Sunrisers"/>
    <s v="Sunrisers"/>
    <x v="1"/>
    <s v="KaneWilliamson"/>
    <s v="out"/>
    <n v="9"/>
    <n v="17"/>
    <n v="1"/>
    <n v="0"/>
    <n v="4.6764705882352944"/>
  </r>
  <r>
    <s v="T209676"/>
    <s v="KKR Vs Sunrisers"/>
    <s v="Sunrisers"/>
    <x v="2"/>
    <s v="RahulTripathi"/>
    <s v="out"/>
    <n v="9"/>
    <n v="12"/>
    <n v="1"/>
    <n v="0"/>
    <n v="4.7692307692307692"/>
  </r>
  <r>
    <s v="T209676"/>
    <s v="KKR Vs Sunrisers"/>
    <s v="Sunrisers"/>
    <x v="3"/>
    <s v="AidenMarkram"/>
    <s v="out"/>
    <n v="32"/>
    <n v="25"/>
    <n v="0"/>
    <n v="3"/>
    <n v="4.88"/>
  </r>
  <r>
    <s v="T209676"/>
    <s v="KKR Vs Sunrisers"/>
    <s v="Sunrisers"/>
    <x v="4"/>
    <s v="NicholasPooran"/>
    <s v="out"/>
    <n v="2"/>
    <n v="3"/>
    <n v="0"/>
    <n v="0"/>
    <n v="5.602739726027397"/>
  </r>
  <r>
    <s v="T209676"/>
    <s v="KKR Vs Sunrisers"/>
    <s v="Sunrisers"/>
    <x v="5"/>
    <s v="WashingtonSundar"/>
    <s v="out"/>
    <n v="4"/>
    <n v="9"/>
    <n v="0"/>
    <n v="0"/>
    <n v="4.8"/>
  </r>
  <r>
    <s v="T209676"/>
    <s v="KKR Vs Sunrisers"/>
    <s v="Sunrisers"/>
    <x v="6"/>
    <s v="ShashankSingh"/>
    <s v="out"/>
    <n v="11"/>
    <n v="12"/>
    <n v="1"/>
    <n v="0"/>
    <n v="4.7692307692307692"/>
  </r>
  <r>
    <s v="T209676"/>
    <s v="KKR Vs Sunrisers"/>
    <s v="Sunrisers"/>
    <x v="7"/>
    <s v="MarcoJansen"/>
    <s v="out"/>
    <n v="1"/>
    <n v="2"/>
    <n v="0"/>
    <n v="0"/>
    <n v="6.4215686274509807"/>
  </r>
  <r>
    <s v="T209676"/>
    <s v="KKR Vs Sunrisers"/>
    <s v="Sunrisers"/>
    <x v="8"/>
    <s v="BhuvneshwarKumar"/>
    <s v="not_out"/>
    <n v="6"/>
    <n v="7"/>
    <n v="1"/>
    <n v="0"/>
    <n v="5.2068965517241379"/>
  </r>
  <r>
    <s v="T209676"/>
    <s v="KKR Vs Sunrisers"/>
    <s v="Sunrisers"/>
    <x v="9"/>
    <s v="UmranMalik"/>
    <s v="not_out"/>
    <n v="3"/>
    <n v="5"/>
    <n v="0"/>
    <n v="0"/>
    <n v="5.371428571428571"/>
  </r>
  <r>
    <s v="T203332"/>
    <s v="Punjab Kings Vs RCB"/>
    <s v="Punjab Kings"/>
    <x v="0"/>
    <s v="JonnyBairstow"/>
    <s v="out"/>
    <n v="66"/>
    <n v="29"/>
    <n v="4"/>
    <n v="7"/>
    <n v="4"/>
  </r>
  <r>
    <s v="T203332"/>
    <s v="Punjab Kings Vs RCB"/>
    <s v="Punjab Kings"/>
    <x v="1"/>
    <s v="ShikharDhawan"/>
    <s v="out"/>
    <n v="21"/>
    <n v="15"/>
    <n v="2"/>
    <n v="1"/>
    <n v="4.8"/>
  </r>
  <r>
    <s v="T203332"/>
    <s v="Punjab Kings Vs RCB"/>
    <s v="Punjab Kings"/>
    <x v="2"/>
    <s v="BhanukaRajapaksa"/>
    <s v="out"/>
    <n v="1"/>
    <n v="3"/>
    <n v="0"/>
    <n v="0"/>
    <n v="5.541666666666667"/>
  </r>
  <r>
    <s v="T203332"/>
    <s v="Punjab Kings Vs RCB"/>
    <s v="Punjab Kings"/>
    <x v="3"/>
    <s v="LiamLivingstone"/>
    <s v="out"/>
    <n v="70"/>
    <n v="42"/>
    <n v="5"/>
    <n v="4"/>
    <n v="3.5882352941176472"/>
  </r>
  <r>
    <s v="T203332"/>
    <s v="Punjab Kings Vs RCB"/>
    <s v="Punjab Kings"/>
    <x v="4"/>
    <s v="MayankAgarwal"/>
    <s v="out"/>
    <n v="19"/>
    <n v="16"/>
    <n v="3"/>
    <n v="0"/>
    <n v="4.833333333333333"/>
  </r>
  <r>
    <s v="T203332"/>
    <s v="Punjab Kings Vs RCB"/>
    <s v="Punjab Kings"/>
    <x v="5"/>
    <s v="JiteshSharma"/>
    <s v="out"/>
    <n v="9"/>
    <n v="5"/>
    <n v="2"/>
    <n v="0"/>
    <n v="5.371428571428571"/>
  </r>
  <r>
    <s v="T203332"/>
    <s v="Punjab Kings Vs RCB"/>
    <s v="Punjab Kings"/>
    <x v="6"/>
    <s v="HarpreetBrar"/>
    <s v="out"/>
    <n v="7"/>
    <n v="5"/>
    <n v="0"/>
    <n v="1"/>
    <n v="5.371428571428571"/>
  </r>
  <r>
    <s v="T203332"/>
    <s v="Punjab Kings Vs RCB"/>
    <s v="Punjab Kings"/>
    <x v="7"/>
    <s v="RishiDhawan"/>
    <s v="out"/>
    <n v="7"/>
    <n v="3"/>
    <n v="0"/>
    <n v="1"/>
    <n v="5.541666666666667"/>
  </r>
  <r>
    <s v="T203332"/>
    <s v="Punjab Kings Vs RCB"/>
    <s v="Punjab Kings"/>
    <x v="8"/>
    <s v="RahulChahar"/>
    <s v="out"/>
    <n v="2"/>
    <n v="2"/>
    <n v="0"/>
    <n v="0"/>
    <n v="6.4215686274509807"/>
  </r>
  <r>
    <s v="T203332"/>
    <s v="Punjab Kings Vs RCB"/>
    <s v="Punjab Kings"/>
    <x v="9"/>
    <s v="KagisoRabada"/>
    <s v="not_out"/>
    <n v="0"/>
    <n v="1"/>
    <n v="0"/>
    <n v="0"/>
    <n v="6.464788732394366"/>
  </r>
  <r>
    <s v="T203332"/>
    <s v="Punjab Kings Vs RCB"/>
    <s v="RCB"/>
    <x v="0"/>
    <s v="ViratKohli"/>
    <s v="out"/>
    <n v="20"/>
    <n v="14"/>
    <n v="2"/>
    <n v="1"/>
    <n v="4.8076923076923075"/>
  </r>
  <r>
    <s v="T203332"/>
    <s v="Punjab Kings Vs RCB"/>
    <s v="RCB"/>
    <x v="1"/>
    <s v="FafduPlessis"/>
    <s v="out"/>
    <n v="10"/>
    <n v="8"/>
    <n v="2"/>
    <n v="0"/>
    <n v="4.7391304347826084"/>
  </r>
  <r>
    <s v="T203332"/>
    <s v="Punjab Kings Vs RCB"/>
    <s v="RCB"/>
    <x v="2"/>
    <s v="RajatPatidar"/>
    <s v="out"/>
    <n v="26"/>
    <n v="21"/>
    <n v="1"/>
    <n v="2"/>
    <n v="4.7619047619047619"/>
  </r>
  <r>
    <s v="T203332"/>
    <s v="Punjab Kings Vs RCB"/>
    <s v="RCB"/>
    <x v="3"/>
    <s v="MahipalLomror"/>
    <s v="out"/>
    <n v="6"/>
    <n v="3"/>
    <n v="0"/>
    <n v="1"/>
    <n v="5.541666666666667"/>
  </r>
  <r>
    <s v="T203332"/>
    <s v="Punjab Kings Vs RCB"/>
    <s v="RCB"/>
    <x v="4"/>
    <s v="GlennMaxwell"/>
    <s v="out"/>
    <n v="35"/>
    <n v="22"/>
    <n v="3"/>
    <n v="1"/>
    <n v="4.6764705882352944"/>
  </r>
  <r>
    <s v="T203332"/>
    <s v="Punjab Kings Vs RCB"/>
    <s v="RCB"/>
    <x v="5"/>
    <s v="DineshKarthik"/>
    <s v="out"/>
    <n v="11"/>
    <n v="11"/>
    <n v="1"/>
    <n v="0"/>
    <n v="4.7714285714285714"/>
  </r>
  <r>
    <s v="T203332"/>
    <s v="Punjab Kings Vs RCB"/>
    <s v="RCB"/>
    <x v="6"/>
    <s v="ShahbazAhmed"/>
    <s v="out"/>
    <n v="9"/>
    <n v="14"/>
    <n v="0"/>
    <n v="0"/>
    <n v="4.8076923076923075"/>
  </r>
  <r>
    <s v="T203332"/>
    <s v="Punjab Kings Vs RCB"/>
    <s v="RCB"/>
    <x v="7"/>
    <s v="HarshalPatel"/>
    <s v="out"/>
    <n v="11"/>
    <n v="7"/>
    <n v="2"/>
    <n v="0"/>
    <n v="5.125"/>
  </r>
  <r>
    <s v="T203332"/>
    <s v="Punjab Kings Vs RCB"/>
    <s v="RCB"/>
    <x v="8"/>
    <s v="WaninduHasaranga"/>
    <s v="out"/>
    <n v="1"/>
    <n v="3"/>
    <n v="0"/>
    <n v="0"/>
    <n v="5.541666666666667"/>
  </r>
  <r>
    <s v="T203332"/>
    <s v="Punjab Kings Vs RCB"/>
    <s v="RCB"/>
    <x v="9"/>
    <s v="MohammedSiraj"/>
    <s v="not_out"/>
    <n v="9"/>
    <n v="13"/>
    <n v="1"/>
    <n v="0"/>
    <n v="5.020833333333333"/>
  </r>
  <r>
    <s v="T203332"/>
    <s v="Punjab Kings Vs RCB"/>
    <s v="RCB"/>
    <x v="10"/>
    <s v="JoshHazlewood"/>
    <s v="not_out"/>
    <n v="7"/>
    <n v="4"/>
    <n v="1"/>
    <n v="0"/>
    <n v="5.3478260869565215"/>
  </r>
  <r>
    <s v="T203878"/>
    <s v="Super Kings Vs Mumbai"/>
    <s v="Super Kings"/>
    <x v="0"/>
    <s v="RuturajGaikwad"/>
    <s v="out"/>
    <n v="7"/>
    <n v="6"/>
    <n v="1"/>
    <n v="0"/>
    <n v="5.419354838709677"/>
  </r>
  <r>
    <s v="T203878"/>
    <s v="Super Kings Vs Mumbai"/>
    <s v="Super Kings"/>
    <x v="1"/>
    <s v="DevonConway"/>
    <s v="out"/>
    <n v="0"/>
    <n v="1"/>
    <n v="0"/>
    <n v="0"/>
    <n v="6.4468085106382977"/>
  </r>
  <r>
    <s v="T203878"/>
    <s v="Super Kings Vs Mumbai"/>
    <s v="Super Kings"/>
    <x v="2"/>
    <s v="MoeenAli"/>
    <s v="out"/>
    <n v="0"/>
    <n v="2"/>
    <n v="0"/>
    <n v="0"/>
    <n v="6.3960396039603964"/>
  </r>
  <r>
    <s v="T203878"/>
    <s v="Super Kings Vs Mumbai"/>
    <s v="Super Kings"/>
    <x v="3"/>
    <s v="RobinUthappa"/>
    <s v="out"/>
    <n v="1"/>
    <n v="6"/>
    <n v="0"/>
    <n v="0"/>
    <n v="5.419354838709677"/>
  </r>
  <r>
    <s v="T203878"/>
    <s v="Super Kings Vs Mumbai"/>
    <s v="Super Kings"/>
    <x v="4"/>
    <s v="AmbatiRayudu"/>
    <s v="out"/>
    <n v="10"/>
    <n v="14"/>
    <n v="2"/>
    <n v="0"/>
    <n v="4.8076923076923075"/>
  </r>
  <r>
    <s v="T203878"/>
    <s v="Super Kings Vs Mumbai"/>
    <s v="Super Kings"/>
    <x v="5"/>
    <s v="MSDhoni"/>
    <s v="not_out"/>
    <n v="36"/>
    <n v="33"/>
    <n v="4"/>
    <n v="2"/>
    <n v="3.5"/>
  </r>
  <r>
    <s v="T203878"/>
    <s v="Super Kings Vs Mumbai"/>
    <s v="Super Kings"/>
    <x v="6"/>
    <s v="ShivamDube"/>
    <s v="out"/>
    <n v="10"/>
    <n v="9"/>
    <n v="1"/>
    <n v="0"/>
    <n v="4.5952380952380949"/>
  </r>
  <r>
    <s v="T203878"/>
    <s v="Super Kings Vs Mumbai"/>
    <s v="Super Kings"/>
    <x v="7"/>
    <s v="DwayneBravo"/>
    <s v="out"/>
    <n v="12"/>
    <n v="15"/>
    <n v="0"/>
    <n v="1"/>
    <n v="4.8"/>
  </r>
  <r>
    <s v="T203878"/>
    <s v="Super Kings Vs Mumbai"/>
    <s v="Super Kings"/>
    <x v="8"/>
    <s v="SimarjeetSingh"/>
    <s v="out"/>
    <n v="2"/>
    <n v="3"/>
    <n v="0"/>
    <n v="0"/>
    <n v="5.541666666666667"/>
  </r>
  <r>
    <s v="T203878"/>
    <s v="Super Kings Vs Mumbai"/>
    <s v="Super Kings"/>
    <x v="9"/>
    <s v="MaheeshTheekshana"/>
    <s v="out"/>
    <n v="0"/>
    <n v="3"/>
    <n v="0"/>
    <n v="0"/>
    <n v="5.541666666666667"/>
  </r>
  <r>
    <s v="T203878"/>
    <s v="Super Kings Vs Mumbai"/>
    <s v="Super Kings"/>
    <x v="10"/>
    <s v="MukeshChoudhary"/>
    <s v="out"/>
    <n v="4"/>
    <n v="4"/>
    <n v="1"/>
    <n v="0"/>
    <n v="5.3478260869565215"/>
  </r>
  <r>
    <s v="T203878"/>
    <s v="Super Kings Vs Mumbai"/>
    <s v="Mumbai"/>
    <x v="0"/>
    <s v="IshanKishan"/>
    <s v="out"/>
    <n v="6"/>
    <n v="5"/>
    <n v="1"/>
    <n v="0"/>
    <n v="5.371428571428571"/>
  </r>
  <r>
    <s v="T203878"/>
    <s v="Super Kings Vs Mumbai"/>
    <s v="Mumbai"/>
    <x v="1"/>
    <s v="RohitSharma"/>
    <s v="out"/>
    <n v="18"/>
    <n v="14"/>
    <n v="4"/>
    <n v="0"/>
    <n v="4.8076923076923075"/>
  </r>
  <r>
    <s v="T203878"/>
    <s v="Super Kings Vs Mumbai"/>
    <s v="Mumbai"/>
    <x v="2"/>
    <s v="DanielSams"/>
    <s v="out"/>
    <n v="1"/>
    <n v="6"/>
    <n v="0"/>
    <n v="0"/>
    <n v="5.4918032786885247"/>
  </r>
  <r>
    <s v="T203878"/>
    <s v="Super Kings Vs Mumbai"/>
    <s v="Mumbai"/>
    <x v="3"/>
    <s v="TilakVarma"/>
    <s v="not_out"/>
    <n v="34"/>
    <n v="32"/>
    <n v="4"/>
    <n v="0"/>
    <n v="4.5555555555555554"/>
  </r>
  <r>
    <s v="T203878"/>
    <s v="Super Kings Vs Mumbai"/>
    <s v="Mumbai"/>
    <x v="4"/>
    <s v="TristanStubbs"/>
    <s v="out"/>
    <n v="0"/>
    <n v="2"/>
    <n v="0"/>
    <n v="0"/>
    <n v="6.37"/>
  </r>
  <r>
    <s v="T203878"/>
    <s v="Super Kings Vs Mumbai"/>
    <s v="Mumbai"/>
    <x v="5"/>
    <s v="HrithikShokeen"/>
    <s v="out"/>
    <n v="18"/>
    <n v="23"/>
    <n v="2"/>
    <n v="0"/>
    <n v="5.2692307692307692"/>
  </r>
  <r>
    <s v="T203878"/>
    <s v="Super Kings Vs Mumbai"/>
    <s v="Mumbai"/>
    <x v="6"/>
    <s v="TimDavid"/>
    <s v="not_out"/>
    <n v="16"/>
    <n v="7"/>
    <n v="0"/>
    <n v="2"/>
    <n v="5.0925925925925926"/>
  </r>
  <r>
    <s v="T201826"/>
    <s v="Royals Vs Capitals"/>
    <s v="Royals"/>
    <x v="0"/>
    <s v="YashasviJaiswal"/>
    <s v="out"/>
    <n v="19"/>
    <n v="19"/>
    <n v="1"/>
    <n v="1"/>
    <n v="4.7272727272727275"/>
  </r>
  <r>
    <s v="T201826"/>
    <s v="Royals Vs Capitals"/>
    <s v="Royals"/>
    <x v="1"/>
    <s v="JosButtler"/>
    <s v="out"/>
    <n v="7"/>
    <n v="11"/>
    <n v="1"/>
    <n v="0"/>
    <n v="4.6363636363636367"/>
  </r>
  <r>
    <s v="T201826"/>
    <s v="Royals Vs Capitals"/>
    <s v="Royals"/>
    <x v="2"/>
    <s v="RavichandranAshwin"/>
    <s v="out"/>
    <n v="50"/>
    <n v="38"/>
    <n v="4"/>
    <n v="2"/>
    <n v="4.2142857142857144"/>
  </r>
  <r>
    <s v="T201826"/>
    <s v="Royals Vs Capitals"/>
    <s v="Royals"/>
    <x v="3"/>
    <s v="DevduttPadikkal"/>
    <s v="out"/>
    <n v="48"/>
    <n v="30"/>
    <n v="6"/>
    <n v="2"/>
    <n v="3.6666666666666665"/>
  </r>
  <r>
    <s v="T201826"/>
    <s v="Royals Vs Capitals"/>
    <s v="Royals"/>
    <x v="4"/>
    <s v="SanjuSamson"/>
    <s v="out"/>
    <n v="6"/>
    <n v="4"/>
    <n v="1"/>
    <n v="0"/>
    <n v="5.2647058823529411"/>
  </r>
  <r>
    <s v="T201826"/>
    <s v="Royals Vs Capitals"/>
    <s v="Royals"/>
    <x v="5"/>
    <s v="RiyanParag"/>
    <s v="out"/>
    <n v="9"/>
    <n v="5"/>
    <n v="0"/>
    <n v="1"/>
    <n v="5.371428571428571"/>
  </r>
  <r>
    <s v="T201826"/>
    <s v="Royals Vs Capitals"/>
    <s v="Royals"/>
    <x v="6"/>
    <s v="RassievanderDussen"/>
    <s v="not_out"/>
    <n v="12"/>
    <n v="10"/>
    <n v="1"/>
    <n v="0"/>
    <n v="4.9215686274509807"/>
  </r>
  <r>
    <s v="T201826"/>
    <s v="Royals Vs Capitals"/>
    <s v="Royals"/>
    <x v="7"/>
    <s v="TrentBoult"/>
    <s v="not_out"/>
    <n v="3"/>
    <n v="3"/>
    <n v="0"/>
    <n v="0"/>
    <n v="5.541666666666667"/>
  </r>
  <r>
    <s v="T201826"/>
    <s v="Royals Vs Capitals"/>
    <s v="Capitals"/>
    <x v="0"/>
    <s v="SrikarBharat"/>
    <s v="out"/>
    <n v="0"/>
    <n v="2"/>
    <n v="0"/>
    <n v="0"/>
    <n v="6.37"/>
  </r>
  <r>
    <s v="T201826"/>
    <s v="Royals Vs Capitals"/>
    <s v="Capitals"/>
    <x v="1"/>
    <s v="DavidWarner"/>
    <s v="not_out"/>
    <n v="52"/>
    <n v="41"/>
    <n v="5"/>
    <n v="1"/>
    <n v="3.5625"/>
  </r>
  <r>
    <s v="T201826"/>
    <s v="Royals Vs Capitals"/>
    <s v="Capitals"/>
    <x v="2"/>
    <s v="MitchellMarsh"/>
    <s v="out"/>
    <n v="89"/>
    <n v="62"/>
    <n v="5"/>
    <n v="7"/>
    <n v="3.3333333333333335"/>
  </r>
  <r>
    <s v="T201826"/>
    <s v="Royals Vs Capitals"/>
    <s v="Capitals"/>
    <x v="3"/>
    <s v="RishabhPant"/>
    <s v="not_out"/>
    <n v="13"/>
    <n v="4"/>
    <n v="0"/>
    <n v="2"/>
    <n v="5.2647058823529411"/>
  </r>
  <r>
    <s v="T207400"/>
    <s v="Titans Vs Super Giants"/>
    <s v="Titans"/>
    <x v="0"/>
    <s v="WriddhimanSaha"/>
    <s v="out"/>
    <n v="5"/>
    <n v="11"/>
    <n v="1"/>
    <n v="0"/>
    <n v="4.6363636363636367"/>
  </r>
  <r>
    <s v="T207400"/>
    <s v="Titans Vs Super Giants"/>
    <s v="Titans"/>
    <x v="1"/>
    <s v="ShubmanGill"/>
    <s v="not_out"/>
    <n v="63"/>
    <n v="49"/>
    <n v="7"/>
    <n v="0"/>
    <n v="4"/>
  </r>
  <r>
    <s v="T207400"/>
    <s v="Titans Vs Super Giants"/>
    <s v="Titans"/>
    <x v="2"/>
    <s v="MatthewWade"/>
    <s v="out"/>
    <n v="10"/>
    <n v="7"/>
    <n v="2"/>
    <n v="0"/>
    <n v="5.1509433962264151"/>
  </r>
  <r>
    <s v="T207400"/>
    <s v="Titans Vs Super Giants"/>
    <s v="Titans"/>
    <x v="3"/>
    <s v="HardikPandya"/>
    <s v="out"/>
    <n v="11"/>
    <n v="13"/>
    <n v="0"/>
    <n v="0"/>
    <n v="5.042553191489362"/>
  </r>
  <r>
    <s v="T207400"/>
    <s v="Titans Vs Super Giants"/>
    <s v="Titans"/>
    <x v="4"/>
    <s v="DavidMiller"/>
    <s v="out"/>
    <n v="26"/>
    <n v="24"/>
    <n v="1"/>
    <n v="1"/>
    <n v="4.3809523809523814"/>
  </r>
  <r>
    <s v="T207400"/>
    <s v="Titans Vs Super Giants"/>
    <s v="Titans"/>
    <x v="5"/>
    <s v="RahulTewatia"/>
    <s v="not_out"/>
    <n v="22"/>
    <n v="16"/>
    <n v="4"/>
    <n v="0"/>
    <n v="4.7586206896551726"/>
  </r>
  <r>
    <s v="T207400"/>
    <s v="Titans Vs Super Giants"/>
    <s v="Super Giants"/>
    <x v="0"/>
    <s v="QuintondeKock"/>
    <s v="out"/>
    <n v="11"/>
    <n v="10"/>
    <n v="0"/>
    <n v="1"/>
    <n v="4.96"/>
  </r>
  <r>
    <s v="T207400"/>
    <s v="Titans Vs Super Giants"/>
    <s v="Super Giants"/>
    <x v="1"/>
    <s v="KLRahul"/>
    <s v="out"/>
    <n v="8"/>
    <n v="16"/>
    <n v="1"/>
    <n v="0"/>
    <n v="4.7586206896551726"/>
  </r>
  <r>
    <s v="T207400"/>
    <s v="Titans Vs Super Giants"/>
    <s v="Super Giants"/>
    <x v="2"/>
    <s v="DeepakHooda"/>
    <s v="out"/>
    <n v="27"/>
    <n v="26"/>
    <n v="3"/>
    <n v="0"/>
    <n v="3.9375"/>
  </r>
  <r>
    <s v="T207400"/>
    <s v="Titans Vs Super Giants"/>
    <s v="Super Giants"/>
    <x v="3"/>
    <s v="KaranSharma"/>
    <s v="out"/>
    <n v="4"/>
    <n v="4"/>
    <n v="1"/>
    <n v="0"/>
    <n v="5.2647058823529411"/>
  </r>
  <r>
    <s v="T207400"/>
    <s v="Titans Vs Super Giants"/>
    <s v="Super Giants"/>
    <x v="4"/>
    <s v="KrunalPandya"/>
    <s v="out"/>
    <n v="5"/>
    <n v="5"/>
    <n v="1"/>
    <n v="0"/>
    <n v="5.4347826086956523"/>
  </r>
  <r>
    <s v="T207400"/>
    <s v="Titans Vs Super Giants"/>
    <s v="Super Giants"/>
    <x v="5"/>
    <s v="AyushBadoni"/>
    <s v="out"/>
    <n v="8"/>
    <n v="11"/>
    <n v="1"/>
    <n v="0"/>
    <n v="4.774193548387097"/>
  </r>
  <r>
    <s v="T207400"/>
    <s v="Titans Vs Super Giants"/>
    <s v="Super Giants"/>
    <x v="6"/>
    <s v="MarcusStoinis"/>
    <s v="out"/>
    <n v="2"/>
    <n v="2"/>
    <n v="0"/>
    <n v="0"/>
    <n v="6.37"/>
  </r>
  <r>
    <s v="T207400"/>
    <s v="Titans Vs Super Giants"/>
    <s v="Super Giants"/>
    <x v="7"/>
    <s v="JasonHolder"/>
    <s v="out"/>
    <n v="1"/>
    <n v="2"/>
    <n v="0"/>
    <n v="0"/>
    <n v="6.3636363636363633"/>
  </r>
  <r>
    <s v="T207400"/>
    <s v="Titans Vs Super Giants"/>
    <s v="Super Giants"/>
    <x v="8"/>
    <s v="MohsinKhan"/>
    <s v="out"/>
    <n v="1"/>
    <n v="3"/>
    <n v="0"/>
    <n v="0"/>
    <n v="5.507042253521127"/>
  </r>
  <r>
    <s v="T207400"/>
    <s v="Titans Vs Super Giants"/>
    <s v="Super Giants"/>
    <x v="9"/>
    <s v="DushmanthaChameera"/>
    <s v="not_out"/>
    <n v="0"/>
    <n v="0"/>
    <n v="0"/>
    <n v="0"/>
    <n v="6.1300813008130079"/>
  </r>
  <r>
    <s v="T207400"/>
    <s v="Titans Vs Super Giants"/>
    <s v="Super Giants"/>
    <x v="10"/>
    <s v="AveshKhan"/>
    <s v="out"/>
    <n v="12"/>
    <n v="4"/>
    <n v="0"/>
    <n v="2"/>
    <n v="5.2835820895522385"/>
  </r>
  <r>
    <s v="T203087"/>
    <s v="KKR Vs Mumbai"/>
    <s v="KKR"/>
    <x v="0"/>
    <s v="VenkateshIyer"/>
    <s v="out"/>
    <n v="43"/>
    <n v="24"/>
    <n v="3"/>
    <n v="4"/>
    <n v="4.3809523809523814"/>
  </r>
  <r>
    <s v="T203087"/>
    <s v="KKR Vs Mumbai"/>
    <s v="KKR"/>
    <x v="1"/>
    <s v="AjinkyaRahane"/>
    <s v="out"/>
    <n v="25"/>
    <n v="24"/>
    <n v="3"/>
    <n v="0"/>
    <n v="4.3809523809523814"/>
  </r>
  <r>
    <s v="T203087"/>
    <s v="KKR Vs Mumbai"/>
    <s v="KKR"/>
    <x v="2"/>
    <s v="NitishRana"/>
    <s v="out"/>
    <n v="43"/>
    <n v="26"/>
    <n v="3"/>
    <n v="4"/>
    <n v="3.9375"/>
  </r>
  <r>
    <s v="T203087"/>
    <s v="KKR Vs Mumbai"/>
    <s v="KKR"/>
    <x v="3"/>
    <s v="ShreyasIyer"/>
    <s v="out"/>
    <n v="6"/>
    <n v="8"/>
    <n v="1"/>
    <n v="0"/>
    <n v="4.7611940298507465"/>
  </r>
  <r>
    <s v="T203087"/>
    <s v="KKR Vs Mumbai"/>
    <s v="KKR"/>
    <x v="4"/>
    <s v="AndreRussell"/>
    <s v="out"/>
    <n v="9"/>
    <n v="5"/>
    <n v="0"/>
    <n v="1"/>
    <n v="5.4411764705882355"/>
  </r>
  <r>
    <s v="T203087"/>
    <s v="KKR Vs Mumbai"/>
    <s v="KKR"/>
    <x v="5"/>
    <s v="RinkuSingh"/>
    <s v="not_out"/>
    <n v="23"/>
    <n v="19"/>
    <n v="2"/>
    <n v="1"/>
    <n v="4.84375"/>
  </r>
  <r>
    <s v="T203087"/>
    <s v="KKR Vs Mumbai"/>
    <s v="KKR"/>
    <x v="6"/>
    <s v="SheldonJackson"/>
    <s v="out"/>
    <n v="5"/>
    <n v="7"/>
    <n v="0"/>
    <n v="0"/>
    <n v="5.1509433962264151"/>
  </r>
  <r>
    <s v="T203087"/>
    <s v="KKR Vs Mumbai"/>
    <s v="KKR"/>
    <x v="7"/>
    <s v="PatCummins"/>
    <s v="out"/>
    <n v="0"/>
    <n v="2"/>
    <n v="0"/>
    <n v="0"/>
    <n v="6.3636363636363633"/>
  </r>
  <r>
    <s v="T203087"/>
    <s v="KKR Vs Mumbai"/>
    <s v="KKR"/>
    <x v="8"/>
    <s v="SunilNarine"/>
    <s v="out"/>
    <n v="0"/>
    <n v="1"/>
    <n v="0"/>
    <n v="0"/>
    <n v="6.4598540145985401"/>
  </r>
  <r>
    <s v="T203087"/>
    <s v="KKR Vs Mumbai"/>
    <s v="KKR"/>
    <x v="9"/>
    <s v="TimSouthee"/>
    <s v="out"/>
    <n v="0"/>
    <n v="4"/>
    <n v="0"/>
    <n v="0"/>
    <n v="5.2835820895522385"/>
  </r>
  <r>
    <s v="T203087"/>
    <s v="KKR Vs Mumbai"/>
    <s v="KKR"/>
    <x v="10"/>
    <s v="VarunChakravarthy"/>
    <s v="not_out"/>
    <n v="0"/>
    <n v="0"/>
    <n v="0"/>
    <n v="0"/>
    <n v="6.0785123966942152"/>
  </r>
  <r>
    <s v="T203087"/>
    <s v="KKR Vs Mumbai"/>
    <s v="Mumbai"/>
    <x v="0"/>
    <s v="RohitSharma"/>
    <s v="out"/>
    <n v="2"/>
    <n v="6"/>
    <n v="0"/>
    <n v="0"/>
    <n v="5.5254237288135597"/>
  </r>
  <r>
    <s v="T203087"/>
    <s v="KKR Vs Mumbai"/>
    <s v="Mumbai"/>
    <x v="1"/>
    <s v="IshanKishan"/>
    <s v="out"/>
    <n v="51"/>
    <n v="43"/>
    <n v="5"/>
    <n v="1"/>
    <n v="3.5"/>
  </r>
  <r>
    <s v="T203087"/>
    <s v="KKR Vs Mumbai"/>
    <s v="Mumbai"/>
    <x v="2"/>
    <s v="TilakVarma"/>
    <s v="out"/>
    <n v="6"/>
    <n v="5"/>
    <n v="1"/>
    <n v="0"/>
    <n v="5.4179104477611943"/>
  </r>
  <r>
    <s v="T203087"/>
    <s v="KKR Vs Mumbai"/>
    <s v="Mumbai"/>
    <x v="3"/>
    <s v="RamandeepSingh"/>
    <s v="out"/>
    <n v="12"/>
    <n v="16"/>
    <n v="0"/>
    <n v="0"/>
    <n v="4.7586206896551726"/>
  </r>
  <r>
    <s v="T203087"/>
    <s v="KKR Vs Mumbai"/>
    <s v="Mumbai"/>
    <x v="4"/>
    <s v="TimDavid"/>
    <s v="out"/>
    <n v="13"/>
    <n v="9"/>
    <n v="3"/>
    <n v="0"/>
    <n v="4.55"/>
  </r>
  <r>
    <s v="T203087"/>
    <s v="KKR Vs Mumbai"/>
    <s v="Mumbai"/>
    <x v="5"/>
    <s v="KieronPollard"/>
    <s v="out"/>
    <n v="15"/>
    <n v="16"/>
    <n v="0"/>
    <n v="1"/>
    <n v="4.7586206896551726"/>
  </r>
  <r>
    <s v="T203087"/>
    <s v="KKR Vs Mumbai"/>
    <s v="Mumbai"/>
    <x v="6"/>
    <s v="DanielSams"/>
    <s v="out"/>
    <n v="1"/>
    <n v="2"/>
    <n v="0"/>
    <n v="0"/>
    <n v="6.4183673469387754"/>
  </r>
  <r>
    <s v="T203087"/>
    <s v="KKR Vs Mumbai"/>
    <s v="Mumbai"/>
    <x v="7"/>
    <s v="MuruganAshwin"/>
    <s v="out"/>
    <n v="0"/>
    <n v="2"/>
    <n v="0"/>
    <n v="0"/>
    <n v="6.4183673469387754"/>
  </r>
  <r>
    <s v="T203087"/>
    <s v="KKR Vs Mumbai"/>
    <s v="Mumbai"/>
    <x v="8"/>
    <s v="KumarKartikeya"/>
    <s v="out"/>
    <n v="3"/>
    <n v="5"/>
    <n v="0"/>
    <n v="0"/>
    <n v="5.4179104477611943"/>
  </r>
  <r>
    <s v="T203087"/>
    <s v="KKR Vs Mumbai"/>
    <s v="Mumbai"/>
    <x v="9"/>
    <s v="JaspritBumrah"/>
    <s v="out"/>
    <n v="0"/>
    <n v="0"/>
    <n v="0"/>
    <n v="0"/>
    <n v="6.05"/>
  </r>
  <r>
    <s v="T203087"/>
    <s v="KKR Vs Mumbai"/>
    <s v="Mumbai"/>
    <x v="10"/>
    <s v="RileyMeredith"/>
    <s v="not_out"/>
    <n v="0"/>
    <n v="1"/>
    <n v="0"/>
    <n v="0"/>
    <n v="6.4558823529411766"/>
  </r>
  <r>
    <s v="T205352"/>
    <s v="Super Kings Vs Capitals"/>
    <s v="Super Kings"/>
    <x v="0"/>
    <s v="RuturajGaikwad"/>
    <s v="out"/>
    <n v="41"/>
    <n v="33"/>
    <n v="4"/>
    <n v="1"/>
    <n v="3.5"/>
  </r>
  <r>
    <s v="T205352"/>
    <s v="Super Kings Vs Capitals"/>
    <s v="Super Kings"/>
    <x v="1"/>
    <s v="DevonConway"/>
    <s v="out"/>
    <n v="87"/>
    <n v="49"/>
    <n v="7"/>
    <n v="5"/>
    <n v="4"/>
  </r>
  <r>
    <s v="T205352"/>
    <s v="Super Kings Vs Capitals"/>
    <s v="Super Kings"/>
    <x v="2"/>
    <s v="ShivamDube"/>
    <s v="out"/>
    <n v="32"/>
    <n v="19"/>
    <n v="2"/>
    <n v="2"/>
    <n v="4.84375"/>
  </r>
  <r>
    <s v="T205352"/>
    <s v="Super Kings Vs Capitals"/>
    <s v="Super Kings"/>
    <x v="3"/>
    <s v="AmbatiRayudu"/>
    <s v="out"/>
    <n v="5"/>
    <n v="6"/>
    <n v="1"/>
    <n v="0"/>
    <n v="5.568965517241379"/>
  </r>
  <r>
    <s v="T205352"/>
    <s v="Super Kings Vs Capitals"/>
    <s v="Super Kings"/>
    <x v="4"/>
    <s v="MSDhoni"/>
    <s v="not_out"/>
    <n v="21"/>
    <n v="8"/>
    <n v="1"/>
    <n v="2"/>
    <n v="4.7611940298507465"/>
  </r>
  <r>
    <s v="T205352"/>
    <s v="Super Kings Vs Capitals"/>
    <s v="Super Kings"/>
    <x v="5"/>
    <s v="MoeenAli"/>
    <s v="out"/>
    <n v="9"/>
    <n v="4"/>
    <n v="2"/>
    <n v="0"/>
    <n v="5.2835820895522385"/>
  </r>
  <r>
    <s v="T205352"/>
    <s v="Super Kings Vs Capitals"/>
    <s v="Super Kings"/>
    <x v="6"/>
    <s v="RobinUthappa"/>
    <s v="out"/>
    <n v="0"/>
    <n v="1"/>
    <n v="0"/>
    <n v="0"/>
    <n v="6.4558823529411766"/>
  </r>
  <r>
    <s v="T205352"/>
    <s v="Super Kings Vs Capitals"/>
    <s v="Super Kings"/>
    <x v="7"/>
    <s v="DwayneBravo"/>
    <s v="not_out"/>
    <n v="1"/>
    <n v="1"/>
    <n v="0"/>
    <n v="0"/>
    <n v="6.4558823529411766"/>
  </r>
  <r>
    <s v="T205352"/>
    <s v="Super Kings Vs Capitals"/>
    <s v="Capitals"/>
    <x v="0"/>
    <s v="DavidWarner"/>
    <s v="out"/>
    <n v="19"/>
    <n v="12"/>
    <n v="1"/>
    <n v="2"/>
    <n v="4.541666666666667"/>
  </r>
  <r>
    <s v="T205352"/>
    <s v="Super Kings Vs Capitals"/>
    <s v="Capitals"/>
    <x v="1"/>
    <s v="SrikarBharat"/>
    <s v="out"/>
    <n v="8"/>
    <n v="5"/>
    <n v="2"/>
    <n v="0"/>
    <n v="5.4393939393939394"/>
  </r>
  <r>
    <s v="T205352"/>
    <s v="Super Kings Vs Capitals"/>
    <s v="Capitals"/>
    <x v="2"/>
    <s v="MitchellMarsh"/>
    <s v="out"/>
    <n v="25"/>
    <n v="20"/>
    <n v="3"/>
    <n v="1"/>
    <n v="4.7407407407407405"/>
  </r>
  <r>
    <s v="T205352"/>
    <s v="Super Kings Vs Capitals"/>
    <s v="Capitals"/>
    <x v="3"/>
    <s v="RishabhPant"/>
    <s v="out"/>
    <n v="21"/>
    <n v="11"/>
    <n v="4"/>
    <n v="0"/>
    <n v="4.774193548387097"/>
  </r>
  <r>
    <s v="T205352"/>
    <s v="Super Kings Vs Capitals"/>
    <s v="Capitals"/>
    <x v="4"/>
    <s v="RovmanPowell"/>
    <s v="out"/>
    <n v="3"/>
    <n v="9"/>
    <n v="0"/>
    <n v="0"/>
    <n v="4.5128205128205128"/>
  </r>
  <r>
    <s v="T205352"/>
    <s v="Super Kings Vs Capitals"/>
    <s v="Capitals"/>
    <x v="5"/>
    <s v="RipalPatel"/>
    <s v="out"/>
    <n v="6"/>
    <n v="3"/>
    <n v="0"/>
    <n v="1"/>
    <n v="5.4637681159420293"/>
  </r>
  <r>
    <s v="T205352"/>
    <s v="Super Kings Vs Capitals"/>
    <s v="Capitals"/>
    <x v="6"/>
    <s v="AxarPatel"/>
    <s v="out"/>
    <n v="1"/>
    <n v="3"/>
    <n v="0"/>
    <n v="0"/>
    <n v="5.4637681159420293"/>
  </r>
  <r>
    <s v="T205352"/>
    <s v="Super Kings Vs Capitals"/>
    <s v="Capitals"/>
    <x v="7"/>
    <s v="ShardulThakur"/>
    <s v="out"/>
    <n v="24"/>
    <n v="19"/>
    <n v="2"/>
    <n v="1"/>
    <n v="4.967741935483871"/>
  </r>
  <r>
    <s v="T205352"/>
    <s v="Super Kings Vs Capitals"/>
    <s v="Capitals"/>
    <x v="8"/>
    <s v="KuldeepYadav"/>
    <s v="out"/>
    <n v="5"/>
    <n v="17"/>
    <n v="0"/>
    <n v="0"/>
    <n v="4.6764705882352944"/>
  </r>
  <r>
    <s v="T205352"/>
    <s v="Super Kings Vs Capitals"/>
    <s v="Capitals"/>
    <x v="9"/>
    <s v="AnrichNortje"/>
    <s v="not_out"/>
    <n v="1"/>
    <n v="6"/>
    <n v="0"/>
    <n v="0"/>
    <n v="5.5614035087719298"/>
  </r>
  <r>
    <s v="T205352"/>
    <s v="Super Kings Vs Capitals"/>
    <s v="Capitals"/>
    <x v="10"/>
    <s v="KhaleelAhmed"/>
    <s v="out"/>
    <n v="0"/>
    <n v="1"/>
    <n v="0"/>
    <n v="0"/>
    <n v="6.4135338345864659"/>
  </r>
  <r>
    <s v="T207464"/>
    <s v="RCB Vs Sunrisers"/>
    <s v="RCB"/>
    <x v="0"/>
    <s v="ViratKohli"/>
    <s v="out"/>
    <n v="0"/>
    <n v="1"/>
    <n v="0"/>
    <n v="0"/>
    <n v="6.4135338345864659"/>
  </r>
  <r>
    <s v="T207464"/>
    <s v="RCB Vs Sunrisers"/>
    <s v="RCB"/>
    <x v="1"/>
    <s v="FafduPlessis"/>
    <s v="not_out"/>
    <n v="73"/>
    <n v="50"/>
    <n v="8"/>
    <n v="2"/>
    <n v="2.9166666666666665"/>
  </r>
  <r>
    <s v="T207464"/>
    <s v="RCB Vs Sunrisers"/>
    <s v="RCB"/>
    <x v="2"/>
    <s v="RajatPatidar"/>
    <s v="out"/>
    <n v="48"/>
    <n v="38"/>
    <n v="4"/>
    <n v="2"/>
    <n v="4.2142857142857144"/>
  </r>
  <r>
    <s v="T207464"/>
    <s v="RCB Vs Sunrisers"/>
    <s v="RCB"/>
    <x v="3"/>
    <s v="GlennMaxwell"/>
    <s v="out"/>
    <n v="33"/>
    <n v="24"/>
    <n v="3"/>
    <n v="2"/>
    <n v="4.2"/>
  </r>
  <r>
    <s v="T207464"/>
    <s v="RCB Vs Sunrisers"/>
    <s v="RCB"/>
    <x v="4"/>
    <s v="DineshKarthik"/>
    <s v="not_out"/>
    <n v="30"/>
    <n v="8"/>
    <n v="1"/>
    <n v="4"/>
    <n v="4.8030303030303028"/>
  </r>
  <r>
    <s v="T207464"/>
    <s v="RCB Vs Sunrisers"/>
    <s v="Sunrisers"/>
    <x v="0"/>
    <s v="AbhishekSharma"/>
    <s v="out"/>
    <n v="0"/>
    <n v="3"/>
    <n v="0"/>
    <n v="0"/>
    <n v="5.4637681159420293"/>
  </r>
  <r>
    <s v="T207464"/>
    <s v="RCB Vs Sunrisers"/>
    <s v="Sunrisers"/>
    <x v="1"/>
    <s v="KaneWilliamson"/>
    <s v="out"/>
    <n v="0"/>
    <n v="0"/>
    <n v="0"/>
    <n v="0"/>
    <n v="6.0299145299145298"/>
  </r>
  <r>
    <s v="T207464"/>
    <s v="RCB Vs Sunrisers"/>
    <s v="Sunrisers"/>
    <x v="2"/>
    <s v="RahulTripathi"/>
    <s v="out"/>
    <n v="58"/>
    <n v="37"/>
    <n v="6"/>
    <n v="2"/>
    <n v="3.25"/>
  </r>
  <r>
    <s v="T207464"/>
    <s v="RCB Vs Sunrisers"/>
    <s v="Sunrisers"/>
    <x v="3"/>
    <s v="AidenMarkram"/>
    <s v="out"/>
    <n v="21"/>
    <n v="27"/>
    <n v="1"/>
    <n v="1"/>
    <n v="4.4000000000000004"/>
  </r>
  <r>
    <s v="T207464"/>
    <s v="RCB Vs Sunrisers"/>
    <s v="Sunrisers"/>
    <x v="4"/>
    <s v="NicholasPooran"/>
    <s v="out"/>
    <n v="19"/>
    <n v="14"/>
    <n v="2"/>
    <n v="1"/>
    <n v="4.8076923076923075"/>
  </r>
  <r>
    <s v="T207464"/>
    <s v="RCB Vs Sunrisers"/>
    <s v="Sunrisers"/>
    <x v="5"/>
    <s v="JagadeeshaSuchith"/>
    <s v="out"/>
    <n v="2"/>
    <n v="7"/>
    <n v="0"/>
    <n v="0"/>
    <n v="5.1509433962264151"/>
  </r>
  <r>
    <s v="T207464"/>
    <s v="RCB Vs Sunrisers"/>
    <s v="Sunrisers"/>
    <x v="6"/>
    <s v="ShashankSingh"/>
    <s v="out"/>
    <n v="8"/>
    <n v="9"/>
    <n v="0"/>
    <n v="1"/>
    <n v="4.5128205128205128"/>
  </r>
  <r>
    <s v="T207464"/>
    <s v="RCB Vs Sunrisers"/>
    <s v="Sunrisers"/>
    <x v="7"/>
    <s v="KartikTyagi"/>
    <s v="out"/>
    <n v="0"/>
    <n v="1"/>
    <n v="0"/>
    <n v="0"/>
    <n v="6.4135338345864659"/>
  </r>
  <r>
    <s v="T207464"/>
    <s v="RCB Vs Sunrisers"/>
    <s v="Sunrisers"/>
    <x v="8"/>
    <s v="BhuvneshwarKumar"/>
    <s v="out"/>
    <n v="8"/>
    <n v="9"/>
    <n v="1"/>
    <n v="0"/>
    <n v="4.5128205128205128"/>
  </r>
  <r>
    <s v="T207464"/>
    <s v="RCB Vs Sunrisers"/>
    <s v="Sunrisers"/>
    <x v="9"/>
    <s v="UmranMalik"/>
    <s v="out"/>
    <n v="0"/>
    <n v="1"/>
    <n v="0"/>
    <n v="0"/>
    <n v="6.4135338345864659"/>
  </r>
  <r>
    <s v="T207464"/>
    <s v="RCB Vs Sunrisers"/>
    <s v="Sunrisers"/>
    <x v="10"/>
    <s v="FazalhaqFarooqi"/>
    <s v="not_out"/>
    <n v="2"/>
    <n v="8"/>
    <n v="0"/>
    <n v="0"/>
    <n v="4.703125"/>
  </r>
  <r>
    <s v="T204710"/>
    <s v="Super Giants Vs KKR"/>
    <s v="Super Giants"/>
    <x v="0"/>
    <s v="QuintondeKock"/>
    <s v="out"/>
    <n v="50"/>
    <n v="29"/>
    <n v="4"/>
    <n v="3"/>
    <n v="4"/>
  </r>
  <r>
    <s v="T204710"/>
    <s v="Super Giants Vs KKR"/>
    <s v="Super Giants"/>
    <x v="1"/>
    <s v="KLRahul"/>
    <s v="out"/>
    <n v="0"/>
    <n v="0"/>
    <n v="0"/>
    <n v="0"/>
    <n v="6.0216450216450212"/>
  </r>
  <r>
    <s v="T204710"/>
    <s v="Super Giants Vs KKR"/>
    <s v="Super Giants"/>
    <x v="2"/>
    <s v="DeepakHooda"/>
    <s v="out"/>
    <n v="41"/>
    <n v="27"/>
    <n v="4"/>
    <n v="2"/>
    <n v="4.4000000000000004"/>
  </r>
  <r>
    <s v="T204710"/>
    <s v="Super Giants Vs KKR"/>
    <s v="Super Giants"/>
    <x v="3"/>
    <s v="KrunalPandya"/>
    <s v="out"/>
    <n v="25"/>
    <n v="27"/>
    <n v="2"/>
    <n v="0"/>
    <n v="4.4000000000000004"/>
  </r>
  <r>
    <s v="T204710"/>
    <s v="Super Giants Vs KKR"/>
    <s v="Super Giants"/>
    <x v="4"/>
    <s v="AyushBadoni"/>
    <s v="not_out"/>
    <n v="15"/>
    <n v="18"/>
    <n v="0"/>
    <n v="0"/>
    <n v="4.709677419354839"/>
  </r>
  <r>
    <s v="T204710"/>
    <s v="Super Giants Vs KKR"/>
    <s v="Super Giants"/>
    <x v="5"/>
    <s v="MarcusStoinis"/>
    <s v="out"/>
    <n v="28"/>
    <n v="14"/>
    <n v="1"/>
    <n v="3"/>
    <n v="4.8076923076923075"/>
  </r>
  <r>
    <s v="T204710"/>
    <s v="Super Giants Vs KKR"/>
    <s v="Super Giants"/>
    <x v="6"/>
    <s v="JasonHolder"/>
    <s v="out"/>
    <n v="13"/>
    <n v="4"/>
    <n v="0"/>
    <n v="2"/>
    <n v="5.2835820895522385"/>
  </r>
  <r>
    <s v="T204710"/>
    <s v="Super Giants Vs KKR"/>
    <s v="Super Giants"/>
    <x v="7"/>
    <s v="DushmanthaChameera"/>
    <s v="out"/>
    <n v="0"/>
    <n v="1"/>
    <n v="0"/>
    <n v="0"/>
    <n v="6.4135338345864659"/>
  </r>
  <r>
    <s v="T204710"/>
    <s v="Super Giants Vs KKR"/>
    <s v="KKR"/>
    <x v="0"/>
    <s v="BabaIndrajith"/>
    <s v="out"/>
    <n v="0"/>
    <n v="6"/>
    <n v="0"/>
    <n v="0"/>
    <n v="5.5614035087719298"/>
  </r>
  <r>
    <s v="T204710"/>
    <s v="Super Giants Vs KKR"/>
    <s v="KKR"/>
    <x v="1"/>
    <s v="AaronFinch"/>
    <s v="out"/>
    <n v="14"/>
    <n v="14"/>
    <n v="1"/>
    <n v="0"/>
    <n v="4.8076923076923075"/>
  </r>
  <r>
    <s v="T204710"/>
    <s v="Super Giants Vs KKR"/>
    <s v="KKR"/>
    <x v="2"/>
    <s v="ShreyasIyer"/>
    <s v="out"/>
    <n v="6"/>
    <n v="9"/>
    <n v="1"/>
    <n v="0"/>
    <n v="4.5128205128205128"/>
  </r>
  <r>
    <s v="T204710"/>
    <s v="Super Giants Vs KKR"/>
    <s v="KKR"/>
    <x v="3"/>
    <s v="NitishRana"/>
    <s v="out"/>
    <n v="2"/>
    <n v="11"/>
    <n v="0"/>
    <n v="0"/>
    <n v="4.774193548387097"/>
  </r>
  <r>
    <s v="T204710"/>
    <s v="Super Giants Vs KKR"/>
    <s v="KKR"/>
    <x v="4"/>
    <s v="RinkuSingh"/>
    <s v="out"/>
    <n v="6"/>
    <n v="10"/>
    <n v="0"/>
    <n v="0"/>
    <n v="4.96"/>
  </r>
  <r>
    <s v="T204710"/>
    <s v="Super Giants Vs KKR"/>
    <s v="KKR"/>
    <x v="5"/>
    <s v="AndreRussell"/>
    <s v="out"/>
    <n v="45"/>
    <n v="19"/>
    <n v="3"/>
    <n v="5"/>
    <n v="4.9666666666666668"/>
  </r>
  <r>
    <s v="T204710"/>
    <s v="Super Giants Vs KKR"/>
    <s v="KKR"/>
    <x v="6"/>
    <s v="SunilNarine"/>
    <s v="out"/>
    <n v="22"/>
    <n v="12"/>
    <n v="3"/>
    <n v="1"/>
    <n v="4.541666666666667"/>
  </r>
  <r>
    <s v="T204710"/>
    <s v="Super Giants Vs KKR"/>
    <s v="KKR"/>
    <x v="7"/>
    <s v="AnukulRoy"/>
    <s v="out"/>
    <n v="0"/>
    <n v="2"/>
    <n v="0"/>
    <n v="0"/>
    <n v="6.4"/>
  </r>
  <r>
    <s v="T204710"/>
    <s v="Super Giants Vs KKR"/>
    <s v="KKR"/>
    <x v="8"/>
    <s v="ShivamMavi"/>
    <s v="not_out"/>
    <n v="1"/>
    <n v="2"/>
    <n v="0"/>
    <n v="0"/>
    <n v="6.4"/>
  </r>
  <r>
    <s v="T204710"/>
    <s v="Super Giants Vs KKR"/>
    <s v="KKR"/>
    <x v="9"/>
    <s v="TimSouthee"/>
    <s v="out"/>
    <n v="0"/>
    <n v="1"/>
    <n v="0"/>
    <n v="0"/>
    <n v="6.3939393939393936"/>
  </r>
  <r>
    <s v="T204710"/>
    <s v="Super Giants Vs KKR"/>
    <s v="KKR"/>
    <x v="10"/>
    <s v="HarshitRana"/>
    <s v="out"/>
    <n v="2"/>
    <n v="1"/>
    <n v="0"/>
    <n v="0"/>
    <n v="6.3939393939393936"/>
  </r>
  <r>
    <s v="T201231"/>
    <s v="Punjab Kings Vs Royals"/>
    <s v="Punjab Kings"/>
    <x v="0"/>
    <s v="JonnyBairstow"/>
    <s v="out"/>
    <n v="56"/>
    <n v="40"/>
    <n v="8"/>
    <n v="1"/>
    <n v="4.0666666666666664"/>
  </r>
  <r>
    <s v="T201231"/>
    <s v="Punjab Kings Vs Royals"/>
    <s v="Punjab Kings"/>
    <x v="1"/>
    <s v="ShikharDhawan"/>
    <s v="out"/>
    <n v="12"/>
    <n v="16"/>
    <n v="2"/>
    <n v="0"/>
    <n v="4.7586206896551726"/>
  </r>
  <r>
    <s v="T201231"/>
    <s v="Punjab Kings Vs Royals"/>
    <s v="Punjab Kings"/>
    <x v="2"/>
    <s v="BhanukaRajapaksa"/>
    <s v="out"/>
    <n v="27"/>
    <n v="18"/>
    <n v="2"/>
    <n v="2"/>
    <n v="4.709677419354839"/>
  </r>
  <r>
    <s v="T201231"/>
    <s v="Punjab Kings Vs Royals"/>
    <s v="Punjab Kings"/>
    <x v="3"/>
    <s v="MayankAgarwal"/>
    <s v="out"/>
    <n v="15"/>
    <n v="13"/>
    <n v="2"/>
    <n v="0"/>
    <n v="5"/>
  </r>
  <r>
    <s v="T201231"/>
    <s v="Punjab Kings Vs Royals"/>
    <s v="Punjab Kings"/>
    <x v="4"/>
    <s v="JiteshSharma"/>
    <s v="not_out"/>
    <n v="38"/>
    <n v="18"/>
    <n v="4"/>
    <n v="2"/>
    <n v="4.709677419354839"/>
  </r>
  <r>
    <s v="T201231"/>
    <s v="Punjab Kings Vs Royals"/>
    <s v="Punjab Kings"/>
    <x v="5"/>
    <s v="LiamLivingstone"/>
    <s v="out"/>
    <n v="22"/>
    <n v="14"/>
    <n v="1"/>
    <n v="2"/>
    <n v="4.92"/>
  </r>
  <r>
    <s v="T201231"/>
    <s v="Punjab Kings Vs Royals"/>
    <s v="Punjab Kings"/>
    <x v="6"/>
    <s v="RishiDhawan"/>
    <s v="not_out"/>
    <n v="5"/>
    <n v="2"/>
    <n v="1"/>
    <n v="0"/>
    <n v="6.3510638297872344"/>
  </r>
  <r>
    <s v="T201231"/>
    <s v="Punjab Kings Vs Royals"/>
    <s v="Royals"/>
    <x v="0"/>
    <s v="YashasviJaiswal"/>
    <s v="out"/>
    <n v="68"/>
    <n v="41"/>
    <n v="9"/>
    <n v="2"/>
    <n v="3.7857142857142856"/>
  </r>
  <r>
    <s v="T201231"/>
    <s v="Punjab Kings Vs Royals"/>
    <s v="Royals"/>
    <x v="1"/>
    <s v="JosButtler"/>
    <s v="out"/>
    <n v="30"/>
    <n v="16"/>
    <n v="5"/>
    <n v="1"/>
    <n v="4.7586206896551726"/>
  </r>
  <r>
    <s v="T201231"/>
    <s v="Punjab Kings Vs Royals"/>
    <s v="Royals"/>
    <x v="2"/>
    <s v="SanjuSamson"/>
    <s v="out"/>
    <n v="23"/>
    <n v="12"/>
    <n v="4"/>
    <n v="0"/>
    <n v="4.5957446808510642"/>
  </r>
  <r>
    <s v="T201231"/>
    <s v="Punjab Kings Vs Royals"/>
    <s v="Royals"/>
    <x v="3"/>
    <s v="DevduttPadikkal"/>
    <s v="out"/>
    <n v="31"/>
    <n v="32"/>
    <n v="3"/>
    <n v="0"/>
    <n v="4.6470588235294121"/>
  </r>
  <r>
    <s v="T201231"/>
    <s v="Punjab Kings Vs Royals"/>
    <s v="Royals"/>
    <x v="4"/>
    <s v="ShimronHetmyer"/>
    <s v="not_out"/>
    <n v="31"/>
    <n v="16"/>
    <n v="3"/>
    <n v="2"/>
    <n v="4.7586206896551726"/>
  </r>
  <r>
    <s v="T201231"/>
    <s v="Punjab Kings Vs Royals"/>
    <s v="Royals"/>
    <x v="5"/>
    <s v="RiyanParag"/>
    <s v="not_out"/>
    <n v="0"/>
    <n v="1"/>
    <n v="0"/>
    <n v="0"/>
    <n v="6.3939393939393936"/>
  </r>
  <r>
    <s v="T201720"/>
    <s v="Mumbai Vs Titans"/>
    <s v="Mumbai"/>
    <x v="0"/>
    <s v="IshanKishan"/>
    <s v="out"/>
    <n v="45"/>
    <n v="29"/>
    <n v="5"/>
    <n v="1"/>
    <n v="4"/>
  </r>
  <r>
    <s v="T201720"/>
    <s v="Mumbai Vs Titans"/>
    <s v="Mumbai"/>
    <x v="1"/>
    <s v="RohitSharma"/>
    <s v="out"/>
    <n v="43"/>
    <n v="28"/>
    <n v="5"/>
    <n v="2"/>
    <n v="3.45"/>
  </r>
  <r>
    <s v="T201720"/>
    <s v="Mumbai Vs Titans"/>
    <s v="Mumbai"/>
    <x v="2"/>
    <s v="SuryakumarYadav"/>
    <s v="out"/>
    <n v="13"/>
    <n v="11"/>
    <n v="0"/>
    <n v="1"/>
    <n v="4.774193548387097"/>
  </r>
  <r>
    <s v="T201720"/>
    <s v="Mumbai Vs Titans"/>
    <s v="Mumbai"/>
    <x v="3"/>
    <s v="TilakVarma"/>
    <s v="out"/>
    <n v="21"/>
    <n v="16"/>
    <n v="2"/>
    <n v="0"/>
    <n v="4.7586206896551726"/>
  </r>
  <r>
    <s v="T201720"/>
    <s v="Mumbai Vs Titans"/>
    <s v="Mumbai"/>
    <x v="4"/>
    <s v="KieronPollard"/>
    <s v="out"/>
    <n v="4"/>
    <n v="14"/>
    <n v="0"/>
    <n v="0"/>
    <n v="4.92"/>
  </r>
  <r>
    <s v="T201720"/>
    <s v="Mumbai Vs Titans"/>
    <s v="Mumbai"/>
    <x v="5"/>
    <s v="TimDavid"/>
    <s v="not_out"/>
    <n v="44"/>
    <n v="21"/>
    <n v="2"/>
    <n v="4"/>
    <n v="4.8157894736842106"/>
  </r>
  <r>
    <s v="T201720"/>
    <s v="Mumbai Vs Titans"/>
    <s v="Mumbai"/>
    <x v="6"/>
    <s v="DanielSams"/>
    <s v="out"/>
    <n v="0"/>
    <n v="2"/>
    <n v="0"/>
    <n v="0"/>
    <n v="6.3510638297872344"/>
  </r>
  <r>
    <s v="T201720"/>
    <s v="Mumbai Vs Titans"/>
    <s v="Mumbai"/>
    <x v="7"/>
    <s v="MuruganAshwin"/>
    <s v="not_out"/>
    <n v="0"/>
    <n v="0"/>
    <n v="0"/>
    <n v="0"/>
    <n v="6.0223214285714288"/>
  </r>
  <r>
    <s v="T201720"/>
    <s v="Mumbai Vs Titans"/>
    <s v="Titans"/>
    <x v="0"/>
    <s v="WriddhimanSaha"/>
    <s v="out"/>
    <n v="55"/>
    <n v="40"/>
    <n v="6"/>
    <n v="2"/>
    <n v="4.0666666666666664"/>
  </r>
  <r>
    <s v="T201720"/>
    <s v="Mumbai Vs Titans"/>
    <s v="Titans"/>
    <x v="1"/>
    <s v="ShubmanGill"/>
    <s v="out"/>
    <n v="52"/>
    <n v="36"/>
    <n v="6"/>
    <n v="2"/>
    <n v="4.6923076923076925"/>
  </r>
  <r>
    <s v="T201720"/>
    <s v="Mumbai Vs Titans"/>
    <s v="Titans"/>
    <x v="2"/>
    <s v="HardikPandya"/>
    <s v="out"/>
    <n v="24"/>
    <n v="14"/>
    <n v="4"/>
    <n v="0"/>
    <n v="4.92"/>
  </r>
  <r>
    <s v="T201720"/>
    <s v="Mumbai Vs Titans"/>
    <s v="Titans"/>
    <x v="3"/>
    <s v="SaiSudharsan"/>
    <s v="out"/>
    <n v="14"/>
    <n v="11"/>
    <n v="1"/>
    <n v="1"/>
    <n v="4.774193548387097"/>
  </r>
  <r>
    <s v="T201720"/>
    <s v="Mumbai Vs Titans"/>
    <s v="Titans"/>
    <x v="4"/>
    <s v="DavidMiller"/>
    <s v="not_out"/>
    <n v="19"/>
    <n v="14"/>
    <n v="1"/>
    <n v="1"/>
    <n v="4.958333333333333"/>
  </r>
  <r>
    <s v="T201720"/>
    <s v="Mumbai Vs Titans"/>
    <s v="Titans"/>
    <x v="5"/>
    <s v="RahulTewatia"/>
    <s v="out"/>
    <n v="3"/>
    <n v="4"/>
    <n v="0"/>
    <n v="0"/>
    <n v="5.2878787878787881"/>
  </r>
  <r>
    <s v="T201720"/>
    <s v="Mumbai Vs Titans"/>
    <s v="Titans"/>
    <x v="6"/>
    <s v="RashidKhan"/>
    <s v="not_out"/>
    <n v="1"/>
    <n v="1"/>
    <n v="0"/>
    <n v="0"/>
    <n v="6.3939393939393936"/>
  </r>
  <r>
    <s v="T201248"/>
    <s v="Capitals Vs Sunrisers"/>
    <s v="Capitals"/>
    <x v="0"/>
    <s v="MandeepSingh"/>
    <s v="out"/>
    <n v="0"/>
    <n v="5"/>
    <n v="0"/>
    <n v="0"/>
    <n v="5.359375"/>
  </r>
  <r>
    <s v="T201248"/>
    <s v="Capitals Vs Sunrisers"/>
    <s v="Capitals"/>
    <x v="1"/>
    <s v="DavidWarner"/>
    <s v="not_out"/>
    <n v="92"/>
    <n v="58"/>
    <n v="12"/>
    <n v="3"/>
    <n v="3.6"/>
  </r>
  <r>
    <s v="T201248"/>
    <s v="Capitals Vs Sunrisers"/>
    <s v="Capitals"/>
    <x v="2"/>
    <s v="MitchellMarsh"/>
    <s v="out"/>
    <n v="10"/>
    <n v="7"/>
    <n v="2"/>
    <n v="0"/>
    <n v="5.1509433962264151"/>
  </r>
  <r>
    <s v="T201248"/>
    <s v="Capitals Vs Sunrisers"/>
    <s v="Capitals"/>
    <x v="3"/>
    <s v="RishabhPant"/>
    <s v="out"/>
    <n v="26"/>
    <n v="16"/>
    <n v="1"/>
    <n v="3"/>
    <n v="4.7586206896551726"/>
  </r>
  <r>
    <s v="T201248"/>
    <s v="Capitals Vs Sunrisers"/>
    <s v="Capitals"/>
    <x v="4"/>
    <s v="RovmanPowell"/>
    <s v="not_out"/>
    <n v="67"/>
    <n v="35"/>
    <n v="3"/>
    <n v="6"/>
    <n v="3.7222222222222223"/>
  </r>
  <r>
    <s v="T201248"/>
    <s v="Capitals Vs Sunrisers"/>
    <s v="Sunrisers"/>
    <x v="0"/>
    <s v="AbhishekSharma"/>
    <s v="out"/>
    <n v="7"/>
    <n v="6"/>
    <n v="1"/>
    <n v="0"/>
    <n v="5.6181818181818182"/>
  </r>
  <r>
    <s v="T201248"/>
    <s v="Capitals Vs Sunrisers"/>
    <s v="Sunrisers"/>
    <x v="1"/>
    <s v="KaneWilliamson"/>
    <s v="out"/>
    <n v="4"/>
    <n v="11"/>
    <n v="1"/>
    <n v="0"/>
    <n v="4.774193548387097"/>
  </r>
  <r>
    <s v="T201248"/>
    <s v="Capitals Vs Sunrisers"/>
    <s v="Sunrisers"/>
    <x v="2"/>
    <s v="RahulTripathi"/>
    <s v="out"/>
    <n v="22"/>
    <n v="18"/>
    <n v="2"/>
    <n v="1"/>
    <n v="4.709677419354839"/>
  </r>
  <r>
    <s v="T201248"/>
    <s v="Capitals Vs Sunrisers"/>
    <s v="Sunrisers"/>
    <x v="3"/>
    <s v="AidenMarkram"/>
    <s v="out"/>
    <n v="42"/>
    <n v="25"/>
    <n v="4"/>
    <n v="3"/>
    <n v="5.1363636363636367"/>
  </r>
  <r>
    <s v="T201248"/>
    <s v="Capitals Vs Sunrisers"/>
    <s v="Sunrisers"/>
    <x v="4"/>
    <s v="NicholasPooran"/>
    <s v="out"/>
    <n v="62"/>
    <n v="34"/>
    <n v="2"/>
    <n v="6"/>
    <n v="4.55"/>
  </r>
  <r>
    <s v="T201248"/>
    <s v="Capitals Vs Sunrisers"/>
    <s v="Sunrisers"/>
    <x v="5"/>
    <s v="ShashankSingh"/>
    <s v="out"/>
    <n v="10"/>
    <n v="6"/>
    <n v="2"/>
    <n v="0"/>
    <n v="5.6181818181818182"/>
  </r>
  <r>
    <s v="T201248"/>
    <s v="Capitals Vs Sunrisers"/>
    <s v="Sunrisers"/>
    <x v="6"/>
    <s v="SeanAbbott"/>
    <s v="out"/>
    <n v="7"/>
    <n v="5"/>
    <n v="0"/>
    <n v="1"/>
    <n v="5.359375"/>
  </r>
  <r>
    <s v="T201248"/>
    <s v="Capitals Vs Sunrisers"/>
    <s v="Sunrisers"/>
    <x v="7"/>
    <s v="ShreyasGopal"/>
    <s v="not_out"/>
    <n v="9"/>
    <n v="7"/>
    <n v="2"/>
    <n v="0"/>
    <n v="5.1960784313725492"/>
  </r>
  <r>
    <s v="T201248"/>
    <s v="Capitals Vs Sunrisers"/>
    <s v="Sunrisers"/>
    <x v="8"/>
    <s v="KartikTyagi"/>
    <s v="out"/>
    <n v="7"/>
    <n v="5"/>
    <n v="1"/>
    <n v="0"/>
    <n v="5.359375"/>
  </r>
  <r>
    <s v="T201248"/>
    <s v="Capitals Vs Sunrisers"/>
    <s v="Sunrisers"/>
    <x v="9"/>
    <s v="BhuvneshwarKumar"/>
    <s v="not_out"/>
    <n v="5"/>
    <n v="3"/>
    <n v="1"/>
    <n v="0"/>
    <n v="5.4558823529411766"/>
  </r>
  <r>
    <s v="T207511"/>
    <s v="RCB Vs Super Kings"/>
    <s v="RCB"/>
    <x v="0"/>
    <s v="ViratKohli"/>
    <s v="out"/>
    <n v="30"/>
    <n v="33"/>
    <n v="3"/>
    <n v="1"/>
    <n v="3.4285714285714284"/>
  </r>
  <r>
    <s v="T207511"/>
    <s v="RCB Vs Super Kings"/>
    <s v="RCB"/>
    <x v="1"/>
    <s v="FafduPlessis"/>
    <s v="out"/>
    <n v="38"/>
    <n v="22"/>
    <n v="4"/>
    <n v="1"/>
    <n v="4.5666666666666664"/>
  </r>
  <r>
    <s v="T207511"/>
    <s v="RCB Vs Super Kings"/>
    <s v="RCB"/>
    <x v="2"/>
    <s v="GlennMaxwell"/>
    <s v="out"/>
    <n v="3"/>
    <n v="3"/>
    <n v="0"/>
    <n v="0"/>
    <n v="5.4558823529411766"/>
  </r>
  <r>
    <s v="T207511"/>
    <s v="RCB Vs Super Kings"/>
    <s v="RCB"/>
    <x v="3"/>
    <s v="MahipalLomror"/>
    <s v="out"/>
    <n v="42"/>
    <n v="27"/>
    <n v="3"/>
    <n v="2"/>
    <n v="4.458333333333333"/>
  </r>
  <r>
    <s v="T207511"/>
    <s v="RCB Vs Super Kings"/>
    <s v="RCB"/>
    <x v="4"/>
    <s v="RajatPatidar"/>
    <s v="out"/>
    <n v="21"/>
    <n v="15"/>
    <n v="1"/>
    <n v="1"/>
    <n v="4.78125"/>
  </r>
  <r>
    <s v="T207511"/>
    <s v="RCB Vs Super Kings"/>
    <s v="RCB"/>
    <x v="5"/>
    <s v="DineshKarthik"/>
    <s v="not_out"/>
    <n v="26"/>
    <n v="17"/>
    <n v="1"/>
    <n v="2"/>
    <n v="4.6764705882352944"/>
  </r>
  <r>
    <s v="T207511"/>
    <s v="RCB Vs Super Kings"/>
    <s v="RCB"/>
    <x v="6"/>
    <s v="WaninduHasaranga"/>
    <s v="out"/>
    <n v="0"/>
    <n v="1"/>
    <n v="0"/>
    <n v="0"/>
    <n v="6.3893129770992365"/>
  </r>
  <r>
    <s v="T207511"/>
    <s v="RCB Vs Super Kings"/>
    <s v="RCB"/>
    <x v="7"/>
    <s v="ShahbazAhmed"/>
    <s v="out"/>
    <n v="1"/>
    <n v="2"/>
    <n v="0"/>
    <n v="0"/>
    <n v="6.3510638297872344"/>
  </r>
  <r>
    <s v="T207511"/>
    <s v="RCB Vs Super Kings"/>
    <s v="RCB"/>
    <x v="8"/>
    <s v="HarshalPatel"/>
    <s v="out"/>
    <n v="0"/>
    <n v="0"/>
    <n v="0"/>
    <n v="0"/>
    <n v="6.0316742081447963"/>
  </r>
  <r>
    <s v="T207511"/>
    <s v="RCB Vs Super Kings"/>
    <s v="RCB"/>
    <x v="9"/>
    <s v="MohammedSiraj"/>
    <s v="not_out"/>
    <n v="0"/>
    <n v="0"/>
    <n v="0"/>
    <n v="0"/>
    <n v="6.0181818181818185"/>
  </r>
  <r>
    <s v="T207511"/>
    <s v="RCB Vs Super Kings"/>
    <s v="Super Kings"/>
    <x v="0"/>
    <s v="RuturajGaikwad"/>
    <s v="out"/>
    <n v="28"/>
    <n v="23"/>
    <n v="3"/>
    <n v="1"/>
    <n v="5.333333333333333"/>
  </r>
  <r>
    <s v="T207511"/>
    <s v="RCB Vs Super Kings"/>
    <s v="Super Kings"/>
    <x v="1"/>
    <s v="DevonConway"/>
    <s v="out"/>
    <n v="56"/>
    <n v="37"/>
    <n v="6"/>
    <n v="2"/>
    <n v="3.25"/>
  </r>
  <r>
    <s v="T207511"/>
    <s v="RCB Vs Super Kings"/>
    <s v="Super Kings"/>
    <x v="2"/>
    <s v="RobinUthappa"/>
    <s v="out"/>
    <n v="1"/>
    <n v="3"/>
    <n v="0"/>
    <n v="0"/>
    <n v="5.4925373134328357"/>
  </r>
  <r>
    <s v="T207511"/>
    <s v="RCB Vs Super Kings"/>
    <s v="Super Kings"/>
    <x v="3"/>
    <s v="AmbatiRayudu"/>
    <s v="out"/>
    <n v="10"/>
    <n v="8"/>
    <n v="0"/>
    <n v="1"/>
    <n v="4.703125"/>
  </r>
  <r>
    <s v="T207511"/>
    <s v="RCB Vs Super Kings"/>
    <s v="Super Kings"/>
    <x v="4"/>
    <s v="MoeenAli"/>
    <s v="out"/>
    <n v="34"/>
    <n v="27"/>
    <n v="2"/>
    <n v="2"/>
    <n v="4.458333333333333"/>
  </r>
  <r>
    <s v="T207511"/>
    <s v="RCB Vs Super Kings"/>
    <s v="Super Kings"/>
    <x v="5"/>
    <s v="RavindraJadeja"/>
    <s v="out"/>
    <n v="3"/>
    <n v="5"/>
    <n v="0"/>
    <n v="0"/>
    <n v="5.2857142857142856"/>
  </r>
  <r>
    <s v="T207511"/>
    <s v="RCB Vs Super Kings"/>
    <s v="Super Kings"/>
    <x v="6"/>
    <s v="MSDhoni"/>
    <s v="out"/>
    <n v="2"/>
    <n v="3"/>
    <n v="0"/>
    <n v="0"/>
    <n v="5.4848484848484844"/>
  </r>
  <r>
    <s v="T207511"/>
    <s v="RCB Vs Super Kings"/>
    <s v="Super Kings"/>
    <x v="7"/>
    <s v="DwainePretorius"/>
    <s v="out"/>
    <n v="13"/>
    <n v="8"/>
    <n v="1"/>
    <n v="1"/>
    <n v="4.703125"/>
  </r>
  <r>
    <s v="T207511"/>
    <s v="RCB Vs Super Kings"/>
    <s v="Super Kings"/>
    <x v="8"/>
    <s v="SimarjeetSingh"/>
    <s v="not_out"/>
    <n v="2"/>
    <n v="2"/>
    <n v="0"/>
    <n v="0"/>
    <n v="6.344086021505376"/>
  </r>
  <r>
    <s v="T207511"/>
    <s v="RCB Vs Super Kings"/>
    <s v="Super Kings"/>
    <x v="9"/>
    <s v="MaheeshTheekshana"/>
    <s v="not_out"/>
    <n v="7"/>
    <n v="4"/>
    <n v="0"/>
    <n v="1"/>
    <n v="5.3384615384615381"/>
  </r>
  <r>
    <s v="T209502"/>
    <s v="Titans Vs Punjab Kings"/>
    <s v="Titans"/>
    <x v="0"/>
    <s v="WriddhimanSaha"/>
    <s v="out"/>
    <n v="21"/>
    <n v="17"/>
    <n v="3"/>
    <n v="1"/>
    <n v="4.6764705882352944"/>
  </r>
  <r>
    <s v="T209502"/>
    <s v="Titans Vs Punjab Kings"/>
    <s v="Titans"/>
    <x v="1"/>
    <s v="ShubmanGill"/>
    <s v="out"/>
    <n v="9"/>
    <n v="6"/>
    <n v="2"/>
    <n v="0"/>
    <n v="5.6181818181818182"/>
  </r>
  <r>
    <s v="T209502"/>
    <s v="Titans Vs Punjab Kings"/>
    <s v="Titans"/>
    <x v="2"/>
    <s v="SaiSudharsan"/>
    <s v="not_out"/>
    <n v="65"/>
    <n v="50"/>
    <n v="5"/>
    <n v="1"/>
    <n v="3.0909090909090908"/>
  </r>
  <r>
    <s v="T209502"/>
    <s v="Titans Vs Punjab Kings"/>
    <s v="Titans"/>
    <x v="3"/>
    <s v="HardikPandya"/>
    <s v="out"/>
    <n v="1"/>
    <n v="7"/>
    <n v="0"/>
    <n v="0"/>
    <n v="5.0204081632653059"/>
  </r>
  <r>
    <s v="T209502"/>
    <s v="Titans Vs Punjab Kings"/>
    <s v="Titans"/>
    <x v="4"/>
    <s v="DavidMiller"/>
    <s v="out"/>
    <n v="11"/>
    <n v="14"/>
    <n v="0"/>
    <n v="0"/>
    <n v="4.958333333333333"/>
  </r>
  <r>
    <s v="T209502"/>
    <s v="Titans Vs Punjab Kings"/>
    <s v="Titans"/>
    <x v="5"/>
    <s v="RahulTewatia"/>
    <s v="out"/>
    <n v="11"/>
    <n v="13"/>
    <n v="0"/>
    <n v="0"/>
    <n v="4.9767441860465116"/>
  </r>
  <r>
    <s v="T209502"/>
    <s v="Titans Vs Punjab Kings"/>
    <s v="Titans"/>
    <x v="6"/>
    <s v="RashidKhan"/>
    <s v="out"/>
    <n v="0"/>
    <n v="1"/>
    <n v="0"/>
    <n v="0"/>
    <n v="6.421875"/>
  </r>
  <r>
    <s v="T209502"/>
    <s v="Titans Vs Punjab Kings"/>
    <s v="Titans"/>
    <x v="7"/>
    <s v="PradeepSangwan"/>
    <s v="out"/>
    <n v="2"/>
    <n v="5"/>
    <n v="0"/>
    <n v="0"/>
    <n v="5.2857142857142856"/>
  </r>
  <r>
    <s v="T209502"/>
    <s v="Titans Vs Punjab Kings"/>
    <s v="Titans"/>
    <x v="8"/>
    <s v="LockieFerguson"/>
    <s v="out"/>
    <n v="5"/>
    <n v="3"/>
    <n v="1"/>
    <n v="0"/>
    <n v="5.4848484848484844"/>
  </r>
  <r>
    <s v="T209502"/>
    <s v="Titans Vs Punjab Kings"/>
    <s v="Titans"/>
    <x v="9"/>
    <s v="AlzarriJoseph"/>
    <s v="not_out"/>
    <n v="4"/>
    <n v="5"/>
    <n v="0"/>
    <n v="0"/>
    <n v="5.225806451612903"/>
  </r>
  <r>
    <s v="T209502"/>
    <s v="Titans Vs Punjab Kings"/>
    <s v="Punjab Kings"/>
    <x v="0"/>
    <s v="JonnyBairstow"/>
    <s v="out"/>
    <n v="1"/>
    <n v="6"/>
    <n v="0"/>
    <n v="0"/>
    <n v="5.6181818181818182"/>
  </r>
  <r>
    <s v="T209502"/>
    <s v="Titans Vs Punjab Kings"/>
    <s v="Punjab Kings"/>
    <x v="1"/>
    <s v="ShikharDhawan"/>
    <s v="not_out"/>
    <n v="62"/>
    <n v="53"/>
    <n v="8"/>
    <n v="1"/>
    <n v="4"/>
  </r>
  <r>
    <s v="T209502"/>
    <s v="Titans Vs Punjab Kings"/>
    <s v="Punjab Kings"/>
    <x v="2"/>
    <s v="BhanukaRajapaksa"/>
    <s v="out"/>
    <n v="40"/>
    <n v="28"/>
    <n v="5"/>
    <n v="1"/>
    <n v="3.5789473684210527"/>
  </r>
  <r>
    <s v="T209502"/>
    <s v="Titans Vs Punjab Kings"/>
    <s v="Punjab Kings"/>
    <x v="3"/>
    <s v="LiamLivingstone"/>
    <s v="not_out"/>
    <n v="30"/>
    <n v="10"/>
    <n v="2"/>
    <n v="3"/>
    <n v="5"/>
  </r>
  <r>
    <s v="T201137"/>
    <s v="Royals Vs KKR"/>
    <s v="Royals"/>
    <x v="0"/>
    <s v="JosButtler"/>
    <s v="out"/>
    <n v="22"/>
    <n v="25"/>
    <n v="3"/>
    <n v="0"/>
    <n v="5.1363636363636367"/>
  </r>
  <r>
    <s v="T201137"/>
    <s v="Royals Vs KKR"/>
    <s v="Royals"/>
    <x v="1"/>
    <s v="DevduttPadikkal"/>
    <s v="out"/>
    <n v="2"/>
    <n v="5"/>
    <n v="0"/>
    <n v="0"/>
    <n v="5.225806451612903"/>
  </r>
  <r>
    <s v="T201137"/>
    <s v="Royals Vs KKR"/>
    <s v="Royals"/>
    <x v="2"/>
    <s v="SanjuSamson"/>
    <s v="out"/>
    <n v="54"/>
    <n v="49"/>
    <n v="7"/>
    <n v="1"/>
    <n v="4"/>
  </r>
  <r>
    <s v="T201137"/>
    <s v="Royals Vs KKR"/>
    <s v="Royals"/>
    <x v="3"/>
    <s v="KarunNair"/>
    <s v="out"/>
    <n v="13"/>
    <n v="13"/>
    <n v="1"/>
    <n v="0"/>
    <n v="4.9767441860465116"/>
  </r>
  <r>
    <s v="T201137"/>
    <s v="Royals Vs KKR"/>
    <s v="Royals"/>
    <x v="4"/>
    <s v="RiyanParag"/>
    <s v="out"/>
    <n v="19"/>
    <n v="12"/>
    <n v="1"/>
    <n v="2"/>
    <n v="4.5957446808510642"/>
  </r>
  <r>
    <s v="T201137"/>
    <s v="Royals Vs KKR"/>
    <s v="Royals"/>
    <x v="5"/>
    <s v="ShimronHetmyer"/>
    <s v="not_out"/>
    <n v="27"/>
    <n v="13"/>
    <n v="1"/>
    <n v="2"/>
    <n v="5"/>
  </r>
  <r>
    <s v="T201137"/>
    <s v="Royals Vs KKR"/>
    <s v="Royals"/>
    <x v="6"/>
    <s v="RavichandranAshwin"/>
    <s v="not_out"/>
    <n v="6"/>
    <n v="5"/>
    <n v="0"/>
    <n v="0"/>
    <n v="5.225806451612903"/>
  </r>
  <r>
    <s v="T201137"/>
    <s v="Royals Vs KKR"/>
    <s v="KKR"/>
    <x v="0"/>
    <s v="BabaIndrajith"/>
    <s v="out"/>
    <n v="15"/>
    <n v="16"/>
    <n v="2"/>
    <n v="0"/>
    <n v="4.7586206896551726"/>
  </r>
  <r>
    <s v="T201137"/>
    <s v="Royals Vs KKR"/>
    <s v="KKR"/>
    <x v="1"/>
    <s v="AaronFinch"/>
    <s v="out"/>
    <n v="4"/>
    <n v="7"/>
    <n v="0"/>
    <n v="0"/>
    <n v="5.0204081632653059"/>
  </r>
  <r>
    <s v="T201137"/>
    <s v="Royals Vs KKR"/>
    <s v="KKR"/>
    <x v="2"/>
    <s v="ShreyasIyer"/>
    <s v="out"/>
    <n v="34"/>
    <n v="32"/>
    <n v="3"/>
    <n v="1"/>
    <n v="4.6470588235294121"/>
  </r>
  <r>
    <s v="T201137"/>
    <s v="Royals Vs KKR"/>
    <s v="KKR"/>
    <x v="3"/>
    <s v="NitishRana"/>
    <s v="not_out"/>
    <n v="48"/>
    <n v="37"/>
    <n v="3"/>
    <n v="2"/>
    <n v="3.25"/>
  </r>
  <r>
    <s v="T201137"/>
    <s v="Royals Vs KKR"/>
    <s v="KKR"/>
    <x v="4"/>
    <s v="RinkuSingh"/>
    <s v="not_out"/>
    <n v="42"/>
    <n v="23"/>
    <n v="6"/>
    <n v="1"/>
    <n v="5.333333333333333"/>
  </r>
  <r>
    <s v="T206274"/>
    <s v="Super Kings Vs Sunrisers"/>
    <s v="Super Kings"/>
    <x v="0"/>
    <s v="RuturajGaikwad"/>
    <s v="out"/>
    <n v="99"/>
    <n v="57"/>
    <n v="6"/>
    <n v="6"/>
    <n v="3.3333333333333335"/>
  </r>
  <r>
    <s v="T206274"/>
    <s v="Super Kings Vs Sunrisers"/>
    <s v="Super Kings"/>
    <x v="1"/>
    <s v="DevonConway"/>
    <s v="not_out"/>
    <n v="85"/>
    <n v="55"/>
    <n v="8"/>
    <n v="4"/>
    <n v="3.3636363636363638"/>
  </r>
  <r>
    <s v="T206274"/>
    <s v="Super Kings Vs Sunrisers"/>
    <s v="Super Kings"/>
    <x v="2"/>
    <s v="MSDhoni"/>
    <s v="out"/>
    <n v="8"/>
    <n v="7"/>
    <n v="1"/>
    <n v="0"/>
    <n v="5.0204081632653059"/>
  </r>
  <r>
    <s v="T206274"/>
    <s v="Super Kings Vs Sunrisers"/>
    <s v="Super Kings"/>
    <x v="3"/>
    <s v="RavindraJadeja"/>
    <s v="not_out"/>
    <n v="1"/>
    <n v="1"/>
    <n v="0"/>
    <n v="0"/>
    <n v="6.4645669291338583"/>
  </r>
  <r>
    <s v="T206274"/>
    <s v="Super Kings Vs Sunrisers"/>
    <s v="Sunrisers"/>
    <x v="0"/>
    <s v="AbhishekSharma"/>
    <s v="out"/>
    <n v="39"/>
    <n v="24"/>
    <n v="5"/>
    <n v="1"/>
    <n v="4.2631578947368425"/>
  </r>
  <r>
    <s v="T206274"/>
    <s v="Super Kings Vs Sunrisers"/>
    <s v="Sunrisers"/>
    <x v="1"/>
    <s v="KaneWilliamson"/>
    <s v="out"/>
    <n v="47"/>
    <n v="37"/>
    <n v="2"/>
    <n v="2"/>
    <n v="3.25"/>
  </r>
  <r>
    <s v="T206274"/>
    <s v="Super Kings Vs Sunrisers"/>
    <s v="Sunrisers"/>
    <x v="2"/>
    <s v="RahulTripathi"/>
    <s v="out"/>
    <n v="0"/>
    <n v="1"/>
    <n v="0"/>
    <n v="0"/>
    <n v="6.4841269841269842"/>
  </r>
  <r>
    <s v="T206274"/>
    <s v="Super Kings Vs Sunrisers"/>
    <s v="Sunrisers"/>
    <x v="3"/>
    <s v="AidenMarkram"/>
    <s v="out"/>
    <n v="17"/>
    <n v="10"/>
    <n v="0"/>
    <n v="2"/>
    <n v="5"/>
  </r>
  <r>
    <s v="T206274"/>
    <s v="Super Kings Vs Sunrisers"/>
    <s v="Sunrisers"/>
    <x v="4"/>
    <s v="NicholasPooran"/>
    <s v="not_out"/>
    <n v="64"/>
    <n v="33"/>
    <n v="3"/>
    <n v="6"/>
    <n v="3.4285714285714284"/>
  </r>
  <r>
    <s v="T206274"/>
    <s v="Super Kings Vs Sunrisers"/>
    <s v="Sunrisers"/>
    <x v="5"/>
    <s v="ShashankSingh"/>
    <s v="out"/>
    <n v="15"/>
    <n v="14"/>
    <n v="1"/>
    <n v="0"/>
    <n v="4.958333333333333"/>
  </r>
  <r>
    <s v="T206274"/>
    <s v="Super Kings Vs Sunrisers"/>
    <s v="Sunrisers"/>
    <x v="6"/>
    <s v="WashingtonSundar"/>
    <s v="out"/>
    <n v="2"/>
    <n v="2"/>
    <n v="0"/>
    <n v="0"/>
    <n v="6.3444444444444441"/>
  </r>
  <r>
    <s v="T206274"/>
    <s v="Super Kings Vs Sunrisers"/>
    <s v="Sunrisers"/>
    <x v="7"/>
    <s v="MarcoJansen"/>
    <s v="not_out"/>
    <n v="0"/>
    <n v="0"/>
    <n v="0"/>
    <n v="0"/>
    <n v="6.0092165898617509"/>
  </r>
  <r>
    <s v="T208561"/>
    <s v="Super Giants Vs Capitals"/>
    <s v="Super Giants"/>
    <x v="0"/>
    <s v="QuintondeKock"/>
    <s v="out"/>
    <n v="23"/>
    <n v="13"/>
    <n v="3"/>
    <n v="1"/>
    <n v="5"/>
  </r>
  <r>
    <s v="T208561"/>
    <s v="Super Giants Vs Capitals"/>
    <s v="Super Giants"/>
    <x v="1"/>
    <s v="KLRahul"/>
    <s v="out"/>
    <n v="77"/>
    <n v="51"/>
    <n v="4"/>
    <n v="5"/>
    <n v="3.4"/>
  </r>
  <r>
    <s v="T208561"/>
    <s v="Super Giants Vs Capitals"/>
    <s v="Super Giants"/>
    <x v="2"/>
    <s v="DeepakHooda"/>
    <s v="out"/>
    <n v="52"/>
    <n v="34"/>
    <n v="6"/>
    <n v="1"/>
    <n v="4.6111111111111107"/>
  </r>
  <r>
    <s v="T208561"/>
    <s v="Super Giants Vs Capitals"/>
    <s v="Super Giants"/>
    <x v="3"/>
    <s v="MarcusStoinis"/>
    <s v="not_out"/>
    <n v="17"/>
    <n v="16"/>
    <n v="1"/>
    <n v="1"/>
    <n v="4.7586206896551726"/>
  </r>
  <r>
    <s v="T208561"/>
    <s v="Super Giants Vs Capitals"/>
    <s v="Super Giants"/>
    <x v="4"/>
    <s v="KrunalPandya"/>
    <s v="not_out"/>
    <n v="9"/>
    <n v="6"/>
    <n v="0"/>
    <n v="0"/>
    <n v="5.5925925925925926"/>
  </r>
  <r>
    <s v="T208561"/>
    <s v="Super Giants Vs Capitals"/>
    <s v="Capitals"/>
    <x v="0"/>
    <s v="PrithviShaw"/>
    <s v="out"/>
    <n v="5"/>
    <n v="7"/>
    <n v="1"/>
    <n v="0"/>
    <n v="5.0204081632653059"/>
  </r>
  <r>
    <s v="T208561"/>
    <s v="Super Giants Vs Capitals"/>
    <s v="Capitals"/>
    <x v="1"/>
    <s v="DavidWarner"/>
    <s v="out"/>
    <n v="3"/>
    <n v="4"/>
    <n v="0"/>
    <n v="0"/>
    <n v="5.3174603174603172"/>
  </r>
  <r>
    <s v="T208561"/>
    <s v="Super Giants Vs Capitals"/>
    <s v="Capitals"/>
    <x v="2"/>
    <s v="MitchellMarsh"/>
    <s v="out"/>
    <n v="37"/>
    <n v="20"/>
    <n v="3"/>
    <n v="3"/>
    <n v="4.7407407407407405"/>
  </r>
  <r>
    <s v="T208561"/>
    <s v="Super Giants Vs Capitals"/>
    <s v="Capitals"/>
    <x v="3"/>
    <s v="RishabhPant"/>
    <s v="out"/>
    <n v="44"/>
    <n v="30"/>
    <n v="7"/>
    <n v="1"/>
    <n v="3.7826086956521738"/>
  </r>
  <r>
    <s v="T208561"/>
    <s v="Super Giants Vs Capitals"/>
    <s v="Capitals"/>
    <x v="4"/>
    <s v="LalitYadav"/>
    <s v="out"/>
    <n v="3"/>
    <n v="4"/>
    <n v="0"/>
    <n v="0"/>
    <n v="5.3174603174603172"/>
  </r>
  <r>
    <s v="T208561"/>
    <s v="Super Giants Vs Capitals"/>
    <s v="Capitals"/>
    <x v="5"/>
    <s v="RovmanPowell"/>
    <s v="out"/>
    <n v="35"/>
    <n v="21"/>
    <n v="3"/>
    <n v="2"/>
    <n v="4.916666666666667"/>
  </r>
  <r>
    <s v="T208561"/>
    <s v="Super Giants Vs Capitals"/>
    <s v="Capitals"/>
    <x v="6"/>
    <s v="AxarPatel"/>
    <s v="not_out"/>
    <n v="42"/>
    <n v="24"/>
    <n v="1"/>
    <n v="3"/>
    <n v="4.2631578947368425"/>
  </r>
  <r>
    <s v="T208561"/>
    <s v="Super Giants Vs Capitals"/>
    <s v="Capitals"/>
    <x v="7"/>
    <s v="ShardulThakur"/>
    <s v="out"/>
    <n v="1"/>
    <n v="2"/>
    <n v="0"/>
    <n v="0"/>
    <n v="6.3370786516853936"/>
  </r>
  <r>
    <s v="T208561"/>
    <s v="Super Giants Vs Capitals"/>
    <s v="Capitals"/>
    <x v="8"/>
    <s v="KuldeepYadav"/>
    <s v="not_out"/>
    <n v="16"/>
    <n v="8"/>
    <n v="1"/>
    <n v="1"/>
    <n v="4.7301587301587302"/>
  </r>
  <r>
    <s v="T204259"/>
    <s v="Royals Vs Mumbai"/>
    <s v="Royals"/>
    <x v="0"/>
    <s v="JosButtler"/>
    <s v="out"/>
    <n v="67"/>
    <n v="52"/>
    <n v="5"/>
    <n v="4"/>
    <n v="3.125"/>
  </r>
  <r>
    <s v="T204259"/>
    <s v="Royals Vs Mumbai"/>
    <s v="Royals"/>
    <x v="1"/>
    <s v="DevduttPadikkal"/>
    <s v="out"/>
    <n v="15"/>
    <n v="15"/>
    <n v="3"/>
    <n v="0"/>
    <n v="4.8666666666666663"/>
  </r>
  <r>
    <s v="T204259"/>
    <s v="Royals Vs Mumbai"/>
    <s v="Royals"/>
    <x v="2"/>
    <s v="SanjuSamson"/>
    <s v="out"/>
    <n v="16"/>
    <n v="7"/>
    <n v="0"/>
    <n v="2"/>
    <n v="5.0204081632653059"/>
  </r>
  <r>
    <s v="T204259"/>
    <s v="Royals Vs Mumbai"/>
    <s v="Royals"/>
    <x v="3"/>
    <s v="DarylMitchell"/>
    <s v="out"/>
    <n v="17"/>
    <n v="20"/>
    <n v="1"/>
    <n v="0"/>
    <n v="4.7407407407407405"/>
  </r>
  <r>
    <s v="T204259"/>
    <s v="Royals Vs Mumbai"/>
    <s v="Royals"/>
    <x v="4"/>
    <s v="ShimronHetmyer"/>
    <s v="not_out"/>
    <n v="6"/>
    <n v="14"/>
    <n v="0"/>
    <n v="0"/>
    <n v="4.958333333333333"/>
  </r>
  <r>
    <s v="T204259"/>
    <s v="Royals Vs Mumbai"/>
    <s v="Royals"/>
    <x v="5"/>
    <s v="RiyanParag"/>
    <s v="out"/>
    <n v="3"/>
    <n v="3"/>
    <n v="0"/>
    <n v="0"/>
    <n v="5.546875"/>
  </r>
  <r>
    <s v="T204259"/>
    <s v="Royals Vs Mumbai"/>
    <s v="Royals"/>
    <x v="6"/>
    <s v="RavichandranAshwin"/>
    <s v="out"/>
    <n v="21"/>
    <n v="9"/>
    <n v="3"/>
    <n v="1"/>
    <n v="4.4722222222222223"/>
  </r>
  <r>
    <s v="T204259"/>
    <s v="Royals Vs Mumbai"/>
    <s v="Royals"/>
    <x v="7"/>
    <s v="TrentBoult"/>
    <s v="not_out"/>
    <n v="1"/>
    <n v="1"/>
    <n v="0"/>
    <n v="0"/>
    <n v="6.4720000000000004"/>
  </r>
  <r>
    <s v="T204259"/>
    <s v="Royals Vs Mumbai"/>
    <s v="Mumbai"/>
    <x v="0"/>
    <s v="RohitSharma"/>
    <s v="out"/>
    <n v="2"/>
    <n v="5"/>
    <n v="0"/>
    <n v="0"/>
    <n v="5.2950819672131146"/>
  </r>
  <r>
    <s v="T204259"/>
    <s v="Royals Vs Mumbai"/>
    <s v="Mumbai"/>
    <x v="1"/>
    <s v="IshanKishan"/>
    <s v="out"/>
    <n v="26"/>
    <n v="18"/>
    <n v="4"/>
    <n v="1"/>
    <n v="4.709677419354839"/>
  </r>
  <r>
    <s v="T204259"/>
    <s v="Royals Vs Mumbai"/>
    <s v="Mumbai"/>
    <x v="2"/>
    <s v="SuryakumarYadav"/>
    <s v="out"/>
    <n v="51"/>
    <n v="39"/>
    <n v="5"/>
    <n v="2"/>
    <n v="2.9"/>
  </r>
  <r>
    <s v="T204259"/>
    <s v="Royals Vs Mumbai"/>
    <s v="Mumbai"/>
    <x v="3"/>
    <s v="TilakVarma"/>
    <s v="out"/>
    <n v="35"/>
    <n v="30"/>
    <n v="1"/>
    <n v="2"/>
    <n v="3.7826086956521738"/>
  </r>
  <r>
    <s v="T204259"/>
    <s v="Royals Vs Mumbai"/>
    <s v="Mumbai"/>
    <x v="4"/>
    <s v="KieronPollard"/>
    <s v="out"/>
    <n v="10"/>
    <n v="14"/>
    <n v="0"/>
    <n v="0"/>
    <n v="4.958333333333333"/>
  </r>
  <r>
    <s v="T204259"/>
    <s v="Royals Vs Mumbai"/>
    <s v="Mumbai"/>
    <x v="5"/>
    <s v="TimDavid"/>
    <s v="not_out"/>
    <n v="20"/>
    <n v="9"/>
    <n v="2"/>
    <n v="1"/>
    <n v="4.4722222222222223"/>
  </r>
  <r>
    <s v="T204259"/>
    <s v="Royals Vs Mumbai"/>
    <s v="Mumbai"/>
    <x v="6"/>
    <s v="DanielSams"/>
    <s v="not_out"/>
    <n v="6"/>
    <n v="1"/>
    <n v="0"/>
    <n v="1"/>
    <n v="6.459677419354839"/>
  </r>
  <r>
    <s v="T208841"/>
    <s v="RCB Vs Titans"/>
    <s v="RCB"/>
    <x v="0"/>
    <s v="ViratKohli"/>
    <s v="out"/>
    <n v="58"/>
    <n v="53"/>
    <n v="6"/>
    <n v="1"/>
    <n v="4"/>
  </r>
  <r>
    <s v="T208841"/>
    <s v="RCB Vs Titans"/>
    <s v="RCB"/>
    <x v="1"/>
    <s v="FafduPlessis"/>
    <s v="out"/>
    <n v="0"/>
    <n v="4"/>
    <n v="0"/>
    <n v="0"/>
    <n v="5.3174603174603172"/>
  </r>
  <r>
    <s v="T208841"/>
    <s v="RCB Vs Titans"/>
    <s v="RCB"/>
    <x v="2"/>
    <s v="RajatPatidar"/>
    <s v="out"/>
    <n v="52"/>
    <n v="32"/>
    <n v="5"/>
    <n v="2"/>
    <n v="4.6470588235294121"/>
  </r>
  <r>
    <s v="T208841"/>
    <s v="RCB Vs Titans"/>
    <s v="RCB"/>
    <x v="3"/>
    <s v="GlennMaxwell"/>
    <s v="out"/>
    <n v="33"/>
    <n v="18"/>
    <n v="3"/>
    <n v="2"/>
    <n v="4.709677419354839"/>
  </r>
  <r>
    <s v="T208841"/>
    <s v="RCB Vs Titans"/>
    <s v="RCB"/>
    <x v="4"/>
    <s v="DineshKarthik"/>
    <s v="out"/>
    <n v="2"/>
    <n v="3"/>
    <n v="0"/>
    <n v="0"/>
    <n v="5.5396825396825395"/>
  </r>
  <r>
    <s v="T208841"/>
    <s v="RCB Vs Titans"/>
    <s v="RCB"/>
    <x v="5"/>
    <s v="ShahbazAhmed"/>
    <s v="not_out"/>
    <n v="2"/>
    <n v="2"/>
    <n v="0"/>
    <n v="0"/>
    <n v="6.4137931034482758"/>
  </r>
  <r>
    <s v="T208841"/>
    <s v="RCB Vs Titans"/>
    <s v="RCB"/>
    <x v="6"/>
    <s v="MahipalLomror"/>
    <s v="out"/>
    <n v="16"/>
    <n v="8"/>
    <n v="2"/>
    <n v="1"/>
    <n v="4.7301587301587302"/>
  </r>
  <r>
    <s v="T208841"/>
    <s v="RCB Vs Titans"/>
    <s v="Titans"/>
    <x v="0"/>
    <s v="WriddhimanSaha"/>
    <s v="out"/>
    <n v="29"/>
    <n v="22"/>
    <n v="4"/>
    <n v="0"/>
    <n v="4.6896551724137927"/>
  </r>
  <r>
    <s v="T208841"/>
    <s v="RCB Vs Titans"/>
    <s v="Titans"/>
    <x v="1"/>
    <s v="ShubmanGill"/>
    <s v="out"/>
    <n v="31"/>
    <n v="28"/>
    <n v="3"/>
    <n v="1"/>
    <n v="3.5789473684210527"/>
  </r>
  <r>
    <s v="T208841"/>
    <s v="RCB Vs Titans"/>
    <s v="Titans"/>
    <x v="2"/>
    <s v="SaiSudharsan"/>
    <s v="out"/>
    <n v="20"/>
    <n v="14"/>
    <n v="2"/>
    <n v="0"/>
    <n v="4.958333333333333"/>
  </r>
  <r>
    <s v="T208841"/>
    <s v="RCB Vs Titans"/>
    <s v="Titans"/>
    <x v="3"/>
    <s v="HardikPandya"/>
    <s v="out"/>
    <n v="3"/>
    <n v="5"/>
    <n v="0"/>
    <n v="0"/>
    <n v="5.2950819672131146"/>
  </r>
  <r>
    <s v="T208841"/>
    <s v="RCB Vs Titans"/>
    <s v="Titans"/>
    <x v="4"/>
    <s v="DavidMiller"/>
    <s v="not_out"/>
    <n v="39"/>
    <n v="24"/>
    <n v="4"/>
    <n v="1"/>
    <n v="4.2631578947368425"/>
  </r>
  <r>
    <s v="T208841"/>
    <s v="RCB Vs Titans"/>
    <s v="Titans"/>
    <x v="5"/>
    <s v="RahulTewatia"/>
    <s v="not_out"/>
    <n v="43"/>
    <n v="25"/>
    <n v="5"/>
    <n v="2"/>
    <n v="5.1363636363636367"/>
  </r>
  <r>
    <s v="T207116"/>
    <s v="Super Giants Vs Punjab Kings"/>
    <s v="Super Giants"/>
    <x v="0"/>
    <s v="QuintondeKock"/>
    <s v="out"/>
    <n v="46"/>
    <n v="37"/>
    <n v="4"/>
    <n v="2"/>
    <n v="3.2727272727272729"/>
  </r>
  <r>
    <s v="T207116"/>
    <s v="Super Giants Vs Punjab Kings"/>
    <s v="Super Giants"/>
    <x v="1"/>
    <s v="KLRahul"/>
    <s v="out"/>
    <n v="6"/>
    <n v="11"/>
    <n v="1"/>
    <n v="0"/>
    <n v="4.7241379310344831"/>
  </r>
  <r>
    <s v="T207116"/>
    <s v="Super Giants Vs Punjab Kings"/>
    <s v="Super Giants"/>
    <x v="2"/>
    <s v="DeepakHooda"/>
    <s v="out"/>
    <n v="34"/>
    <n v="28"/>
    <n v="1"/>
    <n v="2"/>
    <n v="3.5789473684210527"/>
  </r>
  <r>
    <s v="T207116"/>
    <s v="Super Giants Vs Punjab Kings"/>
    <s v="Super Giants"/>
    <x v="3"/>
    <s v="KrunalPandya"/>
    <s v="out"/>
    <n v="7"/>
    <n v="7"/>
    <n v="1"/>
    <n v="0"/>
    <n v="5.0204081632653059"/>
  </r>
  <r>
    <s v="T207116"/>
    <s v="Super Giants Vs Punjab Kings"/>
    <s v="Super Giants"/>
    <x v="4"/>
    <s v="MarcusStoinis"/>
    <s v="out"/>
    <n v="1"/>
    <n v="4"/>
    <n v="0"/>
    <n v="0"/>
    <n v="5.3174603174603172"/>
  </r>
  <r>
    <s v="T207116"/>
    <s v="Super Giants Vs Punjab Kings"/>
    <s v="Super Giants"/>
    <x v="5"/>
    <s v="AyushBadoni"/>
    <s v="out"/>
    <n v="4"/>
    <n v="4"/>
    <n v="0"/>
    <n v="0"/>
    <n v="5.3174603174603172"/>
  </r>
  <r>
    <s v="T207116"/>
    <s v="Super Giants Vs Punjab Kings"/>
    <s v="Super Giants"/>
    <x v="6"/>
    <s v="JasonHolder"/>
    <s v="out"/>
    <n v="11"/>
    <n v="8"/>
    <n v="0"/>
    <n v="1"/>
    <n v="4.7301587301587302"/>
  </r>
  <r>
    <s v="T207116"/>
    <s v="Super Giants Vs Punjab Kings"/>
    <s v="Super Giants"/>
    <x v="7"/>
    <s v="DushmanthaChameera"/>
    <s v="out"/>
    <n v="17"/>
    <n v="10"/>
    <n v="0"/>
    <n v="2"/>
    <n v="5"/>
  </r>
  <r>
    <s v="T207116"/>
    <s v="Super Giants Vs Punjab Kings"/>
    <s v="Super Giants"/>
    <x v="8"/>
    <s v="MohsinKhan"/>
    <s v="not_out"/>
    <n v="13"/>
    <n v="6"/>
    <n v="1"/>
    <n v="1"/>
    <n v="5.6470588235294121"/>
  </r>
  <r>
    <s v="T207116"/>
    <s v="Super Giants Vs Punjab Kings"/>
    <s v="Super Giants"/>
    <x v="9"/>
    <s v="AveshKhan"/>
    <s v="not_out"/>
    <n v="2"/>
    <n v="5"/>
    <n v="0"/>
    <n v="0"/>
    <n v="5.2950819672131146"/>
  </r>
  <r>
    <s v="T207116"/>
    <s v="Super Giants Vs Punjab Kings"/>
    <s v="Punjab Kings"/>
    <x v="0"/>
    <s v="MayankAgarwal"/>
    <s v="out"/>
    <n v="25"/>
    <n v="17"/>
    <n v="2"/>
    <n v="2"/>
    <n v="4.6333333333333337"/>
  </r>
  <r>
    <s v="T207116"/>
    <s v="Super Giants Vs Punjab Kings"/>
    <s v="Punjab Kings"/>
    <x v="1"/>
    <s v="ShikharDhawan"/>
    <s v="out"/>
    <n v="5"/>
    <n v="15"/>
    <n v="0"/>
    <n v="0"/>
    <n v="4.9655172413793105"/>
  </r>
  <r>
    <s v="T207116"/>
    <s v="Super Giants Vs Punjab Kings"/>
    <s v="Punjab Kings"/>
    <x v="2"/>
    <s v="JonnyBairstow"/>
    <s v="out"/>
    <n v="32"/>
    <n v="28"/>
    <n v="5"/>
    <n v="0"/>
    <n v="3.5789473684210527"/>
  </r>
  <r>
    <s v="T207116"/>
    <s v="Super Giants Vs Punjab Kings"/>
    <s v="Punjab Kings"/>
    <x v="3"/>
    <s v="BhanukaRajapaksa"/>
    <s v="out"/>
    <n v="9"/>
    <n v="7"/>
    <n v="1"/>
    <n v="0"/>
    <n v="5.041666666666667"/>
  </r>
  <r>
    <s v="T207116"/>
    <s v="Super Giants Vs Punjab Kings"/>
    <s v="Punjab Kings"/>
    <x v="4"/>
    <s v="LiamLivingstone"/>
    <s v="out"/>
    <n v="18"/>
    <n v="16"/>
    <n v="0"/>
    <n v="2"/>
    <n v="4.5769230769230766"/>
  </r>
  <r>
    <s v="T207116"/>
    <s v="Super Giants Vs Punjab Kings"/>
    <s v="Punjab Kings"/>
    <x v="5"/>
    <s v="JiteshSharma"/>
    <s v="out"/>
    <n v="2"/>
    <n v="5"/>
    <n v="0"/>
    <n v="0"/>
    <n v="5.35"/>
  </r>
  <r>
    <s v="T207116"/>
    <s v="Super Giants Vs Punjab Kings"/>
    <s v="Punjab Kings"/>
    <x v="6"/>
    <s v="RishiDhawan"/>
    <s v="not_out"/>
    <n v="21"/>
    <n v="22"/>
    <n v="3"/>
    <n v="1"/>
    <n v="4.6896551724137927"/>
  </r>
  <r>
    <s v="T207116"/>
    <s v="Super Giants Vs Punjab Kings"/>
    <s v="Punjab Kings"/>
    <x v="7"/>
    <s v="KagisoRabada"/>
    <s v="out"/>
    <n v="2"/>
    <n v="5"/>
    <n v="0"/>
    <n v="0"/>
    <n v="5.35"/>
  </r>
  <r>
    <s v="T207116"/>
    <s v="Super Giants Vs Punjab Kings"/>
    <s v="Punjab Kings"/>
    <x v="8"/>
    <s v="RahulChahar"/>
    <s v="out"/>
    <n v="4"/>
    <n v="4"/>
    <n v="1"/>
    <n v="0"/>
    <n v="5.306451612903226"/>
  </r>
  <r>
    <s v="T207116"/>
    <s v="Super Giants Vs Punjab Kings"/>
    <s v="Punjab Kings"/>
    <x v="9"/>
    <s v="ArshdeepSingh"/>
    <s v="not_out"/>
    <n v="0"/>
    <n v="2"/>
    <n v="0"/>
    <n v="0"/>
    <n v="6.3614457831325302"/>
  </r>
  <r>
    <s v="T209582"/>
    <s v="KKR Vs Capitals"/>
    <s v="KKR"/>
    <x v="0"/>
    <s v="AaronFinch"/>
    <s v="out"/>
    <n v="3"/>
    <n v="7"/>
    <n v="0"/>
    <n v="0"/>
    <n v="5.041666666666667"/>
  </r>
  <r>
    <s v="T209582"/>
    <s v="KKR Vs Capitals"/>
    <s v="KKR"/>
    <x v="1"/>
    <s v="VenkateshIyer"/>
    <s v="out"/>
    <n v="6"/>
    <n v="12"/>
    <n v="0"/>
    <n v="0"/>
    <n v="4.5957446808510642"/>
  </r>
  <r>
    <s v="T209582"/>
    <s v="KKR Vs Capitals"/>
    <s v="KKR"/>
    <x v="2"/>
    <s v="ShreyasIyer"/>
    <s v="out"/>
    <n v="42"/>
    <n v="37"/>
    <n v="4"/>
    <n v="0"/>
    <n v="3.2727272727272729"/>
  </r>
  <r>
    <s v="T209582"/>
    <s v="KKR Vs Capitals"/>
    <s v="KKR"/>
    <x v="3"/>
    <s v="BabaIndrajith"/>
    <s v="out"/>
    <n v="6"/>
    <n v="8"/>
    <n v="0"/>
    <n v="0"/>
    <n v="4.7301587301587302"/>
  </r>
  <r>
    <s v="T209582"/>
    <s v="KKR Vs Capitals"/>
    <s v="KKR"/>
    <x v="4"/>
    <s v="SunilNarine"/>
    <s v="out"/>
    <n v="0"/>
    <n v="1"/>
    <n v="0"/>
    <n v="0"/>
    <n v="6.4715447154471546"/>
  </r>
  <r>
    <s v="T209582"/>
    <s v="KKR Vs Capitals"/>
    <s v="KKR"/>
    <x v="5"/>
    <s v="NitishRana"/>
    <s v="out"/>
    <n v="57"/>
    <n v="34"/>
    <n v="3"/>
    <n v="4"/>
    <n v="4.7058823529411766"/>
  </r>
  <r>
    <s v="T209582"/>
    <s v="KKR Vs Capitals"/>
    <s v="KKR"/>
    <x v="6"/>
    <s v="AndreRussell"/>
    <s v="out"/>
    <n v="0"/>
    <n v="3"/>
    <n v="0"/>
    <n v="0"/>
    <n v="5.639344262295082"/>
  </r>
  <r>
    <s v="T209582"/>
    <s v="KKR Vs Capitals"/>
    <s v="KKR"/>
    <x v="7"/>
    <s v="RinkuSingh"/>
    <s v="out"/>
    <n v="23"/>
    <n v="16"/>
    <n v="3"/>
    <n v="0"/>
    <n v="4.5769230769230766"/>
  </r>
  <r>
    <s v="T209582"/>
    <s v="KKR Vs Capitals"/>
    <s v="KKR"/>
    <x v="8"/>
    <s v="UmeshYadav"/>
    <s v="not_out"/>
    <n v="0"/>
    <n v="1"/>
    <n v="0"/>
    <n v="0"/>
    <n v="6.4715447154471546"/>
  </r>
  <r>
    <s v="T209582"/>
    <s v="KKR Vs Capitals"/>
    <s v="KKR"/>
    <x v="9"/>
    <s v="TimSouthee"/>
    <s v="out"/>
    <n v="0"/>
    <n v="1"/>
    <n v="0"/>
    <n v="0"/>
    <n v="6.4715447154471546"/>
  </r>
  <r>
    <s v="T209582"/>
    <s v="KKR Vs Capitals"/>
    <s v="KKR"/>
    <x v="10"/>
    <s v="HarshitRana"/>
    <s v="not_out"/>
    <n v="0"/>
    <n v="1"/>
    <n v="0"/>
    <n v="0"/>
    <n v="6.4715447154471546"/>
  </r>
  <r>
    <s v="T209582"/>
    <s v="KKR Vs Capitals"/>
    <s v="Capitals"/>
    <x v="0"/>
    <s v="PrithviShaw"/>
    <s v="out"/>
    <n v="0"/>
    <n v="1"/>
    <n v="0"/>
    <n v="0"/>
    <n v="6.4715447154471546"/>
  </r>
  <r>
    <s v="T209582"/>
    <s v="KKR Vs Capitals"/>
    <s v="Capitals"/>
    <x v="1"/>
    <s v="DavidWarner"/>
    <s v="out"/>
    <n v="42"/>
    <n v="26"/>
    <n v="8"/>
    <n v="0"/>
    <n v="3.9310344827586206"/>
  </r>
  <r>
    <s v="T209582"/>
    <s v="KKR Vs Capitals"/>
    <s v="Capitals"/>
    <x v="2"/>
    <s v="MitchellMarsh"/>
    <s v="out"/>
    <n v="13"/>
    <n v="7"/>
    <n v="2"/>
    <n v="0"/>
    <n v="5.041666666666667"/>
  </r>
  <r>
    <s v="T209582"/>
    <s v="KKR Vs Capitals"/>
    <s v="Capitals"/>
    <x v="3"/>
    <s v="LalitYadav"/>
    <s v="out"/>
    <n v="22"/>
    <n v="29"/>
    <n v="1"/>
    <n v="1"/>
    <n v="4.1875"/>
  </r>
  <r>
    <s v="T209582"/>
    <s v="KKR Vs Capitals"/>
    <s v="Capitals"/>
    <x v="4"/>
    <s v="RishabhPant"/>
    <s v="out"/>
    <n v="2"/>
    <n v="5"/>
    <n v="0"/>
    <n v="0"/>
    <n v="5.35"/>
  </r>
  <r>
    <s v="T209582"/>
    <s v="KKR Vs Capitals"/>
    <s v="Capitals"/>
    <x v="5"/>
    <s v="RovmanPowell"/>
    <s v="not_out"/>
    <n v="33"/>
    <n v="16"/>
    <n v="1"/>
    <n v="3"/>
    <n v="4.5769230769230766"/>
  </r>
  <r>
    <s v="T209582"/>
    <s v="KKR Vs Capitals"/>
    <s v="Capitals"/>
    <x v="6"/>
    <s v="AxarPatel"/>
    <s v="out"/>
    <n v="24"/>
    <n v="17"/>
    <n v="2"/>
    <n v="1"/>
    <n v="4.6333333333333337"/>
  </r>
  <r>
    <s v="T209582"/>
    <s v="KKR Vs Capitals"/>
    <s v="Capitals"/>
    <x v="7"/>
    <s v="ShardulThakur"/>
    <s v="not_out"/>
    <n v="8"/>
    <n v="14"/>
    <n v="0"/>
    <n v="0"/>
    <n v="4.958333333333333"/>
  </r>
  <r>
    <s v="T209115"/>
    <s v="Sunrisers Vs Titans"/>
    <s v="Sunrisers"/>
    <x v="0"/>
    <s v="AbhishekSharma"/>
    <s v="out"/>
    <n v="65"/>
    <n v="42"/>
    <n v="6"/>
    <n v="3"/>
    <n v="3.2727272727272729"/>
  </r>
  <r>
    <s v="T209115"/>
    <s v="Sunrisers Vs Titans"/>
    <s v="Sunrisers"/>
    <x v="1"/>
    <s v="KaneWilliamson"/>
    <s v="out"/>
    <n v="5"/>
    <n v="8"/>
    <n v="1"/>
    <n v="0"/>
    <n v="4.67741935483871"/>
  </r>
  <r>
    <s v="T209115"/>
    <s v="Sunrisers Vs Titans"/>
    <s v="Sunrisers"/>
    <x v="2"/>
    <s v="RahulTripathi"/>
    <s v="out"/>
    <n v="16"/>
    <n v="10"/>
    <n v="2"/>
    <n v="1"/>
    <n v="5"/>
  </r>
  <r>
    <s v="T209115"/>
    <s v="Sunrisers Vs Titans"/>
    <s v="Sunrisers"/>
    <x v="3"/>
    <s v="AidenMarkram"/>
    <s v="out"/>
    <n v="56"/>
    <n v="40"/>
    <n v="2"/>
    <n v="3"/>
    <n v="4.1428571428571432"/>
  </r>
  <r>
    <s v="T209115"/>
    <s v="Sunrisers Vs Titans"/>
    <s v="Sunrisers"/>
    <x v="4"/>
    <s v="NicholasPooran"/>
    <s v="out"/>
    <n v="3"/>
    <n v="5"/>
    <n v="0"/>
    <n v="0"/>
    <n v="5.406779661016949"/>
  </r>
  <r>
    <s v="T209115"/>
    <s v="Sunrisers Vs Titans"/>
    <s v="Sunrisers"/>
    <x v="5"/>
    <s v="WashingtonSundar"/>
    <s v="out"/>
    <n v="3"/>
    <n v="4"/>
    <n v="0"/>
    <n v="0"/>
    <n v="5.2459016393442619"/>
  </r>
  <r>
    <s v="T209115"/>
    <s v="Sunrisers Vs Titans"/>
    <s v="Sunrisers"/>
    <x v="6"/>
    <s v="ShashankSingh"/>
    <s v="not_out"/>
    <n v="25"/>
    <n v="6"/>
    <n v="1"/>
    <n v="3"/>
    <n v="5.7551020408163263"/>
  </r>
  <r>
    <s v="T209115"/>
    <s v="Sunrisers Vs Titans"/>
    <s v="Sunrisers"/>
    <x v="7"/>
    <s v="MarcoJansen"/>
    <s v="not_out"/>
    <n v="8"/>
    <n v="5"/>
    <n v="0"/>
    <n v="1"/>
    <n v="5.406779661016949"/>
  </r>
  <r>
    <s v="T209115"/>
    <s v="Sunrisers Vs Titans"/>
    <s v="Titans"/>
    <x v="0"/>
    <s v="WriddhimanSaha"/>
    <s v="out"/>
    <n v="68"/>
    <n v="38"/>
    <n v="11"/>
    <n v="1"/>
    <n v="4.333333333333333"/>
  </r>
  <r>
    <s v="T209115"/>
    <s v="Sunrisers Vs Titans"/>
    <s v="Titans"/>
    <x v="1"/>
    <s v="ShubmanGill"/>
    <s v="out"/>
    <n v="22"/>
    <n v="24"/>
    <n v="1"/>
    <n v="1"/>
    <n v="4.1111111111111107"/>
  </r>
  <r>
    <s v="T209115"/>
    <s v="Sunrisers Vs Titans"/>
    <s v="Titans"/>
    <x v="2"/>
    <s v="HardikPandya"/>
    <s v="out"/>
    <n v="10"/>
    <n v="6"/>
    <n v="2"/>
    <n v="0"/>
    <n v="5.7551020408163263"/>
  </r>
  <r>
    <s v="T209115"/>
    <s v="Sunrisers Vs Titans"/>
    <s v="Titans"/>
    <x v="3"/>
    <s v="DavidMiller"/>
    <s v="out"/>
    <n v="17"/>
    <n v="19"/>
    <n v="1"/>
    <n v="0"/>
    <n v="4.9642857142857144"/>
  </r>
  <r>
    <s v="T209115"/>
    <s v="Sunrisers Vs Titans"/>
    <s v="Titans"/>
    <x v="4"/>
    <s v="RahulTewatia"/>
    <s v="not_out"/>
    <n v="40"/>
    <n v="21"/>
    <n v="4"/>
    <n v="2"/>
    <n v="4.7941176470588234"/>
  </r>
  <r>
    <s v="T209115"/>
    <s v="Sunrisers Vs Titans"/>
    <s v="Titans"/>
    <x v="5"/>
    <s v="AbhinavManohar"/>
    <s v="out"/>
    <n v="0"/>
    <n v="1"/>
    <n v="0"/>
    <n v="0"/>
    <n v="6.4715447154471546"/>
  </r>
  <r>
    <s v="T209115"/>
    <s v="Sunrisers Vs Titans"/>
    <s v="Titans"/>
    <x v="6"/>
    <s v="RashidKhan"/>
    <s v="not_out"/>
    <n v="31"/>
    <n v="11"/>
    <n v="0"/>
    <n v="4"/>
    <n v="4.6428571428571432"/>
  </r>
  <r>
    <s v="T205212"/>
    <s v="Royals Vs RCB"/>
    <s v="Royals"/>
    <x v="0"/>
    <s v="JosButtler"/>
    <s v="out"/>
    <n v="8"/>
    <n v="9"/>
    <n v="1"/>
    <n v="0"/>
    <n v="4.4857142857142858"/>
  </r>
  <r>
    <s v="T205212"/>
    <s v="Royals Vs RCB"/>
    <s v="Royals"/>
    <x v="1"/>
    <s v="DevduttPadikkal"/>
    <s v="out"/>
    <n v="7"/>
    <n v="7"/>
    <n v="0"/>
    <n v="1"/>
    <n v="5.041666666666667"/>
  </r>
  <r>
    <s v="T205212"/>
    <s v="Royals Vs RCB"/>
    <s v="Royals"/>
    <x v="2"/>
    <s v="RavichandranAshwin"/>
    <s v="out"/>
    <n v="17"/>
    <n v="9"/>
    <n v="4"/>
    <n v="0"/>
    <n v="4.4857142857142858"/>
  </r>
  <r>
    <s v="T205212"/>
    <s v="Royals Vs RCB"/>
    <s v="Royals"/>
    <x v="3"/>
    <s v="SanjuSamson"/>
    <s v="out"/>
    <n v="27"/>
    <n v="21"/>
    <n v="1"/>
    <n v="3"/>
    <n v="4.7941176470588234"/>
  </r>
  <r>
    <s v="T205212"/>
    <s v="Royals Vs RCB"/>
    <s v="Royals"/>
    <x v="4"/>
    <s v="DarylMitchell"/>
    <s v="out"/>
    <n v="16"/>
    <n v="24"/>
    <n v="0"/>
    <n v="0"/>
    <n v="4.1111111111111107"/>
  </r>
  <r>
    <s v="T205212"/>
    <s v="Royals Vs RCB"/>
    <s v="Royals"/>
    <x v="5"/>
    <s v="RiyanParag"/>
    <s v="not_out"/>
    <n v="56"/>
    <n v="31"/>
    <n v="3"/>
    <n v="4"/>
    <n v="3.3571428571428572"/>
  </r>
  <r>
    <s v="T205212"/>
    <s v="Royals Vs RCB"/>
    <s v="Royals"/>
    <x v="6"/>
    <s v="ShimronHetmyer"/>
    <s v="out"/>
    <n v="3"/>
    <n v="7"/>
    <n v="0"/>
    <n v="0"/>
    <n v="5.1063829787234045"/>
  </r>
  <r>
    <s v="T205212"/>
    <s v="Royals Vs RCB"/>
    <s v="Royals"/>
    <x v="7"/>
    <s v="TrentBoult"/>
    <s v="out"/>
    <n v="5"/>
    <n v="7"/>
    <n v="0"/>
    <n v="0"/>
    <n v="5.1063829787234045"/>
  </r>
  <r>
    <s v="T205212"/>
    <s v="Royals Vs RCB"/>
    <s v="Royals"/>
    <x v="8"/>
    <s v="PrasidhKrishna"/>
    <s v="out"/>
    <n v="2"/>
    <n v="5"/>
    <n v="0"/>
    <n v="0"/>
    <n v="5.3620689655172411"/>
  </r>
  <r>
    <s v="T205212"/>
    <s v="Royals Vs RCB"/>
    <s v="Royals"/>
    <x v="9"/>
    <s v="YuzvendraChahal"/>
    <s v="not_out"/>
    <n v="0"/>
    <n v="0"/>
    <n v="0"/>
    <n v="0"/>
    <n v="5.9661835748792269"/>
  </r>
  <r>
    <s v="T205212"/>
    <s v="Royals Vs RCB"/>
    <s v="RCB"/>
    <x v="0"/>
    <s v="ViratKohli"/>
    <s v="out"/>
    <n v="9"/>
    <n v="10"/>
    <n v="2"/>
    <n v="0"/>
    <n v="5.0444444444444443"/>
  </r>
  <r>
    <s v="T205212"/>
    <s v="Royals Vs RCB"/>
    <s v="RCB"/>
    <x v="1"/>
    <s v="FafduPlessis"/>
    <s v="out"/>
    <n v="23"/>
    <n v="21"/>
    <n v="3"/>
    <n v="1"/>
    <n v="4.7941176470588234"/>
  </r>
  <r>
    <s v="T205212"/>
    <s v="Royals Vs RCB"/>
    <s v="RCB"/>
    <x v="2"/>
    <s v="RajatPatidar"/>
    <s v="out"/>
    <n v="16"/>
    <n v="16"/>
    <n v="0"/>
    <n v="1"/>
    <n v="4.625"/>
  </r>
  <r>
    <s v="T205212"/>
    <s v="Royals Vs RCB"/>
    <s v="RCB"/>
    <x v="3"/>
    <s v="GlennMaxwell"/>
    <s v="out"/>
    <n v="0"/>
    <n v="1"/>
    <n v="0"/>
    <n v="0"/>
    <n v="6.4715447154471546"/>
  </r>
  <r>
    <s v="T205212"/>
    <s v="Royals Vs RCB"/>
    <s v="RCB"/>
    <x v="4"/>
    <s v="ShahbazAhmed"/>
    <s v="out"/>
    <n v="17"/>
    <n v="27"/>
    <n v="0"/>
    <n v="1"/>
    <n v="4.4090909090909092"/>
  </r>
  <r>
    <s v="T205212"/>
    <s v="Royals Vs RCB"/>
    <s v="RCB"/>
    <x v="5"/>
    <s v="SuyashPrabhudessai"/>
    <s v="out"/>
    <n v="2"/>
    <n v="7"/>
    <n v="0"/>
    <n v="0"/>
    <n v="5.1063829787234045"/>
  </r>
  <r>
    <s v="T205212"/>
    <s v="Royals Vs RCB"/>
    <s v="RCB"/>
    <x v="6"/>
    <s v="DineshKarthik"/>
    <s v="out"/>
    <n v="6"/>
    <n v="4"/>
    <n v="1"/>
    <n v="0"/>
    <n v="5.2459016393442619"/>
  </r>
  <r>
    <s v="T205212"/>
    <s v="Royals Vs RCB"/>
    <s v="RCB"/>
    <x v="7"/>
    <s v="WaninduHasaranga"/>
    <s v="out"/>
    <n v="18"/>
    <n v="13"/>
    <n v="2"/>
    <n v="0"/>
    <n v="4.95"/>
  </r>
  <r>
    <s v="T205212"/>
    <s v="Royals Vs RCB"/>
    <s v="RCB"/>
    <x v="8"/>
    <s v="HarshalPatel"/>
    <s v="out"/>
    <n v="8"/>
    <n v="11"/>
    <n v="0"/>
    <n v="1"/>
    <n v="4.6428571428571432"/>
  </r>
  <r>
    <s v="T205212"/>
    <s v="Royals Vs RCB"/>
    <s v="RCB"/>
    <x v="9"/>
    <s v="MohammedSiraj"/>
    <s v="out"/>
    <n v="5"/>
    <n v="5"/>
    <n v="1"/>
    <n v="0"/>
    <n v="5.3620689655172411"/>
  </r>
  <r>
    <s v="T205212"/>
    <s v="Royals Vs RCB"/>
    <s v="RCB"/>
    <x v="10"/>
    <s v="JoshHazlewood"/>
    <s v="not_out"/>
    <n v="0"/>
    <n v="2"/>
    <n v="0"/>
    <n v="0"/>
    <n v="6.35"/>
  </r>
  <r>
    <s v="T207611"/>
    <s v="Punjab Kings Vs Super Kings"/>
    <s v="Punjab Kings"/>
    <x v="0"/>
    <s v="MayankAgarwal"/>
    <s v="out"/>
    <n v="18"/>
    <n v="21"/>
    <n v="2"/>
    <n v="0"/>
    <n v="4.7941176470588234"/>
  </r>
  <r>
    <s v="T207611"/>
    <s v="Punjab Kings Vs Super Kings"/>
    <s v="Punjab Kings"/>
    <x v="1"/>
    <s v="ShikharDhawan"/>
    <s v="not_out"/>
    <n v="88"/>
    <n v="59"/>
    <n v="9"/>
    <n v="2"/>
    <n v="2.5"/>
  </r>
  <r>
    <s v="T207611"/>
    <s v="Punjab Kings Vs Super Kings"/>
    <s v="Punjab Kings"/>
    <x v="2"/>
    <s v="BhanukaRajapaksa"/>
    <s v="out"/>
    <n v="42"/>
    <n v="32"/>
    <n v="2"/>
    <n v="2"/>
    <n v="4.75"/>
  </r>
  <r>
    <s v="T207611"/>
    <s v="Punjab Kings Vs Super Kings"/>
    <s v="Punjab Kings"/>
    <x v="3"/>
    <s v="LiamLivingstone"/>
    <s v="out"/>
    <n v="19"/>
    <n v="7"/>
    <n v="1"/>
    <n v="2"/>
    <n v="5.1063829787234045"/>
  </r>
  <r>
    <s v="T207611"/>
    <s v="Punjab Kings Vs Super Kings"/>
    <s v="Punjab Kings"/>
    <x v="4"/>
    <s v="JonnyBairstow"/>
    <s v="out"/>
    <n v="6"/>
    <n v="3"/>
    <n v="1"/>
    <n v="0"/>
    <n v="5.6206896551724137"/>
  </r>
  <r>
    <s v="T207611"/>
    <s v="Punjab Kings Vs Super Kings"/>
    <s v="Super Kings"/>
    <x v="0"/>
    <s v="RuturajGaikwad"/>
    <s v="out"/>
    <n v="30"/>
    <n v="27"/>
    <n v="4"/>
    <n v="0"/>
    <n v="4.4090909090909092"/>
  </r>
  <r>
    <s v="T207611"/>
    <s v="Punjab Kings Vs Super Kings"/>
    <s v="Super Kings"/>
    <x v="1"/>
    <s v="RobinUthappa"/>
    <s v="out"/>
    <n v="1"/>
    <n v="7"/>
    <n v="0"/>
    <n v="0"/>
    <n v="5.1063829787234045"/>
  </r>
  <r>
    <s v="T207611"/>
    <s v="Punjab Kings Vs Super Kings"/>
    <s v="Super Kings"/>
    <x v="2"/>
    <s v="MitchellSantner"/>
    <s v="out"/>
    <n v="9"/>
    <n v="15"/>
    <n v="1"/>
    <n v="0"/>
    <n v="4.9655172413793105"/>
  </r>
  <r>
    <s v="T207611"/>
    <s v="Punjab Kings Vs Super Kings"/>
    <s v="Super Kings"/>
    <x v="3"/>
    <s v="ShivamDube"/>
    <s v="out"/>
    <n v="8"/>
    <n v="7"/>
    <n v="1"/>
    <n v="0"/>
    <n v="5.1063829787234045"/>
  </r>
  <r>
    <s v="T207611"/>
    <s v="Punjab Kings Vs Super Kings"/>
    <s v="Super Kings"/>
    <x v="4"/>
    <s v="AmbatiRayudu"/>
    <s v="out"/>
    <n v="78"/>
    <n v="39"/>
    <n v="7"/>
    <n v="6"/>
    <n v="2.6666666666666665"/>
  </r>
  <r>
    <s v="T207611"/>
    <s v="Punjab Kings Vs Super Kings"/>
    <s v="Super Kings"/>
    <x v="5"/>
    <s v="RavindraJadeja"/>
    <s v="not_out"/>
    <n v="21"/>
    <n v="16"/>
    <n v="1"/>
    <n v="1"/>
    <n v="4.6956521739130439"/>
  </r>
  <r>
    <s v="T207611"/>
    <s v="Punjab Kings Vs Super Kings"/>
    <s v="Super Kings"/>
    <x v="6"/>
    <s v="MSDhoni"/>
    <s v="out"/>
    <n v="12"/>
    <n v="8"/>
    <n v="1"/>
    <n v="1"/>
    <n v="4.6206896551724137"/>
  </r>
  <r>
    <s v="T207611"/>
    <s v="Punjab Kings Vs Super Kings"/>
    <s v="Super Kings"/>
    <x v="7"/>
    <s v="DwainePretorius"/>
    <s v="not_out"/>
    <n v="1"/>
    <n v="1"/>
    <n v="0"/>
    <n v="0"/>
    <n v="6.5081967213114753"/>
  </r>
  <r>
    <s v="T208801"/>
    <s v="Super Giants Vs Mumbai"/>
    <s v="Super Giants"/>
    <x v="0"/>
    <s v="QuintondeKock"/>
    <s v="out"/>
    <n v="10"/>
    <n v="9"/>
    <n v="0"/>
    <n v="1"/>
    <n v="4.6363636363636367"/>
  </r>
  <r>
    <s v="T208801"/>
    <s v="Super Giants Vs Mumbai"/>
    <s v="Super Giants"/>
    <x v="1"/>
    <s v="KLRahul"/>
    <s v="not_out"/>
    <n v="103"/>
    <n v="62"/>
    <n v="12"/>
    <n v="4"/>
    <n v="3.25"/>
  </r>
  <r>
    <s v="T208801"/>
    <s v="Super Giants Vs Mumbai"/>
    <s v="Super Giants"/>
    <x v="2"/>
    <s v="ManishPandey"/>
    <s v="out"/>
    <n v="22"/>
    <n v="22"/>
    <n v="0"/>
    <n v="1"/>
    <n v="4.8148148148148149"/>
  </r>
  <r>
    <s v="T208801"/>
    <s v="Super Giants Vs Mumbai"/>
    <s v="Super Giants"/>
    <x v="3"/>
    <s v="MarcusStoinis"/>
    <s v="out"/>
    <n v="0"/>
    <n v="3"/>
    <n v="0"/>
    <n v="0"/>
    <n v="5.6206896551724137"/>
  </r>
  <r>
    <s v="T208801"/>
    <s v="Super Giants Vs Mumbai"/>
    <s v="Super Giants"/>
    <x v="4"/>
    <s v="KrunalPandya"/>
    <s v="out"/>
    <n v="1"/>
    <n v="2"/>
    <n v="0"/>
    <n v="0"/>
    <n v="6.35"/>
  </r>
  <r>
    <s v="T208801"/>
    <s v="Super Giants Vs Mumbai"/>
    <s v="Super Giants"/>
    <x v="5"/>
    <s v="DeepakHooda"/>
    <s v="out"/>
    <n v="10"/>
    <n v="9"/>
    <n v="1"/>
    <n v="0"/>
    <n v="4.6363636363636367"/>
  </r>
  <r>
    <s v="T208801"/>
    <s v="Super Giants Vs Mumbai"/>
    <s v="Super Giants"/>
    <x v="6"/>
    <s v="AyushBadoni"/>
    <s v="out"/>
    <n v="14"/>
    <n v="11"/>
    <n v="0"/>
    <n v="1"/>
    <n v="4.6428571428571432"/>
  </r>
  <r>
    <s v="T208801"/>
    <s v="Super Giants Vs Mumbai"/>
    <s v="Super Giants"/>
    <x v="7"/>
    <s v="JasonHolder"/>
    <s v="not_out"/>
    <n v="0"/>
    <n v="2"/>
    <n v="0"/>
    <n v="0"/>
    <n v="6.35"/>
  </r>
  <r>
    <s v="T208801"/>
    <s v="Super Giants Vs Mumbai"/>
    <s v="Mumbai"/>
    <x v="0"/>
    <s v="IshanKishan"/>
    <s v="out"/>
    <n v="8"/>
    <n v="20"/>
    <n v="0"/>
    <n v="0"/>
    <n v="4.76"/>
  </r>
  <r>
    <s v="T208801"/>
    <s v="Super Giants Vs Mumbai"/>
    <s v="Mumbai"/>
    <x v="1"/>
    <s v="RohitSharma"/>
    <s v="out"/>
    <n v="39"/>
    <n v="31"/>
    <n v="5"/>
    <n v="1"/>
    <n v="3.3571428571428572"/>
  </r>
  <r>
    <s v="T208801"/>
    <s v="Super Giants Vs Mumbai"/>
    <s v="Mumbai"/>
    <x v="2"/>
    <s v="DewaldBrevis"/>
    <s v="out"/>
    <n v="3"/>
    <n v="5"/>
    <n v="0"/>
    <n v="0"/>
    <n v="5.2807017543859649"/>
  </r>
  <r>
    <s v="T208801"/>
    <s v="Super Giants Vs Mumbai"/>
    <s v="Mumbai"/>
    <x v="3"/>
    <s v="SuryakumarYadav"/>
    <s v="out"/>
    <n v="7"/>
    <n v="7"/>
    <n v="1"/>
    <n v="0"/>
    <n v="5.1063829787234045"/>
  </r>
  <r>
    <s v="T208801"/>
    <s v="Super Giants Vs Mumbai"/>
    <s v="Mumbai"/>
    <x v="4"/>
    <s v="TilakVarma"/>
    <s v="out"/>
    <n v="38"/>
    <n v="27"/>
    <n v="2"/>
    <n v="2"/>
    <n v="4.4090909090909092"/>
  </r>
  <r>
    <s v="T208801"/>
    <s v="Super Giants Vs Mumbai"/>
    <s v="Mumbai"/>
    <x v="5"/>
    <s v="KieronPollard"/>
    <s v="out"/>
    <n v="19"/>
    <n v="20"/>
    <n v="0"/>
    <n v="1"/>
    <n v="4.76"/>
  </r>
  <r>
    <s v="T208801"/>
    <s v="Super Giants Vs Mumbai"/>
    <s v="Mumbai"/>
    <x v="6"/>
    <s v="DanielSams"/>
    <s v="out"/>
    <n v="3"/>
    <n v="7"/>
    <n v="0"/>
    <n v="0"/>
    <n v="5.1304347826086953"/>
  </r>
  <r>
    <s v="T208801"/>
    <s v="Super Giants Vs Mumbai"/>
    <s v="Mumbai"/>
    <x v="7"/>
    <s v="JaydevUnadkat"/>
    <s v="out"/>
    <n v="1"/>
    <n v="1"/>
    <n v="0"/>
    <n v="0"/>
    <n v="6.5083333333333337"/>
  </r>
  <r>
    <s v="T208801"/>
    <s v="Super Giants Vs Mumbai"/>
    <s v="Mumbai"/>
    <x v="8"/>
    <s v="HrithikShokeen"/>
    <s v="not_out"/>
    <n v="0"/>
    <n v="0"/>
    <n v="0"/>
    <n v="0"/>
    <n v="5.9306930693069306"/>
  </r>
  <r>
    <s v="T208801"/>
    <s v="Super Giants Vs Mumbai"/>
    <s v="Mumbai"/>
    <x v="9"/>
    <s v="JaspritBumrah"/>
    <s v="not_out"/>
    <n v="0"/>
    <n v="2"/>
    <n v="0"/>
    <n v="0"/>
    <n v="6.35"/>
  </r>
  <r>
    <s v="T208774"/>
    <s v="RCB Vs Sunrisers"/>
    <s v="RCB"/>
    <x v="0"/>
    <s v="FafduPlessis"/>
    <s v="out"/>
    <n v="5"/>
    <n v="7"/>
    <n v="1"/>
    <n v="0"/>
    <n v="5.1304347826086953"/>
  </r>
  <r>
    <s v="T208774"/>
    <s v="RCB Vs Sunrisers"/>
    <s v="RCB"/>
    <x v="1"/>
    <s v="AnujRawat"/>
    <s v="out"/>
    <n v="0"/>
    <n v="2"/>
    <n v="0"/>
    <n v="0"/>
    <n v="6.35"/>
  </r>
  <r>
    <s v="T208774"/>
    <s v="RCB Vs Sunrisers"/>
    <s v="RCB"/>
    <x v="2"/>
    <s v="ViratKohli"/>
    <s v="out"/>
    <n v="0"/>
    <n v="1"/>
    <n v="0"/>
    <n v="0"/>
    <n v="6.4957983193277311"/>
  </r>
  <r>
    <s v="T208774"/>
    <s v="RCB Vs Sunrisers"/>
    <s v="RCB"/>
    <x v="3"/>
    <s v="GlennMaxwell"/>
    <s v="out"/>
    <n v="12"/>
    <n v="11"/>
    <n v="2"/>
    <n v="0"/>
    <n v="4.6428571428571432"/>
  </r>
  <r>
    <s v="T208774"/>
    <s v="RCB Vs Sunrisers"/>
    <s v="RCB"/>
    <x v="4"/>
    <s v="SuyashPrabhudessai"/>
    <s v="out"/>
    <n v="15"/>
    <n v="20"/>
    <n v="1"/>
    <n v="0"/>
    <n v="4.76"/>
  </r>
  <r>
    <s v="T208774"/>
    <s v="RCB Vs Sunrisers"/>
    <s v="RCB"/>
    <x v="5"/>
    <s v="ShahbazAhmed"/>
    <s v="out"/>
    <n v="7"/>
    <n v="12"/>
    <n v="1"/>
    <n v="0"/>
    <n v="4.5555555555555554"/>
  </r>
  <r>
    <s v="T208774"/>
    <s v="RCB Vs Sunrisers"/>
    <s v="RCB"/>
    <x v="6"/>
    <s v="DineshKarthik"/>
    <s v="out"/>
    <n v="0"/>
    <n v="3"/>
    <n v="0"/>
    <n v="0"/>
    <n v="5.6428571428571432"/>
  </r>
  <r>
    <s v="T208774"/>
    <s v="RCB Vs Sunrisers"/>
    <s v="RCB"/>
    <x v="7"/>
    <s v="HarshalPatel"/>
    <s v="out"/>
    <n v="4"/>
    <n v="8"/>
    <n v="0"/>
    <n v="0"/>
    <n v="4.6842105263157894"/>
  </r>
  <r>
    <s v="T208774"/>
    <s v="RCB Vs Sunrisers"/>
    <s v="RCB"/>
    <x v="8"/>
    <s v="WaninduHasaranga"/>
    <s v="out"/>
    <n v="8"/>
    <n v="19"/>
    <n v="1"/>
    <n v="0"/>
    <n v="4.9615384615384617"/>
  </r>
  <r>
    <s v="T208774"/>
    <s v="RCB Vs Sunrisers"/>
    <s v="RCB"/>
    <x v="9"/>
    <s v="JoshHazlewood"/>
    <s v="not_out"/>
    <n v="3"/>
    <n v="11"/>
    <n v="0"/>
    <n v="0"/>
    <n v="4.6428571428571432"/>
  </r>
  <r>
    <s v="T208774"/>
    <s v="RCB Vs Sunrisers"/>
    <s v="RCB"/>
    <x v="10"/>
    <s v="MohammedSiraj"/>
    <s v="out"/>
    <n v="2"/>
    <n v="4"/>
    <n v="0"/>
    <n v="0"/>
    <n v="5.2"/>
  </r>
  <r>
    <s v="T208774"/>
    <s v="RCB Vs Sunrisers"/>
    <s v="Sunrisers"/>
    <x v="0"/>
    <s v="AbhishekSharma"/>
    <s v="out"/>
    <n v="47"/>
    <n v="28"/>
    <n v="8"/>
    <n v="1"/>
    <n v="3.5789473684210527"/>
  </r>
  <r>
    <s v="T208774"/>
    <s v="RCB Vs Sunrisers"/>
    <s v="Sunrisers"/>
    <x v="1"/>
    <s v="KaneWilliamson"/>
    <s v="not_out"/>
    <n v="16"/>
    <n v="17"/>
    <n v="2"/>
    <n v="0"/>
    <n v="4.7037037037037033"/>
  </r>
  <r>
    <s v="T208774"/>
    <s v="RCB Vs Sunrisers"/>
    <s v="Sunrisers"/>
    <x v="2"/>
    <s v="RahulTripathi"/>
    <s v="not_out"/>
    <n v="7"/>
    <n v="3"/>
    <n v="0"/>
    <n v="1"/>
    <n v="5.5636363636363635"/>
  </r>
  <r>
    <s v="T208514"/>
    <s v="Titans Vs KKR"/>
    <s v="Titans"/>
    <x v="0"/>
    <s v="WriddhimanSaha"/>
    <s v="out"/>
    <n v="25"/>
    <n v="25"/>
    <n v="2"/>
    <n v="1"/>
    <n v="5.25"/>
  </r>
  <r>
    <s v="T208514"/>
    <s v="Titans Vs KKR"/>
    <s v="Titans"/>
    <x v="1"/>
    <s v="ShubmanGill"/>
    <s v="out"/>
    <n v="7"/>
    <n v="5"/>
    <n v="1"/>
    <n v="0"/>
    <n v="5.3571428571428568"/>
  </r>
  <r>
    <s v="T208514"/>
    <s v="Titans Vs KKR"/>
    <s v="Titans"/>
    <x v="2"/>
    <s v="HardikPandya"/>
    <s v="out"/>
    <n v="67"/>
    <n v="49"/>
    <n v="4"/>
    <n v="2"/>
    <n v="4"/>
  </r>
  <r>
    <s v="T208514"/>
    <s v="Titans Vs KKR"/>
    <s v="Titans"/>
    <x v="3"/>
    <s v="DavidMiller"/>
    <s v="out"/>
    <n v="27"/>
    <n v="20"/>
    <n v="1"/>
    <n v="2"/>
    <n v="4.76"/>
  </r>
  <r>
    <s v="T208514"/>
    <s v="Titans Vs KKR"/>
    <s v="Titans"/>
    <x v="4"/>
    <s v="RahulTewatia"/>
    <s v="out"/>
    <n v="17"/>
    <n v="12"/>
    <n v="2"/>
    <n v="0"/>
    <n v="4.5555555555555554"/>
  </r>
  <r>
    <s v="T208514"/>
    <s v="Titans Vs KKR"/>
    <s v="Titans"/>
    <x v="5"/>
    <s v="RashidKhan"/>
    <s v="out"/>
    <n v="0"/>
    <n v="2"/>
    <n v="0"/>
    <n v="0"/>
    <n v="6.2911392405063289"/>
  </r>
  <r>
    <s v="T208514"/>
    <s v="Titans Vs KKR"/>
    <s v="Titans"/>
    <x v="6"/>
    <s v="AbhinavManohar"/>
    <s v="out"/>
    <n v="2"/>
    <n v="4"/>
    <n v="0"/>
    <n v="0"/>
    <n v="5.2"/>
  </r>
  <r>
    <s v="T208514"/>
    <s v="Titans Vs KKR"/>
    <s v="Titans"/>
    <x v="7"/>
    <s v="LockieFerguson"/>
    <s v="out"/>
    <n v="0"/>
    <n v="1"/>
    <n v="0"/>
    <n v="0"/>
    <n v="6.4957983193277311"/>
  </r>
  <r>
    <s v="T208514"/>
    <s v="Titans Vs KKR"/>
    <s v="Titans"/>
    <x v="8"/>
    <s v="AlzarriJoseph"/>
    <s v="not_out"/>
    <n v="1"/>
    <n v="1"/>
    <n v="0"/>
    <n v="0"/>
    <n v="6.4957983193277311"/>
  </r>
  <r>
    <s v="T208514"/>
    <s v="Titans Vs KKR"/>
    <s v="Titans"/>
    <x v="9"/>
    <s v="YashDayal"/>
    <s v="out"/>
    <n v="0"/>
    <n v="1"/>
    <n v="0"/>
    <n v="0"/>
    <n v="6.4745762711864403"/>
  </r>
  <r>
    <s v="T208514"/>
    <s v="Titans Vs KKR"/>
    <s v="KKR"/>
    <x v="0"/>
    <s v="SamBillings"/>
    <s v="out"/>
    <n v="4"/>
    <n v="4"/>
    <n v="1"/>
    <n v="0"/>
    <n v="5.2"/>
  </r>
  <r>
    <s v="T208514"/>
    <s v="Titans Vs KKR"/>
    <s v="KKR"/>
    <x v="1"/>
    <s v="SunilNarine"/>
    <s v="out"/>
    <n v="5"/>
    <n v="5"/>
    <n v="1"/>
    <n v="0"/>
    <n v="5.3571428571428568"/>
  </r>
  <r>
    <s v="T208514"/>
    <s v="Titans Vs KKR"/>
    <s v="KKR"/>
    <x v="2"/>
    <s v="ShreyasIyer"/>
    <s v="out"/>
    <n v="12"/>
    <n v="15"/>
    <n v="1"/>
    <n v="1"/>
    <n v="4.9642857142857144"/>
  </r>
  <r>
    <s v="T208514"/>
    <s v="Titans Vs KKR"/>
    <s v="KKR"/>
    <x v="3"/>
    <s v="NitishRana"/>
    <s v="out"/>
    <n v="2"/>
    <n v="7"/>
    <n v="0"/>
    <n v="0"/>
    <n v="5.2325581395348841"/>
  </r>
  <r>
    <s v="T208514"/>
    <s v="Titans Vs KKR"/>
    <s v="KKR"/>
    <x v="4"/>
    <s v="RinkuSingh"/>
    <s v="out"/>
    <n v="35"/>
    <n v="28"/>
    <n v="4"/>
    <n v="1"/>
    <n v="3.5789473684210527"/>
  </r>
  <r>
    <s v="T208514"/>
    <s v="Titans Vs KKR"/>
    <s v="KKR"/>
    <x v="5"/>
    <s v="VenkateshIyer"/>
    <s v="out"/>
    <n v="17"/>
    <n v="17"/>
    <n v="2"/>
    <n v="0"/>
    <n v="4.6923076923076925"/>
  </r>
  <r>
    <s v="T208514"/>
    <s v="Titans Vs KKR"/>
    <s v="KKR"/>
    <x v="6"/>
    <s v="AndreRussell"/>
    <s v="out"/>
    <n v="48"/>
    <n v="25"/>
    <n v="1"/>
    <n v="6"/>
    <n v="5.4736842105263159"/>
  </r>
  <r>
    <s v="T208514"/>
    <s v="Titans Vs KKR"/>
    <s v="KKR"/>
    <x v="7"/>
    <s v="ShivamMavi"/>
    <s v="out"/>
    <n v="2"/>
    <n v="4"/>
    <n v="0"/>
    <n v="0"/>
    <n v="5.2711864406779663"/>
  </r>
  <r>
    <s v="T208514"/>
    <s v="Titans Vs KKR"/>
    <s v="KKR"/>
    <x v="8"/>
    <s v="UmeshYadav"/>
    <s v="not_out"/>
    <n v="15"/>
    <n v="15"/>
    <n v="1"/>
    <n v="1"/>
    <n v="4.9642857142857144"/>
  </r>
  <r>
    <s v="T208514"/>
    <s v="Titans Vs KKR"/>
    <s v="KKR"/>
    <x v="9"/>
    <s v="TimSouthee"/>
    <s v="not_out"/>
    <n v="1"/>
    <n v="1"/>
    <n v="0"/>
    <n v="0"/>
    <n v="6.4745762711864403"/>
  </r>
  <r>
    <s v="T206421"/>
    <s v="Royals Vs Capitals"/>
    <s v="Royals"/>
    <x v="0"/>
    <s v="JosButtler"/>
    <s v="out"/>
    <n v="116"/>
    <n v="65"/>
    <n v="9"/>
    <n v="9"/>
    <n v="2.5"/>
  </r>
  <r>
    <s v="T206421"/>
    <s v="Royals Vs Capitals"/>
    <s v="Royals"/>
    <x v="1"/>
    <s v="DevduttPadikkal"/>
    <s v="out"/>
    <n v="54"/>
    <n v="35"/>
    <n v="7"/>
    <n v="2"/>
    <n v="3.4666666666666668"/>
  </r>
  <r>
    <s v="T206421"/>
    <s v="Royals Vs Capitals"/>
    <s v="Royals"/>
    <x v="2"/>
    <s v="SanjuSamson"/>
    <s v="not_out"/>
    <n v="46"/>
    <n v="19"/>
    <n v="5"/>
    <n v="3"/>
    <n v="4.9615384615384617"/>
  </r>
  <r>
    <s v="T206421"/>
    <s v="Royals Vs Capitals"/>
    <s v="Royals"/>
    <x v="3"/>
    <s v="ShimronHetmyer"/>
    <s v="not_out"/>
    <n v="1"/>
    <n v="1"/>
    <n v="0"/>
    <n v="0"/>
    <n v="6.4444444444444446"/>
  </r>
  <r>
    <s v="T206421"/>
    <s v="Royals Vs Capitals"/>
    <s v="Capitals"/>
    <x v="0"/>
    <s v="PrithviShaw"/>
    <s v="out"/>
    <n v="37"/>
    <n v="27"/>
    <n v="5"/>
    <n v="1"/>
    <n v="4.4285714285714288"/>
  </r>
  <r>
    <s v="T206421"/>
    <s v="Royals Vs Capitals"/>
    <s v="Capitals"/>
    <x v="1"/>
    <s v="DavidWarner"/>
    <s v="out"/>
    <n v="28"/>
    <n v="14"/>
    <n v="5"/>
    <n v="1"/>
    <n v="4.8695652173913047"/>
  </r>
  <r>
    <s v="T206421"/>
    <s v="Royals Vs Capitals"/>
    <s v="Capitals"/>
    <x v="2"/>
    <s v="SarfarazKhan"/>
    <s v="out"/>
    <n v="1"/>
    <n v="3"/>
    <n v="0"/>
    <n v="0"/>
    <n v="5.5636363636363635"/>
  </r>
  <r>
    <s v="T206421"/>
    <s v="Royals Vs Capitals"/>
    <s v="Capitals"/>
    <x v="3"/>
    <s v="RishabhPant"/>
    <s v="out"/>
    <n v="44"/>
    <n v="24"/>
    <n v="4"/>
    <n v="2"/>
    <n v="4.1111111111111107"/>
  </r>
  <r>
    <s v="T206421"/>
    <s v="Royals Vs Capitals"/>
    <s v="Capitals"/>
    <x v="4"/>
    <s v="LalitYadav"/>
    <s v="out"/>
    <n v="37"/>
    <n v="24"/>
    <n v="3"/>
    <n v="2"/>
    <n v="4.1111111111111107"/>
  </r>
  <r>
    <s v="T206421"/>
    <s v="Royals Vs Capitals"/>
    <s v="Capitals"/>
    <x v="5"/>
    <s v="AxarPatel"/>
    <s v="out"/>
    <n v="1"/>
    <n v="4"/>
    <n v="0"/>
    <n v="0"/>
    <n v="5.2711864406779663"/>
  </r>
  <r>
    <s v="T206421"/>
    <s v="Royals Vs Capitals"/>
    <s v="Capitals"/>
    <x v="6"/>
    <s v="ShardulThakur"/>
    <s v="out"/>
    <n v="10"/>
    <n v="7"/>
    <n v="0"/>
    <n v="1"/>
    <n v="5.2325581395348841"/>
  </r>
  <r>
    <s v="T206421"/>
    <s v="Royals Vs Capitals"/>
    <s v="Capitals"/>
    <x v="7"/>
    <s v="RovmanPowell"/>
    <s v="out"/>
    <n v="36"/>
    <n v="15"/>
    <n v="0"/>
    <n v="5"/>
    <n v="4.8148148148148149"/>
  </r>
  <r>
    <s v="T206421"/>
    <s v="Royals Vs Capitals"/>
    <s v="Capitals"/>
    <x v="8"/>
    <s v="KuldeepYadav"/>
    <s v="not_out"/>
    <n v="0"/>
    <n v="3"/>
    <n v="0"/>
    <n v="0"/>
    <n v="5.5636363636363635"/>
  </r>
  <r>
    <s v="T202326"/>
    <s v="Mumbai Vs Super Kings"/>
    <s v="Mumbai"/>
    <x v="0"/>
    <s v="RohitSharma"/>
    <s v="out"/>
    <n v="0"/>
    <n v="2"/>
    <n v="0"/>
    <n v="0"/>
    <n v="6.2894736842105265"/>
  </r>
  <r>
    <s v="T202326"/>
    <s v="Mumbai Vs Super Kings"/>
    <s v="Mumbai"/>
    <x v="1"/>
    <s v="IshanKishan"/>
    <s v="out"/>
    <n v="0"/>
    <n v="1"/>
    <n v="0"/>
    <n v="0"/>
    <n v="6.5"/>
  </r>
  <r>
    <s v="T202326"/>
    <s v="Mumbai Vs Super Kings"/>
    <s v="Mumbai"/>
    <x v="2"/>
    <s v="DewaldBrevis"/>
    <s v="out"/>
    <n v="4"/>
    <n v="7"/>
    <n v="0"/>
    <n v="0"/>
    <n v="5.2325581395348841"/>
  </r>
  <r>
    <s v="T202326"/>
    <s v="Mumbai Vs Super Kings"/>
    <s v="Mumbai"/>
    <x v="3"/>
    <s v="SuryakumarYadav"/>
    <s v="out"/>
    <n v="32"/>
    <n v="21"/>
    <n v="3"/>
    <n v="1"/>
    <n v="4.7575757575757578"/>
  </r>
  <r>
    <s v="T202326"/>
    <s v="Mumbai Vs Super Kings"/>
    <s v="Mumbai"/>
    <x v="4"/>
    <s v="TilakVarma"/>
    <s v="not_out"/>
    <n v="51"/>
    <n v="43"/>
    <n v="3"/>
    <n v="2"/>
    <n v="3.4"/>
  </r>
  <r>
    <s v="T202326"/>
    <s v="Mumbai Vs Super Kings"/>
    <s v="Mumbai"/>
    <x v="5"/>
    <s v="HrithikShokeen"/>
    <s v="out"/>
    <n v="25"/>
    <n v="25"/>
    <n v="3"/>
    <n v="0"/>
    <n v="5.4736842105263159"/>
  </r>
  <r>
    <s v="T202326"/>
    <s v="Mumbai Vs Super Kings"/>
    <s v="Mumbai"/>
    <x v="6"/>
    <s v="KieronPollard"/>
    <s v="out"/>
    <n v="14"/>
    <n v="9"/>
    <n v="1"/>
    <n v="1"/>
    <n v="4.6363636363636367"/>
  </r>
  <r>
    <s v="T202326"/>
    <s v="Mumbai Vs Super Kings"/>
    <s v="Mumbai"/>
    <x v="7"/>
    <s v="DanielSams"/>
    <s v="out"/>
    <n v="5"/>
    <n v="3"/>
    <n v="1"/>
    <n v="0"/>
    <n v="5.5636363636363635"/>
  </r>
  <r>
    <s v="T202326"/>
    <s v="Mumbai Vs Super Kings"/>
    <s v="Mumbai"/>
    <x v="8"/>
    <s v="JaydevUnadkat"/>
    <s v="not_out"/>
    <n v="19"/>
    <n v="9"/>
    <n v="1"/>
    <n v="1"/>
    <n v="4.6363636363636367"/>
  </r>
  <r>
    <s v="T202326"/>
    <s v="Mumbai Vs Super Kings"/>
    <s v="Super Kings"/>
    <x v="0"/>
    <s v="RuturajGaikwad"/>
    <s v="out"/>
    <n v="0"/>
    <n v="1"/>
    <n v="0"/>
    <n v="0"/>
    <n v="6.5"/>
  </r>
  <r>
    <s v="T202326"/>
    <s v="Mumbai Vs Super Kings"/>
    <s v="Super Kings"/>
    <x v="1"/>
    <s v="RobinUthappa"/>
    <s v="out"/>
    <n v="30"/>
    <n v="25"/>
    <n v="2"/>
    <n v="2"/>
    <n v="5.4444444444444446"/>
  </r>
  <r>
    <s v="T202326"/>
    <s v="Mumbai Vs Super Kings"/>
    <s v="Super Kings"/>
    <x v="2"/>
    <s v="MitchellSantner"/>
    <s v="out"/>
    <n v="11"/>
    <n v="9"/>
    <n v="2"/>
    <n v="0"/>
    <n v="4.6363636363636367"/>
  </r>
  <r>
    <s v="T202326"/>
    <s v="Mumbai Vs Super Kings"/>
    <s v="Super Kings"/>
    <x v="3"/>
    <s v="AmbatiRayudu"/>
    <s v="out"/>
    <n v="40"/>
    <n v="35"/>
    <n v="2"/>
    <n v="3"/>
    <n v="3.4666666666666668"/>
  </r>
  <r>
    <s v="T202326"/>
    <s v="Mumbai Vs Super Kings"/>
    <s v="Super Kings"/>
    <x v="4"/>
    <s v="ShivamDube"/>
    <s v="out"/>
    <n v="13"/>
    <n v="14"/>
    <n v="0"/>
    <n v="1"/>
    <n v="4.7727272727272725"/>
  </r>
  <r>
    <s v="T202326"/>
    <s v="Mumbai Vs Super Kings"/>
    <s v="Super Kings"/>
    <x v="5"/>
    <s v="RavindraJadeja"/>
    <s v="out"/>
    <n v="3"/>
    <n v="8"/>
    <n v="0"/>
    <n v="0"/>
    <n v="4.6071428571428568"/>
  </r>
  <r>
    <s v="T202326"/>
    <s v="Mumbai Vs Super Kings"/>
    <s v="Super Kings"/>
    <x v="6"/>
    <s v="MSDhoni"/>
    <s v="not_out"/>
    <n v="28"/>
    <n v="13"/>
    <n v="3"/>
    <n v="1"/>
    <n v="4.9487179487179489"/>
  </r>
  <r>
    <s v="T202326"/>
    <s v="Mumbai Vs Super Kings"/>
    <s v="Super Kings"/>
    <x v="7"/>
    <s v="DwainePretorius"/>
    <s v="out"/>
    <n v="22"/>
    <n v="14"/>
    <n v="2"/>
    <n v="1"/>
    <n v="4.7727272727272725"/>
  </r>
  <r>
    <s v="T202326"/>
    <s v="Mumbai Vs Super Kings"/>
    <s v="Super Kings"/>
    <x v="8"/>
    <s v="DwayneBravo"/>
    <s v="not_out"/>
    <n v="1"/>
    <n v="1"/>
    <n v="0"/>
    <n v="0"/>
    <n v="6.5"/>
  </r>
  <r>
    <s v="T203741"/>
    <s v="Punjab Kings Vs Capitals"/>
    <s v="Punjab Kings"/>
    <x v="0"/>
    <s v="MayankAgarwal"/>
    <s v="out"/>
    <n v="24"/>
    <n v="15"/>
    <n v="4"/>
    <n v="0"/>
    <n v="4.8148148148148149"/>
  </r>
  <r>
    <s v="T203741"/>
    <s v="Punjab Kings Vs Capitals"/>
    <s v="Punjab Kings"/>
    <x v="1"/>
    <s v="ShikharDhawan"/>
    <s v="out"/>
    <n v="9"/>
    <n v="10"/>
    <n v="1"/>
    <n v="0"/>
    <n v="5.0714285714285712"/>
  </r>
  <r>
    <s v="T203741"/>
    <s v="Punjab Kings Vs Capitals"/>
    <s v="Punjab Kings"/>
    <x v="2"/>
    <s v="JonnyBairstow"/>
    <s v="out"/>
    <n v="9"/>
    <n v="8"/>
    <n v="2"/>
    <n v="0"/>
    <n v="4.6071428571428568"/>
  </r>
  <r>
    <s v="T203741"/>
    <s v="Punjab Kings Vs Capitals"/>
    <s v="Punjab Kings"/>
    <x v="3"/>
    <s v="LiamLivingstone"/>
    <s v="out"/>
    <n v="2"/>
    <n v="3"/>
    <n v="0"/>
    <n v="0"/>
    <n v="5.5555555555555554"/>
  </r>
  <r>
    <s v="T203741"/>
    <s v="Punjab Kings Vs Capitals"/>
    <s v="Punjab Kings"/>
    <x v="4"/>
    <s v="JiteshSharma"/>
    <s v="out"/>
    <n v="32"/>
    <n v="23"/>
    <n v="5"/>
    <n v="0"/>
    <n v="5.5714285714285712"/>
  </r>
  <r>
    <s v="T203741"/>
    <s v="Punjab Kings Vs Capitals"/>
    <s v="Punjab Kings"/>
    <x v="5"/>
    <s v="MShahrukhKhan"/>
    <s v="out"/>
    <n v="12"/>
    <n v="20"/>
    <n v="0"/>
    <n v="0"/>
    <n v="4.76"/>
  </r>
  <r>
    <s v="T203741"/>
    <s v="Punjab Kings Vs Capitals"/>
    <s v="Punjab Kings"/>
    <x v="6"/>
    <s v="KagisoRabada"/>
    <s v="out"/>
    <n v="2"/>
    <n v="6"/>
    <n v="0"/>
    <n v="0"/>
    <n v="5.7446808510638299"/>
  </r>
  <r>
    <s v="T203741"/>
    <s v="Punjab Kings Vs Capitals"/>
    <s v="Punjab Kings"/>
    <x v="7"/>
    <s v="NathanEllis"/>
    <s v="out"/>
    <n v="0"/>
    <n v="2"/>
    <n v="0"/>
    <n v="0"/>
    <n v="6.3108108108108105"/>
  </r>
  <r>
    <s v="T203741"/>
    <s v="Punjab Kings Vs Capitals"/>
    <s v="Punjab Kings"/>
    <x v="8"/>
    <s v="RahulChahar"/>
    <s v="out"/>
    <n v="12"/>
    <n v="12"/>
    <n v="1"/>
    <n v="1"/>
    <n v="4.558139534883721"/>
  </r>
  <r>
    <s v="T203741"/>
    <s v="Punjab Kings Vs Capitals"/>
    <s v="Punjab Kings"/>
    <x v="9"/>
    <s v="ArshdeepSingh"/>
    <s v="out"/>
    <n v="9"/>
    <n v="17"/>
    <n v="2"/>
    <n v="0"/>
    <n v="4.6399999999999997"/>
  </r>
  <r>
    <s v="T203741"/>
    <s v="Punjab Kings Vs Capitals"/>
    <s v="Punjab Kings"/>
    <x v="10"/>
    <s v="VaibhavArora"/>
    <s v="not_out"/>
    <n v="2"/>
    <n v="4"/>
    <n v="0"/>
    <n v="0"/>
    <n v="5.3103448275862073"/>
  </r>
  <r>
    <s v="T203741"/>
    <s v="Punjab Kings Vs Capitals"/>
    <s v="Capitals"/>
    <x v="0"/>
    <s v="PrithviShaw"/>
    <s v="out"/>
    <n v="41"/>
    <n v="20"/>
    <n v="7"/>
    <n v="1"/>
    <n v="4.76"/>
  </r>
  <r>
    <s v="T203741"/>
    <s v="Punjab Kings Vs Capitals"/>
    <s v="Capitals"/>
    <x v="1"/>
    <s v="DavidWarner"/>
    <s v="not_out"/>
    <n v="60"/>
    <n v="30"/>
    <n v="10"/>
    <n v="1"/>
    <n v="4"/>
  </r>
  <r>
    <s v="T203741"/>
    <s v="Punjab Kings Vs Capitals"/>
    <s v="Capitals"/>
    <x v="2"/>
    <s v="SarfarazKhan"/>
    <s v="not_out"/>
    <n v="12"/>
    <n v="13"/>
    <n v="1"/>
    <n v="0"/>
    <n v="4.9487179487179489"/>
  </r>
  <r>
    <s v="T204535"/>
    <s v="RCB Vs Super Giants"/>
    <s v="RCB"/>
    <x v="0"/>
    <s v="AnujRawat"/>
    <s v="out"/>
    <n v="4"/>
    <n v="5"/>
    <n v="1"/>
    <n v="0"/>
    <n v="5.3703703703703702"/>
  </r>
  <r>
    <s v="T204535"/>
    <s v="RCB Vs Super Giants"/>
    <s v="RCB"/>
    <x v="1"/>
    <s v="FafduPlessis"/>
    <s v="out"/>
    <n v="96"/>
    <n v="64"/>
    <n v="11"/>
    <n v="2"/>
    <n v="3.8"/>
  </r>
  <r>
    <s v="T204535"/>
    <s v="RCB Vs Super Giants"/>
    <s v="RCB"/>
    <x v="2"/>
    <s v="ViratKohli"/>
    <s v="out"/>
    <n v="0"/>
    <n v="1"/>
    <n v="0"/>
    <n v="0"/>
    <n v="6.4778761061946906"/>
  </r>
  <r>
    <s v="T204535"/>
    <s v="RCB Vs Super Giants"/>
    <s v="RCB"/>
    <x v="3"/>
    <s v="GlennMaxwell"/>
    <s v="out"/>
    <n v="23"/>
    <n v="11"/>
    <n v="3"/>
    <n v="1"/>
    <n v="4.7037037037037033"/>
  </r>
  <r>
    <s v="T204535"/>
    <s v="RCB Vs Super Giants"/>
    <s v="RCB"/>
    <x v="4"/>
    <s v="SuyashPrabhudessai"/>
    <s v="out"/>
    <n v="10"/>
    <n v="9"/>
    <n v="0"/>
    <n v="1"/>
    <n v="4.5999999999999996"/>
  </r>
  <r>
    <s v="T204535"/>
    <s v="RCB Vs Super Giants"/>
    <s v="RCB"/>
    <x v="5"/>
    <s v="ShahbazAhmed"/>
    <s v="out"/>
    <n v="26"/>
    <n v="22"/>
    <n v="1"/>
    <n v="0"/>
    <n v="4.76"/>
  </r>
  <r>
    <s v="T204535"/>
    <s v="RCB Vs Super Giants"/>
    <s v="RCB"/>
    <x v="6"/>
    <s v="DineshKarthik"/>
    <s v="not_out"/>
    <n v="13"/>
    <n v="8"/>
    <n v="0"/>
    <n v="1"/>
    <n v="4.6071428571428568"/>
  </r>
  <r>
    <s v="T204535"/>
    <s v="RCB Vs Super Giants"/>
    <s v="RCB"/>
    <x v="7"/>
    <s v="HarshalPatel"/>
    <s v="not_out"/>
    <n v="0"/>
    <n v="1"/>
    <n v="0"/>
    <n v="0"/>
    <n v="6.4778761061946906"/>
  </r>
  <r>
    <s v="T204535"/>
    <s v="RCB Vs Super Giants"/>
    <s v="Super Giants"/>
    <x v="0"/>
    <s v="QuintondeKock"/>
    <s v="out"/>
    <n v="3"/>
    <n v="5"/>
    <n v="0"/>
    <n v="0"/>
    <n v="5.3703703703703702"/>
  </r>
  <r>
    <s v="T204535"/>
    <s v="RCB Vs Super Giants"/>
    <s v="Super Giants"/>
    <x v="1"/>
    <s v="KLRahul"/>
    <s v="out"/>
    <n v="30"/>
    <n v="24"/>
    <n v="3"/>
    <n v="1"/>
    <n v="4.2941176470588234"/>
  </r>
  <r>
    <s v="T204535"/>
    <s v="RCB Vs Super Giants"/>
    <s v="Super Giants"/>
    <x v="2"/>
    <s v="ManishPandey"/>
    <s v="out"/>
    <n v="6"/>
    <n v="8"/>
    <n v="1"/>
    <n v="0"/>
    <n v="4.6071428571428568"/>
  </r>
  <r>
    <s v="T204535"/>
    <s v="RCB Vs Super Giants"/>
    <s v="Super Giants"/>
    <x v="3"/>
    <s v="KrunalPandya"/>
    <s v="out"/>
    <n v="42"/>
    <n v="28"/>
    <n v="5"/>
    <n v="2"/>
    <n v="3.4705882352941178"/>
  </r>
  <r>
    <s v="T204535"/>
    <s v="RCB Vs Super Giants"/>
    <s v="Super Giants"/>
    <x v="4"/>
    <s v="DeepakHooda"/>
    <s v="out"/>
    <n v="13"/>
    <n v="14"/>
    <n v="1"/>
    <n v="0"/>
    <n v="4.7727272727272725"/>
  </r>
  <r>
    <s v="T204535"/>
    <s v="RCB Vs Super Giants"/>
    <s v="Super Giants"/>
    <x v="5"/>
    <s v="AyushBadoni"/>
    <s v="out"/>
    <n v="13"/>
    <n v="13"/>
    <n v="2"/>
    <n v="0"/>
    <n v="4.8918918918918921"/>
  </r>
  <r>
    <s v="T204535"/>
    <s v="RCB Vs Super Giants"/>
    <s v="Super Giants"/>
    <x v="6"/>
    <s v="MarcusStoinis"/>
    <s v="out"/>
    <n v="24"/>
    <n v="15"/>
    <n v="2"/>
    <n v="1"/>
    <n v="4.8148148148148149"/>
  </r>
  <r>
    <s v="T204535"/>
    <s v="RCB Vs Super Giants"/>
    <s v="Super Giants"/>
    <x v="7"/>
    <s v="JasonHolder"/>
    <s v="out"/>
    <n v="16"/>
    <n v="9"/>
    <n v="0"/>
    <n v="2"/>
    <n v="4.5999999999999996"/>
  </r>
  <r>
    <s v="T204535"/>
    <s v="RCB Vs Super Giants"/>
    <s v="Super Giants"/>
    <x v="8"/>
    <s v="DushmanthaChameera"/>
    <s v="not_out"/>
    <n v="1"/>
    <n v="3"/>
    <n v="0"/>
    <n v="0"/>
    <n v="5.6415094339622645"/>
  </r>
  <r>
    <s v="T204535"/>
    <s v="RCB Vs Super Giants"/>
    <s v="Super Giants"/>
    <x v="9"/>
    <s v="RaviBishnoi"/>
    <s v="not_out"/>
    <n v="0"/>
    <n v="1"/>
    <n v="0"/>
    <n v="0"/>
    <n v="6.4553571428571432"/>
  </r>
  <r>
    <s v="T206892"/>
    <s v="Royals Vs KKR"/>
    <s v="Royals"/>
    <x v="0"/>
    <s v="JosButtler"/>
    <s v="out"/>
    <n v="103"/>
    <n v="61"/>
    <n v="9"/>
    <n v="5"/>
    <n v="2.75"/>
  </r>
  <r>
    <s v="T206892"/>
    <s v="Royals Vs KKR"/>
    <s v="Royals"/>
    <x v="1"/>
    <s v="DevduttPadikkal"/>
    <s v="out"/>
    <n v="24"/>
    <n v="18"/>
    <n v="3"/>
    <n v="1"/>
    <n v="4.7142857142857144"/>
  </r>
  <r>
    <s v="T206892"/>
    <s v="Royals Vs KKR"/>
    <s v="Royals"/>
    <x v="2"/>
    <s v="SanjuSamson"/>
    <s v="out"/>
    <n v="38"/>
    <n v="19"/>
    <n v="3"/>
    <n v="2"/>
    <n v="4.8"/>
  </r>
  <r>
    <s v="T206892"/>
    <s v="Royals Vs KKR"/>
    <s v="Royals"/>
    <x v="3"/>
    <s v="ShimronHetmyer"/>
    <s v="not_out"/>
    <n v="26"/>
    <n v="13"/>
    <n v="2"/>
    <n v="2"/>
    <n v="4.8611111111111107"/>
  </r>
  <r>
    <s v="T206892"/>
    <s v="Royals Vs KKR"/>
    <s v="Royals"/>
    <x v="4"/>
    <s v="RiyanParag"/>
    <s v="out"/>
    <n v="5"/>
    <n v="3"/>
    <n v="1"/>
    <n v="0"/>
    <n v="5.6415094339622645"/>
  </r>
  <r>
    <s v="T206892"/>
    <s v="Royals Vs KKR"/>
    <s v="Royals"/>
    <x v="5"/>
    <s v="KarunNair"/>
    <s v="out"/>
    <n v="3"/>
    <n v="5"/>
    <n v="0"/>
    <n v="0"/>
    <n v="5.3773584905660377"/>
  </r>
  <r>
    <s v="T206892"/>
    <s v="Royals Vs KKR"/>
    <s v="Royals"/>
    <x v="6"/>
    <s v="RavichandranAshwin"/>
    <s v="not_out"/>
    <n v="2"/>
    <n v="2"/>
    <n v="0"/>
    <n v="0"/>
    <n v="6.2465753424657535"/>
  </r>
  <r>
    <s v="T206892"/>
    <s v="Royals Vs KKR"/>
    <s v="KKR"/>
    <x v="0"/>
    <s v="AaronFinch"/>
    <s v="out"/>
    <n v="58"/>
    <n v="28"/>
    <n v="9"/>
    <n v="2"/>
    <n v="3.4705882352941178"/>
  </r>
  <r>
    <s v="T206892"/>
    <s v="Royals Vs KKR"/>
    <s v="KKR"/>
    <x v="1"/>
    <s v="SunilNarine"/>
    <s v="out"/>
    <n v="0"/>
    <n v="0"/>
    <n v="0"/>
    <n v="0"/>
    <n v="5.919354838709677"/>
  </r>
  <r>
    <s v="T206892"/>
    <s v="Royals Vs KKR"/>
    <s v="KKR"/>
    <x v="2"/>
    <s v="ShreyasIyer"/>
    <s v="out"/>
    <n v="85"/>
    <n v="51"/>
    <n v="7"/>
    <n v="4"/>
    <n v="3.25"/>
  </r>
  <r>
    <s v="T206892"/>
    <s v="Royals Vs KKR"/>
    <s v="KKR"/>
    <x v="3"/>
    <s v="NitishRana"/>
    <s v="out"/>
    <n v="18"/>
    <n v="11"/>
    <n v="1"/>
    <n v="1"/>
    <n v="4.7037037037037033"/>
  </r>
  <r>
    <s v="T206892"/>
    <s v="Royals Vs KKR"/>
    <s v="KKR"/>
    <x v="4"/>
    <s v="AndreRussell"/>
    <s v="out"/>
    <n v="0"/>
    <n v="1"/>
    <n v="0"/>
    <n v="0"/>
    <n v="6.4553571428571432"/>
  </r>
  <r>
    <s v="T206892"/>
    <s v="Royals Vs KKR"/>
    <s v="KKR"/>
    <x v="5"/>
    <s v="VenkateshIyer"/>
    <s v="out"/>
    <n v="6"/>
    <n v="7"/>
    <n v="0"/>
    <n v="0"/>
    <n v="5.2325581395348841"/>
  </r>
  <r>
    <s v="T206892"/>
    <s v="Royals Vs KKR"/>
    <s v="KKR"/>
    <x v="6"/>
    <s v="SheldonJackson"/>
    <s v="out"/>
    <n v="8"/>
    <n v="8"/>
    <n v="0"/>
    <n v="0"/>
    <n v="4.6071428571428568"/>
  </r>
  <r>
    <s v="T206892"/>
    <s v="Royals Vs KKR"/>
    <s v="KKR"/>
    <x v="7"/>
    <s v="ShivamMavi"/>
    <s v="out"/>
    <n v="0"/>
    <n v="1"/>
    <n v="0"/>
    <n v="0"/>
    <n v="6.4553571428571432"/>
  </r>
  <r>
    <s v="T206892"/>
    <s v="Royals Vs KKR"/>
    <s v="KKR"/>
    <x v="8"/>
    <s v="PatCummins"/>
    <s v="out"/>
    <n v="0"/>
    <n v="1"/>
    <n v="0"/>
    <n v="0"/>
    <n v="6.4553571428571432"/>
  </r>
  <r>
    <s v="T206892"/>
    <s v="Royals Vs KKR"/>
    <s v="KKR"/>
    <x v="9"/>
    <s v="UmeshYadav"/>
    <s v="out"/>
    <n v="21"/>
    <n v="9"/>
    <n v="1"/>
    <n v="2"/>
    <n v="4.5999999999999996"/>
  </r>
  <r>
    <s v="T206892"/>
    <s v="Royals Vs KKR"/>
    <s v="KKR"/>
    <x v="10"/>
    <s v="VarunChakravarthy"/>
    <s v="not_out"/>
    <n v="1"/>
    <n v="1"/>
    <n v="0"/>
    <n v="0"/>
    <n v="6.4553571428571432"/>
  </r>
  <r>
    <s v="T206030"/>
    <s v="Super Kings Vs Titans"/>
    <s v="Super Kings"/>
    <x v="0"/>
    <s v="RuturajGaikwad"/>
    <s v="out"/>
    <n v="73"/>
    <n v="48"/>
    <n v="5"/>
    <n v="5"/>
    <n v="3.4444444444444446"/>
  </r>
  <r>
    <s v="T206030"/>
    <s v="Super Kings Vs Titans"/>
    <s v="Super Kings"/>
    <x v="1"/>
    <s v="RobinUthappa"/>
    <s v="out"/>
    <n v="3"/>
    <n v="10"/>
    <n v="0"/>
    <n v="0"/>
    <n v="5.0731707317073171"/>
  </r>
  <r>
    <s v="T206030"/>
    <s v="Super Kings Vs Titans"/>
    <s v="Super Kings"/>
    <x v="2"/>
    <s v="MoeenAli"/>
    <s v="out"/>
    <n v="1"/>
    <n v="3"/>
    <n v="0"/>
    <n v="0"/>
    <n v="5.7058823529411766"/>
  </r>
  <r>
    <s v="T206030"/>
    <s v="Super Kings Vs Titans"/>
    <s v="Super Kings"/>
    <x v="3"/>
    <s v="AmbatiRayudu"/>
    <s v="out"/>
    <n v="46"/>
    <n v="31"/>
    <n v="4"/>
    <n v="2"/>
    <n v="3.3571428571428572"/>
  </r>
  <r>
    <s v="T206030"/>
    <s v="Super Kings Vs Titans"/>
    <s v="Super Kings"/>
    <x v="4"/>
    <s v="ShivamDube"/>
    <s v="out"/>
    <n v="19"/>
    <n v="17"/>
    <n v="2"/>
    <n v="0"/>
    <n v="4.6399999999999997"/>
  </r>
  <r>
    <s v="T206030"/>
    <s v="Super Kings Vs Titans"/>
    <s v="Super Kings"/>
    <x v="5"/>
    <s v="RavindraJadeja"/>
    <s v="not_out"/>
    <n v="22"/>
    <n v="12"/>
    <n v="0"/>
    <n v="2"/>
    <n v="4.4878048780487809"/>
  </r>
  <r>
    <s v="T206030"/>
    <s v="Super Kings Vs Titans"/>
    <s v="Titans"/>
    <x v="0"/>
    <s v="WriddhimanSaha"/>
    <s v="out"/>
    <n v="11"/>
    <n v="18"/>
    <n v="0"/>
    <n v="0"/>
    <n v="4.7407407407407405"/>
  </r>
  <r>
    <s v="T206030"/>
    <s v="Super Kings Vs Titans"/>
    <s v="Titans"/>
    <x v="1"/>
    <s v="ShubmanGill"/>
    <s v="out"/>
    <n v="0"/>
    <n v="1"/>
    <n v="0"/>
    <n v="0"/>
    <n v="6.4454545454545453"/>
  </r>
  <r>
    <s v="T206030"/>
    <s v="Super Kings Vs Titans"/>
    <s v="Titans"/>
    <x v="2"/>
    <s v="VijayShankar"/>
    <s v="out"/>
    <n v="0"/>
    <n v="2"/>
    <n v="0"/>
    <n v="0"/>
    <n v="6.2361111111111107"/>
  </r>
  <r>
    <s v="T206030"/>
    <s v="Super Kings Vs Titans"/>
    <s v="Titans"/>
    <x v="3"/>
    <s v="AbhinavManohar"/>
    <s v="out"/>
    <n v="12"/>
    <n v="12"/>
    <n v="2"/>
    <n v="0"/>
    <n v="4.4878048780487809"/>
  </r>
  <r>
    <s v="T206030"/>
    <s v="Super Kings Vs Titans"/>
    <s v="Titans"/>
    <x v="4"/>
    <s v="DavidMiller"/>
    <s v="not_out"/>
    <n v="94"/>
    <n v="51"/>
    <n v="8"/>
    <n v="6"/>
    <n v="3.25"/>
  </r>
  <r>
    <s v="T206030"/>
    <s v="Super Kings Vs Titans"/>
    <s v="Titans"/>
    <x v="5"/>
    <s v="RahulTewatia"/>
    <s v="out"/>
    <n v="6"/>
    <n v="14"/>
    <n v="0"/>
    <n v="0"/>
    <n v="4.7727272727272725"/>
  </r>
  <r>
    <s v="T206030"/>
    <s v="Super Kings Vs Titans"/>
    <s v="Titans"/>
    <x v="6"/>
    <s v="RashidKhan"/>
    <s v="out"/>
    <n v="40"/>
    <n v="21"/>
    <n v="2"/>
    <n v="3"/>
    <n v="4.59375"/>
  </r>
  <r>
    <s v="T206030"/>
    <s v="Super Kings Vs Titans"/>
    <s v="Titans"/>
    <x v="7"/>
    <s v="AlzarriJoseph"/>
    <s v="out"/>
    <n v="0"/>
    <n v="1"/>
    <n v="0"/>
    <n v="0"/>
    <n v="6.4454545454545453"/>
  </r>
  <r>
    <s v="T206030"/>
    <s v="Super Kings Vs Titans"/>
    <s v="Titans"/>
    <x v="8"/>
    <s v="LockieFerguson"/>
    <s v="not_out"/>
    <n v="0"/>
    <n v="0"/>
    <n v="0"/>
    <n v="0"/>
    <n v="5.9441340782122909"/>
  </r>
  <r>
    <s v="T208958"/>
    <s v="Punjab Kings Vs Sunrisers"/>
    <s v="Punjab Kings"/>
    <x v="0"/>
    <s v="ShikharDhawan"/>
    <s v="out"/>
    <n v="8"/>
    <n v="11"/>
    <n v="1"/>
    <n v="0"/>
    <n v="4.8461538461538458"/>
  </r>
  <r>
    <s v="T208958"/>
    <s v="Punjab Kings Vs Sunrisers"/>
    <s v="Punjab Kings"/>
    <x v="1"/>
    <s v="PrabhsimranSingh"/>
    <s v="out"/>
    <n v="14"/>
    <n v="11"/>
    <n v="2"/>
    <n v="0"/>
    <n v="4.8461538461538458"/>
  </r>
  <r>
    <s v="T208958"/>
    <s v="Punjab Kings Vs Sunrisers"/>
    <s v="Punjab Kings"/>
    <x v="2"/>
    <s v="JonnyBairstow"/>
    <s v="out"/>
    <n v="12"/>
    <n v="10"/>
    <n v="2"/>
    <n v="0"/>
    <n v="5.0731707317073171"/>
  </r>
  <r>
    <s v="T208958"/>
    <s v="Punjab Kings Vs Sunrisers"/>
    <s v="Punjab Kings"/>
    <x v="3"/>
    <s v="LiamLivingstone"/>
    <s v="out"/>
    <n v="60"/>
    <n v="33"/>
    <n v="5"/>
    <n v="4"/>
    <n v="2.8"/>
  </r>
  <r>
    <s v="T208958"/>
    <s v="Punjab Kings Vs Sunrisers"/>
    <s v="Punjab Kings"/>
    <x v="4"/>
    <s v="JiteshSharma"/>
    <s v="out"/>
    <n v="11"/>
    <n v="8"/>
    <n v="2"/>
    <n v="0"/>
    <n v="4.6296296296296298"/>
  </r>
  <r>
    <s v="T208958"/>
    <s v="Punjab Kings Vs Sunrisers"/>
    <s v="Punjab Kings"/>
    <x v="5"/>
    <s v="MShahrukhKhan"/>
    <s v="out"/>
    <n v="26"/>
    <n v="28"/>
    <n v="1"/>
    <n v="2"/>
    <n v="3.4705882352941178"/>
  </r>
  <r>
    <s v="T208958"/>
    <s v="Punjab Kings Vs Sunrisers"/>
    <s v="Punjab Kings"/>
    <x v="6"/>
    <s v="OdeanSmith"/>
    <s v="out"/>
    <n v="13"/>
    <n v="15"/>
    <n v="0"/>
    <n v="1"/>
    <n v="4.8148148148148149"/>
  </r>
  <r>
    <s v="T208958"/>
    <s v="Punjab Kings Vs Sunrisers"/>
    <s v="Punjab Kings"/>
    <x v="7"/>
    <s v="KagisoRabada"/>
    <s v="not_out"/>
    <n v="0"/>
    <n v="0"/>
    <n v="0"/>
    <n v="0"/>
    <n v="5.9269662921348312"/>
  </r>
  <r>
    <s v="T208958"/>
    <s v="Punjab Kings Vs Sunrisers"/>
    <s v="Punjab Kings"/>
    <x v="8"/>
    <s v="RahulChahar"/>
    <s v="out"/>
    <n v="0"/>
    <n v="2"/>
    <n v="0"/>
    <n v="0"/>
    <n v="6.2361111111111107"/>
  </r>
  <r>
    <s v="T208958"/>
    <s v="Punjab Kings Vs Sunrisers"/>
    <s v="Punjab Kings"/>
    <x v="9"/>
    <s v="VaibhavArora"/>
    <s v="out"/>
    <n v="0"/>
    <n v="1"/>
    <n v="0"/>
    <n v="0"/>
    <n v="6.4454545454545453"/>
  </r>
  <r>
    <s v="T208958"/>
    <s v="Punjab Kings Vs Sunrisers"/>
    <s v="Punjab Kings"/>
    <x v="10"/>
    <s v="ArshdeepSingh"/>
    <s v="out"/>
    <n v="0"/>
    <n v="1"/>
    <n v="0"/>
    <n v="0"/>
    <n v="6.4454545454545453"/>
  </r>
  <r>
    <s v="T208958"/>
    <s v="Punjab Kings Vs Sunrisers"/>
    <s v="Sunrisers"/>
    <x v="0"/>
    <s v="AbhishekSharma"/>
    <s v="out"/>
    <n v="31"/>
    <n v="25"/>
    <n v="3"/>
    <n v="1"/>
    <n v="5.4444444444444446"/>
  </r>
  <r>
    <s v="T208958"/>
    <s v="Punjab Kings Vs Sunrisers"/>
    <s v="Sunrisers"/>
    <x v="1"/>
    <s v="KaneWilliamson"/>
    <s v="out"/>
    <n v="3"/>
    <n v="9"/>
    <n v="0"/>
    <n v="0"/>
    <n v="4.5999999999999996"/>
  </r>
  <r>
    <s v="T208958"/>
    <s v="Punjab Kings Vs Sunrisers"/>
    <s v="Sunrisers"/>
    <x v="2"/>
    <s v="RahulTripathi"/>
    <s v="out"/>
    <n v="34"/>
    <n v="22"/>
    <n v="4"/>
    <n v="1"/>
    <n v="4.708333333333333"/>
  </r>
  <r>
    <s v="T208958"/>
    <s v="Punjab Kings Vs Sunrisers"/>
    <s v="Sunrisers"/>
    <x v="3"/>
    <s v="AidenMarkram"/>
    <s v="not_out"/>
    <n v="41"/>
    <n v="27"/>
    <n v="4"/>
    <n v="1"/>
    <n v="4.4285714285714288"/>
  </r>
  <r>
    <s v="T208958"/>
    <s v="Punjab Kings Vs Sunrisers"/>
    <s v="Sunrisers"/>
    <x v="4"/>
    <s v="NicholasPooran"/>
    <s v="not_out"/>
    <n v="35"/>
    <n v="30"/>
    <n v="1"/>
    <n v="1"/>
    <n v="4.0999999999999996"/>
  </r>
  <r>
    <s v="T205793"/>
    <s v="RCB Vs Capitals"/>
    <s v="RCB"/>
    <x v="0"/>
    <s v="FafduPlessis"/>
    <s v="out"/>
    <n v="8"/>
    <n v="11"/>
    <n v="2"/>
    <n v="0"/>
    <n v="4.84"/>
  </r>
  <r>
    <s v="T205793"/>
    <s v="RCB Vs Capitals"/>
    <s v="RCB"/>
    <x v="1"/>
    <s v="AnujRawat"/>
    <s v="out"/>
    <n v="0"/>
    <n v="1"/>
    <n v="0"/>
    <n v="0"/>
    <n v="6.4454545454545453"/>
  </r>
  <r>
    <s v="T205793"/>
    <s v="RCB Vs Capitals"/>
    <s v="RCB"/>
    <x v="2"/>
    <s v="ViratKohli"/>
    <s v="out"/>
    <n v="12"/>
    <n v="14"/>
    <n v="1"/>
    <n v="0"/>
    <n v="4.9047619047619051"/>
  </r>
  <r>
    <s v="T205793"/>
    <s v="RCB Vs Capitals"/>
    <s v="RCB"/>
    <x v="3"/>
    <s v="GlennMaxwell"/>
    <s v="out"/>
    <n v="55"/>
    <n v="34"/>
    <n v="7"/>
    <n v="2"/>
    <n v="4.8125"/>
  </r>
  <r>
    <s v="T205793"/>
    <s v="RCB Vs Capitals"/>
    <s v="RCB"/>
    <x v="4"/>
    <s v="SuyashPrabhudessai"/>
    <s v="out"/>
    <n v="6"/>
    <n v="5"/>
    <n v="1"/>
    <n v="0"/>
    <n v="5.3773584905660377"/>
  </r>
  <r>
    <s v="T205793"/>
    <s v="RCB Vs Capitals"/>
    <s v="RCB"/>
    <x v="5"/>
    <s v="ShahbazAhmed"/>
    <s v="not_out"/>
    <n v="32"/>
    <n v="21"/>
    <n v="3"/>
    <n v="1"/>
    <n v="4.59375"/>
  </r>
  <r>
    <s v="T205793"/>
    <s v="RCB Vs Capitals"/>
    <s v="RCB"/>
    <x v="6"/>
    <s v="DineshKarthik"/>
    <s v="not_out"/>
    <n v="66"/>
    <n v="34"/>
    <n v="5"/>
    <n v="5"/>
    <n v="4.8125"/>
  </r>
  <r>
    <s v="T205793"/>
    <s v="RCB Vs Capitals"/>
    <s v="Capitals"/>
    <x v="0"/>
    <s v="PrithviShaw"/>
    <s v="out"/>
    <n v="16"/>
    <n v="13"/>
    <n v="1"/>
    <n v="1"/>
    <n v="4.8"/>
  </r>
  <r>
    <s v="T205793"/>
    <s v="RCB Vs Capitals"/>
    <s v="Capitals"/>
    <x v="1"/>
    <s v="DavidWarner"/>
    <s v="out"/>
    <n v="66"/>
    <n v="38"/>
    <n v="4"/>
    <n v="5"/>
    <n v="4.4000000000000004"/>
  </r>
  <r>
    <s v="T205793"/>
    <s v="RCB Vs Capitals"/>
    <s v="Capitals"/>
    <x v="2"/>
    <s v="MitchellMarsh"/>
    <s v="out"/>
    <n v="14"/>
    <n v="24"/>
    <n v="0"/>
    <n v="0"/>
    <n v="4.2666666666666666"/>
  </r>
  <r>
    <s v="T205793"/>
    <s v="RCB Vs Capitals"/>
    <s v="Capitals"/>
    <x v="3"/>
    <s v="RishabhPant"/>
    <s v="out"/>
    <n v="34"/>
    <n v="17"/>
    <n v="3"/>
    <n v="2"/>
    <n v="4.6399999999999997"/>
  </r>
  <r>
    <s v="T205793"/>
    <s v="RCB Vs Capitals"/>
    <s v="Capitals"/>
    <x v="4"/>
    <s v="RovmanPowell"/>
    <s v="out"/>
    <n v="0"/>
    <n v="1"/>
    <n v="0"/>
    <n v="0"/>
    <n v="6.4454545454545453"/>
  </r>
  <r>
    <s v="T205793"/>
    <s v="RCB Vs Capitals"/>
    <s v="Capitals"/>
    <x v="5"/>
    <s v="LalitYadav"/>
    <s v="out"/>
    <n v="1"/>
    <n v="4"/>
    <n v="0"/>
    <n v="0"/>
    <n v="5.3859649122807021"/>
  </r>
  <r>
    <s v="T205793"/>
    <s v="RCB Vs Capitals"/>
    <s v="Capitals"/>
    <x v="6"/>
    <s v="ShardulThakur"/>
    <s v="out"/>
    <n v="17"/>
    <n v="9"/>
    <n v="0"/>
    <n v="2"/>
    <n v="4.5999999999999996"/>
  </r>
  <r>
    <s v="T205793"/>
    <s v="RCB Vs Capitals"/>
    <s v="Capitals"/>
    <x v="7"/>
    <s v="AxarPatel"/>
    <s v="not_out"/>
    <n v="10"/>
    <n v="7"/>
    <n v="1"/>
    <n v="0"/>
    <n v="5.2325581395348841"/>
  </r>
  <r>
    <s v="T205793"/>
    <s v="RCB Vs Capitals"/>
    <s v="Capitals"/>
    <x v="8"/>
    <s v="KuldeepYadav"/>
    <s v="not_out"/>
    <n v="10"/>
    <n v="7"/>
    <n v="2"/>
    <n v="0"/>
    <n v="5.2325581395348841"/>
  </r>
  <r>
    <s v="T204555"/>
    <s v="Super Giants Vs Mumbai"/>
    <s v="Super Giants"/>
    <x v="0"/>
    <s v="KLRahul"/>
    <s v="not_out"/>
    <n v="103"/>
    <n v="60"/>
    <n v="9"/>
    <n v="5"/>
    <n v="2.2000000000000002"/>
  </r>
  <r>
    <s v="T204555"/>
    <s v="Super Giants Vs Mumbai"/>
    <s v="Super Giants"/>
    <x v="1"/>
    <s v="QuintondeKock"/>
    <s v="out"/>
    <n v="24"/>
    <n v="13"/>
    <n v="4"/>
    <n v="1"/>
    <n v="4.8"/>
  </r>
  <r>
    <s v="T204555"/>
    <s v="Super Giants Vs Mumbai"/>
    <s v="Super Giants"/>
    <x v="2"/>
    <s v="ManishPandey"/>
    <s v="out"/>
    <n v="38"/>
    <n v="29"/>
    <n v="6"/>
    <n v="0"/>
    <n v="4.1875"/>
  </r>
  <r>
    <s v="T204555"/>
    <s v="Super Giants Vs Mumbai"/>
    <s v="Super Giants"/>
    <x v="3"/>
    <s v="MarcusStoinis"/>
    <s v="out"/>
    <n v="10"/>
    <n v="9"/>
    <n v="0"/>
    <n v="1"/>
    <n v="4.5999999999999996"/>
  </r>
  <r>
    <s v="T204555"/>
    <s v="Super Giants Vs Mumbai"/>
    <s v="Super Giants"/>
    <x v="4"/>
    <s v="DeepakHooda"/>
    <s v="out"/>
    <n v="15"/>
    <n v="8"/>
    <n v="1"/>
    <n v="1"/>
    <n v="4.6981132075471699"/>
  </r>
  <r>
    <s v="T204555"/>
    <s v="Super Giants Vs Mumbai"/>
    <s v="Super Giants"/>
    <x v="5"/>
    <s v="KrunalPandya"/>
    <s v="not_out"/>
    <n v="1"/>
    <n v="1"/>
    <n v="0"/>
    <n v="0"/>
    <n v="6.4495412844036695"/>
  </r>
  <r>
    <s v="T204555"/>
    <s v="Super Giants Vs Mumbai"/>
    <s v="Mumbai"/>
    <x v="0"/>
    <s v="IshanKishan"/>
    <s v="out"/>
    <n v="13"/>
    <n v="17"/>
    <n v="2"/>
    <n v="0"/>
    <n v="4.541666666666667"/>
  </r>
  <r>
    <s v="T204555"/>
    <s v="Super Giants Vs Mumbai"/>
    <s v="Mumbai"/>
    <x v="1"/>
    <s v="RohitSharma"/>
    <s v="out"/>
    <n v="6"/>
    <n v="7"/>
    <n v="1"/>
    <n v="0"/>
    <n v="5.2325581395348841"/>
  </r>
  <r>
    <s v="T204555"/>
    <s v="Super Giants Vs Mumbai"/>
    <s v="Mumbai"/>
    <x v="2"/>
    <s v="DewaldBrevis"/>
    <s v="out"/>
    <n v="31"/>
    <n v="13"/>
    <n v="6"/>
    <n v="1"/>
    <n v="4.9117647058823533"/>
  </r>
  <r>
    <s v="T204555"/>
    <s v="Super Giants Vs Mumbai"/>
    <s v="Mumbai"/>
    <x v="3"/>
    <s v="SuryakumarYadav"/>
    <s v="out"/>
    <n v="37"/>
    <n v="27"/>
    <n v="3"/>
    <n v="0"/>
    <n v="4.4285714285714288"/>
  </r>
  <r>
    <s v="T204555"/>
    <s v="Super Giants Vs Mumbai"/>
    <s v="Mumbai"/>
    <x v="4"/>
    <s v="TilakVarma"/>
    <s v="out"/>
    <n v="26"/>
    <n v="26"/>
    <n v="2"/>
    <n v="0"/>
    <n v="3.7692307692307692"/>
  </r>
  <r>
    <s v="T204555"/>
    <s v="Super Giants Vs Mumbai"/>
    <s v="Mumbai"/>
    <x v="5"/>
    <s v="KieronPollard"/>
    <s v="out"/>
    <n v="25"/>
    <n v="14"/>
    <n v="1"/>
    <n v="2"/>
    <n v="5"/>
  </r>
  <r>
    <s v="T204555"/>
    <s v="Super Giants Vs Mumbai"/>
    <s v="Mumbai"/>
    <x v="6"/>
    <s v="FabianAllen"/>
    <s v="out"/>
    <n v="8"/>
    <n v="7"/>
    <n v="1"/>
    <n v="0"/>
    <n v="5.2325581395348841"/>
  </r>
  <r>
    <s v="T204555"/>
    <s v="Super Giants Vs Mumbai"/>
    <s v="Mumbai"/>
    <x v="7"/>
    <s v="JaydevUnadkat"/>
    <s v="out"/>
    <n v="14"/>
    <n v="6"/>
    <n v="2"/>
    <n v="1"/>
    <n v="5.9047619047619051"/>
  </r>
  <r>
    <s v="T204555"/>
    <s v="Super Giants Vs Mumbai"/>
    <s v="Mumbai"/>
    <x v="8"/>
    <s v="MuruganAshwin"/>
    <s v="out"/>
    <n v="6"/>
    <n v="2"/>
    <n v="0"/>
    <n v="1"/>
    <n v="6.2361111111111107"/>
  </r>
  <r>
    <s v="T204555"/>
    <s v="Super Giants Vs Mumbai"/>
    <s v="Mumbai"/>
    <x v="9"/>
    <s v="JaspritBumrah"/>
    <s v="not_out"/>
    <n v="0"/>
    <n v="0"/>
    <n v="0"/>
    <n v="0"/>
    <n v="5.8720930232558137"/>
  </r>
  <r>
    <s v="T204555"/>
    <s v="Super Giants Vs Mumbai"/>
    <s v="Mumbai"/>
    <x v="10"/>
    <s v="TymalMills"/>
    <s v="not_out"/>
    <n v="0"/>
    <n v="1"/>
    <n v="0"/>
    <n v="0"/>
    <n v="6.4537037037037033"/>
  </r>
  <r>
    <s v="T208105"/>
    <s v="KKR Vs Sunrisers"/>
    <s v="KKR"/>
    <x v="0"/>
    <s v="VenkateshIyer"/>
    <s v="out"/>
    <n v="6"/>
    <n v="13"/>
    <n v="1"/>
    <n v="0"/>
    <n v="4.9117647058823533"/>
  </r>
  <r>
    <s v="T208105"/>
    <s v="KKR Vs Sunrisers"/>
    <s v="KKR"/>
    <x v="1"/>
    <s v="AaronFinch"/>
    <s v="out"/>
    <n v="7"/>
    <n v="5"/>
    <n v="0"/>
    <n v="1"/>
    <n v="5.3773584905660377"/>
  </r>
  <r>
    <s v="T208105"/>
    <s v="KKR Vs Sunrisers"/>
    <s v="KKR"/>
    <x v="2"/>
    <s v="ShreyasIyer"/>
    <s v="out"/>
    <n v="28"/>
    <n v="25"/>
    <n v="3"/>
    <n v="0"/>
    <n v="5.4117647058823533"/>
  </r>
  <r>
    <s v="T208105"/>
    <s v="KKR Vs Sunrisers"/>
    <s v="KKR"/>
    <x v="3"/>
    <s v="SunilNarine"/>
    <s v="out"/>
    <n v="6"/>
    <n v="2"/>
    <n v="0"/>
    <n v="1"/>
    <n v="6.2361111111111107"/>
  </r>
  <r>
    <s v="T208105"/>
    <s v="KKR Vs Sunrisers"/>
    <s v="KKR"/>
    <x v="4"/>
    <s v="NitishRana"/>
    <s v="out"/>
    <n v="54"/>
    <n v="36"/>
    <n v="6"/>
    <n v="2"/>
    <n v="4.416666666666667"/>
  </r>
  <r>
    <s v="T208105"/>
    <s v="KKR Vs Sunrisers"/>
    <s v="KKR"/>
    <x v="5"/>
    <s v="SheldonJackson"/>
    <s v="out"/>
    <n v="7"/>
    <n v="7"/>
    <n v="0"/>
    <n v="1"/>
    <n v="5.3095238095238093"/>
  </r>
  <r>
    <s v="T208105"/>
    <s v="KKR Vs Sunrisers"/>
    <s v="KKR"/>
    <x v="6"/>
    <s v="AndreRussell"/>
    <s v="not_out"/>
    <n v="49"/>
    <n v="25"/>
    <n v="4"/>
    <n v="4"/>
    <n v="5.4117647058823533"/>
  </r>
  <r>
    <s v="T208105"/>
    <s v="KKR Vs Sunrisers"/>
    <s v="KKR"/>
    <x v="7"/>
    <s v="PatCummins"/>
    <s v="out"/>
    <n v="3"/>
    <n v="3"/>
    <n v="0"/>
    <n v="0"/>
    <n v="5.78"/>
  </r>
  <r>
    <s v="T208105"/>
    <s v="KKR Vs Sunrisers"/>
    <s v="KKR"/>
    <x v="8"/>
    <s v="AmanHakimKhan"/>
    <s v="out"/>
    <n v="5"/>
    <n v="3"/>
    <n v="1"/>
    <n v="0"/>
    <n v="5.7346938775510203"/>
  </r>
  <r>
    <s v="T208105"/>
    <s v="KKR Vs Sunrisers"/>
    <s v="KKR"/>
    <x v="9"/>
    <s v="UmeshYadav"/>
    <s v="not_out"/>
    <n v="1"/>
    <n v="1"/>
    <n v="0"/>
    <n v="0"/>
    <n v="6.4537037037037033"/>
  </r>
  <r>
    <s v="T208105"/>
    <s v="KKR Vs Sunrisers"/>
    <s v="Sunrisers"/>
    <x v="0"/>
    <s v="AbhishekSharma"/>
    <s v="out"/>
    <n v="3"/>
    <n v="10"/>
    <n v="0"/>
    <n v="0"/>
    <n v="4.9210526315789478"/>
  </r>
  <r>
    <s v="T208105"/>
    <s v="KKR Vs Sunrisers"/>
    <s v="Sunrisers"/>
    <x v="1"/>
    <s v="KaneWilliamson"/>
    <s v="out"/>
    <n v="17"/>
    <n v="16"/>
    <n v="3"/>
    <n v="0"/>
    <n v="4.8499999999999996"/>
  </r>
  <r>
    <s v="T208105"/>
    <s v="KKR Vs Sunrisers"/>
    <s v="Sunrisers"/>
    <x v="2"/>
    <s v="RahulTripathi"/>
    <s v="out"/>
    <n v="71"/>
    <n v="37"/>
    <n v="4"/>
    <n v="6"/>
    <n v="3.25"/>
  </r>
  <r>
    <s v="T208105"/>
    <s v="KKR Vs Sunrisers"/>
    <s v="Sunrisers"/>
    <x v="3"/>
    <s v="AidenMarkram"/>
    <s v="not_out"/>
    <n v="68"/>
    <n v="36"/>
    <n v="6"/>
    <n v="4"/>
    <n v="4.416666666666667"/>
  </r>
  <r>
    <s v="T208105"/>
    <s v="KKR Vs Sunrisers"/>
    <s v="Sunrisers"/>
    <x v="4"/>
    <s v="NicholasPooran"/>
    <s v="not_out"/>
    <n v="5"/>
    <n v="8"/>
    <n v="0"/>
    <n v="0"/>
    <n v="4.6538461538461542"/>
  </r>
  <r>
    <s v="T207043"/>
    <s v="Titans Vs Royals"/>
    <s v="Titans"/>
    <x v="0"/>
    <s v="MatthewWade"/>
    <s v="out"/>
    <n v="12"/>
    <n v="6"/>
    <n v="3"/>
    <n v="0"/>
    <n v="6"/>
  </r>
  <r>
    <s v="T207043"/>
    <s v="Titans Vs Royals"/>
    <s v="Titans"/>
    <x v="1"/>
    <s v="ShubmanGill"/>
    <s v="out"/>
    <n v="13"/>
    <n v="14"/>
    <n v="2"/>
    <n v="0"/>
    <n v="4.8421052631578947"/>
  </r>
  <r>
    <s v="T207043"/>
    <s v="Titans Vs Royals"/>
    <s v="Titans"/>
    <x v="2"/>
    <s v="VijayShankar"/>
    <s v="out"/>
    <n v="2"/>
    <n v="7"/>
    <n v="0"/>
    <n v="0"/>
    <n v="5.2926829268292686"/>
  </r>
  <r>
    <s v="T207043"/>
    <s v="Titans Vs Royals"/>
    <s v="Titans"/>
    <x v="3"/>
    <s v="HardikPandya"/>
    <s v="not_out"/>
    <n v="87"/>
    <n v="52"/>
    <n v="8"/>
    <n v="4"/>
    <n v="3.1428571428571428"/>
  </r>
  <r>
    <s v="T207043"/>
    <s v="Titans Vs Royals"/>
    <s v="Titans"/>
    <x v="4"/>
    <s v="AbhinavManohar"/>
    <s v="out"/>
    <n v="43"/>
    <n v="28"/>
    <n v="4"/>
    <n v="2"/>
    <n v="3.5"/>
  </r>
  <r>
    <s v="T207043"/>
    <s v="Titans Vs Royals"/>
    <s v="Titans"/>
    <x v="5"/>
    <s v="DavidMiller"/>
    <s v="not_out"/>
    <n v="31"/>
    <n v="14"/>
    <n v="5"/>
    <n v="1"/>
    <n v="4.8421052631578947"/>
  </r>
  <r>
    <s v="T207043"/>
    <s v="Titans Vs Royals"/>
    <s v="Royals"/>
    <x v="0"/>
    <s v="JosButtler"/>
    <s v="out"/>
    <n v="54"/>
    <n v="24"/>
    <n v="8"/>
    <n v="3"/>
    <n v="4.4285714285714288"/>
  </r>
  <r>
    <s v="T207043"/>
    <s v="Titans Vs Royals"/>
    <s v="Royals"/>
    <x v="1"/>
    <s v="DevduttPadikkal"/>
    <s v="out"/>
    <n v="0"/>
    <n v="1"/>
    <n v="0"/>
    <n v="0"/>
    <n v="6.4205607476635516"/>
  </r>
  <r>
    <s v="T207043"/>
    <s v="Titans Vs Royals"/>
    <s v="Royals"/>
    <x v="2"/>
    <s v="RavichandranAshwin"/>
    <s v="out"/>
    <n v="8"/>
    <n v="8"/>
    <n v="0"/>
    <n v="1"/>
    <n v="4.6538461538461542"/>
  </r>
  <r>
    <s v="T207043"/>
    <s v="Titans Vs Royals"/>
    <s v="Royals"/>
    <x v="3"/>
    <s v="SanjuSamson"/>
    <s v="out"/>
    <n v="11"/>
    <n v="11"/>
    <n v="0"/>
    <n v="1"/>
    <n v="4.84"/>
  </r>
  <r>
    <s v="T207043"/>
    <s v="Titans Vs Royals"/>
    <s v="Royals"/>
    <x v="4"/>
    <s v="RassievanderDussen"/>
    <s v="out"/>
    <n v="6"/>
    <n v="10"/>
    <n v="0"/>
    <n v="0"/>
    <n v="4.9210526315789478"/>
  </r>
  <r>
    <s v="T207043"/>
    <s v="Titans Vs Royals"/>
    <s v="Royals"/>
    <x v="5"/>
    <s v="ShimronHetmyer"/>
    <s v="out"/>
    <n v="29"/>
    <n v="17"/>
    <n v="2"/>
    <n v="1"/>
    <n v="4.6521739130434785"/>
  </r>
  <r>
    <s v="T207043"/>
    <s v="Titans Vs Royals"/>
    <s v="Royals"/>
    <x v="6"/>
    <s v="RiyanParag"/>
    <s v="out"/>
    <n v="18"/>
    <n v="16"/>
    <n v="1"/>
    <n v="1"/>
    <n v="4.8499999999999996"/>
  </r>
  <r>
    <s v="T207043"/>
    <s v="Titans Vs Royals"/>
    <s v="Royals"/>
    <x v="7"/>
    <s v="JamesNeesham"/>
    <s v="out"/>
    <n v="17"/>
    <n v="15"/>
    <n v="1"/>
    <n v="0"/>
    <n v="4.8076923076923075"/>
  </r>
  <r>
    <s v="T207043"/>
    <s v="Titans Vs Royals"/>
    <s v="Royals"/>
    <x v="8"/>
    <s v="PrasidhKrishna"/>
    <s v="not_out"/>
    <n v="4"/>
    <n v="7"/>
    <n v="0"/>
    <n v="0"/>
    <n v="5.2926829268292686"/>
  </r>
  <r>
    <s v="T207043"/>
    <s v="Titans Vs Royals"/>
    <s v="Royals"/>
    <x v="9"/>
    <s v="YuzvendraChahal"/>
    <s v="out"/>
    <n v="5"/>
    <n v="8"/>
    <n v="0"/>
    <n v="0"/>
    <n v="4.6862745098039218"/>
  </r>
  <r>
    <s v="T207043"/>
    <s v="Titans Vs Royals"/>
    <s v="Royals"/>
    <x v="10"/>
    <s v="KuldeepSen"/>
    <s v="not_out"/>
    <n v="0"/>
    <n v="3"/>
    <n v="0"/>
    <n v="0"/>
    <n v="5.833333333333333"/>
  </r>
  <r>
    <s v="T208002"/>
    <s v="Punjab Kings Vs Mumbai"/>
    <s v="Punjab Kings"/>
    <x v="0"/>
    <s v="MayankAgarwal"/>
    <s v="out"/>
    <n v="52"/>
    <n v="32"/>
    <n v="6"/>
    <n v="2"/>
    <n v="4.6923076923076925"/>
  </r>
  <r>
    <s v="T208002"/>
    <s v="Punjab Kings Vs Mumbai"/>
    <s v="Punjab Kings"/>
    <x v="1"/>
    <s v="ShikharDhawan"/>
    <s v="out"/>
    <n v="70"/>
    <n v="50"/>
    <n v="5"/>
    <n v="3"/>
    <n v="3.0909090909090908"/>
  </r>
  <r>
    <s v="T208002"/>
    <s v="Punjab Kings Vs Mumbai"/>
    <s v="Punjab Kings"/>
    <x v="2"/>
    <s v="JonnyBairstow"/>
    <s v="out"/>
    <n v="12"/>
    <n v="13"/>
    <n v="1"/>
    <n v="0"/>
    <n v="5"/>
  </r>
  <r>
    <s v="T208002"/>
    <s v="Punjab Kings Vs Mumbai"/>
    <s v="Punjab Kings"/>
    <x v="3"/>
    <s v="LiamLivingstone"/>
    <s v="out"/>
    <n v="2"/>
    <n v="3"/>
    <n v="0"/>
    <n v="0"/>
    <n v="5.833333333333333"/>
  </r>
  <r>
    <s v="T208002"/>
    <s v="Punjab Kings Vs Mumbai"/>
    <s v="Punjab Kings"/>
    <x v="4"/>
    <s v="JiteshSharma"/>
    <s v="not_out"/>
    <n v="30"/>
    <n v="15"/>
    <n v="2"/>
    <n v="2"/>
    <n v="4.8076923076923075"/>
  </r>
  <r>
    <s v="T208002"/>
    <s v="Punjab Kings Vs Mumbai"/>
    <s v="Punjab Kings"/>
    <x v="5"/>
    <s v="MShahrukhKhan"/>
    <s v="out"/>
    <n v="15"/>
    <n v="6"/>
    <n v="0"/>
    <n v="2"/>
    <n v="6.0263157894736841"/>
  </r>
  <r>
    <s v="T208002"/>
    <s v="Punjab Kings Vs Mumbai"/>
    <s v="Punjab Kings"/>
    <x v="6"/>
    <s v="OdeanSmith"/>
    <s v="not_out"/>
    <n v="1"/>
    <n v="1"/>
    <n v="0"/>
    <n v="0"/>
    <n v="6.4205607476635516"/>
  </r>
  <r>
    <s v="T208002"/>
    <s v="Punjab Kings Vs Mumbai"/>
    <s v="Mumbai"/>
    <x v="0"/>
    <s v="RohitSharma"/>
    <s v="out"/>
    <n v="28"/>
    <n v="17"/>
    <n v="3"/>
    <n v="2"/>
    <n v="4.5"/>
  </r>
  <r>
    <s v="T208002"/>
    <s v="Punjab Kings Vs Mumbai"/>
    <s v="Mumbai"/>
    <x v="1"/>
    <s v="IshanKishan"/>
    <s v="out"/>
    <n v="3"/>
    <n v="6"/>
    <n v="0"/>
    <n v="0"/>
    <n v="6.0263157894736841"/>
  </r>
  <r>
    <s v="T208002"/>
    <s v="Punjab Kings Vs Mumbai"/>
    <s v="Mumbai"/>
    <x v="2"/>
    <s v="DewaldBrevis"/>
    <s v="out"/>
    <n v="49"/>
    <n v="25"/>
    <n v="4"/>
    <n v="5"/>
    <n v="5.4117647058823533"/>
  </r>
  <r>
    <s v="T208002"/>
    <s v="Punjab Kings Vs Mumbai"/>
    <s v="Mumbai"/>
    <x v="3"/>
    <s v="TilakVarma"/>
    <s v="out"/>
    <n v="36"/>
    <n v="20"/>
    <n v="3"/>
    <n v="2"/>
    <n v="4.76"/>
  </r>
  <r>
    <s v="T208002"/>
    <s v="Punjab Kings Vs Mumbai"/>
    <s v="Mumbai"/>
    <x v="4"/>
    <s v="SuryakumarYadav"/>
    <s v="out"/>
    <n v="43"/>
    <n v="30"/>
    <n v="1"/>
    <n v="4"/>
    <n v="4.0526315789473681"/>
  </r>
  <r>
    <s v="T208002"/>
    <s v="Punjab Kings Vs Mumbai"/>
    <s v="Mumbai"/>
    <x v="5"/>
    <s v="KieronPollard"/>
    <s v="out"/>
    <n v="10"/>
    <n v="11"/>
    <n v="1"/>
    <n v="0"/>
    <n v="4.875"/>
  </r>
  <r>
    <s v="T208002"/>
    <s v="Punjab Kings Vs Mumbai"/>
    <s v="Mumbai"/>
    <x v="6"/>
    <s v="JaydevUnadkat"/>
    <s v="out"/>
    <n v="12"/>
    <n v="7"/>
    <n v="0"/>
    <n v="1"/>
    <n v="5.2926829268292686"/>
  </r>
  <r>
    <s v="T208002"/>
    <s v="Punjab Kings Vs Mumbai"/>
    <s v="Mumbai"/>
    <x v="7"/>
    <s v="MuruganAshwin"/>
    <s v="not_out"/>
    <n v="0"/>
    <n v="2"/>
    <n v="0"/>
    <n v="0"/>
    <n v="6.3142857142857141"/>
  </r>
  <r>
    <s v="T208002"/>
    <s v="Punjab Kings Vs Mumbai"/>
    <s v="Mumbai"/>
    <x v="8"/>
    <s v="JaspritBumrah"/>
    <s v="out"/>
    <n v="0"/>
    <n v="1"/>
    <n v="0"/>
    <n v="0"/>
    <n v="6.4150943396226419"/>
  </r>
  <r>
    <s v="T208002"/>
    <s v="Punjab Kings Vs Mumbai"/>
    <s v="Mumbai"/>
    <x v="9"/>
    <s v="TymalMills"/>
    <s v="out"/>
    <n v="0"/>
    <n v="2"/>
    <n v="0"/>
    <n v="0"/>
    <n v="6.3142857142857141"/>
  </r>
  <r>
    <s v="T203601"/>
    <s v="Super Kings Vs RCB"/>
    <s v="Super Kings"/>
    <x v="0"/>
    <s v="RuturajGaikwad"/>
    <s v="out"/>
    <n v="17"/>
    <n v="16"/>
    <n v="3"/>
    <n v="0"/>
    <n v="4.8499999999999996"/>
  </r>
  <r>
    <s v="T203601"/>
    <s v="Super Kings Vs RCB"/>
    <s v="Super Kings"/>
    <x v="1"/>
    <s v="RobinUthappa"/>
    <s v="out"/>
    <n v="88"/>
    <n v="50"/>
    <n v="4"/>
    <n v="9"/>
    <n v="3.0909090909090908"/>
  </r>
  <r>
    <s v="T203601"/>
    <s v="Super Kings Vs RCB"/>
    <s v="Super Kings"/>
    <x v="2"/>
    <s v="MoeenAli"/>
    <s v="out"/>
    <n v="3"/>
    <n v="8"/>
    <n v="0"/>
    <n v="0"/>
    <n v="4.6862745098039218"/>
  </r>
  <r>
    <s v="T203601"/>
    <s v="Super Kings Vs RCB"/>
    <s v="Super Kings"/>
    <x v="3"/>
    <s v="ShivamDube"/>
    <s v="not_out"/>
    <n v="95"/>
    <n v="46"/>
    <n v="5"/>
    <n v="8"/>
    <n v="4"/>
  </r>
  <r>
    <s v="T203601"/>
    <s v="Super Kings Vs RCB"/>
    <s v="Super Kings"/>
    <x v="4"/>
    <s v="RavindraJadeja"/>
    <s v="out"/>
    <n v="0"/>
    <n v="1"/>
    <n v="0"/>
    <n v="0"/>
    <n v="6.4150943396226419"/>
  </r>
  <r>
    <s v="T203601"/>
    <s v="Super Kings Vs RCB"/>
    <s v="Super Kings"/>
    <x v="5"/>
    <s v="MSDhoni"/>
    <s v="not_out"/>
    <n v="0"/>
    <n v="0"/>
    <n v="0"/>
    <n v="0"/>
    <n v="5.7560975609756095"/>
  </r>
  <r>
    <s v="T203601"/>
    <s v="Super Kings Vs RCB"/>
    <s v="RCB"/>
    <x v="0"/>
    <s v="FafduPlessis"/>
    <s v="out"/>
    <n v="8"/>
    <n v="9"/>
    <n v="0"/>
    <n v="0"/>
    <n v="4.5999999999999996"/>
  </r>
  <r>
    <s v="T203601"/>
    <s v="Super Kings Vs RCB"/>
    <s v="RCB"/>
    <x v="1"/>
    <s v="AnujRawat"/>
    <s v="out"/>
    <n v="12"/>
    <n v="16"/>
    <n v="1"/>
    <n v="0"/>
    <n v="4.8499999999999996"/>
  </r>
  <r>
    <s v="T203601"/>
    <s v="Super Kings Vs RCB"/>
    <s v="RCB"/>
    <x v="2"/>
    <s v="ViratKohli"/>
    <s v="out"/>
    <n v="1"/>
    <n v="3"/>
    <n v="0"/>
    <n v="0"/>
    <n v="5.9782608695652177"/>
  </r>
  <r>
    <s v="T203601"/>
    <s v="Super Kings Vs RCB"/>
    <s v="RCB"/>
    <x v="3"/>
    <s v="GlennMaxwell"/>
    <s v="out"/>
    <n v="26"/>
    <n v="11"/>
    <n v="2"/>
    <n v="2"/>
    <n v="4.875"/>
  </r>
  <r>
    <s v="T203601"/>
    <s v="Super Kings Vs RCB"/>
    <s v="RCB"/>
    <x v="4"/>
    <s v="ShahbazAhmed"/>
    <s v="out"/>
    <n v="41"/>
    <n v="27"/>
    <n v="4"/>
    <n v="0"/>
    <n v="4.4285714285714288"/>
  </r>
  <r>
    <s v="T203601"/>
    <s v="Super Kings Vs RCB"/>
    <s v="RCB"/>
    <x v="5"/>
    <s v="SuyashPrabhudessai"/>
    <s v="out"/>
    <n v="34"/>
    <n v="18"/>
    <n v="5"/>
    <n v="1"/>
    <n v="4.6538461538461542"/>
  </r>
  <r>
    <s v="T203601"/>
    <s v="Super Kings Vs RCB"/>
    <s v="RCB"/>
    <x v="6"/>
    <s v="DineshKarthik"/>
    <s v="out"/>
    <n v="34"/>
    <n v="14"/>
    <n v="2"/>
    <n v="3"/>
    <n v="4.8421052631578947"/>
  </r>
  <r>
    <s v="T203601"/>
    <s v="Super Kings Vs RCB"/>
    <s v="RCB"/>
    <x v="7"/>
    <s v="WaninduHasaranga"/>
    <s v="out"/>
    <n v="7"/>
    <n v="3"/>
    <n v="0"/>
    <n v="1"/>
    <n v="5.9782608695652177"/>
  </r>
  <r>
    <s v="T203601"/>
    <s v="Super Kings Vs RCB"/>
    <s v="RCB"/>
    <x v="8"/>
    <s v="AkashDeep"/>
    <s v="out"/>
    <n v="0"/>
    <n v="2"/>
    <n v="0"/>
    <n v="0"/>
    <n v="6.3142857142857141"/>
  </r>
  <r>
    <s v="T203601"/>
    <s v="Super Kings Vs RCB"/>
    <s v="RCB"/>
    <x v="9"/>
    <s v="MohammedSiraj"/>
    <s v="not_out"/>
    <n v="14"/>
    <n v="11"/>
    <n v="3"/>
    <n v="0"/>
    <n v="4.875"/>
  </r>
  <r>
    <s v="T203601"/>
    <s v="Super Kings Vs RCB"/>
    <s v="RCB"/>
    <x v="10"/>
    <s v="JoshHazlewood"/>
    <s v="not_out"/>
    <n v="7"/>
    <n v="7"/>
    <n v="0"/>
    <n v="0"/>
    <n v="5.2249999999999996"/>
  </r>
  <r>
    <s v="T208211"/>
    <s v="Titans Vs Sunrisers"/>
    <s v="Titans"/>
    <x v="0"/>
    <s v="MatthewWade"/>
    <s v="out"/>
    <n v="19"/>
    <n v="19"/>
    <n v="3"/>
    <n v="0"/>
    <n v="4.791666666666667"/>
  </r>
  <r>
    <s v="T208211"/>
    <s v="Titans Vs Sunrisers"/>
    <s v="Titans"/>
    <x v="1"/>
    <s v="ShubmanGill"/>
    <s v="out"/>
    <n v="7"/>
    <n v="9"/>
    <n v="1"/>
    <n v="0"/>
    <n v="4.5999999999999996"/>
  </r>
  <r>
    <s v="T208211"/>
    <s v="Titans Vs Sunrisers"/>
    <s v="Titans"/>
    <x v="2"/>
    <s v="SaiSudharsan"/>
    <s v="out"/>
    <n v="11"/>
    <n v="9"/>
    <n v="2"/>
    <n v="0"/>
    <n v="4.5999999999999996"/>
  </r>
  <r>
    <s v="T208211"/>
    <s v="Titans Vs Sunrisers"/>
    <s v="Titans"/>
    <x v="3"/>
    <s v="HardikPandya"/>
    <s v="not_out"/>
    <n v="50"/>
    <n v="42"/>
    <n v="4"/>
    <n v="1"/>
    <n v="3.2222222222222223"/>
  </r>
  <r>
    <s v="T208211"/>
    <s v="Titans Vs Sunrisers"/>
    <s v="Titans"/>
    <x v="4"/>
    <s v="DavidMiller"/>
    <s v="out"/>
    <n v="12"/>
    <n v="15"/>
    <n v="0"/>
    <n v="0"/>
    <n v="4.76"/>
  </r>
  <r>
    <s v="T208211"/>
    <s v="Titans Vs Sunrisers"/>
    <s v="Titans"/>
    <x v="5"/>
    <s v="AbhinavManohar"/>
    <s v="out"/>
    <n v="35"/>
    <n v="21"/>
    <n v="5"/>
    <n v="1"/>
    <n v="4.59375"/>
  </r>
  <r>
    <s v="T208211"/>
    <s v="Titans Vs Sunrisers"/>
    <s v="Titans"/>
    <x v="6"/>
    <s v="RahulTewatia"/>
    <s v="out"/>
    <n v="6"/>
    <n v="4"/>
    <n v="1"/>
    <n v="0"/>
    <n v="5.3214285714285712"/>
  </r>
  <r>
    <s v="T208211"/>
    <s v="Titans Vs Sunrisers"/>
    <s v="Titans"/>
    <x v="7"/>
    <s v="RashidKhan"/>
    <s v="out"/>
    <n v="0"/>
    <n v="1"/>
    <n v="0"/>
    <n v="0"/>
    <n v="6.4476190476190478"/>
  </r>
  <r>
    <s v="T208211"/>
    <s v="Titans Vs Sunrisers"/>
    <s v="Sunrisers"/>
    <x v="0"/>
    <s v="AbhishekSharma"/>
    <s v="out"/>
    <n v="42"/>
    <n v="32"/>
    <n v="6"/>
    <n v="0"/>
    <n v="4.6923076923076925"/>
  </r>
  <r>
    <s v="T208211"/>
    <s v="Titans Vs Sunrisers"/>
    <s v="Sunrisers"/>
    <x v="1"/>
    <s v="KaneWilliamson"/>
    <s v="out"/>
    <n v="57"/>
    <n v="46"/>
    <n v="2"/>
    <n v="4"/>
    <n v="4"/>
  </r>
  <r>
    <s v="T208211"/>
    <s v="Titans Vs Sunrisers"/>
    <s v="Sunrisers"/>
    <x v="2"/>
    <s v="RahulTripathi"/>
    <s v="out"/>
    <n v="17"/>
    <n v="11"/>
    <n v="1"/>
    <n v="1"/>
    <n v="4.9565217391304346"/>
  </r>
  <r>
    <s v="T208211"/>
    <s v="Titans Vs Sunrisers"/>
    <s v="Sunrisers"/>
    <x v="3"/>
    <s v="NicholasPooran"/>
    <s v="not_out"/>
    <n v="34"/>
    <n v="18"/>
    <n v="2"/>
    <n v="2"/>
    <n v="4.6538461538461542"/>
  </r>
  <r>
    <s v="T208211"/>
    <s v="Titans Vs Sunrisers"/>
    <s v="Sunrisers"/>
    <x v="4"/>
    <s v="AidenMarkram"/>
    <s v="not_out"/>
    <n v="12"/>
    <n v="8"/>
    <n v="1"/>
    <n v="0"/>
    <n v="4.76"/>
  </r>
  <r>
    <s v="T207999"/>
    <s v="Royals Vs Super Giants"/>
    <s v="Royals"/>
    <x v="0"/>
    <s v="JosButtler"/>
    <s v="out"/>
    <n v="13"/>
    <n v="11"/>
    <n v="1"/>
    <n v="1"/>
    <n v="4.9565217391304346"/>
  </r>
  <r>
    <s v="T207999"/>
    <s v="Royals Vs Super Giants"/>
    <s v="Royals"/>
    <x v="1"/>
    <s v="DevduttPadikkal"/>
    <s v="out"/>
    <n v="29"/>
    <n v="29"/>
    <n v="4"/>
    <n v="0"/>
    <n v="4.0666666666666664"/>
  </r>
  <r>
    <s v="T207999"/>
    <s v="Royals Vs Super Giants"/>
    <s v="Royals"/>
    <x v="2"/>
    <s v="SanjuSamson"/>
    <s v="out"/>
    <n v="13"/>
    <n v="12"/>
    <n v="2"/>
    <n v="0"/>
    <n v="4.71875"/>
  </r>
  <r>
    <s v="T207999"/>
    <s v="Royals Vs Super Giants"/>
    <s v="Royals"/>
    <x v="3"/>
    <s v="RassievanderDussen"/>
    <s v="out"/>
    <n v="4"/>
    <n v="4"/>
    <n v="1"/>
    <n v="0"/>
    <n v="5.3214285714285712"/>
  </r>
  <r>
    <s v="T207999"/>
    <s v="Royals Vs Super Giants"/>
    <s v="Royals"/>
    <x v="4"/>
    <s v="ShimronHetmyer"/>
    <s v="not_out"/>
    <n v="59"/>
    <n v="36"/>
    <n v="1"/>
    <n v="6"/>
    <n v="4.4545454545454541"/>
  </r>
  <r>
    <s v="T207999"/>
    <s v="Royals Vs Super Giants"/>
    <s v="Royals"/>
    <x v="5"/>
    <s v="RavichandranAshwin"/>
    <s v="out"/>
    <n v="28"/>
    <n v="23"/>
    <n v="0"/>
    <n v="2"/>
    <n v="5.65"/>
  </r>
  <r>
    <s v="T207999"/>
    <s v="Royals Vs Super Giants"/>
    <s v="Royals"/>
    <x v="6"/>
    <s v="RiyanParag"/>
    <s v="out"/>
    <n v="8"/>
    <n v="4"/>
    <n v="0"/>
    <n v="1"/>
    <n v="5.3454545454545457"/>
  </r>
  <r>
    <s v="T207999"/>
    <s v="Royals Vs Super Giants"/>
    <s v="Royals"/>
    <x v="7"/>
    <s v="TrentBoult"/>
    <s v="not_out"/>
    <n v="2"/>
    <n v="1"/>
    <n v="0"/>
    <n v="0"/>
    <n v="6.4476190476190478"/>
  </r>
  <r>
    <s v="T207999"/>
    <s v="Royals Vs Super Giants"/>
    <s v="Super Giants"/>
    <x v="0"/>
    <s v="KLRahul"/>
    <s v="out"/>
    <n v="0"/>
    <n v="1"/>
    <n v="0"/>
    <n v="0"/>
    <n v="6.4476190476190478"/>
  </r>
  <r>
    <s v="T207999"/>
    <s v="Royals Vs Super Giants"/>
    <s v="Super Giants"/>
    <x v="1"/>
    <s v="QuintondeKock"/>
    <s v="out"/>
    <n v="39"/>
    <n v="32"/>
    <n v="2"/>
    <n v="1"/>
    <n v="4.6923076923076925"/>
  </r>
  <r>
    <s v="T207999"/>
    <s v="Royals Vs Super Giants"/>
    <s v="Super Giants"/>
    <x v="2"/>
    <s v="KrishnappaGowtham"/>
    <s v="out"/>
    <n v="0"/>
    <n v="1"/>
    <n v="0"/>
    <n v="0"/>
    <n v="6.4476190476190478"/>
  </r>
  <r>
    <s v="T207999"/>
    <s v="Royals Vs Super Giants"/>
    <s v="Super Giants"/>
    <x v="3"/>
    <s v="JasonHolder"/>
    <s v="out"/>
    <n v="8"/>
    <n v="14"/>
    <n v="2"/>
    <n v="0"/>
    <n v="4.5555555555555554"/>
  </r>
  <r>
    <s v="T207999"/>
    <s v="Royals Vs Super Giants"/>
    <s v="Super Giants"/>
    <x v="4"/>
    <s v="DeepakHooda"/>
    <s v="out"/>
    <n v="25"/>
    <n v="24"/>
    <n v="3"/>
    <n v="0"/>
    <n v="4.4285714285714288"/>
  </r>
  <r>
    <s v="T207999"/>
    <s v="Royals Vs Super Giants"/>
    <s v="Super Giants"/>
    <x v="5"/>
    <s v="AyushBadoni"/>
    <s v="out"/>
    <n v="5"/>
    <n v="7"/>
    <n v="0"/>
    <n v="0"/>
    <n v="5.1578947368421053"/>
  </r>
  <r>
    <s v="T207999"/>
    <s v="Royals Vs Super Giants"/>
    <s v="Super Giants"/>
    <x v="6"/>
    <s v="KrunalPandya"/>
    <s v="out"/>
    <n v="22"/>
    <n v="15"/>
    <n v="2"/>
    <n v="0"/>
    <n v="4.76"/>
  </r>
  <r>
    <s v="T207999"/>
    <s v="Royals Vs Super Giants"/>
    <s v="Super Giants"/>
    <x v="7"/>
    <s v="MarcusStoinis"/>
    <s v="not_out"/>
    <n v="38"/>
    <n v="17"/>
    <n v="2"/>
    <n v="4"/>
    <n v="4.75"/>
  </r>
  <r>
    <s v="T207999"/>
    <s v="Royals Vs Super Giants"/>
    <s v="Super Giants"/>
    <x v="8"/>
    <s v="DushmanthaChameera"/>
    <s v="out"/>
    <n v="13"/>
    <n v="7"/>
    <n v="2"/>
    <n v="0"/>
    <n v="5.1578947368421053"/>
  </r>
  <r>
    <s v="T207999"/>
    <s v="Royals Vs Super Giants"/>
    <s v="Super Giants"/>
    <x v="9"/>
    <s v="AveshKhan"/>
    <s v="not_out"/>
    <n v="7"/>
    <n v="2"/>
    <n v="0"/>
    <n v="1"/>
    <n v="6.2898550724637685"/>
  </r>
  <r>
    <s v="T208705"/>
    <s v="Capitals Vs KKR"/>
    <s v="Capitals"/>
    <x v="0"/>
    <s v="PrithviShaw"/>
    <s v="out"/>
    <n v="51"/>
    <n v="29"/>
    <n v="7"/>
    <n v="2"/>
    <n v="4.2142857142857144"/>
  </r>
  <r>
    <s v="T208705"/>
    <s v="Capitals Vs KKR"/>
    <s v="Capitals"/>
    <x v="1"/>
    <s v="DavidWarner"/>
    <s v="out"/>
    <n v="61"/>
    <n v="45"/>
    <n v="6"/>
    <n v="2"/>
    <n v="3.7142857142857144"/>
  </r>
  <r>
    <s v="T208705"/>
    <s v="Capitals Vs KKR"/>
    <s v="Capitals"/>
    <x v="2"/>
    <s v="RishabhPant"/>
    <s v="out"/>
    <n v="27"/>
    <n v="14"/>
    <n v="2"/>
    <n v="2"/>
    <n v="4.5555555555555554"/>
  </r>
  <r>
    <s v="T208705"/>
    <s v="Capitals Vs KKR"/>
    <s v="Capitals"/>
    <x v="3"/>
    <s v="LalitYadav"/>
    <s v="out"/>
    <n v="1"/>
    <n v="4"/>
    <n v="0"/>
    <n v="0"/>
    <n v="5.3454545454545457"/>
  </r>
  <r>
    <s v="T208705"/>
    <s v="Capitals Vs KKR"/>
    <s v="Capitals"/>
    <x v="4"/>
    <s v="RovmanPowell"/>
    <s v="out"/>
    <n v="8"/>
    <n v="6"/>
    <n v="0"/>
    <n v="1"/>
    <n v="6"/>
  </r>
  <r>
    <s v="T208705"/>
    <s v="Capitals Vs KKR"/>
    <s v="Capitals"/>
    <x v="5"/>
    <s v="AxarPatel"/>
    <s v="not_out"/>
    <n v="22"/>
    <n v="14"/>
    <n v="2"/>
    <n v="1"/>
    <n v="4.5555555555555554"/>
  </r>
  <r>
    <s v="T208705"/>
    <s v="Capitals Vs KKR"/>
    <s v="Capitals"/>
    <x v="6"/>
    <s v="ShardulThakur"/>
    <s v="not_out"/>
    <n v="29"/>
    <n v="11"/>
    <n v="1"/>
    <n v="3"/>
    <n v="4.9565217391304346"/>
  </r>
  <r>
    <s v="T208705"/>
    <s v="Capitals Vs KKR"/>
    <s v="KKR"/>
    <x v="0"/>
    <s v="AjinkyaRahane"/>
    <s v="out"/>
    <n v="8"/>
    <n v="14"/>
    <n v="1"/>
    <n v="0"/>
    <n v="4.5555555555555554"/>
  </r>
  <r>
    <s v="T208705"/>
    <s v="Capitals Vs KKR"/>
    <s v="KKR"/>
    <x v="1"/>
    <s v="VenkateshIyer"/>
    <s v="out"/>
    <n v="18"/>
    <n v="8"/>
    <n v="1"/>
    <n v="2"/>
    <n v="4.8043478260869561"/>
  </r>
  <r>
    <s v="T208705"/>
    <s v="Capitals Vs KKR"/>
    <s v="KKR"/>
    <x v="2"/>
    <s v="ShreyasIyer"/>
    <s v="out"/>
    <n v="54"/>
    <n v="33"/>
    <n v="5"/>
    <n v="2"/>
    <n v="2.8"/>
  </r>
  <r>
    <s v="T208705"/>
    <s v="Capitals Vs KKR"/>
    <s v="KKR"/>
    <x v="3"/>
    <s v="NitishRana"/>
    <s v="out"/>
    <n v="30"/>
    <n v="20"/>
    <n v="0"/>
    <n v="3"/>
    <n v="4.76"/>
  </r>
  <r>
    <s v="T208705"/>
    <s v="Capitals Vs KKR"/>
    <s v="KKR"/>
    <x v="4"/>
    <s v="AndreRussell"/>
    <s v="out"/>
    <n v="24"/>
    <n v="21"/>
    <n v="3"/>
    <n v="0"/>
    <n v="4.59375"/>
  </r>
  <r>
    <s v="T208705"/>
    <s v="Capitals Vs KKR"/>
    <s v="KKR"/>
    <x v="5"/>
    <s v="SamBillings"/>
    <s v="out"/>
    <n v="15"/>
    <n v="9"/>
    <n v="1"/>
    <n v="1"/>
    <n v="4.5999999999999996"/>
  </r>
  <r>
    <s v="T208705"/>
    <s v="Capitals Vs KKR"/>
    <s v="KKR"/>
    <x v="6"/>
    <s v="PatCummins"/>
    <s v="out"/>
    <n v="4"/>
    <n v="3"/>
    <n v="1"/>
    <n v="0"/>
    <n v="5.9782608695652177"/>
  </r>
  <r>
    <s v="T208705"/>
    <s v="Capitals Vs KKR"/>
    <s v="KKR"/>
    <x v="7"/>
    <s v="SunilNarine"/>
    <s v="out"/>
    <n v="4"/>
    <n v="2"/>
    <n v="1"/>
    <n v="0"/>
    <n v="6.2898550724637685"/>
  </r>
  <r>
    <s v="T208705"/>
    <s v="Capitals Vs KKR"/>
    <s v="KKR"/>
    <x v="8"/>
    <s v="UmeshYadav"/>
    <s v="out"/>
    <n v="0"/>
    <n v="1"/>
    <n v="0"/>
    <n v="0"/>
    <n v="6.4711538461538458"/>
  </r>
  <r>
    <s v="T208705"/>
    <s v="Capitals Vs KKR"/>
    <s v="KKR"/>
    <x v="9"/>
    <s v="RasikhSalam"/>
    <s v="out"/>
    <n v="7"/>
    <n v="6"/>
    <n v="1"/>
    <n v="0"/>
    <n v="6"/>
  </r>
  <r>
    <s v="T208705"/>
    <s v="Capitals Vs KKR"/>
    <s v="KKR"/>
    <x v="10"/>
    <s v="VarunChakravarthy"/>
    <s v="not_out"/>
    <n v="1"/>
    <n v="1"/>
    <n v="0"/>
    <n v="0"/>
    <n v="6.4711538461538458"/>
  </r>
  <r>
    <s v="T204746"/>
    <s v="Mumbai Vs RCB"/>
    <s v="Mumbai"/>
    <x v="0"/>
    <s v="IshanKishan"/>
    <s v="out"/>
    <n v="26"/>
    <n v="28"/>
    <n v="3"/>
    <n v="0"/>
    <n v="3.5"/>
  </r>
  <r>
    <s v="T204746"/>
    <s v="Mumbai Vs RCB"/>
    <s v="Mumbai"/>
    <x v="1"/>
    <s v="RohitSharma"/>
    <s v="out"/>
    <n v="26"/>
    <n v="15"/>
    <n v="4"/>
    <n v="1"/>
    <n v="4.708333333333333"/>
  </r>
  <r>
    <s v="T204746"/>
    <s v="Mumbai Vs RCB"/>
    <s v="Mumbai"/>
    <x v="2"/>
    <s v="DewaldBrevis"/>
    <s v="out"/>
    <n v="8"/>
    <n v="11"/>
    <n v="1"/>
    <n v="0"/>
    <n v="4.9565217391304346"/>
  </r>
  <r>
    <s v="T204746"/>
    <s v="Mumbai Vs RCB"/>
    <s v="Mumbai"/>
    <x v="3"/>
    <s v="SuryakumarYadav"/>
    <s v="not_out"/>
    <n v="68"/>
    <n v="37"/>
    <n v="5"/>
    <n v="6"/>
    <n v="3.25"/>
  </r>
  <r>
    <s v="T204746"/>
    <s v="Mumbai Vs RCB"/>
    <s v="Mumbai"/>
    <x v="4"/>
    <s v="TilakVarma"/>
    <s v="out"/>
    <n v="0"/>
    <n v="3"/>
    <n v="0"/>
    <n v="0"/>
    <n v="5.9782608695652177"/>
  </r>
  <r>
    <s v="T204746"/>
    <s v="Mumbai Vs RCB"/>
    <s v="Mumbai"/>
    <x v="5"/>
    <s v="KieronPollard"/>
    <s v="out"/>
    <n v="0"/>
    <n v="1"/>
    <n v="0"/>
    <n v="0"/>
    <n v="6.4271844660194173"/>
  </r>
  <r>
    <s v="T204746"/>
    <s v="Mumbai Vs RCB"/>
    <s v="Mumbai"/>
    <x v="6"/>
    <s v="RamandeepSingh"/>
    <s v="out"/>
    <n v="6"/>
    <n v="12"/>
    <n v="0"/>
    <n v="0"/>
    <n v="4.71875"/>
  </r>
  <r>
    <s v="T204746"/>
    <s v="Mumbai Vs RCB"/>
    <s v="Mumbai"/>
    <x v="7"/>
    <s v="JaydevUnadkat"/>
    <s v="not_out"/>
    <n v="13"/>
    <n v="14"/>
    <n v="1"/>
    <n v="0"/>
    <n v="4.5555555555555554"/>
  </r>
  <r>
    <s v="T204746"/>
    <s v="Mumbai Vs RCB"/>
    <s v="RCB"/>
    <x v="0"/>
    <s v="FafduPlessis"/>
    <s v="out"/>
    <n v="16"/>
    <n v="24"/>
    <n v="1"/>
    <n v="0"/>
    <n v="4.384615384615385"/>
  </r>
  <r>
    <s v="T204746"/>
    <s v="Mumbai Vs RCB"/>
    <s v="RCB"/>
    <x v="1"/>
    <s v="AnujRawat"/>
    <s v="out"/>
    <n v="66"/>
    <n v="47"/>
    <n v="2"/>
    <n v="6"/>
    <n v="2.25"/>
  </r>
  <r>
    <s v="T204746"/>
    <s v="Mumbai Vs RCB"/>
    <s v="RCB"/>
    <x v="2"/>
    <s v="ViratKohli"/>
    <s v="out"/>
    <n v="48"/>
    <n v="36"/>
    <n v="5"/>
    <n v="0"/>
    <n v="4.4545454545454541"/>
  </r>
  <r>
    <s v="T204746"/>
    <s v="Mumbai Vs RCB"/>
    <s v="RCB"/>
    <x v="3"/>
    <s v="DineshKarthik"/>
    <s v="not_out"/>
    <n v="7"/>
    <n v="2"/>
    <n v="0"/>
    <n v="1"/>
    <n v="6.2898550724637685"/>
  </r>
  <r>
    <s v="T204746"/>
    <s v="Mumbai Vs RCB"/>
    <s v="RCB"/>
    <x v="4"/>
    <s v="GlennMaxwell"/>
    <s v="not_out"/>
    <n v="8"/>
    <n v="2"/>
    <n v="2"/>
    <n v="0"/>
    <n v="6.2898550724637685"/>
  </r>
  <r>
    <s v="T209199"/>
    <s v="Super Kings Vs Sunrisers"/>
    <s v="Super Kings"/>
    <x v="0"/>
    <s v="RobinUthappa"/>
    <s v="out"/>
    <n v="15"/>
    <n v="11"/>
    <n v="1"/>
    <n v="0"/>
    <n v="4.9565217391304346"/>
  </r>
  <r>
    <s v="T209199"/>
    <s v="Super Kings Vs Sunrisers"/>
    <s v="Super Kings"/>
    <x v="1"/>
    <s v="RuturajGaikwad"/>
    <s v="out"/>
    <n v="16"/>
    <n v="13"/>
    <n v="3"/>
    <n v="0"/>
    <n v="4.9655172413793105"/>
  </r>
  <r>
    <s v="T209199"/>
    <s v="Super Kings Vs Sunrisers"/>
    <s v="Super Kings"/>
    <x v="2"/>
    <s v="MoeenAli"/>
    <s v="out"/>
    <n v="48"/>
    <n v="35"/>
    <n v="3"/>
    <n v="2"/>
    <n v="3.1538461538461537"/>
  </r>
  <r>
    <s v="T209199"/>
    <s v="Super Kings Vs Sunrisers"/>
    <s v="Super Kings"/>
    <x v="3"/>
    <s v="AmbatiRayudu"/>
    <s v="out"/>
    <n v="27"/>
    <n v="27"/>
    <n v="4"/>
    <n v="0"/>
    <n v="4.5"/>
  </r>
  <r>
    <s v="T209199"/>
    <s v="Super Kings Vs Sunrisers"/>
    <s v="Super Kings"/>
    <x v="4"/>
    <s v="ShivamDube"/>
    <s v="out"/>
    <n v="3"/>
    <n v="5"/>
    <n v="0"/>
    <n v="0"/>
    <n v="5.204081632653061"/>
  </r>
  <r>
    <s v="T209199"/>
    <s v="Super Kings Vs Sunrisers"/>
    <s v="Super Kings"/>
    <x v="5"/>
    <s v="RavindraJadeja"/>
    <s v="out"/>
    <n v="23"/>
    <n v="15"/>
    <n v="2"/>
    <n v="1"/>
    <n v="4.8695652173913047"/>
  </r>
  <r>
    <s v="T209199"/>
    <s v="Super Kings Vs Sunrisers"/>
    <s v="Super Kings"/>
    <x v="6"/>
    <s v="MSDhoni"/>
    <s v="out"/>
    <n v="3"/>
    <n v="6"/>
    <n v="0"/>
    <n v="0"/>
    <n v="5.9722222222222223"/>
  </r>
  <r>
    <s v="T209199"/>
    <s v="Super Kings Vs Sunrisers"/>
    <s v="Super Kings"/>
    <x v="7"/>
    <s v="DwayneBravo"/>
    <s v="not_out"/>
    <n v="8"/>
    <n v="5"/>
    <n v="1"/>
    <n v="0"/>
    <n v="5.204081632653061"/>
  </r>
  <r>
    <s v="T209199"/>
    <s v="Super Kings Vs Sunrisers"/>
    <s v="Super Kings"/>
    <x v="8"/>
    <s v="ChrisJordan"/>
    <s v="not_out"/>
    <n v="6"/>
    <n v="3"/>
    <n v="0"/>
    <n v="0"/>
    <n v="5.9772727272727275"/>
  </r>
  <r>
    <s v="T209199"/>
    <s v="Super Kings Vs Sunrisers"/>
    <s v="Sunrisers"/>
    <x v="0"/>
    <s v="AbhishekSharma"/>
    <s v="out"/>
    <n v="75"/>
    <n v="50"/>
    <n v="5"/>
    <n v="3"/>
    <n v="3"/>
  </r>
  <r>
    <s v="T209199"/>
    <s v="Super Kings Vs Sunrisers"/>
    <s v="Sunrisers"/>
    <x v="1"/>
    <s v="KaneWilliamson"/>
    <s v="out"/>
    <n v="32"/>
    <n v="40"/>
    <n v="2"/>
    <n v="1"/>
    <n v="3.8181818181818183"/>
  </r>
  <r>
    <s v="T209199"/>
    <s v="Super Kings Vs Sunrisers"/>
    <s v="Sunrisers"/>
    <x v="2"/>
    <s v="RahulTripathi"/>
    <s v="not_out"/>
    <n v="39"/>
    <n v="15"/>
    <n v="5"/>
    <n v="2"/>
    <n v="4.8695652173913047"/>
  </r>
  <r>
    <s v="T209199"/>
    <s v="Super Kings Vs Sunrisers"/>
    <s v="Sunrisers"/>
    <x v="3"/>
    <s v="NicholasPooran"/>
    <s v="not_out"/>
    <n v="5"/>
    <n v="2"/>
    <n v="1"/>
    <n v="0"/>
    <n v="6.2898550724637685"/>
  </r>
  <r>
    <s v="T202634"/>
    <s v="Punjab Kings Vs Titans"/>
    <s v="Punjab Kings"/>
    <x v="0"/>
    <s v="MayankAgarwal"/>
    <s v="out"/>
    <n v="5"/>
    <n v="9"/>
    <n v="1"/>
    <n v="0"/>
    <n v="4.5999999999999996"/>
  </r>
  <r>
    <s v="T202634"/>
    <s v="Punjab Kings Vs Titans"/>
    <s v="Punjab Kings"/>
    <x v="1"/>
    <s v="ShikharDhawan"/>
    <s v="out"/>
    <n v="35"/>
    <n v="30"/>
    <n v="4"/>
    <n v="0"/>
    <n v="4.0555555555555554"/>
  </r>
  <r>
    <s v="T202634"/>
    <s v="Punjab Kings Vs Titans"/>
    <s v="Punjab Kings"/>
    <x v="2"/>
    <s v="JonnyBairstow"/>
    <s v="out"/>
    <n v="8"/>
    <n v="8"/>
    <n v="2"/>
    <n v="0"/>
    <n v="4.7674418604651159"/>
  </r>
  <r>
    <s v="T202634"/>
    <s v="Punjab Kings Vs Titans"/>
    <s v="Punjab Kings"/>
    <x v="3"/>
    <s v="LiamLivingstone"/>
    <s v="out"/>
    <n v="64"/>
    <n v="27"/>
    <n v="7"/>
    <n v="4"/>
    <n v="4.5263157894736841"/>
  </r>
  <r>
    <s v="T202634"/>
    <s v="Punjab Kings Vs Titans"/>
    <s v="Punjab Kings"/>
    <x v="4"/>
    <s v="JiteshSharma"/>
    <s v="out"/>
    <n v="23"/>
    <n v="11"/>
    <n v="1"/>
    <n v="2"/>
    <n v="4.9565217391304346"/>
  </r>
  <r>
    <s v="T202634"/>
    <s v="Punjab Kings Vs Titans"/>
    <s v="Punjab Kings"/>
    <x v="5"/>
    <s v="OdeanSmith"/>
    <s v="out"/>
    <n v="0"/>
    <n v="1"/>
    <n v="0"/>
    <n v="0"/>
    <n v="6.4271844660194173"/>
  </r>
  <r>
    <s v="T202634"/>
    <s v="Punjab Kings Vs Titans"/>
    <s v="Punjab Kings"/>
    <x v="6"/>
    <s v="MShahrukhKhan"/>
    <s v="out"/>
    <n v="15"/>
    <n v="8"/>
    <n v="0"/>
    <n v="2"/>
    <n v="4.8095238095238093"/>
  </r>
  <r>
    <s v="T202634"/>
    <s v="Punjab Kings Vs Titans"/>
    <s v="Punjab Kings"/>
    <x v="7"/>
    <s v="KagisoRabada"/>
    <s v="out"/>
    <n v="1"/>
    <n v="1"/>
    <n v="0"/>
    <n v="0"/>
    <n v="6.4271844660194173"/>
  </r>
  <r>
    <s v="T202634"/>
    <s v="Punjab Kings Vs Titans"/>
    <s v="Punjab Kings"/>
    <x v="8"/>
    <s v="RahulChahar"/>
    <s v="not_out"/>
    <n v="22"/>
    <n v="14"/>
    <n v="2"/>
    <n v="1"/>
    <n v="4.5555555555555554"/>
  </r>
  <r>
    <s v="T202634"/>
    <s v="Punjab Kings Vs Titans"/>
    <s v="Punjab Kings"/>
    <x v="9"/>
    <s v="VaibhavArora"/>
    <s v="out"/>
    <n v="2"/>
    <n v="6"/>
    <n v="0"/>
    <n v="0"/>
    <n v="5.8857142857142861"/>
  </r>
  <r>
    <s v="T202634"/>
    <s v="Punjab Kings Vs Titans"/>
    <s v="Punjab Kings"/>
    <x v="10"/>
    <s v="ArshdeepSingh"/>
    <s v="not_out"/>
    <n v="10"/>
    <n v="5"/>
    <n v="1"/>
    <n v="0"/>
    <n v="5.3191489361702127"/>
  </r>
  <r>
    <s v="T202634"/>
    <s v="Punjab Kings Vs Titans"/>
    <s v="Titans"/>
    <x v="0"/>
    <s v="MatthewWade"/>
    <s v="out"/>
    <n v="6"/>
    <n v="7"/>
    <n v="1"/>
    <n v="0"/>
    <n v="4.9142857142857146"/>
  </r>
  <r>
    <s v="T202634"/>
    <s v="Punjab Kings Vs Titans"/>
    <s v="Titans"/>
    <x v="1"/>
    <s v="ShubmanGill"/>
    <s v="out"/>
    <n v="96"/>
    <n v="59"/>
    <n v="11"/>
    <n v="1"/>
    <n v="2"/>
  </r>
  <r>
    <s v="T202634"/>
    <s v="Punjab Kings Vs Titans"/>
    <s v="Titans"/>
    <x v="2"/>
    <s v="SaiSudharsan"/>
    <s v="out"/>
    <n v="35"/>
    <n v="30"/>
    <n v="4"/>
    <n v="1"/>
    <n v="4.0555555555555554"/>
  </r>
  <r>
    <s v="T202634"/>
    <s v="Punjab Kings Vs Titans"/>
    <s v="Titans"/>
    <x v="3"/>
    <s v="HardikPandya"/>
    <s v="out"/>
    <n v="27"/>
    <n v="18"/>
    <n v="5"/>
    <n v="0"/>
    <n v="4.76"/>
  </r>
  <r>
    <s v="T202634"/>
    <s v="Punjab Kings Vs Titans"/>
    <s v="Titans"/>
    <x v="4"/>
    <s v="DavidMiller"/>
    <s v="not_out"/>
    <n v="6"/>
    <n v="4"/>
    <n v="1"/>
    <n v="0"/>
    <n v="5.2641509433962268"/>
  </r>
  <r>
    <s v="T202634"/>
    <s v="Punjab Kings Vs Titans"/>
    <s v="Titans"/>
    <x v="5"/>
    <s v="RahulTewatia"/>
    <s v="not_out"/>
    <n v="13"/>
    <n v="3"/>
    <n v="0"/>
    <n v="2"/>
    <n v="5.9772727272727275"/>
  </r>
  <r>
    <s v="T204296"/>
    <s v="Capitals Vs Super Giants"/>
    <s v="Capitals"/>
    <x v="0"/>
    <s v="PrithviShaw"/>
    <s v="out"/>
    <n v="61"/>
    <n v="34"/>
    <n v="9"/>
    <n v="2"/>
    <n v="4.666666666666667"/>
  </r>
  <r>
    <s v="T204296"/>
    <s v="Capitals Vs Super Giants"/>
    <s v="Capitals"/>
    <x v="1"/>
    <s v="DavidWarner"/>
    <s v="out"/>
    <n v="4"/>
    <n v="12"/>
    <n v="0"/>
    <n v="0"/>
    <n v="4.71875"/>
  </r>
  <r>
    <s v="T204296"/>
    <s v="Capitals Vs Super Giants"/>
    <s v="Capitals"/>
    <x v="2"/>
    <s v="RovmanPowell"/>
    <s v="out"/>
    <n v="3"/>
    <n v="10"/>
    <n v="0"/>
    <n v="0"/>
    <n v="4.7222222222222223"/>
  </r>
  <r>
    <s v="T204296"/>
    <s v="Capitals Vs Super Giants"/>
    <s v="Capitals"/>
    <x v="3"/>
    <s v="RishabhPant"/>
    <s v="not_out"/>
    <n v="39"/>
    <n v="36"/>
    <n v="3"/>
    <n v="2"/>
    <n v="4.4545454545454541"/>
  </r>
  <r>
    <s v="T204296"/>
    <s v="Capitals Vs Super Giants"/>
    <s v="Capitals"/>
    <x v="4"/>
    <s v="SarfarazKhan"/>
    <s v="not_out"/>
    <n v="36"/>
    <n v="28"/>
    <n v="3"/>
    <n v="0"/>
    <n v="3.5"/>
  </r>
  <r>
    <s v="T204296"/>
    <s v="Capitals Vs Super Giants"/>
    <s v="Super Giants"/>
    <x v="0"/>
    <s v="KLRahul"/>
    <s v="out"/>
    <n v="24"/>
    <n v="25"/>
    <n v="1"/>
    <n v="1"/>
    <n v="5.4375"/>
  </r>
  <r>
    <s v="T204296"/>
    <s v="Capitals Vs Super Giants"/>
    <s v="Super Giants"/>
    <x v="1"/>
    <s v="QuintondeKock"/>
    <s v="out"/>
    <n v="80"/>
    <n v="52"/>
    <n v="9"/>
    <n v="2"/>
    <n v="3.5"/>
  </r>
  <r>
    <s v="T204296"/>
    <s v="Capitals Vs Super Giants"/>
    <s v="Super Giants"/>
    <x v="2"/>
    <s v="EvinLewis"/>
    <s v="out"/>
    <n v="5"/>
    <n v="13"/>
    <n v="0"/>
    <n v="0"/>
    <n v="4.9285714285714288"/>
  </r>
  <r>
    <s v="T204296"/>
    <s v="Capitals Vs Super Giants"/>
    <s v="Super Giants"/>
    <x v="3"/>
    <s v="DeepakHooda"/>
    <s v="out"/>
    <n v="11"/>
    <n v="13"/>
    <n v="0"/>
    <n v="0"/>
    <n v="4.9285714285714288"/>
  </r>
  <r>
    <s v="T204296"/>
    <s v="Capitals Vs Super Giants"/>
    <s v="Super Giants"/>
    <x v="4"/>
    <s v="KrunalPandya"/>
    <s v="not_out"/>
    <n v="19"/>
    <n v="14"/>
    <n v="0"/>
    <n v="1"/>
    <n v="4.5555555555555554"/>
  </r>
  <r>
    <s v="T204296"/>
    <s v="Capitals Vs Super Giants"/>
    <s v="Super Giants"/>
    <x v="5"/>
    <s v="AyushBadoni"/>
    <s v="not_out"/>
    <n v="10"/>
    <n v="3"/>
    <n v="1"/>
    <n v="1"/>
    <n v="6.0465116279069768"/>
  </r>
  <r>
    <s v="T207856"/>
    <s v="Mumbai Vs KKR"/>
    <s v="Mumbai"/>
    <x v="0"/>
    <s v="RohitSharma"/>
    <s v="out"/>
    <n v="3"/>
    <n v="12"/>
    <n v="0"/>
    <n v="0"/>
    <n v="4.71875"/>
  </r>
  <r>
    <s v="T207856"/>
    <s v="Mumbai Vs KKR"/>
    <s v="Mumbai"/>
    <x v="1"/>
    <s v="IshanKishan"/>
    <s v="out"/>
    <n v="14"/>
    <n v="21"/>
    <n v="1"/>
    <n v="0"/>
    <n v="4.59375"/>
  </r>
  <r>
    <s v="T207856"/>
    <s v="Mumbai Vs KKR"/>
    <s v="Mumbai"/>
    <x v="2"/>
    <s v="DewaldBrevis"/>
    <s v="out"/>
    <n v="29"/>
    <n v="19"/>
    <n v="2"/>
    <n v="2"/>
    <n v="4.9545454545454541"/>
  </r>
  <r>
    <s v="T207856"/>
    <s v="Mumbai Vs KKR"/>
    <s v="Mumbai"/>
    <x v="3"/>
    <s v="SuryakumarYadav"/>
    <s v="out"/>
    <n v="52"/>
    <n v="36"/>
    <n v="5"/>
    <n v="2"/>
    <n v="4.4000000000000004"/>
  </r>
  <r>
    <s v="T207856"/>
    <s v="Mumbai Vs KKR"/>
    <s v="Mumbai"/>
    <x v="4"/>
    <s v="TilakVarma"/>
    <s v="not_out"/>
    <n v="38"/>
    <n v="27"/>
    <n v="3"/>
    <n v="2"/>
    <n v="4.5555555555555554"/>
  </r>
  <r>
    <s v="T207856"/>
    <s v="Mumbai Vs KKR"/>
    <s v="Mumbai"/>
    <x v="5"/>
    <s v="KieronPollard"/>
    <s v="not_out"/>
    <n v="22"/>
    <n v="5"/>
    <n v="0"/>
    <n v="3"/>
    <n v="5.3695652173913047"/>
  </r>
  <r>
    <s v="T207856"/>
    <s v="Mumbai Vs KKR"/>
    <s v="KKR"/>
    <x v="0"/>
    <s v="AjinkyaRahane"/>
    <s v="out"/>
    <n v="7"/>
    <n v="11"/>
    <n v="0"/>
    <n v="0"/>
    <n v="5"/>
  </r>
  <r>
    <s v="T207856"/>
    <s v="Mumbai Vs KKR"/>
    <s v="KKR"/>
    <x v="1"/>
    <s v="VenkateshIyer"/>
    <s v="not_out"/>
    <n v="50"/>
    <n v="41"/>
    <n v="6"/>
    <n v="1"/>
    <n v="3.9090909090909092"/>
  </r>
  <r>
    <s v="T207856"/>
    <s v="Mumbai Vs KKR"/>
    <s v="KKR"/>
    <x v="2"/>
    <s v="ShreyasIyer"/>
    <s v="out"/>
    <n v="10"/>
    <n v="6"/>
    <n v="2"/>
    <n v="0"/>
    <n v="6.0606060606060606"/>
  </r>
  <r>
    <s v="T207856"/>
    <s v="Mumbai Vs KKR"/>
    <s v="KKR"/>
    <x v="3"/>
    <s v="SamBillings"/>
    <s v="out"/>
    <n v="17"/>
    <n v="12"/>
    <n v="0"/>
    <n v="2"/>
    <n v="4.71875"/>
  </r>
  <r>
    <s v="T207856"/>
    <s v="Mumbai Vs KKR"/>
    <s v="KKR"/>
    <x v="4"/>
    <s v="NitishRana"/>
    <s v="out"/>
    <n v="8"/>
    <n v="7"/>
    <n v="0"/>
    <n v="1"/>
    <n v="5.0294117647058822"/>
  </r>
  <r>
    <s v="T207856"/>
    <s v="Mumbai Vs KKR"/>
    <s v="KKR"/>
    <x v="5"/>
    <s v="AndreRussell"/>
    <s v="out"/>
    <n v="11"/>
    <n v="5"/>
    <n v="1"/>
    <n v="1"/>
    <n v="5.3695652173913047"/>
  </r>
  <r>
    <s v="T207856"/>
    <s v="Mumbai Vs KKR"/>
    <s v="KKR"/>
    <x v="6"/>
    <s v="PatCummins"/>
    <s v="not_out"/>
    <n v="56"/>
    <n v="15"/>
    <n v="4"/>
    <n v="6"/>
    <n v="4.7727272727272725"/>
  </r>
  <r>
    <s v="T203456"/>
    <s v="Royals Vs RCB"/>
    <s v="Royals"/>
    <x v="0"/>
    <s v="JosButtler"/>
    <s v="not_out"/>
    <n v="70"/>
    <n v="47"/>
    <n v="0"/>
    <n v="6"/>
    <n v="2.25"/>
  </r>
  <r>
    <s v="T203456"/>
    <s v="Royals Vs RCB"/>
    <s v="Royals"/>
    <x v="1"/>
    <s v="YashasviJaiswal"/>
    <s v="out"/>
    <n v="4"/>
    <n v="6"/>
    <n v="0"/>
    <n v="0"/>
    <n v="6.0606060606060606"/>
  </r>
  <r>
    <s v="T203456"/>
    <s v="Royals Vs RCB"/>
    <s v="Royals"/>
    <x v="2"/>
    <s v="DevduttPadikkal"/>
    <s v="out"/>
    <n v="37"/>
    <n v="29"/>
    <n v="2"/>
    <n v="2"/>
    <n v="4.083333333333333"/>
  </r>
  <r>
    <s v="T203456"/>
    <s v="Royals Vs RCB"/>
    <s v="Royals"/>
    <x v="3"/>
    <s v="SanjuSamson"/>
    <s v="out"/>
    <n v="8"/>
    <n v="8"/>
    <n v="0"/>
    <n v="1"/>
    <n v="4.8048780487804876"/>
  </r>
  <r>
    <s v="T203456"/>
    <s v="Royals Vs RCB"/>
    <s v="Royals"/>
    <x v="4"/>
    <s v="ShimronHetmyer"/>
    <s v="not_out"/>
    <n v="42"/>
    <n v="31"/>
    <n v="4"/>
    <n v="2"/>
    <n v="3.3636363636363638"/>
  </r>
  <r>
    <s v="T203456"/>
    <s v="Royals Vs RCB"/>
    <s v="RCB"/>
    <x v="0"/>
    <s v="FafduPlessis"/>
    <s v="out"/>
    <n v="29"/>
    <n v="20"/>
    <n v="5"/>
    <n v="0"/>
    <n v="4.76"/>
  </r>
  <r>
    <s v="T203456"/>
    <s v="Royals Vs RCB"/>
    <s v="RCB"/>
    <x v="1"/>
    <s v="AnujRawat"/>
    <s v="out"/>
    <n v="26"/>
    <n v="25"/>
    <n v="4"/>
    <n v="0"/>
    <n v="5.4375"/>
  </r>
  <r>
    <s v="T203456"/>
    <s v="Royals Vs RCB"/>
    <s v="RCB"/>
    <x v="2"/>
    <s v="ViratKohli"/>
    <s v="out"/>
    <n v="5"/>
    <n v="6"/>
    <n v="0"/>
    <n v="0"/>
    <n v="6.0606060606060606"/>
  </r>
  <r>
    <s v="T203456"/>
    <s v="Royals Vs RCB"/>
    <s v="RCB"/>
    <x v="3"/>
    <s v="DavidWilley"/>
    <s v="out"/>
    <n v="0"/>
    <n v="2"/>
    <n v="0"/>
    <n v="0"/>
    <n v="6.2352941176470589"/>
  </r>
  <r>
    <s v="T203456"/>
    <s v="Royals Vs RCB"/>
    <s v="RCB"/>
    <x v="4"/>
    <s v="SherfaneRutherford"/>
    <s v="out"/>
    <n v="5"/>
    <n v="10"/>
    <n v="0"/>
    <n v="0"/>
    <n v="4.7352941176470589"/>
  </r>
  <r>
    <s v="T203456"/>
    <s v="Royals Vs RCB"/>
    <s v="RCB"/>
    <x v="5"/>
    <s v="ShahbazAhmed"/>
    <s v="out"/>
    <n v="45"/>
    <n v="26"/>
    <n v="4"/>
    <n v="3"/>
    <n v="4"/>
  </r>
  <r>
    <s v="T203456"/>
    <s v="Royals Vs RCB"/>
    <s v="RCB"/>
    <x v="6"/>
    <s v="DineshKarthik"/>
    <s v="not_out"/>
    <n v="44"/>
    <n v="23"/>
    <n v="7"/>
    <n v="1"/>
    <n v="5.666666666666667"/>
  </r>
  <r>
    <s v="T203456"/>
    <s v="Royals Vs RCB"/>
    <s v="RCB"/>
    <x v="7"/>
    <s v="HarshalPatel"/>
    <s v="not_out"/>
    <n v="9"/>
    <n v="4"/>
    <n v="0"/>
    <n v="1"/>
    <n v="5.3921568627450984"/>
  </r>
  <r>
    <s v="T204825"/>
    <s v="Super Giants Vs Sunrisers"/>
    <s v="Super Giants"/>
    <x v="0"/>
    <s v="KLRahul"/>
    <s v="out"/>
    <n v="68"/>
    <n v="50"/>
    <n v="6"/>
    <n v="1"/>
    <n v="3.1111111111111112"/>
  </r>
  <r>
    <s v="T204825"/>
    <s v="Super Giants Vs Sunrisers"/>
    <s v="Super Giants"/>
    <x v="1"/>
    <s v="QuintondeKock"/>
    <s v="out"/>
    <n v="1"/>
    <n v="4"/>
    <n v="0"/>
    <n v="0"/>
    <n v="5.3921568627450984"/>
  </r>
  <r>
    <s v="T204825"/>
    <s v="Super Giants Vs Sunrisers"/>
    <s v="Super Giants"/>
    <x v="2"/>
    <s v="EvinLewis"/>
    <s v="out"/>
    <n v="1"/>
    <n v="5"/>
    <n v="0"/>
    <n v="0"/>
    <n v="5.4318181818181817"/>
  </r>
  <r>
    <s v="T204825"/>
    <s v="Super Giants Vs Sunrisers"/>
    <s v="Super Giants"/>
    <x v="3"/>
    <s v="ManishPandey"/>
    <s v="out"/>
    <n v="11"/>
    <n v="10"/>
    <n v="1"/>
    <n v="1"/>
    <n v="4.7352941176470589"/>
  </r>
  <r>
    <s v="T204825"/>
    <s v="Super Giants Vs Sunrisers"/>
    <s v="Super Giants"/>
    <x v="4"/>
    <s v="DeepakHooda"/>
    <s v="out"/>
    <n v="51"/>
    <n v="33"/>
    <n v="3"/>
    <n v="3"/>
    <n v="2.8"/>
  </r>
  <r>
    <s v="T204825"/>
    <s v="Super Giants Vs Sunrisers"/>
    <s v="Super Giants"/>
    <x v="5"/>
    <s v="AyushBadoni"/>
    <s v="out"/>
    <n v="19"/>
    <n v="12"/>
    <n v="3"/>
    <n v="0"/>
    <n v="4.71875"/>
  </r>
  <r>
    <s v="T204825"/>
    <s v="Super Giants Vs Sunrisers"/>
    <s v="Super Giants"/>
    <x v="6"/>
    <s v="KrunalPandya"/>
    <s v="out"/>
    <n v="6"/>
    <n v="3"/>
    <n v="1"/>
    <n v="0"/>
    <n v="6.166666666666667"/>
  </r>
  <r>
    <s v="T204825"/>
    <s v="Super Giants Vs Sunrisers"/>
    <s v="Super Giants"/>
    <x v="7"/>
    <s v="JasonHolder"/>
    <s v="not_out"/>
    <n v="8"/>
    <n v="3"/>
    <n v="0"/>
    <n v="1"/>
    <n v="6.166666666666667"/>
  </r>
  <r>
    <s v="T204825"/>
    <s v="Super Giants Vs Sunrisers"/>
    <s v="Sunrisers"/>
    <x v="0"/>
    <s v="AbhishekSharma"/>
    <s v="out"/>
    <n v="13"/>
    <n v="11"/>
    <n v="2"/>
    <n v="0"/>
    <n v="5"/>
  </r>
  <r>
    <s v="T204825"/>
    <s v="Super Giants Vs Sunrisers"/>
    <s v="Sunrisers"/>
    <x v="1"/>
    <s v="KaneWilliamson"/>
    <s v="out"/>
    <n v="16"/>
    <n v="16"/>
    <n v="1"/>
    <n v="1"/>
    <n v="5.2222222222222223"/>
  </r>
  <r>
    <s v="T204825"/>
    <s v="Super Giants Vs Sunrisers"/>
    <s v="Sunrisers"/>
    <x v="2"/>
    <s v="RahulTripathi"/>
    <s v="out"/>
    <n v="44"/>
    <n v="30"/>
    <n v="5"/>
    <n v="1"/>
    <n v="4.0555555555555554"/>
  </r>
  <r>
    <s v="T204825"/>
    <s v="Super Giants Vs Sunrisers"/>
    <s v="Sunrisers"/>
    <x v="3"/>
    <s v="AidenMarkram"/>
    <s v="out"/>
    <n v="12"/>
    <n v="14"/>
    <n v="0"/>
    <n v="0"/>
    <n v="4.7058823529411766"/>
  </r>
  <r>
    <s v="T204825"/>
    <s v="Super Giants Vs Sunrisers"/>
    <s v="Sunrisers"/>
    <x v="4"/>
    <s v="NicholasPooran"/>
    <s v="out"/>
    <n v="34"/>
    <n v="24"/>
    <n v="3"/>
    <n v="2"/>
    <n v="4.666666666666667"/>
  </r>
  <r>
    <s v="T204825"/>
    <s v="Super Giants Vs Sunrisers"/>
    <s v="Sunrisers"/>
    <x v="5"/>
    <s v="WashingtonSundar"/>
    <s v="out"/>
    <n v="18"/>
    <n v="14"/>
    <n v="1"/>
    <n v="0"/>
    <n v="4.7058823529411766"/>
  </r>
  <r>
    <s v="T204825"/>
    <s v="Super Giants Vs Sunrisers"/>
    <s v="Sunrisers"/>
    <x v="6"/>
    <s v="AbdulSamad"/>
    <s v="out"/>
    <n v="0"/>
    <n v="1"/>
    <n v="0"/>
    <n v="0"/>
    <n v="6.49"/>
  </r>
  <r>
    <s v="T204825"/>
    <s v="Super Giants Vs Sunrisers"/>
    <s v="Sunrisers"/>
    <x v="7"/>
    <s v="RomarioShepherd"/>
    <s v="out"/>
    <n v="8"/>
    <n v="8"/>
    <n v="0"/>
    <n v="1"/>
    <n v="4.7435897435897436"/>
  </r>
  <r>
    <s v="T204825"/>
    <s v="Super Giants Vs Sunrisers"/>
    <s v="Sunrisers"/>
    <x v="8"/>
    <s v="BhuvneshwarKumar"/>
    <s v="out"/>
    <n v="1"/>
    <n v="2"/>
    <n v="0"/>
    <n v="0"/>
    <n v="6.2352941176470589"/>
  </r>
  <r>
    <s v="T204825"/>
    <s v="Super Giants Vs Sunrisers"/>
    <s v="Sunrisers"/>
    <x v="9"/>
    <s v="UmranMalik"/>
    <s v="not_out"/>
    <n v="1"/>
    <n v="1"/>
    <n v="0"/>
    <n v="0"/>
    <n v="6.4646464646464645"/>
  </r>
  <r>
    <s v="T206118"/>
    <s v="Punjab Kings Vs Super Kings"/>
    <s v="Punjab Kings"/>
    <x v="0"/>
    <s v="MayankAgarwal"/>
    <s v="out"/>
    <n v="4"/>
    <n v="2"/>
    <n v="1"/>
    <n v="0"/>
    <n v="6.2352941176470589"/>
  </r>
  <r>
    <s v="T206118"/>
    <s v="Punjab Kings Vs Super Kings"/>
    <s v="Punjab Kings"/>
    <x v="1"/>
    <s v="ShikharDhawan"/>
    <s v="out"/>
    <n v="33"/>
    <n v="24"/>
    <n v="4"/>
    <n v="1"/>
    <n v="4.666666666666667"/>
  </r>
  <r>
    <s v="T206118"/>
    <s v="Punjab Kings Vs Super Kings"/>
    <s v="Punjab Kings"/>
    <x v="2"/>
    <s v="BhanukaRajapaksa"/>
    <s v="out"/>
    <n v="9"/>
    <n v="5"/>
    <n v="0"/>
    <n v="1"/>
    <n v="5.4318181818181817"/>
  </r>
  <r>
    <s v="T206118"/>
    <s v="Punjab Kings Vs Super Kings"/>
    <s v="Punjab Kings"/>
    <x v="3"/>
    <s v="LiamLivingstone"/>
    <s v="out"/>
    <n v="60"/>
    <n v="32"/>
    <n v="5"/>
    <n v="5"/>
    <n v="4.916666666666667"/>
  </r>
  <r>
    <s v="T206118"/>
    <s v="Punjab Kings Vs Super Kings"/>
    <s v="Punjab Kings"/>
    <x v="4"/>
    <s v="JiteshSharma"/>
    <s v="out"/>
    <n v="26"/>
    <n v="17"/>
    <n v="0"/>
    <n v="3"/>
    <n v="4.7894736842105265"/>
  </r>
  <r>
    <s v="T206118"/>
    <s v="Punjab Kings Vs Super Kings"/>
    <s v="Punjab Kings"/>
    <x v="5"/>
    <s v="MShahrukhKhan"/>
    <s v="out"/>
    <n v="6"/>
    <n v="11"/>
    <n v="0"/>
    <n v="0"/>
    <n v="5"/>
  </r>
  <r>
    <s v="T206118"/>
    <s v="Punjab Kings Vs Super Kings"/>
    <s v="Punjab Kings"/>
    <x v="6"/>
    <s v="OdeanSmith"/>
    <s v="out"/>
    <n v="3"/>
    <n v="7"/>
    <n v="0"/>
    <n v="0"/>
    <n v="5.0294117647058822"/>
  </r>
  <r>
    <s v="T206118"/>
    <s v="Punjab Kings Vs Super Kings"/>
    <s v="Punjab Kings"/>
    <x v="7"/>
    <s v="KagisoRabada"/>
    <s v="not_out"/>
    <n v="12"/>
    <n v="12"/>
    <n v="1"/>
    <n v="0"/>
    <n v="4.741935483870968"/>
  </r>
  <r>
    <s v="T206118"/>
    <s v="Punjab Kings Vs Super Kings"/>
    <s v="Punjab Kings"/>
    <x v="8"/>
    <s v="RahulChahar"/>
    <s v="out"/>
    <n v="12"/>
    <n v="8"/>
    <n v="1"/>
    <n v="1"/>
    <n v="4.6578947368421053"/>
  </r>
  <r>
    <s v="T206118"/>
    <s v="Punjab Kings Vs Super Kings"/>
    <s v="Punjab Kings"/>
    <x v="9"/>
    <s v="VaibhavArora"/>
    <s v="not_out"/>
    <n v="1"/>
    <n v="2"/>
    <n v="0"/>
    <n v="0"/>
    <n v="6.2352941176470589"/>
  </r>
  <r>
    <s v="T206118"/>
    <s v="Punjab Kings Vs Super Kings"/>
    <s v="Super Kings"/>
    <x v="0"/>
    <s v="RobinUthappa"/>
    <s v="out"/>
    <n v="13"/>
    <n v="10"/>
    <n v="2"/>
    <n v="0"/>
    <n v="4.7352941176470589"/>
  </r>
  <r>
    <s v="T206118"/>
    <s v="Punjab Kings Vs Super Kings"/>
    <s v="Super Kings"/>
    <x v="1"/>
    <s v="RuturajGaikwad"/>
    <s v="out"/>
    <n v="1"/>
    <n v="4"/>
    <n v="0"/>
    <n v="0"/>
    <n v="5.48"/>
  </r>
  <r>
    <s v="T206118"/>
    <s v="Punjab Kings Vs Super Kings"/>
    <s v="Super Kings"/>
    <x v="2"/>
    <s v="MoeenAli"/>
    <s v="out"/>
    <n v="0"/>
    <n v="2"/>
    <n v="0"/>
    <n v="0"/>
    <n v="6.2352941176470589"/>
  </r>
  <r>
    <s v="T206118"/>
    <s v="Punjab Kings Vs Super Kings"/>
    <s v="Super Kings"/>
    <x v="3"/>
    <s v="AmbatiRayudu"/>
    <s v="out"/>
    <n v="13"/>
    <n v="21"/>
    <n v="2"/>
    <n v="0"/>
    <n v="4.59375"/>
  </r>
  <r>
    <s v="T206118"/>
    <s v="Punjab Kings Vs Super Kings"/>
    <s v="Super Kings"/>
    <x v="4"/>
    <s v="RavindraJadeja"/>
    <s v="out"/>
    <n v="0"/>
    <n v="3"/>
    <n v="0"/>
    <n v="0"/>
    <n v="6.1463414634146343"/>
  </r>
  <r>
    <s v="T206118"/>
    <s v="Punjab Kings Vs Super Kings"/>
    <s v="Super Kings"/>
    <x v="5"/>
    <s v="ShivamDube"/>
    <s v="out"/>
    <n v="57"/>
    <n v="30"/>
    <n v="6"/>
    <n v="3"/>
    <n v="4.0555555555555554"/>
  </r>
  <r>
    <s v="T206118"/>
    <s v="Punjab Kings Vs Super Kings"/>
    <s v="Super Kings"/>
    <x v="6"/>
    <s v="MSDhoni"/>
    <s v="out"/>
    <n v="23"/>
    <n v="28"/>
    <n v="1"/>
    <n v="1"/>
    <n v="3.5"/>
  </r>
  <r>
    <s v="T206118"/>
    <s v="Punjab Kings Vs Super Kings"/>
    <s v="Super Kings"/>
    <x v="7"/>
    <s v="DwayneBravo"/>
    <s v="out"/>
    <n v="0"/>
    <n v="1"/>
    <n v="0"/>
    <n v="0"/>
    <n v="6.4375"/>
  </r>
  <r>
    <s v="T206118"/>
    <s v="Punjab Kings Vs Super Kings"/>
    <s v="Super Kings"/>
    <x v="8"/>
    <s v="DwainePretorius"/>
    <s v="out"/>
    <n v="8"/>
    <n v="4"/>
    <n v="0"/>
    <n v="1"/>
    <n v="5.48"/>
  </r>
  <r>
    <s v="T206118"/>
    <s v="Punjab Kings Vs Super Kings"/>
    <s v="Super Kings"/>
    <x v="9"/>
    <s v="ChrisJordan"/>
    <s v="out"/>
    <n v="5"/>
    <n v="5"/>
    <n v="0"/>
    <n v="0"/>
    <n v="5.4318181818181817"/>
  </r>
  <r>
    <s v="T206118"/>
    <s v="Punjab Kings Vs Super Kings"/>
    <s v="Super Kings"/>
    <x v="10"/>
    <s v="MukeshChoudhary"/>
    <s v="not_out"/>
    <n v="2"/>
    <n v="2"/>
    <n v="0"/>
    <n v="0"/>
    <n v="6.2352941176470589"/>
  </r>
  <r>
    <s v="T205181"/>
    <s v="Titans Vs Capitals"/>
    <s v="Titans"/>
    <x v="0"/>
    <s v="MatthewWade"/>
    <s v="out"/>
    <n v="1"/>
    <n v="2"/>
    <n v="0"/>
    <n v="0"/>
    <n v="6.1641791044776122"/>
  </r>
  <r>
    <s v="T205181"/>
    <s v="Titans Vs Capitals"/>
    <s v="Titans"/>
    <x v="1"/>
    <s v="ShubmanGill"/>
    <s v="out"/>
    <n v="84"/>
    <n v="46"/>
    <n v="6"/>
    <n v="4"/>
    <n v="4"/>
  </r>
  <r>
    <s v="T205181"/>
    <s v="Titans Vs Capitals"/>
    <s v="Titans"/>
    <x v="2"/>
    <s v="VijayShankar"/>
    <s v="out"/>
    <n v="13"/>
    <n v="20"/>
    <n v="1"/>
    <n v="0"/>
    <n v="4.76"/>
  </r>
  <r>
    <s v="T205181"/>
    <s v="Titans Vs Capitals"/>
    <s v="Titans"/>
    <x v="3"/>
    <s v="HardikPandya"/>
    <s v="out"/>
    <n v="31"/>
    <n v="27"/>
    <n v="4"/>
    <n v="0"/>
    <n v="4.5555555555555554"/>
  </r>
  <r>
    <s v="T205181"/>
    <s v="Titans Vs Capitals"/>
    <s v="Titans"/>
    <x v="4"/>
    <s v="DavidMiller"/>
    <s v="not_out"/>
    <n v="20"/>
    <n v="15"/>
    <n v="2"/>
    <n v="0"/>
    <n v="4.7727272727272725"/>
  </r>
  <r>
    <s v="T205181"/>
    <s v="Titans Vs Capitals"/>
    <s v="Titans"/>
    <x v="5"/>
    <s v="RahulTewatia"/>
    <s v="out"/>
    <n v="14"/>
    <n v="8"/>
    <n v="1"/>
    <n v="1"/>
    <n v="4.5405405405405403"/>
  </r>
  <r>
    <s v="T205181"/>
    <s v="Titans Vs Capitals"/>
    <s v="Titans"/>
    <x v="6"/>
    <s v="AbhinavManohar"/>
    <s v="out"/>
    <n v="1"/>
    <n v="2"/>
    <n v="0"/>
    <n v="0"/>
    <n v="6.1641791044776122"/>
  </r>
  <r>
    <s v="T205181"/>
    <s v="Titans Vs Capitals"/>
    <s v="Titans"/>
    <x v="7"/>
    <s v="RashidKhan"/>
    <s v="not_out"/>
    <n v="0"/>
    <n v="1"/>
    <n v="0"/>
    <n v="0"/>
    <n v="6.4893617021276597"/>
  </r>
  <r>
    <s v="T205181"/>
    <s v="Titans Vs Capitals"/>
    <s v="Capitals"/>
    <x v="0"/>
    <s v="PrithviShaw"/>
    <s v="out"/>
    <n v="10"/>
    <n v="7"/>
    <n v="1"/>
    <n v="0"/>
    <n v="5.0294117647058822"/>
  </r>
  <r>
    <s v="T205181"/>
    <s v="Titans Vs Capitals"/>
    <s v="Capitals"/>
    <x v="1"/>
    <s v="TimSeifert"/>
    <s v="out"/>
    <n v="3"/>
    <n v="5"/>
    <n v="0"/>
    <n v="0"/>
    <n v="5.3255813953488369"/>
  </r>
  <r>
    <s v="T205181"/>
    <s v="Titans Vs Capitals"/>
    <s v="Capitals"/>
    <x v="2"/>
    <s v="MandeepSingh"/>
    <s v="out"/>
    <n v="18"/>
    <n v="16"/>
    <n v="4"/>
    <n v="0"/>
    <n v="5.4117647058823533"/>
  </r>
  <r>
    <s v="T205181"/>
    <s v="Titans Vs Capitals"/>
    <s v="Capitals"/>
    <x v="3"/>
    <s v="RishabhPant"/>
    <s v="out"/>
    <n v="43"/>
    <n v="29"/>
    <n v="7"/>
    <n v="0"/>
    <n v="4.3636363636363633"/>
  </r>
  <r>
    <s v="T205181"/>
    <s v="Titans Vs Capitals"/>
    <s v="Capitals"/>
    <x v="4"/>
    <s v="LalitYadav"/>
    <s v="out"/>
    <n v="25"/>
    <n v="22"/>
    <n v="2"/>
    <n v="1"/>
    <n v="4.25"/>
  </r>
  <r>
    <s v="T205181"/>
    <s v="Titans Vs Capitals"/>
    <s v="Capitals"/>
    <x v="5"/>
    <s v="RovmanPowell"/>
    <s v="out"/>
    <n v="20"/>
    <n v="12"/>
    <n v="2"/>
    <n v="1"/>
    <n v="4.4827586206896548"/>
  </r>
  <r>
    <s v="T205181"/>
    <s v="Titans Vs Capitals"/>
    <s v="Capitals"/>
    <x v="6"/>
    <s v="AxarPatel"/>
    <s v="out"/>
    <n v="8"/>
    <n v="4"/>
    <n v="2"/>
    <n v="0"/>
    <n v="5.48"/>
  </r>
  <r>
    <s v="T205181"/>
    <s v="Titans Vs Capitals"/>
    <s v="Capitals"/>
    <x v="7"/>
    <s v="ShardulThakur"/>
    <s v="out"/>
    <n v="2"/>
    <n v="5"/>
    <n v="0"/>
    <n v="0"/>
    <n v="5.3255813953488369"/>
  </r>
  <r>
    <s v="T205181"/>
    <s v="Titans Vs Capitals"/>
    <s v="Capitals"/>
    <x v="8"/>
    <s v="KuldeepYadav"/>
    <s v="not_out"/>
    <n v="14"/>
    <n v="14"/>
    <n v="0"/>
    <n v="1"/>
    <n v="4.625"/>
  </r>
  <r>
    <s v="T205181"/>
    <s v="Titans Vs Capitals"/>
    <s v="Capitals"/>
    <x v="9"/>
    <s v="KhaleelAhmed"/>
    <s v="out"/>
    <n v="0"/>
    <n v="1"/>
    <n v="0"/>
    <n v="0"/>
    <n v="6.4893617021276597"/>
  </r>
  <r>
    <s v="T205181"/>
    <s v="Titans Vs Capitals"/>
    <s v="Capitals"/>
    <x v="10"/>
    <s v="MustafizurRahman"/>
    <s v="not_out"/>
    <n v="3"/>
    <n v="5"/>
    <n v="0"/>
    <n v="0"/>
    <n v="5.3255813953488369"/>
  </r>
  <r>
    <s v="T209847"/>
    <s v="Royals Vs Mumbai"/>
    <s v="Royals"/>
    <x v="0"/>
    <s v="JosButtler"/>
    <s v="out"/>
    <n v="100"/>
    <n v="68"/>
    <n v="11"/>
    <n v="5"/>
    <n v="4"/>
  </r>
  <r>
    <s v="T209847"/>
    <s v="Royals Vs Mumbai"/>
    <s v="Royals"/>
    <x v="1"/>
    <s v="YashasviJaiswal"/>
    <s v="out"/>
    <n v="1"/>
    <n v="2"/>
    <n v="0"/>
    <n v="0"/>
    <n v="6.1363636363636367"/>
  </r>
  <r>
    <s v="T209847"/>
    <s v="Royals Vs Mumbai"/>
    <s v="Royals"/>
    <x v="2"/>
    <s v="DevduttPadikkal"/>
    <s v="out"/>
    <n v="7"/>
    <n v="7"/>
    <n v="1"/>
    <n v="0"/>
    <n v="5.0294117647058822"/>
  </r>
  <r>
    <s v="T209847"/>
    <s v="Royals Vs Mumbai"/>
    <s v="Royals"/>
    <x v="3"/>
    <s v="SanjuSamson"/>
    <s v="out"/>
    <n v="30"/>
    <n v="21"/>
    <n v="1"/>
    <n v="3"/>
    <n v="4.59375"/>
  </r>
  <r>
    <s v="T209847"/>
    <s v="Royals Vs Mumbai"/>
    <s v="Royals"/>
    <x v="4"/>
    <s v="ShimronHetmyer"/>
    <s v="out"/>
    <n v="35"/>
    <n v="14"/>
    <n v="3"/>
    <n v="3"/>
    <n v="4.333333333333333"/>
  </r>
  <r>
    <s v="T209847"/>
    <s v="Royals Vs Mumbai"/>
    <s v="Royals"/>
    <x v="5"/>
    <s v="RiyanParag"/>
    <s v="out"/>
    <n v="5"/>
    <n v="4"/>
    <n v="1"/>
    <n v="0"/>
    <n v="5.48"/>
  </r>
  <r>
    <s v="T209847"/>
    <s v="Royals Vs Mumbai"/>
    <s v="Royals"/>
    <x v="6"/>
    <s v="RavichandranAshwin"/>
    <s v="out"/>
    <n v="1"/>
    <n v="1"/>
    <n v="0"/>
    <n v="0"/>
    <n v="6.5376344086021509"/>
  </r>
  <r>
    <s v="T209847"/>
    <s v="Royals Vs Mumbai"/>
    <s v="Royals"/>
    <x v="7"/>
    <s v="NavdeepSaini"/>
    <s v="out"/>
    <n v="2"/>
    <n v="2"/>
    <n v="0"/>
    <n v="0"/>
    <n v="6.1363636363636367"/>
  </r>
  <r>
    <s v="T209847"/>
    <s v="Royals Vs Mumbai"/>
    <s v="Royals"/>
    <x v="8"/>
    <s v="TrentBoult"/>
    <s v="not_out"/>
    <n v="1"/>
    <n v="1"/>
    <n v="0"/>
    <n v="0"/>
    <n v="6.5326086956521738"/>
  </r>
  <r>
    <s v="T209847"/>
    <s v="Royals Vs Mumbai"/>
    <s v="Mumbai"/>
    <x v="0"/>
    <s v="IshanKishan"/>
    <s v="out"/>
    <n v="54"/>
    <n v="43"/>
    <n v="5"/>
    <n v="1"/>
    <n v="2.8571428571428572"/>
  </r>
  <r>
    <s v="T209847"/>
    <s v="Royals Vs Mumbai"/>
    <s v="Mumbai"/>
    <x v="1"/>
    <s v="RohitSharma"/>
    <s v="out"/>
    <n v="10"/>
    <n v="5"/>
    <n v="0"/>
    <n v="1"/>
    <n v="5.3095238095238093"/>
  </r>
  <r>
    <s v="T209847"/>
    <s v="Royals Vs Mumbai"/>
    <s v="Mumbai"/>
    <x v="2"/>
    <s v="AnmolpreetSingh"/>
    <s v="out"/>
    <n v="5"/>
    <n v="4"/>
    <n v="1"/>
    <n v="0"/>
    <n v="5.48"/>
  </r>
  <r>
    <s v="T209847"/>
    <s v="Royals Vs Mumbai"/>
    <s v="Mumbai"/>
    <x v="3"/>
    <s v="TilakVarma"/>
    <s v="out"/>
    <n v="61"/>
    <n v="33"/>
    <n v="3"/>
    <n v="5"/>
    <n v="3"/>
  </r>
  <r>
    <s v="T209847"/>
    <s v="Royals Vs Mumbai"/>
    <s v="Mumbai"/>
    <x v="4"/>
    <s v="KieronPollard"/>
    <s v="out"/>
    <n v="22"/>
    <n v="24"/>
    <n v="3"/>
    <n v="1"/>
    <n v="4.666666666666667"/>
  </r>
  <r>
    <s v="T209847"/>
    <s v="Royals Vs Mumbai"/>
    <s v="Mumbai"/>
    <x v="5"/>
    <s v="TimDavid"/>
    <s v="out"/>
    <n v="1"/>
    <n v="3"/>
    <n v="0"/>
    <n v="0"/>
    <n v="6.1282051282051286"/>
  </r>
  <r>
    <s v="T209847"/>
    <s v="Royals Vs Mumbai"/>
    <s v="Mumbai"/>
    <x v="6"/>
    <s v="DanielSams"/>
    <s v="out"/>
    <n v="0"/>
    <n v="1"/>
    <n v="0"/>
    <n v="0"/>
    <n v="6.5111111111111111"/>
  </r>
  <r>
    <s v="T209847"/>
    <s v="Royals Vs Mumbai"/>
    <s v="Mumbai"/>
    <x v="7"/>
    <s v="MuruganAshwin"/>
    <s v="out"/>
    <n v="6"/>
    <n v="8"/>
    <n v="1"/>
    <n v="0"/>
    <n v="4.4722222222222223"/>
  </r>
  <r>
    <s v="T209847"/>
    <s v="Royals Vs Mumbai"/>
    <s v="Mumbai"/>
    <x v="8"/>
    <s v="JaspritBumrah"/>
    <s v="not_out"/>
    <n v="0"/>
    <n v="1"/>
    <n v="0"/>
    <n v="0"/>
    <n v="6.5111111111111111"/>
  </r>
  <r>
    <s v="T203227"/>
    <s v="Punjab Kings Vs KKR"/>
    <s v="Punjab Kings"/>
    <x v="0"/>
    <s v="MayankAgarwal"/>
    <s v="out"/>
    <n v="1"/>
    <n v="5"/>
    <n v="0"/>
    <n v="0"/>
    <n v="5.3658536585365857"/>
  </r>
  <r>
    <s v="T203227"/>
    <s v="Punjab Kings Vs KKR"/>
    <s v="Punjab Kings"/>
    <x v="1"/>
    <s v="ShikharDhawan"/>
    <s v="out"/>
    <n v="16"/>
    <n v="15"/>
    <n v="1"/>
    <n v="1"/>
    <n v="4.7727272727272725"/>
  </r>
  <r>
    <s v="T203227"/>
    <s v="Punjab Kings Vs KKR"/>
    <s v="Punjab Kings"/>
    <x v="2"/>
    <s v="BhanukaRajapaksa"/>
    <s v="out"/>
    <n v="31"/>
    <n v="9"/>
    <n v="3"/>
    <n v="3"/>
    <n v="4.5357142857142856"/>
  </r>
  <r>
    <s v="T203227"/>
    <s v="Punjab Kings Vs KKR"/>
    <s v="Punjab Kings"/>
    <x v="3"/>
    <s v="LiamLivingstone"/>
    <s v="out"/>
    <n v="19"/>
    <n v="16"/>
    <n v="1"/>
    <n v="1"/>
    <n v="5.625"/>
  </r>
  <r>
    <s v="T203227"/>
    <s v="Punjab Kings Vs KKR"/>
    <s v="Punjab Kings"/>
    <x v="4"/>
    <s v="RajBawa"/>
    <s v="out"/>
    <n v="11"/>
    <n v="13"/>
    <n v="1"/>
    <n v="0"/>
    <n v="5.375"/>
  </r>
  <r>
    <s v="T203227"/>
    <s v="Punjab Kings Vs KKR"/>
    <s v="Punjab Kings"/>
    <x v="5"/>
    <s v="MShahrukhKhan"/>
    <s v="out"/>
    <n v="0"/>
    <n v="5"/>
    <n v="0"/>
    <n v="0"/>
    <n v="5.3658536585365857"/>
  </r>
  <r>
    <s v="T203227"/>
    <s v="Punjab Kings Vs KKR"/>
    <s v="Punjab Kings"/>
    <x v="6"/>
    <s v="HarpreetBrar"/>
    <s v="out"/>
    <n v="14"/>
    <n v="18"/>
    <n v="1"/>
    <n v="1"/>
    <n v="4.7826086956521738"/>
  </r>
  <r>
    <s v="T203227"/>
    <s v="Punjab Kings Vs KKR"/>
    <s v="Punjab Kings"/>
    <x v="7"/>
    <s v="OdeanSmith"/>
    <s v="not_out"/>
    <n v="9"/>
    <n v="12"/>
    <n v="0"/>
    <n v="1"/>
    <n v="4.4827586206896548"/>
  </r>
  <r>
    <s v="T203227"/>
    <s v="Punjab Kings Vs KKR"/>
    <s v="Punjab Kings"/>
    <x v="8"/>
    <s v="RahulChahar"/>
    <s v="out"/>
    <n v="0"/>
    <n v="2"/>
    <n v="0"/>
    <n v="0"/>
    <n v="6.1076923076923073"/>
  </r>
  <r>
    <s v="T203227"/>
    <s v="Punjab Kings Vs KKR"/>
    <s v="Punjab Kings"/>
    <x v="9"/>
    <s v="KagisoRabada"/>
    <s v="out"/>
    <n v="25"/>
    <n v="16"/>
    <n v="4"/>
    <n v="1"/>
    <n v="5.625"/>
  </r>
  <r>
    <s v="T203227"/>
    <s v="Punjab Kings Vs KKR"/>
    <s v="Punjab Kings"/>
    <x v="10"/>
    <s v="ArshdeepSingh"/>
    <s v="out"/>
    <n v="0"/>
    <n v="1"/>
    <n v="0"/>
    <n v="0"/>
    <n v="6.5730337078651688"/>
  </r>
  <r>
    <s v="T203227"/>
    <s v="Punjab Kings Vs KKR"/>
    <s v="KKR"/>
    <x v="0"/>
    <s v="AjinkyaRahane"/>
    <s v="out"/>
    <n v="12"/>
    <n v="11"/>
    <n v="3"/>
    <n v="0"/>
    <n v="5"/>
  </r>
  <r>
    <s v="T203227"/>
    <s v="Punjab Kings Vs KKR"/>
    <s v="KKR"/>
    <x v="1"/>
    <s v="VenkateshIyer"/>
    <s v="out"/>
    <n v="3"/>
    <n v="7"/>
    <n v="0"/>
    <n v="0"/>
    <n v="5.0909090909090908"/>
  </r>
  <r>
    <s v="T203227"/>
    <s v="Punjab Kings Vs KKR"/>
    <s v="KKR"/>
    <x v="2"/>
    <s v="ShreyasIyer"/>
    <s v="out"/>
    <n v="26"/>
    <n v="15"/>
    <n v="5"/>
    <n v="0"/>
    <n v="4.7727272727272725"/>
  </r>
  <r>
    <s v="T203227"/>
    <s v="Punjab Kings Vs KKR"/>
    <s v="KKR"/>
    <x v="3"/>
    <s v="SamBillings"/>
    <s v="not_out"/>
    <n v="24"/>
    <n v="23"/>
    <n v="1"/>
    <n v="1"/>
    <n v="5.5882352941176467"/>
  </r>
  <r>
    <s v="T203227"/>
    <s v="Punjab Kings Vs KKR"/>
    <s v="KKR"/>
    <x v="4"/>
    <s v="NitishRana"/>
    <s v="out"/>
    <n v="0"/>
    <n v="2"/>
    <n v="0"/>
    <n v="0"/>
    <n v="6.1076923076923073"/>
  </r>
  <r>
    <s v="T203227"/>
    <s v="Punjab Kings Vs KKR"/>
    <s v="KKR"/>
    <x v="5"/>
    <s v="AndreRussell"/>
    <s v="not_out"/>
    <n v="70"/>
    <n v="31"/>
    <n v="2"/>
    <n v="8"/>
    <n v="3.3333333333333335"/>
  </r>
  <r>
    <s v="T207058"/>
    <s v="Super Kings Vs Super Giants"/>
    <s v="Super Kings"/>
    <x v="0"/>
    <s v="RobinUthappa"/>
    <s v="out"/>
    <n v="50"/>
    <n v="27"/>
    <n v="8"/>
    <n v="1"/>
    <n v="4.5555555555555554"/>
  </r>
  <r>
    <s v="T207058"/>
    <s v="Super Kings Vs Super Giants"/>
    <s v="Super Kings"/>
    <x v="1"/>
    <s v="RuturajGaikwad"/>
    <s v="out"/>
    <n v="1"/>
    <n v="4"/>
    <n v="0"/>
    <n v="0"/>
    <n v="5.48"/>
  </r>
  <r>
    <s v="T207058"/>
    <s v="Super Kings Vs Super Giants"/>
    <s v="Super Kings"/>
    <x v="2"/>
    <s v="MoeenAli"/>
    <s v="out"/>
    <n v="35"/>
    <n v="22"/>
    <n v="4"/>
    <n v="2"/>
    <n v="4.2105263157894735"/>
  </r>
  <r>
    <s v="T207058"/>
    <s v="Super Kings Vs Super Giants"/>
    <s v="Super Kings"/>
    <x v="3"/>
    <s v="ShivamDube"/>
    <s v="out"/>
    <n v="49"/>
    <n v="30"/>
    <n v="5"/>
    <n v="2"/>
    <n v="4.0588235294117645"/>
  </r>
  <r>
    <s v="T207058"/>
    <s v="Super Kings Vs Super Giants"/>
    <s v="Super Kings"/>
    <x v="4"/>
    <s v="AmbatiRayudu"/>
    <s v="out"/>
    <n v="27"/>
    <n v="20"/>
    <n v="2"/>
    <n v="2"/>
    <n v="4.6956521739130439"/>
  </r>
  <r>
    <s v="T207058"/>
    <s v="Super Kings Vs Super Giants"/>
    <s v="Super Kings"/>
    <x v="5"/>
    <s v="RavindraJadeja"/>
    <s v="out"/>
    <n v="17"/>
    <n v="9"/>
    <n v="3"/>
    <n v="0"/>
    <n v="4.4074074074074074"/>
  </r>
  <r>
    <s v="T207058"/>
    <s v="Super Kings Vs Super Giants"/>
    <s v="Super Kings"/>
    <x v="6"/>
    <s v="MSDhoni"/>
    <s v="not_out"/>
    <n v="16"/>
    <n v="6"/>
    <n v="2"/>
    <n v="1"/>
    <n v="5.9666666666666668"/>
  </r>
  <r>
    <s v="T207058"/>
    <s v="Super Kings Vs Super Giants"/>
    <s v="Super Kings"/>
    <x v="7"/>
    <s v="DwainePretorius"/>
    <s v="out"/>
    <n v="0"/>
    <n v="1"/>
    <n v="0"/>
    <n v="0"/>
    <n v="6.625"/>
  </r>
  <r>
    <s v="T207058"/>
    <s v="Super Kings Vs Super Giants"/>
    <s v="Super Kings"/>
    <x v="8"/>
    <s v="DwayneBravo"/>
    <s v="not_out"/>
    <n v="1"/>
    <n v="1"/>
    <n v="0"/>
    <n v="0"/>
    <n v="6.625"/>
  </r>
  <r>
    <s v="T207058"/>
    <s v="Super Kings Vs Super Giants"/>
    <s v="Super Giants"/>
    <x v="0"/>
    <s v="KLRahul"/>
    <s v="out"/>
    <n v="40"/>
    <n v="26"/>
    <n v="2"/>
    <n v="3"/>
    <n v="4"/>
  </r>
  <r>
    <s v="T207058"/>
    <s v="Super Kings Vs Super Giants"/>
    <s v="Super Giants"/>
    <x v="1"/>
    <s v="QuintondeKock"/>
    <s v="out"/>
    <n v="61"/>
    <n v="45"/>
    <n v="9"/>
    <n v="0"/>
    <n v="3.3333333333333335"/>
  </r>
  <r>
    <s v="T207058"/>
    <s v="Super Kings Vs Super Giants"/>
    <s v="Super Giants"/>
    <x v="2"/>
    <s v="ManishPandey"/>
    <s v="out"/>
    <n v="5"/>
    <n v="6"/>
    <n v="0"/>
    <n v="0"/>
    <n v="5.9666666666666668"/>
  </r>
  <r>
    <s v="T207058"/>
    <s v="Super Kings Vs Super Giants"/>
    <s v="Super Giants"/>
    <x v="3"/>
    <s v="EvinLewis"/>
    <s v="not_out"/>
    <n v="55"/>
    <n v="23"/>
    <n v="6"/>
    <n v="3"/>
    <n v="5.5882352941176467"/>
  </r>
  <r>
    <s v="T207058"/>
    <s v="Super Kings Vs Super Giants"/>
    <s v="Super Giants"/>
    <x v="4"/>
    <s v="DeepakHooda"/>
    <s v="out"/>
    <n v="13"/>
    <n v="8"/>
    <n v="1"/>
    <n v="1"/>
    <n v="4.4722222222222223"/>
  </r>
  <r>
    <s v="T207058"/>
    <s v="Super Kings Vs Super Giants"/>
    <s v="Super Giants"/>
    <x v="5"/>
    <s v="AyushBadoni"/>
    <s v="not_out"/>
    <n v="19"/>
    <n v="9"/>
    <n v="0"/>
    <n v="2"/>
    <n v="4.4074074074074074"/>
  </r>
  <r>
    <s v="T203578"/>
    <s v="KKR Vs RCB"/>
    <s v="KKR"/>
    <x v="0"/>
    <s v="AjinkyaRahane"/>
    <s v="out"/>
    <n v="9"/>
    <n v="10"/>
    <n v="1"/>
    <n v="0"/>
    <n v="4.9375"/>
  </r>
  <r>
    <s v="T203578"/>
    <s v="KKR Vs RCB"/>
    <s v="KKR"/>
    <x v="1"/>
    <s v="VenkateshIyer"/>
    <s v="out"/>
    <n v="10"/>
    <n v="14"/>
    <n v="1"/>
    <n v="0"/>
    <n v="4.1428571428571432"/>
  </r>
  <r>
    <s v="T203578"/>
    <s v="KKR Vs RCB"/>
    <s v="KKR"/>
    <x v="2"/>
    <s v="ShreyasIyer"/>
    <s v="out"/>
    <n v="13"/>
    <n v="10"/>
    <n v="2"/>
    <n v="0"/>
    <n v="5.032258064516129"/>
  </r>
  <r>
    <s v="T203578"/>
    <s v="KKR Vs RCB"/>
    <s v="KKR"/>
    <x v="3"/>
    <s v="NitishRana"/>
    <s v="out"/>
    <n v="10"/>
    <n v="5"/>
    <n v="1"/>
    <n v="1"/>
    <n v="5.4249999999999998"/>
  </r>
  <r>
    <s v="T203578"/>
    <s v="KKR Vs RCB"/>
    <s v="KKR"/>
    <x v="4"/>
    <s v="SunilNarine"/>
    <s v="out"/>
    <n v="12"/>
    <n v="8"/>
    <n v="1"/>
    <n v="1"/>
    <n v="4.4722222222222223"/>
  </r>
  <r>
    <s v="T203578"/>
    <s v="KKR Vs RCB"/>
    <s v="KKR"/>
    <x v="5"/>
    <s v="SamBillings"/>
    <s v="out"/>
    <n v="14"/>
    <n v="15"/>
    <n v="0"/>
    <n v="1"/>
    <n v="4.7727272727272725"/>
  </r>
  <r>
    <s v="T203578"/>
    <s v="KKR Vs RCB"/>
    <s v="KKR"/>
    <x v="6"/>
    <s v="SheldonJackson"/>
    <s v="out"/>
    <n v="0"/>
    <n v="1"/>
    <n v="0"/>
    <n v="0"/>
    <n v="6.5977011494252871"/>
  </r>
  <r>
    <s v="T203578"/>
    <s v="KKR Vs RCB"/>
    <s v="KKR"/>
    <x v="7"/>
    <s v="AndreRussell"/>
    <s v="out"/>
    <n v="25"/>
    <n v="18"/>
    <n v="1"/>
    <n v="3"/>
    <n v="4.7826086956521738"/>
  </r>
  <r>
    <s v="T203578"/>
    <s v="KKR Vs RCB"/>
    <s v="KKR"/>
    <x v="8"/>
    <s v="TimSouthee"/>
    <s v="out"/>
    <n v="1"/>
    <n v="5"/>
    <n v="0"/>
    <n v="0"/>
    <n v="5.4249999999999998"/>
  </r>
  <r>
    <s v="T203578"/>
    <s v="KKR Vs RCB"/>
    <s v="KKR"/>
    <x v="9"/>
    <s v="UmeshYadav"/>
    <s v="out"/>
    <n v="18"/>
    <n v="12"/>
    <n v="2"/>
    <n v="1"/>
    <n v="4.5925925925925926"/>
  </r>
  <r>
    <s v="T203578"/>
    <s v="KKR Vs RCB"/>
    <s v="KKR"/>
    <x v="10"/>
    <s v="VarunChakravarthy"/>
    <s v="not_out"/>
    <n v="10"/>
    <n v="16"/>
    <n v="2"/>
    <n v="0"/>
    <n v="5.5333333333333332"/>
  </r>
  <r>
    <s v="T203578"/>
    <s v="KKR Vs RCB"/>
    <s v="RCB"/>
    <x v="0"/>
    <s v="FafduPlessis"/>
    <s v="out"/>
    <n v="5"/>
    <n v="4"/>
    <n v="1"/>
    <n v="0"/>
    <n v="5.48"/>
  </r>
  <r>
    <s v="T203578"/>
    <s v="KKR Vs RCB"/>
    <s v="RCB"/>
    <x v="1"/>
    <s v="AnujRawat"/>
    <s v="out"/>
    <n v="0"/>
    <n v="2"/>
    <n v="0"/>
    <n v="0"/>
    <n v="6.1076923076923073"/>
  </r>
  <r>
    <s v="T203578"/>
    <s v="KKR Vs RCB"/>
    <s v="RCB"/>
    <x v="2"/>
    <s v="ViratKohli"/>
    <s v="out"/>
    <n v="12"/>
    <n v="7"/>
    <n v="2"/>
    <n v="0"/>
    <n v="5.0909090909090908"/>
  </r>
  <r>
    <s v="T203578"/>
    <s v="KKR Vs RCB"/>
    <s v="RCB"/>
    <x v="3"/>
    <s v="DavidWilley"/>
    <s v="out"/>
    <n v="18"/>
    <n v="28"/>
    <n v="3"/>
    <n v="0"/>
    <n v="3.5"/>
  </r>
  <r>
    <s v="T203578"/>
    <s v="KKR Vs RCB"/>
    <s v="RCB"/>
    <x v="4"/>
    <s v="SherfaneRutherford"/>
    <s v="out"/>
    <n v="28"/>
    <n v="40"/>
    <n v="1"/>
    <n v="1"/>
    <n v="4.0999999999999996"/>
  </r>
  <r>
    <s v="T203578"/>
    <s v="KKR Vs RCB"/>
    <s v="RCB"/>
    <x v="5"/>
    <s v="ShahbazAhmed"/>
    <s v="out"/>
    <n v="27"/>
    <n v="20"/>
    <n v="0"/>
    <n v="3"/>
    <n v="4.6956521739130439"/>
  </r>
  <r>
    <s v="T203578"/>
    <s v="KKR Vs RCB"/>
    <s v="RCB"/>
    <x v="6"/>
    <s v="DineshKarthik"/>
    <s v="not_out"/>
    <n v="14"/>
    <n v="7"/>
    <n v="1"/>
    <n v="1"/>
    <n v="5.0909090909090908"/>
  </r>
  <r>
    <s v="T203578"/>
    <s v="KKR Vs RCB"/>
    <s v="RCB"/>
    <x v="7"/>
    <s v="WaninduHasaranga"/>
    <s v="out"/>
    <n v="4"/>
    <n v="3"/>
    <n v="1"/>
    <n v="0"/>
    <n v="6.2368421052631575"/>
  </r>
  <r>
    <s v="T203578"/>
    <s v="KKR Vs RCB"/>
    <s v="RCB"/>
    <x v="8"/>
    <s v="HarshalPatel"/>
    <s v="not_out"/>
    <n v="10"/>
    <n v="6"/>
    <n v="2"/>
    <n v="0"/>
    <n v="5.9666666666666668"/>
  </r>
  <r>
    <s v="T205314"/>
    <s v="Royals Vs Sunrisers"/>
    <s v="Royals"/>
    <x v="0"/>
    <s v="JosButtler"/>
    <s v="out"/>
    <n v="35"/>
    <n v="28"/>
    <n v="3"/>
    <n v="3"/>
    <n v="3.3846153846153846"/>
  </r>
  <r>
    <s v="T205314"/>
    <s v="Royals Vs Sunrisers"/>
    <s v="Royals"/>
    <x v="1"/>
    <s v="YashasviJaiswal"/>
    <s v="out"/>
    <n v="20"/>
    <n v="16"/>
    <n v="2"/>
    <n v="1"/>
    <n v="5.5333333333333332"/>
  </r>
  <r>
    <s v="T205314"/>
    <s v="Royals Vs Sunrisers"/>
    <s v="Royals"/>
    <x v="2"/>
    <s v="SanjuSamson"/>
    <s v="out"/>
    <n v="55"/>
    <n v="27"/>
    <n v="3"/>
    <n v="5"/>
    <n v="4.4375"/>
  </r>
  <r>
    <s v="T205314"/>
    <s v="Royals Vs Sunrisers"/>
    <s v="Royals"/>
    <x v="3"/>
    <s v="DevduttPadikkal"/>
    <s v="out"/>
    <n v="41"/>
    <n v="29"/>
    <n v="4"/>
    <n v="2"/>
    <n v="4.3636363636363633"/>
  </r>
  <r>
    <s v="T205314"/>
    <s v="Royals Vs Sunrisers"/>
    <s v="Royals"/>
    <x v="4"/>
    <s v="ShimronHetmyer"/>
    <s v="out"/>
    <n v="32"/>
    <n v="13"/>
    <n v="2"/>
    <n v="3"/>
    <n v="5.5"/>
  </r>
  <r>
    <s v="T205314"/>
    <s v="Royals Vs Sunrisers"/>
    <s v="Royals"/>
    <x v="5"/>
    <s v="RiyanParag"/>
    <s v="out"/>
    <n v="12"/>
    <n v="9"/>
    <n v="2"/>
    <n v="0"/>
    <n v="4.5384615384615383"/>
  </r>
  <r>
    <s v="T205314"/>
    <s v="Royals Vs Sunrisers"/>
    <s v="Royals"/>
    <x v="6"/>
    <s v="NathanCoulter-Nile"/>
    <s v="not_out"/>
    <n v="1"/>
    <n v="2"/>
    <n v="0"/>
    <n v="0"/>
    <n v="6.1076923076923073"/>
  </r>
  <r>
    <s v="T205314"/>
    <s v="Royals Vs Sunrisers"/>
    <s v="Sunrisers"/>
    <x v="0"/>
    <s v="KaneWilliamson"/>
    <s v="out"/>
    <n v="2"/>
    <n v="7"/>
    <n v="0"/>
    <n v="0"/>
    <n v="5.0909090909090908"/>
  </r>
  <r>
    <s v="T205314"/>
    <s v="Royals Vs Sunrisers"/>
    <s v="Sunrisers"/>
    <x v="1"/>
    <s v="AbhishekSharma"/>
    <s v="out"/>
    <n v="9"/>
    <n v="19"/>
    <n v="1"/>
    <n v="0"/>
    <n v="4.8947368421052628"/>
  </r>
  <r>
    <s v="T205314"/>
    <s v="Royals Vs Sunrisers"/>
    <s v="Sunrisers"/>
    <x v="2"/>
    <s v="RahulTripathi"/>
    <s v="out"/>
    <n v="0"/>
    <n v="3"/>
    <n v="0"/>
    <n v="0"/>
    <n v="6.2368421052631575"/>
  </r>
  <r>
    <s v="T205314"/>
    <s v="Royals Vs Sunrisers"/>
    <s v="Sunrisers"/>
    <x v="3"/>
    <s v="NicholasPooran"/>
    <s v="out"/>
    <n v="0"/>
    <n v="9"/>
    <n v="0"/>
    <n v="0"/>
    <n v="4.6399999999999997"/>
  </r>
  <r>
    <s v="T205314"/>
    <s v="Royals Vs Sunrisers"/>
    <s v="Sunrisers"/>
    <x v="4"/>
    <s v="AidenMarkram"/>
    <s v="not_out"/>
    <n v="57"/>
    <n v="41"/>
    <n v="5"/>
    <n v="2"/>
    <n v="3.9"/>
  </r>
  <r>
    <s v="T205314"/>
    <s v="Royals Vs Sunrisers"/>
    <s v="Sunrisers"/>
    <x v="5"/>
    <s v="AbdulSamad"/>
    <s v="out"/>
    <n v="4"/>
    <n v="6"/>
    <n v="0"/>
    <n v="0"/>
    <n v="5.9666666666666668"/>
  </r>
  <r>
    <s v="T205314"/>
    <s v="Royals Vs Sunrisers"/>
    <s v="Sunrisers"/>
    <x v="6"/>
    <s v="RomarioShepherd"/>
    <s v="out"/>
    <n v="24"/>
    <n v="18"/>
    <n v="0"/>
    <n v="2"/>
    <n v="4.5714285714285712"/>
  </r>
  <r>
    <s v="T205314"/>
    <s v="Royals Vs Sunrisers"/>
    <s v="Sunrisers"/>
    <x v="7"/>
    <s v="WashingtonSundar"/>
    <s v="out"/>
    <n v="40"/>
    <n v="14"/>
    <n v="5"/>
    <n v="2"/>
    <n v="3.75"/>
  </r>
  <r>
    <s v="T205314"/>
    <s v="Royals Vs Sunrisers"/>
    <s v="Sunrisers"/>
    <x v="8"/>
    <s v="BhuvneshwarKumar"/>
    <s v="not_out"/>
    <n v="3"/>
    <n v="4"/>
    <n v="0"/>
    <n v="0"/>
    <n v="5.416666666666667"/>
  </r>
  <r>
    <s v="T202349"/>
    <s v="Super Giants Vs Titans"/>
    <s v="Super Giants"/>
    <x v="0"/>
    <s v="KLRahul"/>
    <s v="out"/>
    <n v="0"/>
    <n v="1"/>
    <n v="0"/>
    <n v="0"/>
    <n v="6.5647058823529409"/>
  </r>
  <r>
    <s v="T202349"/>
    <s v="Super Giants Vs Titans"/>
    <s v="Super Giants"/>
    <x v="1"/>
    <s v="QuintondeKock"/>
    <s v="out"/>
    <n v="7"/>
    <n v="9"/>
    <n v="1"/>
    <n v="0"/>
    <n v="4.6399999999999997"/>
  </r>
  <r>
    <s v="T202349"/>
    <s v="Super Giants Vs Titans"/>
    <s v="Super Giants"/>
    <x v="2"/>
    <s v="EvinLewis"/>
    <s v="out"/>
    <n v="10"/>
    <n v="9"/>
    <n v="2"/>
    <n v="0"/>
    <n v="4.6399999999999997"/>
  </r>
  <r>
    <s v="T202349"/>
    <s v="Super Giants Vs Titans"/>
    <s v="Super Giants"/>
    <x v="3"/>
    <s v="ManishPandey"/>
    <s v="out"/>
    <n v="6"/>
    <n v="5"/>
    <n v="1"/>
    <n v="0"/>
    <n v="5.5384615384615383"/>
  </r>
  <r>
    <s v="T202349"/>
    <s v="Super Giants Vs Titans"/>
    <s v="Super Giants"/>
    <x v="4"/>
    <s v="DeepakHooda"/>
    <s v="out"/>
    <n v="55"/>
    <n v="41"/>
    <n v="6"/>
    <n v="2"/>
    <n v="3.9"/>
  </r>
  <r>
    <s v="T202349"/>
    <s v="Super Giants Vs Titans"/>
    <s v="Super Giants"/>
    <x v="5"/>
    <s v="AyushBadoni"/>
    <s v="out"/>
    <n v="54"/>
    <n v="41"/>
    <n v="4"/>
    <n v="3"/>
    <n v="3.9"/>
  </r>
  <r>
    <s v="T202349"/>
    <s v="Super Giants Vs Titans"/>
    <s v="Super Giants"/>
    <x v="6"/>
    <s v="KrunalPandya"/>
    <s v="not_out"/>
    <n v="21"/>
    <n v="13"/>
    <n v="3"/>
    <n v="0"/>
    <n v="5.5"/>
  </r>
  <r>
    <s v="T202349"/>
    <s v="Super Giants Vs Titans"/>
    <s v="Super Giants"/>
    <x v="7"/>
    <s v="DushmanthaChameera"/>
    <s v="not_out"/>
    <n v="1"/>
    <n v="1"/>
    <n v="0"/>
    <n v="0"/>
    <n v="6.5647058823529409"/>
  </r>
  <r>
    <s v="T202349"/>
    <s v="Super Giants Vs Titans"/>
    <s v="Titans"/>
    <x v="0"/>
    <s v="ShubmanGill"/>
    <s v="out"/>
    <n v="0"/>
    <n v="3"/>
    <n v="0"/>
    <n v="0"/>
    <n v="6.1621621621621623"/>
  </r>
  <r>
    <s v="T202349"/>
    <s v="Super Giants Vs Titans"/>
    <s v="Titans"/>
    <x v="1"/>
    <s v="MatthewWade"/>
    <s v="out"/>
    <n v="30"/>
    <n v="29"/>
    <n v="4"/>
    <n v="0"/>
    <n v="4.3636363636363633"/>
  </r>
  <r>
    <s v="T202349"/>
    <s v="Super Giants Vs Titans"/>
    <s v="Titans"/>
    <x v="2"/>
    <s v="VijayShankar"/>
    <s v="out"/>
    <n v="4"/>
    <n v="6"/>
    <n v="0"/>
    <n v="0"/>
    <n v="6.0344827586206895"/>
  </r>
  <r>
    <s v="T202349"/>
    <s v="Super Giants Vs Titans"/>
    <s v="Titans"/>
    <x v="3"/>
    <s v="HardikPandya"/>
    <s v="out"/>
    <n v="33"/>
    <n v="28"/>
    <n v="5"/>
    <n v="1"/>
    <n v="3.3846153846153846"/>
  </r>
  <r>
    <s v="T202349"/>
    <s v="Super Giants Vs Titans"/>
    <s v="Titans"/>
    <x v="4"/>
    <s v="DavidMiller"/>
    <s v="out"/>
    <n v="30"/>
    <n v="21"/>
    <n v="1"/>
    <n v="2"/>
    <n v="4.5161290322580649"/>
  </r>
  <r>
    <s v="T202349"/>
    <s v="Super Giants Vs Titans"/>
    <s v="Titans"/>
    <x v="5"/>
    <s v="RahulTewatia"/>
    <s v="not_out"/>
    <n v="40"/>
    <n v="24"/>
    <n v="5"/>
    <n v="2"/>
    <n v="4.5"/>
  </r>
  <r>
    <s v="T202349"/>
    <s v="Super Giants Vs Titans"/>
    <s v="Titans"/>
    <x v="6"/>
    <s v="AbhinavManohar"/>
    <s v="not_out"/>
    <n v="15"/>
    <n v="7"/>
    <n v="3"/>
    <n v="0"/>
    <n v="5.1875"/>
  </r>
  <r>
    <s v="T208141"/>
    <s v="RCB Vs Punjab Kings"/>
    <s v="RCB"/>
    <x v="0"/>
    <s v="FafduPlessis"/>
    <s v="out"/>
    <n v="88"/>
    <n v="57"/>
    <n v="3"/>
    <n v="7"/>
    <n v="2.625"/>
  </r>
  <r>
    <s v="T208141"/>
    <s v="RCB Vs Punjab Kings"/>
    <s v="RCB"/>
    <x v="1"/>
    <s v="AnujRawat"/>
    <s v="out"/>
    <n v="21"/>
    <n v="20"/>
    <n v="2"/>
    <n v="1"/>
    <n v="4.8181818181818183"/>
  </r>
  <r>
    <s v="T208141"/>
    <s v="RCB Vs Punjab Kings"/>
    <s v="RCB"/>
    <x v="2"/>
    <s v="ViratKohli"/>
    <s v="not_out"/>
    <n v="41"/>
    <n v="29"/>
    <n v="1"/>
    <n v="2"/>
    <n v="4.3636363636363633"/>
  </r>
  <r>
    <s v="T208141"/>
    <s v="RCB Vs Punjab Kings"/>
    <s v="RCB"/>
    <x v="3"/>
    <s v="DineshKarthik"/>
    <s v="not_out"/>
    <n v="32"/>
    <n v="14"/>
    <n v="3"/>
    <n v="3"/>
    <n v="3.75"/>
  </r>
  <r>
    <s v="T208141"/>
    <s v="RCB Vs Punjab Kings"/>
    <s v="Punjab Kings"/>
    <x v="0"/>
    <s v="MayankAgarwal"/>
    <s v="out"/>
    <n v="32"/>
    <n v="24"/>
    <n v="2"/>
    <n v="2"/>
    <n v="4.5"/>
  </r>
  <r>
    <s v="T208141"/>
    <s v="RCB Vs Punjab Kings"/>
    <s v="Punjab Kings"/>
    <x v="1"/>
    <s v="ShikharDhawan"/>
    <s v="out"/>
    <n v="43"/>
    <n v="29"/>
    <n v="5"/>
    <n v="1"/>
    <n v="4.3636363636363633"/>
  </r>
  <r>
    <s v="T208141"/>
    <s v="RCB Vs Punjab Kings"/>
    <s v="Punjab Kings"/>
    <x v="2"/>
    <s v="BhanukaRajapaksa"/>
    <s v="out"/>
    <n v="43"/>
    <n v="22"/>
    <n v="2"/>
    <n v="4"/>
    <n v="4.2105263157894735"/>
  </r>
  <r>
    <s v="T208141"/>
    <s v="RCB Vs Punjab Kings"/>
    <s v="Punjab Kings"/>
    <x v="3"/>
    <s v="LiamLivingstone"/>
    <s v="out"/>
    <n v="19"/>
    <n v="10"/>
    <n v="0"/>
    <n v="2"/>
    <n v="4.7777777777777777"/>
  </r>
  <r>
    <s v="T208141"/>
    <s v="RCB Vs Punjab Kings"/>
    <s v="Punjab Kings"/>
    <x v="4"/>
    <s v="RajBawa"/>
    <s v="out"/>
    <n v="0"/>
    <n v="1"/>
    <n v="0"/>
    <n v="0"/>
    <n v="6.5476190476190474"/>
  </r>
  <r>
    <s v="T208141"/>
    <s v="RCB Vs Punjab Kings"/>
    <s v="Punjab Kings"/>
    <x v="5"/>
    <s v="MShahrukhKhan"/>
    <s v="not_out"/>
    <n v="24"/>
    <n v="20"/>
    <n v="1"/>
    <n v="2"/>
    <n v="4.8181818181818183"/>
  </r>
  <r>
    <s v="T208141"/>
    <s v="RCB Vs Punjab Kings"/>
    <s v="Punjab Kings"/>
    <x v="6"/>
    <s v="OdeanSmith"/>
    <s v="not_out"/>
    <n v="25"/>
    <n v="8"/>
    <n v="1"/>
    <n v="3"/>
    <n v="4.4722222222222223"/>
  </r>
  <r>
    <s v="T205838"/>
    <s v="Mumbai Vs Capitals"/>
    <s v="Mumbai"/>
    <x v="0"/>
    <s v="RohitSharma"/>
    <s v="out"/>
    <n v="41"/>
    <n v="32"/>
    <n v="4"/>
    <n v="2"/>
    <n v="5.4444444444444446"/>
  </r>
  <r>
    <s v="T205838"/>
    <s v="Mumbai Vs Capitals"/>
    <s v="Mumbai"/>
    <x v="1"/>
    <s v="IshanKishan"/>
    <s v="not_out"/>
    <n v="81"/>
    <n v="48"/>
    <n v="11"/>
    <n v="2"/>
    <n v="3.5714285714285716"/>
  </r>
  <r>
    <s v="T205838"/>
    <s v="Mumbai Vs Capitals"/>
    <s v="Mumbai"/>
    <x v="2"/>
    <s v="AnmolpreetSingh"/>
    <s v="out"/>
    <n v="8"/>
    <n v="9"/>
    <n v="0"/>
    <n v="0"/>
    <n v="4.6399999999999997"/>
  </r>
  <r>
    <s v="T205838"/>
    <s v="Mumbai Vs Capitals"/>
    <s v="Mumbai"/>
    <x v="3"/>
    <s v="TilakVarma"/>
    <s v="out"/>
    <n v="22"/>
    <n v="15"/>
    <n v="3"/>
    <n v="0"/>
    <n v="4.666666666666667"/>
  </r>
  <r>
    <s v="T205838"/>
    <s v="Mumbai Vs Capitals"/>
    <s v="Mumbai"/>
    <x v="4"/>
    <s v="KieronPollard"/>
    <s v="out"/>
    <n v="3"/>
    <n v="6"/>
    <n v="0"/>
    <n v="0"/>
    <n v="6.0344827586206895"/>
  </r>
  <r>
    <s v="T205838"/>
    <s v="Mumbai Vs Capitals"/>
    <s v="Mumbai"/>
    <x v="5"/>
    <s v="TimDavid"/>
    <s v="out"/>
    <n v="12"/>
    <n v="8"/>
    <n v="0"/>
    <n v="1"/>
    <n v="4.5142857142857142"/>
  </r>
  <r>
    <s v="T205838"/>
    <s v="Mumbai Vs Capitals"/>
    <s v="Mumbai"/>
    <x v="6"/>
    <s v="DanielSams"/>
    <s v="not_out"/>
    <n v="7"/>
    <n v="2"/>
    <n v="0"/>
    <n v="1"/>
    <n v="6.1875"/>
  </r>
  <r>
    <s v="T205838"/>
    <s v="Mumbai Vs Capitals"/>
    <s v="Capitals"/>
    <x v="0"/>
    <s v="PrithviShaw"/>
    <s v="out"/>
    <n v="38"/>
    <n v="24"/>
    <n v="4"/>
    <n v="2"/>
    <n v="4.333333333333333"/>
  </r>
  <r>
    <s v="T205838"/>
    <s v="Mumbai Vs Capitals"/>
    <s v="Capitals"/>
    <x v="1"/>
    <s v="TimSeifert"/>
    <s v="out"/>
    <n v="21"/>
    <n v="14"/>
    <n v="4"/>
    <n v="0"/>
    <n v="3.75"/>
  </r>
  <r>
    <s v="T205838"/>
    <s v="Mumbai Vs Capitals"/>
    <s v="Capitals"/>
    <x v="2"/>
    <s v="MandeepSingh"/>
    <s v="out"/>
    <n v="0"/>
    <n v="2"/>
    <n v="0"/>
    <n v="0"/>
    <n v="6.1875"/>
  </r>
  <r>
    <s v="T205838"/>
    <s v="Mumbai Vs Capitals"/>
    <s v="Capitals"/>
    <x v="3"/>
    <s v="RishabhPant"/>
    <s v="out"/>
    <n v="1"/>
    <n v="2"/>
    <n v="0"/>
    <n v="0"/>
    <n v="6.1875"/>
  </r>
  <r>
    <s v="T205838"/>
    <s v="Mumbai Vs Capitals"/>
    <s v="Capitals"/>
    <x v="4"/>
    <s v="LalitYadav"/>
    <s v="not_out"/>
    <n v="48"/>
    <n v="38"/>
    <n v="4"/>
    <n v="2"/>
    <n v="4.5"/>
  </r>
  <r>
    <s v="T205838"/>
    <s v="Mumbai Vs Capitals"/>
    <s v="Capitals"/>
    <x v="5"/>
    <s v="RovmanPowell"/>
    <s v="out"/>
    <n v="0"/>
    <n v="2"/>
    <n v="0"/>
    <n v="0"/>
    <n v="6.1875"/>
  </r>
  <r>
    <s v="T205838"/>
    <s v="Mumbai Vs Capitals"/>
    <s v="Capitals"/>
    <x v="6"/>
    <s v="ShardulThakur"/>
    <s v="out"/>
    <n v="22"/>
    <n v="11"/>
    <n v="4"/>
    <n v="0"/>
    <n v="5"/>
  </r>
  <r>
    <s v="T205838"/>
    <s v="Mumbai Vs Capitals"/>
    <s v="Capitals"/>
    <x v="7"/>
    <s v="AxarPatel"/>
    <s v="not_out"/>
    <n v="38"/>
    <n v="17"/>
    <n v="2"/>
    <n v="3"/>
    <n v="4.7222222222222223"/>
  </r>
  <r>
    <s v="T201512"/>
    <s v="Super Kings Vs KKR"/>
    <s v="Super Kings"/>
    <x v="0"/>
    <s v="RuturajGaikwad"/>
    <s v="out"/>
    <n v="0"/>
    <n v="4"/>
    <n v="0"/>
    <n v="0"/>
    <n v="5.4680851063829783"/>
  </r>
  <r>
    <s v="T201512"/>
    <s v="Super Kings Vs KKR"/>
    <s v="Super Kings"/>
    <x v="1"/>
    <s v="DevonConway"/>
    <s v="out"/>
    <n v="3"/>
    <n v="8"/>
    <n v="0"/>
    <n v="0"/>
    <n v="4.5142857142857142"/>
  </r>
  <r>
    <s v="T201512"/>
    <s v="Super Kings Vs KKR"/>
    <s v="Super Kings"/>
    <x v="2"/>
    <s v="RobinUthappa"/>
    <s v="out"/>
    <n v="28"/>
    <n v="21"/>
    <n v="2"/>
    <n v="2"/>
    <n v="4.6896551724137927"/>
  </r>
  <r>
    <s v="T201512"/>
    <s v="Super Kings Vs KKR"/>
    <s v="Super Kings"/>
    <x v="3"/>
    <s v="AmbatiRayudu"/>
    <s v="out"/>
    <n v="15"/>
    <n v="17"/>
    <n v="1"/>
    <n v="1"/>
    <n v="4.7222222222222223"/>
  </r>
  <r>
    <s v="T201512"/>
    <s v="Super Kings Vs KKR"/>
    <s v="Super Kings"/>
    <x v="4"/>
    <s v="RavindraJadeja"/>
    <s v="not_out"/>
    <n v="26"/>
    <n v="28"/>
    <n v="0"/>
    <n v="1"/>
    <n v="3.4166666666666665"/>
  </r>
  <r>
    <s v="T201512"/>
    <s v="Super Kings Vs KKR"/>
    <s v="Super Kings"/>
    <x v="5"/>
    <s v="ShivamDube"/>
    <s v="out"/>
    <n v="3"/>
    <n v="6"/>
    <n v="0"/>
    <n v="0"/>
    <n v="6.0344827586206895"/>
  </r>
  <r>
    <s v="T201512"/>
    <s v="Super Kings Vs KKR"/>
    <s v="Super Kings"/>
    <x v="6"/>
    <s v="MSDhoni"/>
    <s v="not_out"/>
    <n v="50"/>
    <n v="38"/>
    <n v="7"/>
    <n v="1"/>
    <n v="3.8"/>
  </r>
  <r>
    <s v="T201512"/>
    <s v="Super Kings Vs KKR"/>
    <s v="KKR"/>
    <x v="0"/>
    <s v="AjinkyaRahane"/>
    <s v="out"/>
    <n v="44"/>
    <n v="34"/>
    <n v="6"/>
    <n v="1"/>
    <n v="4.6363636363636367"/>
  </r>
  <r>
    <s v="T201512"/>
    <s v="Super Kings Vs KKR"/>
    <s v="KKR"/>
    <x v="1"/>
    <s v="VenkateshIyer"/>
    <s v="out"/>
    <n v="16"/>
    <n v="16"/>
    <n v="2"/>
    <n v="0"/>
    <n v="5.5333333333333332"/>
  </r>
  <r>
    <s v="T201512"/>
    <s v="Super Kings Vs KKR"/>
    <s v="KKR"/>
    <x v="2"/>
    <s v="NitishRana"/>
    <s v="out"/>
    <n v="21"/>
    <n v="17"/>
    <n v="2"/>
    <n v="1"/>
    <n v="4.7222222222222223"/>
  </r>
  <r>
    <s v="T201512"/>
    <s v="Super Kings Vs KKR"/>
    <s v="KKR"/>
    <x v="3"/>
    <s v="ShreyasIyer"/>
    <s v="not_out"/>
    <n v="20"/>
    <n v="19"/>
    <n v="1"/>
    <n v="0"/>
    <n v="4.9444444444444446"/>
  </r>
  <r>
    <s v="T201512"/>
    <s v="Super Kings Vs KKR"/>
    <s v="KKR"/>
    <x v="4"/>
    <s v="SamBillings"/>
    <s v="out"/>
    <n v="25"/>
    <n v="22"/>
    <n v="1"/>
    <n v="1"/>
    <n v="4.0588235294117645"/>
  </r>
  <r>
    <s v="T201512"/>
    <s v="Super Kings Vs KKR"/>
    <s v="KKR"/>
    <x v="5"/>
    <s v="SheldonJackson"/>
    <s v="not_out"/>
    <n v="3"/>
    <n v="3"/>
    <n v="0"/>
    <n v="0"/>
    <n v="6.3235294117647056"/>
  </r>
  <r>
    <s v="T208201"/>
    <s v="Titans Vs Super Kings"/>
    <s v="Titans"/>
    <x v="0"/>
    <s v="WriddhimanSaha"/>
    <s v="out"/>
    <n v="54"/>
    <n v="39"/>
    <n v="5"/>
    <n v="1"/>
    <n v="2.6"/>
  </r>
  <r>
    <s v="T208201"/>
    <s v="Titans Vs Super Kings"/>
    <s v="Titans"/>
    <x v="1"/>
    <s v="ShubmanGill"/>
    <s v="out"/>
    <n v="39"/>
    <n v="20"/>
    <n v="7"/>
    <n v="0"/>
    <n v="4.8571428571428568"/>
  </r>
  <r>
    <s v="T208201"/>
    <s v="Titans Vs Super Kings"/>
    <s v="Titans"/>
    <x v="2"/>
    <s v="SaiSudharsan"/>
    <s v="out"/>
    <n v="96"/>
    <n v="47"/>
    <n v="8"/>
    <n v="6"/>
    <n v="2.25"/>
  </r>
  <r>
    <s v="T208201"/>
    <s v="Titans Vs Super Kings"/>
    <s v="Titans"/>
    <x v="3"/>
    <s v="HardikPandya"/>
    <s v="not_out"/>
    <n v="21"/>
    <n v="12"/>
    <n v="0"/>
    <n v="2"/>
    <n v="4.541666666666667"/>
  </r>
  <r>
    <s v="T208201"/>
    <s v="Titans Vs Super Kings"/>
    <s v="Titans"/>
    <x v="4"/>
    <s v="RashidKhan"/>
    <s v="out"/>
    <n v="0"/>
    <n v="2"/>
    <n v="0"/>
    <n v="0"/>
    <n v="6.1875"/>
  </r>
  <r>
    <s v="T208201"/>
    <s v="Titans Vs Super Kings"/>
    <s v="Super Kings"/>
    <x v="0"/>
    <s v="RuturajGaikwad"/>
    <s v="out"/>
    <n v="26"/>
    <n v="16"/>
    <n v="3"/>
    <n v="1"/>
    <n v="5.7857142857142856"/>
  </r>
  <r>
    <s v="T208201"/>
    <s v="Titans Vs Super Kings"/>
    <s v="Super Kings"/>
    <x v="1"/>
    <s v="DevonConway"/>
    <s v="out"/>
    <n v="47"/>
    <n v="25"/>
    <n v="4"/>
    <n v="2"/>
    <n v="4.7272727272727275"/>
  </r>
  <r>
    <s v="T208201"/>
    <s v="Titans Vs Super Kings"/>
    <s v="Super Kings"/>
    <x v="2"/>
    <s v="ShivamDube"/>
    <s v="not_out"/>
    <n v="32"/>
    <n v="21"/>
    <n v="0"/>
    <n v="2"/>
    <n v="4.7777777777777777"/>
  </r>
  <r>
    <s v="T208201"/>
    <s v="Titans Vs Super Kings"/>
    <s v="Super Kings"/>
    <x v="3"/>
    <s v="AjinkyaRahane"/>
    <s v="out"/>
    <n v="27"/>
    <n v="13"/>
    <n v="2"/>
    <n v="2"/>
    <n v="5.5"/>
  </r>
  <r>
    <s v="T208201"/>
    <s v="Titans Vs Super Kings"/>
    <s v="Super Kings"/>
    <x v="4"/>
    <s v="AmbatiRayudu"/>
    <s v="out"/>
    <n v="19"/>
    <n v="8"/>
    <n v="1"/>
    <n v="2"/>
    <n v="4.5142857142857142"/>
  </r>
  <r>
    <s v="T208201"/>
    <s v="Titans Vs Super Kings"/>
    <s v="Super Kings"/>
    <x v="5"/>
    <s v="MSDhoni"/>
    <s v="out"/>
    <n v="0"/>
    <n v="1"/>
    <n v="0"/>
    <n v="0"/>
    <n v="6.5783132530120483"/>
  </r>
  <r>
    <s v="T208201"/>
    <s v="Titans Vs Super Kings"/>
    <s v="Super Kings"/>
    <x v="6"/>
    <s v="RavindraJadeja"/>
    <s v="not_out"/>
    <n v="15"/>
    <n v="6"/>
    <n v="1"/>
    <n v="1"/>
    <n v="6.0344827586206895"/>
  </r>
  <r>
    <s v="T203496"/>
    <s v="Titans Vs Mumbai"/>
    <s v="Titans"/>
    <x v="0"/>
    <s v="WriddhimanSaha"/>
    <s v="out"/>
    <n v="18"/>
    <n v="16"/>
    <n v="3"/>
    <n v="0"/>
    <n v="5.7857142857142856"/>
  </r>
  <r>
    <s v="T203496"/>
    <s v="Titans Vs Mumbai"/>
    <s v="Titans"/>
    <x v="1"/>
    <s v="ShubmanGill"/>
    <s v="out"/>
    <n v="129"/>
    <n v="60"/>
    <n v="7"/>
    <n v="10"/>
    <n v="1.75"/>
  </r>
  <r>
    <s v="T203496"/>
    <s v="Titans Vs Mumbai"/>
    <s v="Titans"/>
    <x v="2"/>
    <s v="SaiSudharsan"/>
    <s v="out"/>
    <n v="43"/>
    <n v="31"/>
    <n v="5"/>
    <n v="1"/>
    <n v="3.3333333333333335"/>
  </r>
  <r>
    <s v="T203496"/>
    <s v="Titans Vs Mumbai"/>
    <s v="Titans"/>
    <x v="3"/>
    <s v="HardikPandya"/>
    <s v="not_out"/>
    <n v="28"/>
    <n v="13"/>
    <n v="2"/>
    <n v="2"/>
    <n v="5.5"/>
  </r>
  <r>
    <s v="T203496"/>
    <s v="Titans Vs Mumbai"/>
    <s v="Titans"/>
    <x v="4"/>
    <s v="RashidKhan"/>
    <s v="not_out"/>
    <n v="5"/>
    <n v="2"/>
    <n v="1"/>
    <n v="0"/>
    <n v="6.1875"/>
  </r>
  <r>
    <s v="T203496"/>
    <s v="Titans Vs Mumbai"/>
    <s v="Mumbai"/>
    <x v="0"/>
    <s v="RohitSharma"/>
    <s v="out"/>
    <n v="8"/>
    <n v="7"/>
    <n v="1"/>
    <n v="0"/>
    <n v="5.129032258064516"/>
  </r>
  <r>
    <s v="T203496"/>
    <s v="Titans Vs Mumbai"/>
    <s v="Mumbai"/>
    <x v="1"/>
    <s v="NehalWadhera"/>
    <s v="out"/>
    <n v="4"/>
    <n v="3"/>
    <n v="1"/>
    <n v="0"/>
    <n v="6.333333333333333"/>
  </r>
  <r>
    <s v="T203496"/>
    <s v="Titans Vs Mumbai"/>
    <s v="Mumbai"/>
    <x v="2"/>
    <s v="CameronGreen"/>
    <s v="out"/>
    <n v="30"/>
    <n v="20"/>
    <n v="2"/>
    <n v="2"/>
    <n v="4.8571428571428568"/>
  </r>
  <r>
    <s v="T203496"/>
    <s v="Titans Vs Mumbai"/>
    <s v="Mumbai"/>
    <x v="3"/>
    <s v="SuryakumarYadav"/>
    <s v="out"/>
    <n v="61"/>
    <n v="38"/>
    <n v="7"/>
    <n v="2"/>
    <n v="3.8"/>
  </r>
  <r>
    <s v="T203496"/>
    <s v="Titans Vs Mumbai"/>
    <s v="Mumbai"/>
    <x v="4"/>
    <s v="TilakVarma"/>
    <s v="out"/>
    <n v="43"/>
    <n v="14"/>
    <n v="5"/>
    <n v="3"/>
    <n v="3.75"/>
  </r>
  <r>
    <s v="T203496"/>
    <s v="Titans Vs Mumbai"/>
    <s v="Mumbai"/>
    <x v="5"/>
    <s v="VishnuVinod"/>
    <s v="out"/>
    <n v="5"/>
    <n v="7"/>
    <n v="0"/>
    <n v="0"/>
    <n v="5.129032258064516"/>
  </r>
  <r>
    <s v="T203496"/>
    <s v="Titans Vs Mumbai"/>
    <s v="Mumbai"/>
    <x v="6"/>
    <s v="TimDavid"/>
    <s v="out"/>
    <n v="2"/>
    <n v="3"/>
    <n v="0"/>
    <n v="0"/>
    <n v="6.333333333333333"/>
  </r>
  <r>
    <s v="T203496"/>
    <s v="Titans Vs Mumbai"/>
    <s v="Mumbai"/>
    <x v="7"/>
    <s v="ChrisJordan"/>
    <s v="out"/>
    <n v="2"/>
    <n v="5"/>
    <n v="0"/>
    <n v="0"/>
    <n v="5.5405405405405403"/>
  </r>
  <r>
    <s v="T203496"/>
    <s v="Titans Vs Mumbai"/>
    <s v="Mumbai"/>
    <x v="8"/>
    <s v="PiyushChawla"/>
    <s v="out"/>
    <n v="0"/>
    <n v="2"/>
    <n v="0"/>
    <n v="0"/>
    <n v="6.145161290322581"/>
  </r>
  <r>
    <s v="T203496"/>
    <s v="Titans Vs Mumbai"/>
    <s v="Mumbai"/>
    <x v="9"/>
    <s v="KumarKartikeya"/>
    <s v="out"/>
    <n v="6"/>
    <n v="7"/>
    <n v="1"/>
    <n v="0"/>
    <n v="5.129032258064516"/>
  </r>
  <r>
    <s v="T203496"/>
    <s v="Titans Vs Mumbai"/>
    <s v="Mumbai"/>
    <x v="10"/>
    <s v="JasonBehrendorff"/>
    <s v="not_out"/>
    <n v="3"/>
    <n v="5"/>
    <n v="0"/>
    <n v="0"/>
    <n v="5.5405405405405403"/>
  </r>
  <r>
    <s v="T203571"/>
    <s v="Mumbai Vs Super Giants"/>
    <s v="Mumbai"/>
    <x v="0"/>
    <s v="IshanKishan"/>
    <s v="out"/>
    <n v="15"/>
    <n v="12"/>
    <n v="3"/>
    <n v="0"/>
    <n v="4.541666666666667"/>
  </r>
  <r>
    <s v="T203571"/>
    <s v="Mumbai Vs Super Giants"/>
    <s v="Mumbai"/>
    <x v="1"/>
    <s v="RohitSharma"/>
    <s v="out"/>
    <n v="11"/>
    <n v="10"/>
    <n v="1"/>
    <n v="1"/>
    <n v="4.7777777777777777"/>
  </r>
  <r>
    <s v="T203571"/>
    <s v="Mumbai Vs Super Giants"/>
    <s v="Mumbai"/>
    <x v="2"/>
    <s v="CameronGreen"/>
    <s v="out"/>
    <n v="41"/>
    <n v="23"/>
    <n v="6"/>
    <n v="1"/>
    <n v="5.5882352941176467"/>
  </r>
  <r>
    <s v="T203571"/>
    <s v="Mumbai Vs Super Giants"/>
    <s v="Mumbai"/>
    <x v="3"/>
    <s v="SuryakumarYadav"/>
    <s v="out"/>
    <n v="33"/>
    <n v="20"/>
    <n v="2"/>
    <n v="2"/>
    <n v="4.8571428571428568"/>
  </r>
  <r>
    <s v="T203571"/>
    <s v="Mumbai Vs Super Giants"/>
    <s v="Mumbai"/>
    <x v="4"/>
    <s v="TilakVarma"/>
    <s v="out"/>
    <n v="26"/>
    <n v="22"/>
    <n v="0"/>
    <n v="2"/>
    <n v="4.0588235294117645"/>
  </r>
  <r>
    <s v="T203571"/>
    <s v="Mumbai Vs Super Giants"/>
    <s v="Mumbai"/>
    <x v="5"/>
    <s v="TimDavid"/>
    <s v="out"/>
    <n v="13"/>
    <n v="13"/>
    <n v="1"/>
    <n v="0"/>
    <n v="5.5"/>
  </r>
  <r>
    <s v="T203571"/>
    <s v="Mumbai Vs Super Giants"/>
    <s v="Mumbai"/>
    <x v="6"/>
    <s v="NehalWadhera"/>
    <s v="out"/>
    <n v="23"/>
    <n v="12"/>
    <n v="2"/>
    <n v="2"/>
    <n v="4.541666666666667"/>
  </r>
  <r>
    <s v="T203571"/>
    <s v="Mumbai Vs Super Giants"/>
    <s v="Mumbai"/>
    <x v="7"/>
    <s v="ChrisJordan"/>
    <s v="out"/>
    <n v="4"/>
    <n v="7"/>
    <n v="0"/>
    <n v="0"/>
    <n v="5.129032258064516"/>
  </r>
  <r>
    <s v="T203571"/>
    <s v="Mumbai Vs Super Giants"/>
    <s v="Mumbai"/>
    <x v="8"/>
    <s v="HrithikShokeen"/>
    <s v="not_out"/>
    <n v="0"/>
    <n v="1"/>
    <n v="0"/>
    <n v="0"/>
    <n v="6.5783132530120483"/>
  </r>
  <r>
    <s v="T203571"/>
    <s v="Mumbai Vs Super Giants"/>
    <s v="Super Giants"/>
    <x v="0"/>
    <s v="KyleMayers"/>
    <s v="out"/>
    <n v="18"/>
    <n v="13"/>
    <n v="3"/>
    <n v="0"/>
    <n v="5.4761904761904763"/>
  </r>
  <r>
    <s v="T203571"/>
    <s v="Mumbai Vs Super Giants"/>
    <s v="Super Giants"/>
    <x v="1"/>
    <s v="PrerakMankad"/>
    <s v="out"/>
    <n v="3"/>
    <n v="6"/>
    <n v="0"/>
    <n v="0"/>
    <n v="5.8928571428571432"/>
  </r>
  <r>
    <s v="T203571"/>
    <s v="Mumbai Vs Super Giants"/>
    <s v="Super Giants"/>
    <x v="2"/>
    <s v="KrunalPandya"/>
    <s v="out"/>
    <n v="8"/>
    <n v="11"/>
    <n v="1"/>
    <n v="0"/>
    <n v="5.166666666666667"/>
  </r>
  <r>
    <s v="T203571"/>
    <s v="Mumbai Vs Super Giants"/>
    <s v="Super Giants"/>
    <x v="3"/>
    <s v="MarcusStoinis"/>
    <s v="out"/>
    <n v="40"/>
    <n v="27"/>
    <n v="5"/>
    <n v="1"/>
    <n v="4.4666666666666668"/>
  </r>
  <r>
    <s v="T203571"/>
    <s v="Mumbai Vs Super Giants"/>
    <s v="Super Giants"/>
    <x v="4"/>
    <s v="AyushBadoni"/>
    <s v="out"/>
    <n v="1"/>
    <n v="7"/>
    <n v="0"/>
    <n v="0"/>
    <n v="5.129032258064516"/>
  </r>
  <r>
    <s v="T203571"/>
    <s v="Mumbai Vs Super Giants"/>
    <s v="Super Giants"/>
    <x v="5"/>
    <s v="NicholasPooran"/>
    <s v="out"/>
    <n v="0"/>
    <n v="1"/>
    <n v="0"/>
    <n v="0"/>
    <n v="6.5975609756097562"/>
  </r>
  <r>
    <s v="T203571"/>
    <s v="Mumbai Vs Super Giants"/>
    <s v="Super Giants"/>
    <x v="6"/>
    <s v="DeepakHooda"/>
    <s v="out"/>
    <n v="15"/>
    <n v="13"/>
    <n v="0"/>
    <n v="1"/>
    <n v="5.4761904761904763"/>
  </r>
  <r>
    <s v="T203571"/>
    <s v="Mumbai Vs Super Giants"/>
    <s v="Super Giants"/>
    <x v="7"/>
    <s v="KrishnappaGowtham"/>
    <s v="out"/>
    <n v="2"/>
    <n v="3"/>
    <n v="0"/>
    <n v="0"/>
    <n v="6.32258064516129"/>
  </r>
  <r>
    <s v="T203571"/>
    <s v="Mumbai Vs Super Giants"/>
    <s v="Super Giants"/>
    <x v="8"/>
    <s v="RaviBishnoi"/>
    <s v="out"/>
    <n v="3"/>
    <n v="6"/>
    <n v="0"/>
    <n v="0"/>
    <n v="5.8928571428571432"/>
  </r>
  <r>
    <s v="T203571"/>
    <s v="Mumbai Vs Super Giants"/>
    <s v="Super Giants"/>
    <x v="9"/>
    <s v="Naveen-ul-Haq"/>
    <s v="not_out"/>
    <n v="1"/>
    <n v="5"/>
    <n v="0"/>
    <n v="0"/>
    <n v="5.5405405405405403"/>
  </r>
  <r>
    <s v="T203571"/>
    <s v="Mumbai Vs Super Giants"/>
    <s v="Super Giants"/>
    <x v="10"/>
    <s v="MohsinKhan"/>
    <s v="out"/>
    <n v="0"/>
    <n v="7"/>
    <n v="0"/>
    <n v="0"/>
    <n v="5.129032258064516"/>
  </r>
  <r>
    <s v="T206084"/>
    <s v="Super Kings Vs Titans"/>
    <s v="Super Kings"/>
    <x v="0"/>
    <s v="RuturajGaikwad"/>
    <s v="out"/>
    <n v="60"/>
    <n v="44"/>
    <n v="7"/>
    <n v="1"/>
    <n v="2.8571428571428572"/>
  </r>
  <r>
    <s v="T206084"/>
    <s v="Super Kings Vs Titans"/>
    <s v="Super Kings"/>
    <x v="1"/>
    <s v="DevonConway"/>
    <s v="out"/>
    <n v="40"/>
    <n v="34"/>
    <n v="4"/>
    <n v="0"/>
    <n v="4.6363636363636367"/>
  </r>
  <r>
    <s v="T206084"/>
    <s v="Super Kings Vs Titans"/>
    <s v="Super Kings"/>
    <x v="2"/>
    <s v="ShivamDube"/>
    <s v="out"/>
    <n v="1"/>
    <n v="3"/>
    <n v="0"/>
    <n v="0"/>
    <n v="6.2333333333333334"/>
  </r>
  <r>
    <s v="T206084"/>
    <s v="Super Kings Vs Titans"/>
    <s v="Super Kings"/>
    <x v="3"/>
    <s v="AjinkyaRahane"/>
    <s v="out"/>
    <n v="17"/>
    <n v="10"/>
    <n v="0"/>
    <n v="1"/>
    <n v="4.7777777777777777"/>
  </r>
  <r>
    <s v="T206084"/>
    <s v="Super Kings Vs Titans"/>
    <s v="Super Kings"/>
    <x v="4"/>
    <s v="AmbatiRayudu"/>
    <s v="out"/>
    <n v="17"/>
    <n v="9"/>
    <n v="1"/>
    <n v="1"/>
    <n v="4.6399999999999997"/>
  </r>
  <r>
    <s v="T206084"/>
    <s v="Super Kings Vs Titans"/>
    <s v="Super Kings"/>
    <x v="5"/>
    <s v="RavindraJadeja"/>
    <s v="out"/>
    <n v="22"/>
    <n v="16"/>
    <n v="2"/>
    <n v="0"/>
    <n v="5.7857142857142856"/>
  </r>
  <r>
    <s v="T206084"/>
    <s v="Super Kings Vs Titans"/>
    <s v="Super Kings"/>
    <x v="6"/>
    <s v="MSDhoni"/>
    <s v="out"/>
    <n v="1"/>
    <n v="2"/>
    <n v="0"/>
    <n v="0"/>
    <n v="6.1147540983606561"/>
  </r>
  <r>
    <s v="T206084"/>
    <s v="Super Kings Vs Titans"/>
    <s v="Super Kings"/>
    <x v="7"/>
    <s v="MoeenAli"/>
    <s v="not_out"/>
    <n v="9"/>
    <n v="4"/>
    <n v="0"/>
    <n v="1"/>
    <n v="5.4888888888888889"/>
  </r>
  <r>
    <s v="T206084"/>
    <s v="Super Kings Vs Titans"/>
    <s v="Titans"/>
    <x v="0"/>
    <s v="WriddhimanSaha"/>
    <s v="out"/>
    <n v="12"/>
    <n v="11"/>
    <n v="2"/>
    <n v="0"/>
    <n v="5.166666666666667"/>
  </r>
  <r>
    <s v="T206084"/>
    <s v="Super Kings Vs Titans"/>
    <s v="Titans"/>
    <x v="1"/>
    <s v="ShubmanGill"/>
    <s v="out"/>
    <n v="42"/>
    <n v="38"/>
    <n v="4"/>
    <n v="1"/>
    <n v="3.8"/>
  </r>
  <r>
    <s v="T206084"/>
    <s v="Super Kings Vs Titans"/>
    <s v="Titans"/>
    <x v="2"/>
    <s v="HardikPandya"/>
    <s v="out"/>
    <n v="8"/>
    <n v="7"/>
    <n v="1"/>
    <n v="0"/>
    <n v="5.129032258064516"/>
  </r>
  <r>
    <s v="T206084"/>
    <s v="Super Kings Vs Titans"/>
    <s v="Titans"/>
    <x v="3"/>
    <s v="DasunShanaka"/>
    <s v="out"/>
    <n v="17"/>
    <n v="16"/>
    <n v="1"/>
    <n v="1"/>
    <n v="5.7857142857142856"/>
  </r>
  <r>
    <s v="T206084"/>
    <s v="Super Kings Vs Titans"/>
    <s v="Titans"/>
    <x v="4"/>
    <s v="DavidMiller"/>
    <s v="out"/>
    <n v="4"/>
    <n v="6"/>
    <n v="0"/>
    <n v="0"/>
    <n v="5.8928571428571432"/>
  </r>
  <r>
    <s v="T206084"/>
    <s v="Super Kings Vs Titans"/>
    <s v="Titans"/>
    <x v="5"/>
    <s v="VijayShankar"/>
    <s v="out"/>
    <n v="14"/>
    <n v="10"/>
    <n v="0"/>
    <n v="1"/>
    <n v="4.7777777777777777"/>
  </r>
  <r>
    <s v="T206084"/>
    <s v="Super Kings Vs Titans"/>
    <s v="Titans"/>
    <x v="6"/>
    <s v="RahulTewatia"/>
    <s v="out"/>
    <n v="3"/>
    <n v="5"/>
    <n v="0"/>
    <n v="0"/>
    <n v="5.5405405405405403"/>
  </r>
  <r>
    <s v="T206084"/>
    <s v="Super Kings Vs Titans"/>
    <s v="Titans"/>
    <x v="7"/>
    <s v="RashidKhan"/>
    <s v="out"/>
    <n v="30"/>
    <n v="16"/>
    <n v="3"/>
    <n v="2"/>
    <n v="5.7857142857142856"/>
  </r>
  <r>
    <s v="T206084"/>
    <s v="Super Kings Vs Titans"/>
    <s v="Titans"/>
    <x v="8"/>
    <s v="DarshanNalkande"/>
    <s v="out"/>
    <n v="0"/>
    <n v="1"/>
    <n v="0"/>
    <n v="0"/>
    <n v="6.5949367088607591"/>
  </r>
  <r>
    <s v="T206084"/>
    <s v="Super Kings Vs Titans"/>
    <s v="Titans"/>
    <x v="9"/>
    <s v="NoorAhmad"/>
    <s v="not_out"/>
    <n v="7"/>
    <n v="5"/>
    <n v="1"/>
    <n v="0"/>
    <n v="5.5405405405405403"/>
  </r>
  <r>
    <s v="T206084"/>
    <s v="Super Kings Vs Titans"/>
    <s v="Titans"/>
    <x v="10"/>
    <s v="MohammedShami"/>
    <s v="out"/>
    <n v="5"/>
    <n v="5"/>
    <n v="1"/>
    <n v="0"/>
    <n v="5.5405405405405403"/>
  </r>
  <r>
    <s v="T201605"/>
    <s v="RCB Vs Titans"/>
    <s v="RCB"/>
    <x v="0"/>
    <s v="ViratKohli"/>
    <s v="not_out"/>
    <n v="101"/>
    <n v="61"/>
    <n v="13"/>
    <n v="1"/>
    <n v="3"/>
  </r>
  <r>
    <s v="T201605"/>
    <s v="RCB Vs Titans"/>
    <s v="RCB"/>
    <x v="1"/>
    <s v="FafduPlessis"/>
    <s v="out"/>
    <n v="28"/>
    <n v="19"/>
    <n v="5"/>
    <n v="0"/>
    <n v="4.9411764705882355"/>
  </r>
  <r>
    <s v="T201605"/>
    <s v="RCB Vs Titans"/>
    <s v="RCB"/>
    <x v="2"/>
    <s v="GlennMaxwell"/>
    <s v="out"/>
    <n v="11"/>
    <n v="5"/>
    <n v="1"/>
    <n v="1"/>
    <n v="5.3888888888888893"/>
  </r>
  <r>
    <s v="T201605"/>
    <s v="RCB Vs Titans"/>
    <s v="RCB"/>
    <x v="3"/>
    <s v="MahipalLomror"/>
    <s v="out"/>
    <n v="1"/>
    <n v="3"/>
    <n v="0"/>
    <n v="0"/>
    <n v="6.2068965517241379"/>
  </r>
  <r>
    <s v="T201605"/>
    <s v="RCB Vs Titans"/>
    <s v="RCB"/>
    <x v="4"/>
    <s v="MichaelBracewell"/>
    <s v="out"/>
    <n v="26"/>
    <n v="16"/>
    <n v="5"/>
    <n v="0"/>
    <n v="5.7857142857142856"/>
  </r>
  <r>
    <s v="T201605"/>
    <s v="RCB Vs Titans"/>
    <s v="RCB"/>
    <x v="5"/>
    <s v="DineshKarthik"/>
    <s v="out"/>
    <n v="0"/>
    <n v="1"/>
    <n v="0"/>
    <n v="0"/>
    <n v="6.6282051282051286"/>
  </r>
  <r>
    <s v="T201605"/>
    <s v="RCB Vs Titans"/>
    <s v="RCB"/>
    <x v="6"/>
    <s v="AnujRawat"/>
    <s v="not_out"/>
    <n v="23"/>
    <n v="15"/>
    <n v="1"/>
    <n v="1"/>
    <n v="4.6470588235294121"/>
  </r>
  <r>
    <s v="T201605"/>
    <s v="RCB Vs Titans"/>
    <s v="Titans"/>
    <x v="0"/>
    <s v="WriddhimanSaha"/>
    <s v="out"/>
    <n v="12"/>
    <n v="14"/>
    <n v="2"/>
    <n v="0"/>
    <n v="3.5454545454545454"/>
  </r>
  <r>
    <s v="T201605"/>
    <s v="RCB Vs Titans"/>
    <s v="Titans"/>
    <x v="1"/>
    <s v="ShubmanGill"/>
    <s v="not_out"/>
    <n v="104"/>
    <n v="52"/>
    <n v="5"/>
    <n v="8"/>
    <n v="3.4"/>
  </r>
  <r>
    <s v="T201605"/>
    <s v="RCB Vs Titans"/>
    <s v="Titans"/>
    <x v="2"/>
    <s v="VijayShankar"/>
    <s v="out"/>
    <n v="53"/>
    <n v="35"/>
    <n v="7"/>
    <n v="2"/>
    <n v="3.375"/>
  </r>
  <r>
    <s v="T201605"/>
    <s v="RCB Vs Titans"/>
    <s v="Titans"/>
    <x v="3"/>
    <s v="DasunShanaka"/>
    <s v="out"/>
    <n v="0"/>
    <n v="3"/>
    <n v="0"/>
    <n v="0"/>
    <n v="6.2068965517241379"/>
  </r>
  <r>
    <s v="T201605"/>
    <s v="RCB Vs Titans"/>
    <s v="Titans"/>
    <x v="4"/>
    <s v="DavidMiller"/>
    <s v="out"/>
    <n v="6"/>
    <n v="7"/>
    <n v="1"/>
    <n v="0"/>
    <n v="4.9666666666666668"/>
  </r>
  <r>
    <s v="T201605"/>
    <s v="RCB Vs Titans"/>
    <s v="Titans"/>
    <x v="5"/>
    <s v="RahulTewatia"/>
    <s v="not_out"/>
    <n v="4"/>
    <n v="5"/>
    <n v="0"/>
    <n v="0"/>
    <n v="5.3888888888888893"/>
  </r>
  <r>
    <s v="T206817"/>
    <s v="Sunrisers Vs Mumbai"/>
    <s v="Sunrisers"/>
    <x v="0"/>
    <s v="VivrantSharma"/>
    <s v="out"/>
    <n v="69"/>
    <n v="47"/>
    <n v="9"/>
    <n v="2"/>
    <n v="2.2857142857142856"/>
  </r>
  <r>
    <s v="T206817"/>
    <s v="Sunrisers Vs Mumbai"/>
    <s v="Sunrisers"/>
    <x v="1"/>
    <s v="MayankAgarwal"/>
    <s v="out"/>
    <n v="83"/>
    <n v="46"/>
    <n v="8"/>
    <n v="4"/>
    <n v="4"/>
  </r>
  <r>
    <s v="T206817"/>
    <s v="Sunrisers Vs Mumbai"/>
    <s v="Sunrisers"/>
    <x v="2"/>
    <s v="HeinrichKlaasen"/>
    <s v="out"/>
    <n v="18"/>
    <n v="13"/>
    <n v="2"/>
    <n v="0"/>
    <n v="5.4761904761904763"/>
  </r>
  <r>
    <s v="T206817"/>
    <s v="Sunrisers Vs Mumbai"/>
    <s v="Sunrisers"/>
    <x v="3"/>
    <s v="GlennPhillips"/>
    <s v="out"/>
    <n v="1"/>
    <n v="4"/>
    <n v="0"/>
    <n v="0"/>
    <n v="5.4883720930232558"/>
  </r>
  <r>
    <s v="T206817"/>
    <s v="Sunrisers Vs Mumbai"/>
    <s v="Sunrisers"/>
    <x v="4"/>
    <s v="AidenMarkram"/>
    <s v="not_out"/>
    <n v="13"/>
    <n v="7"/>
    <n v="0"/>
    <n v="1"/>
    <n v="4.9666666666666668"/>
  </r>
  <r>
    <s v="T206817"/>
    <s v="Sunrisers Vs Mumbai"/>
    <s v="Sunrisers"/>
    <x v="5"/>
    <s v="HarryBrook"/>
    <s v="out"/>
    <n v="0"/>
    <n v="1"/>
    <n v="0"/>
    <n v="0"/>
    <n v="6.662337662337662"/>
  </r>
  <r>
    <s v="T206817"/>
    <s v="Sunrisers Vs Mumbai"/>
    <s v="Sunrisers"/>
    <x v="6"/>
    <s v="SanvirSingh"/>
    <s v="not_out"/>
    <n v="4"/>
    <n v="3"/>
    <n v="1"/>
    <n v="0"/>
    <n v="6.2068965517241379"/>
  </r>
  <r>
    <s v="T206817"/>
    <s v="Sunrisers Vs Mumbai"/>
    <s v="Mumbai"/>
    <x v="0"/>
    <s v="IshanKishan"/>
    <s v="out"/>
    <n v="14"/>
    <n v="12"/>
    <n v="1"/>
    <n v="1"/>
    <n v="4.8636363636363633"/>
  </r>
  <r>
    <s v="T206817"/>
    <s v="Sunrisers Vs Mumbai"/>
    <s v="Mumbai"/>
    <x v="1"/>
    <s v="RohitSharma"/>
    <s v="out"/>
    <n v="56"/>
    <n v="37"/>
    <n v="8"/>
    <n v="1"/>
    <n v="3.2857142857142856"/>
  </r>
  <r>
    <s v="T206817"/>
    <s v="Sunrisers Vs Mumbai"/>
    <s v="Mumbai"/>
    <x v="2"/>
    <s v="CameronGreen"/>
    <s v="not_out"/>
    <n v="100"/>
    <n v="47"/>
    <n v="8"/>
    <n v="8"/>
    <n v="2.2857142857142856"/>
  </r>
  <r>
    <s v="T206817"/>
    <s v="Sunrisers Vs Mumbai"/>
    <s v="Mumbai"/>
    <x v="3"/>
    <s v="SuryakumarYadav"/>
    <s v="not_out"/>
    <n v="25"/>
    <n v="16"/>
    <n v="4"/>
    <n v="0"/>
    <n v="5.7857142857142856"/>
  </r>
  <r>
    <s v="T203370"/>
    <s v="Super Giants Vs KKR"/>
    <s v="Super Giants"/>
    <x v="0"/>
    <s v="KaranSharma"/>
    <s v="out"/>
    <n v="3"/>
    <n v="5"/>
    <n v="0"/>
    <n v="0"/>
    <n v="5.3888888888888893"/>
  </r>
  <r>
    <s v="T203370"/>
    <s v="Super Giants Vs KKR"/>
    <s v="Super Giants"/>
    <x v="1"/>
    <s v="QuintondeKock"/>
    <s v="out"/>
    <n v="28"/>
    <n v="27"/>
    <n v="0"/>
    <n v="2"/>
    <n v="4.4666666666666668"/>
  </r>
  <r>
    <s v="T203370"/>
    <s v="Super Giants Vs KKR"/>
    <s v="Super Giants"/>
    <x v="2"/>
    <s v="PrerakMankad"/>
    <s v="out"/>
    <n v="26"/>
    <n v="20"/>
    <n v="5"/>
    <n v="0"/>
    <n v="4.8571428571428568"/>
  </r>
  <r>
    <s v="T203370"/>
    <s v="Super Giants Vs KKR"/>
    <s v="Super Giants"/>
    <x v="3"/>
    <s v="MarcusStoinis"/>
    <s v="out"/>
    <n v="0"/>
    <n v="2"/>
    <n v="0"/>
    <n v="0"/>
    <n v="6.1147540983606561"/>
  </r>
  <r>
    <s v="T203370"/>
    <s v="Super Giants Vs KKR"/>
    <s v="Super Giants"/>
    <x v="4"/>
    <s v="KrunalPandya"/>
    <s v="out"/>
    <n v="9"/>
    <n v="8"/>
    <n v="0"/>
    <n v="1"/>
    <n v="4.71875"/>
  </r>
  <r>
    <s v="T203370"/>
    <s v="Super Giants Vs KKR"/>
    <s v="Super Giants"/>
    <x v="5"/>
    <s v="AyushBadoni"/>
    <s v="out"/>
    <n v="25"/>
    <n v="21"/>
    <n v="2"/>
    <n v="1"/>
    <n v="4.7777777777777777"/>
  </r>
  <r>
    <s v="T203370"/>
    <s v="Super Giants Vs KKR"/>
    <s v="Super Giants"/>
    <x v="6"/>
    <s v="NicholasPooran"/>
    <s v="out"/>
    <n v="58"/>
    <n v="30"/>
    <n v="4"/>
    <n v="5"/>
    <n v="3.9230769230769229"/>
  </r>
  <r>
    <s v="T203370"/>
    <s v="Super Giants Vs KKR"/>
    <s v="Super Giants"/>
    <x v="7"/>
    <s v="KrishnappaGowtham"/>
    <s v="not_out"/>
    <n v="11"/>
    <n v="4"/>
    <n v="1"/>
    <n v="1"/>
    <n v="5.4523809523809526"/>
  </r>
  <r>
    <s v="T203370"/>
    <s v="Super Giants Vs KKR"/>
    <s v="Super Giants"/>
    <x v="8"/>
    <s v="RaviBishnoi"/>
    <s v="out"/>
    <n v="2"/>
    <n v="2"/>
    <n v="0"/>
    <n v="0"/>
    <n v="6.1147540983606561"/>
  </r>
  <r>
    <s v="T203370"/>
    <s v="Super Giants Vs KKR"/>
    <s v="Super Giants"/>
    <x v="9"/>
    <s v="Naveen-ul-Haq"/>
    <s v="not_out"/>
    <n v="2"/>
    <n v="3"/>
    <n v="0"/>
    <n v="0"/>
    <n v="6.3928571428571432"/>
  </r>
  <r>
    <s v="T203370"/>
    <s v="Super Giants Vs KKR"/>
    <s v="KKR"/>
    <x v="0"/>
    <s v="JasonRoy"/>
    <s v="out"/>
    <n v="45"/>
    <n v="28"/>
    <n v="7"/>
    <n v="1"/>
    <n v="3.6666666666666665"/>
  </r>
  <r>
    <s v="T203370"/>
    <s v="Super Giants Vs KKR"/>
    <s v="KKR"/>
    <x v="1"/>
    <s v="VenkateshIyer"/>
    <s v="out"/>
    <n v="24"/>
    <n v="15"/>
    <n v="3"/>
    <n v="1"/>
    <n v="4.6470588235294121"/>
  </r>
  <r>
    <s v="T203370"/>
    <s v="Super Giants Vs KKR"/>
    <s v="KKR"/>
    <x v="2"/>
    <s v="NitishRana"/>
    <s v="out"/>
    <n v="8"/>
    <n v="10"/>
    <n v="1"/>
    <n v="0"/>
    <n v="4.7777777777777777"/>
  </r>
  <r>
    <s v="T203370"/>
    <s v="Super Giants Vs KKR"/>
    <s v="KKR"/>
    <x v="3"/>
    <s v="RahmanullahGurbaz"/>
    <s v="out"/>
    <n v="10"/>
    <n v="15"/>
    <n v="0"/>
    <n v="0"/>
    <n v="4.6470588235294121"/>
  </r>
  <r>
    <s v="T203370"/>
    <s v="Super Giants Vs KKR"/>
    <s v="KKR"/>
    <x v="4"/>
    <s v="RinkuSingh"/>
    <s v="not_out"/>
    <n v="67"/>
    <n v="33"/>
    <n v="6"/>
    <n v="4"/>
    <n v="2"/>
  </r>
  <r>
    <s v="T203370"/>
    <s v="Super Giants Vs KKR"/>
    <s v="KKR"/>
    <x v="5"/>
    <s v="AndreRussell"/>
    <s v="out"/>
    <n v="7"/>
    <n v="9"/>
    <n v="0"/>
    <n v="1"/>
    <n v="4.4782608695652177"/>
  </r>
  <r>
    <s v="T203370"/>
    <s v="Super Giants Vs KKR"/>
    <s v="KKR"/>
    <x v="6"/>
    <s v="ShardulThakur"/>
    <s v="out"/>
    <n v="3"/>
    <n v="7"/>
    <n v="0"/>
    <n v="0"/>
    <n v="4.931034482758621"/>
  </r>
  <r>
    <s v="T203370"/>
    <s v="Super Giants Vs KKR"/>
    <s v="KKR"/>
    <x v="7"/>
    <s v="SunilNarine"/>
    <s v="out"/>
    <n v="1"/>
    <n v="2"/>
    <n v="0"/>
    <n v="0"/>
    <n v="6"/>
  </r>
  <r>
    <s v="T203370"/>
    <s v="Super Giants Vs KKR"/>
    <s v="KKR"/>
    <x v="8"/>
    <s v="VaibhavArora"/>
    <s v="not_out"/>
    <n v="1"/>
    <n v="1"/>
    <n v="0"/>
    <n v="0"/>
    <n v="6.6447368421052628"/>
  </r>
  <r>
    <s v="T206925"/>
    <s v="Super Kings Vs Capitals"/>
    <s v="Super Kings"/>
    <x v="0"/>
    <s v="RuturajGaikwad"/>
    <s v="out"/>
    <n v="79"/>
    <n v="50"/>
    <n v="3"/>
    <n v="7"/>
    <n v="2.8571428571428572"/>
  </r>
  <r>
    <s v="T206925"/>
    <s v="Super Kings Vs Capitals"/>
    <s v="Super Kings"/>
    <x v="1"/>
    <s v="DevonConway"/>
    <s v="out"/>
    <n v="87"/>
    <n v="52"/>
    <n v="11"/>
    <n v="3"/>
    <n v="3.4"/>
  </r>
  <r>
    <s v="T206925"/>
    <s v="Super Kings Vs Capitals"/>
    <s v="Super Kings"/>
    <x v="2"/>
    <s v="ShivamDube"/>
    <s v="out"/>
    <n v="22"/>
    <n v="9"/>
    <n v="0"/>
    <n v="3"/>
    <n v="4.4782608695652177"/>
  </r>
  <r>
    <s v="T206925"/>
    <s v="Super Kings Vs Capitals"/>
    <s v="Super Kings"/>
    <x v="3"/>
    <s v="MSDhoni"/>
    <s v="not_out"/>
    <n v="5"/>
    <n v="4"/>
    <n v="0"/>
    <n v="0"/>
    <n v="5.4523809523809526"/>
  </r>
  <r>
    <s v="T206925"/>
    <s v="Super Kings Vs Capitals"/>
    <s v="Super Kings"/>
    <x v="4"/>
    <s v="RavindraJadeja"/>
    <s v="not_out"/>
    <n v="20"/>
    <n v="7"/>
    <n v="3"/>
    <n v="1"/>
    <n v="4.931034482758621"/>
  </r>
  <r>
    <s v="T206925"/>
    <s v="Super Kings Vs Capitals"/>
    <s v="Capitals"/>
    <x v="0"/>
    <s v="PrithviShaw"/>
    <s v="out"/>
    <n v="5"/>
    <n v="7"/>
    <n v="1"/>
    <n v="0"/>
    <n v="4.931034482758621"/>
  </r>
  <r>
    <s v="T206925"/>
    <s v="Super Kings Vs Capitals"/>
    <s v="Capitals"/>
    <x v="1"/>
    <s v="DavidWarner"/>
    <s v="out"/>
    <n v="86"/>
    <n v="58"/>
    <n v="7"/>
    <n v="5"/>
    <n v="4.5"/>
  </r>
  <r>
    <s v="T206925"/>
    <s v="Super Kings Vs Capitals"/>
    <s v="Capitals"/>
    <x v="2"/>
    <s v="PhilSalt"/>
    <s v="out"/>
    <n v="3"/>
    <n v="6"/>
    <n v="0"/>
    <n v="0"/>
    <n v="5.9259259259259256"/>
  </r>
  <r>
    <s v="T206925"/>
    <s v="Super Kings Vs Capitals"/>
    <s v="Capitals"/>
    <x v="3"/>
    <s v="RileeRossouw"/>
    <s v="out"/>
    <n v="0"/>
    <n v="1"/>
    <n v="0"/>
    <n v="0"/>
    <n v="6.6133333333333333"/>
  </r>
  <r>
    <s v="T206925"/>
    <s v="Super Kings Vs Capitals"/>
    <s v="Capitals"/>
    <x v="4"/>
    <s v="YashDhull"/>
    <s v="out"/>
    <n v="13"/>
    <n v="15"/>
    <n v="1"/>
    <n v="0"/>
    <n v="4.6470588235294121"/>
  </r>
  <r>
    <s v="T206925"/>
    <s v="Super Kings Vs Capitals"/>
    <s v="Capitals"/>
    <x v="5"/>
    <s v="AxarPatel"/>
    <s v="out"/>
    <n v="15"/>
    <n v="8"/>
    <n v="1"/>
    <n v="1"/>
    <n v="4.774193548387097"/>
  </r>
  <r>
    <s v="T206925"/>
    <s v="Super Kings Vs Capitals"/>
    <s v="Capitals"/>
    <x v="6"/>
    <s v="AmanHakimKhan"/>
    <s v="out"/>
    <n v="7"/>
    <n v="9"/>
    <n v="1"/>
    <n v="0"/>
    <n v="4.4782608695652177"/>
  </r>
  <r>
    <s v="T206925"/>
    <s v="Super Kings Vs Capitals"/>
    <s v="Capitals"/>
    <x v="7"/>
    <s v="LalitYadav"/>
    <s v="out"/>
    <n v="6"/>
    <n v="12"/>
    <n v="0"/>
    <n v="0"/>
    <n v="4.8636363636363633"/>
  </r>
  <r>
    <s v="T206925"/>
    <s v="Super Kings Vs Capitals"/>
    <s v="Capitals"/>
    <x v="8"/>
    <s v="AnrichNortje"/>
    <s v="not_out"/>
    <n v="0"/>
    <n v="1"/>
    <n v="0"/>
    <n v="0"/>
    <n v="6.6133333333333333"/>
  </r>
  <r>
    <s v="T206925"/>
    <s v="Super Kings Vs Capitals"/>
    <s v="Capitals"/>
    <x v="9"/>
    <s v="KuldeepYadav"/>
    <s v="out"/>
    <n v="0"/>
    <n v="1"/>
    <n v="0"/>
    <n v="0"/>
    <n v="6.6133333333333333"/>
  </r>
  <r>
    <s v="T206925"/>
    <s v="Super Kings Vs Capitals"/>
    <s v="Capitals"/>
    <x v="10"/>
    <s v="ChetanSakariya"/>
    <s v="not_out"/>
    <n v="0"/>
    <n v="2"/>
    <n v="0"/>
    <n v="0"/>
    <n v="6"/>
  </r>
  <r>
    <s v="T205037"/>
    <s v="Punjab Kings Vs Royals"/>
    <s v="Punjab Kings"/>
    <x v="0"/>
    <s v="PrabhsimranSingh"/>
    <s v="out"/>
    <n v="2"/>
    <n v="2"/>
    <n v="0"/>
    <n v="0"/>
    <n v="6"/>
  </r>
  <r>
    <s v="T205037"/>
    <s v="Punjab Kings Vs Royals"/>
    <s v="Punjab Kings"/>
    <x v="1"/>
    <s v="ShikharDhawan"/>
    <s v="out"/>
    <n v="17"/>
    <n v="12"/>
    <n v="2"/>
    <n v="1"/>
    <n v="4.8636363636363633"/>
  </r>
  <r>
    <s v="T205037"/>
    <s v="Punjab Kings Vs Royals"/>
    <s v="Punjab Kings"/>
    <x v="2"/>
    <s v="AtharvaTaide"/>
    <s v="out"/>
    <n v="19"/>
    <n v="12"/>
    <n v="3"/>
    <n v="1"/>
    <n v="4.8636363636363633"/>
  </r>
  <r>
    <s v="T205037"/>
    <s v="Punjab Kings Vs Royals"/>
    <s v="Punjab Kings"/>
    <x v="3"/>
    <s v="LiamLivingstone"/>
    <s v="out"/>
    <n v="9"/>
    <n v="13"/>
    <n v="1"/>
    <n v="0"/>
    <n v="5.5263157894736841"/>
  </r>
  <r>
    <s v="T205037"/>
    <s v="Punjab Kings Vs Royals"/>
    <s v="Punjab Kings"/>
    <x v="4"/>
    <s v="SamCurran"/>
    <s v="not_out"/>
    <n v="49"/>
    <n v="31"/>
    <n v="4"/>
    <n v="2"/>
    <n v="3.3333333333333335"/>
  </r>
  <r>
    <s v="T205037"/>
    <s v="Punjab Kings Vs Royals"/>
    <s v="Punjab Kings"/>
    <x v="5"/>
    <s v="JiteshSharma"/>
    <s v="out"/>
    <n v="44"/>
    <n v="28"/>
    <n v="3"/>
    <n v="3"/>
    <n v="3.6666666666666665"/>
  </r>
  <r>
    <s v="T205037"/>
    <s v="Punjab Kings Vs Royals"/>
    <s v="Punjab Kings"/>
    <x v="6"/>
    <s v="MShahrukhKhan"/>
    <s v="not_out"/>
    <n v="41"/>
    <n v="23"/>
    <n v="4"/>
    <n v="2"/>
    <n v="5.4"/>
  </r>
  <r>
    <s v="T205037"/>
    <s v="Punjab Kings Vs Royals"/>
    <s v="Royals"/>
    <x v="0"/>
    <s v="YashasviJaiswal"/>
    <s v="out"/>
    <n v="50"/>
    <n v="36"/>
    <n v="8"/>
    <n v="0"/>
    <n v="4.4000000000000004"/>
  </r>
  <r>
    <s v="T205037"/>
    <s v="Punjab Kings Vs Royals"/>
    <s v="Royals"/>
    <x v="1"/>
    <s v="JosButtler"/>
    <s v="out"/>
    <n v="0"/>
    <n v="4"/>
    <n v="0"/>
    <n v="0"/>
    <n v="5.4523809523809526"/>
  </r>
  <r>
    <s v="T205037"/>
    <s v="Punjab Kings Vs Royals"/>
    <s v="Royals"/>
    <x v="2"/>
    <s v="DevduttPadikkal"/>
    <s v="out"/>
    <n v="51"/>
    <n v="30"/>
    <n v="5"/>
    <n v="3"/>
    <n v="3.9230769230769229"/>
  </r>
  <r>
    <s v="T205037"/>
    <s v="Punjab Kings Vs Royals"/>
    <s v="Royals"/>
    <x v="3"/>
    <s v="SanjuSamson"/>
    <s v="out"/>
    <n v="2"/>
    <n v="3"/>
    <n v="0"/>
    <n v="0"/>
    <n v="6.5"/>
  </r>
  <r>
    <s v="T205037"/>
    <s v="Punjab Kings Vs Royals"/>
    <s v="Royals"/>
    <x v="4"/>
    <s v="ShimronHetmyer"/>
    <s v="out"/>
    <n v="46"/>
    <n v="28"/>
    <n v="4"/>
    <n v="3"/>
    <n v="3.6666666666666665"/>
  </r>
  <r>
    <s v="T205037"/>
    <s v="Punjab Kings Vs Royals"/>
    <s v="Royals"/>
    <x v="5"/>
    <s v="RiyanParag"/>
    <s v="out"/>
    <n v="20"/>
    <n v="12"/>
    <n v="1"/>
    <n v="2"/>
    <n v="4.8636363636363633"/>
  </r>
  <r>
    <s v="T205037"/>
    <s v="Punjab Kings Vs Royals"/>
    <s v="Royals"/>
    <x v="6"/>
    <s v="DhruvJurel"/>
    <s v="not_out"/>
    <n v="10"/>
    <n v="4"/>
    <n v="0"/>
    <n v="1"/>
    <n v="5.4523809523809526"/>
  </r>
  <r>
    <s v="T205037"/>
    <s v="Punjab Kings Vs Royals"/>
    <s v="Royals"/>
    <x v="7"/>
    <s v="TrentBoult"/>
    <s v="not_out"/>
    <n v="1"/>
    <n v="2"/>
    <n v="0"/>
    <n v="0"/>
    <n v="6.1228070175438596"/>
  </r>
  <r>
    <s v="T202467"/>
    <s v="Sunrisers Vs RCB"/>
    <s v="Sunrisers"/>
    <x v="0"/>
    <s v="AbhishekSharma"/>
    <s v="out"/>
    <n v="11"/>
    <n v="14"/>
    <n v="2"/>
    <n v="0"/>
    <n v="3.8"/>
  </r>
  <r>
    <s v="T202467"/>
    <s v="Sunrisers Vs RCB"/>
    <s v="Sunrisers"/>
    <x v="1"/>
    <s v="RahulTripathi"/>
    <s v="out"/>
    <n v="15"/>
    <n v="12"/>
    <n v="2"/>
    <n v="1"/>
    <n v="4.8636363636363633"/>
  </r>
  <r>
    <s v="T202467"/>
    <s v="Sunrisers Vs RCB"/>
    <s v="Sunrisers"/>
    <x v="2"/>
    <s v="AidenMarkram"/>
    <s v="out"/>
    <n v="18"/>
    <n v="20"/>
    <n v="0"/>
    <n v="0"/>
    <n v="4.7894736842105265"/>
  </r>
  <r>
    <s v="T202467"/>
    <s v="Sunrisers Vs RCB"/>
    <s v="Sunrisers"/>
    <x v="3"/>
    <s v="HeinrichKlaasen"/>
    <s v="out"/>
    <n v="104"/>
    <n v="51"/>
    <n v="8"/>
    <n v="6"/>
    <n v="3.4"/>
  </r>
  <r>
    <s v="T202467"/>
    <s v="Sunrisers Vs RCB"/>
    <s v="Sunrisers"/>
    <x v="4"/>
    <s v="HarryBrook"/>
    <s v="not_out"/>
    <n v="27"/>
    <n v="19"/>
    <n v="2"/>
    <n v="1"/>
    <n v="5.0625"/>
  </r>
  <r>
    <s v="T202467"/>
    <s v="Sunrisers Vs RCB"/>
    <s v="Sunrisers"/>
    <x v="5"/>
    <s v="GlennPhillips"/>
    <s v="out"/>
    <n v="5"/>
    <n v="4"/>
    <n v="1"/>
    <n v="0"/>
    <n v="5.4523809523809526"/>
  </r>
  <r>
    <s v="T202467"/>
    <s v="Sunrisers Vs RCB"/>
    <s v="RCB"/>
    <x v="0"/>
    <s v="ViratKohli"/>
    <s v="out"/>
    <n v="100"/>
    <n v="63"/>
    <n v="12"/>
    <n v="4"/>
    <n v="3.3333333333333335"/>
  </r>
  <r>
    <s v="T202467"/>
    <s v="Sunrisers Vs RCB"/>
    <s v="RCB"/>
    <x v="1"/>
    <s v="FafduPlessis"/>
    <s v="out"/>
    <n v="71"/>
    <n v="47"/>
    <n v="7"/>
    <n v="2"/>
    <n v="2.2857142857142856"/>
  </r>
  <r>
    <s v="T202467"/>
    <s v="Sunrisers Vs RCB"/>
    <s v="RCB"/>
    <x v="2"/>
    <s v="GlennMaxwell"/>
    <s v="not_out"/>
    <n v="5"/>
    <n v="3"/>
    <n v="1"/>
    <n v="0"/>
    <n v="6.5"/>
  </r>
  <r>
    <s v="T202467"/>
    <s v="Sunrisers Vs RCB"/>
    <s v="RCB"/>
    <x v="3"/>
    <s v="MichaelBracewell"/>
    <s v="not_out"/>
    <n v="4"/>
    <n v="4"/>
    <n v="0"/>
    <n v="0"/>
    <n v="5.4523809523809526"/>
  </r>
  <r>
    <s v="T201082"/>
    <s v="Capitals Vs Punjab Kings"/>
    <s v="Capitals"/>
    <x v="0"/>
    <s v="DavidWarner"/>
    <s v="out"/>
    <n v="46"/>
    <n v="31"/>
    <n v="5"/>
    <n v="2"/>
    <n v="3.3333333333333335"/>
  </r>
  <r>
    <s v="T201082"/>
    <s v="Capitals Vs Punjab Kings"/>
    <s v="Capitals"/>
    <x v="1"/>
    <s v="PrithviShaw"/>
    <s v="out"/>
    <n v="54"/>
    <n v="38"/>
    <n v="7"/>
    <n v="1"/>
    <n v="3.8"/>
  </r>
  <r>
    <s v="T201082"/>
    <s v="Capitals Vs Punjab Kings"/>
    <s v="Capitals"/>
    <x v="2"/>
    <s v="RileeRossouw"/>
    <s v="not_out"/>
    <n v="82"/>
    <n v="37"/>
    <n v="6"/>
    <n v="6"/>
    <n v="3.2857142857142856"/>
  </r>
  <r>
    <s v="T201082"/>
    <s v="Capitals Vs Punjab Kings"/>
    <s v="Capitals"/>
    <x v="3"/>
    <s v="PhilSalt"/>
    <s v="not_out"/>
    <n v="26"/>
    <n v="14"/>
    <n v="2"/>
    <n v="2"/>
    <n v="3.8"/>
  </r>
  <r>
    <s v="T201082"/>
    <s v="Capitals Vs Punjab Kings"/>
    <s v="Punjab Kings"/>
    <x v="0"/>
    <s v="PrabhsimranSingh"/>
    <s v="out"/>
    <n v="22"/>
    <n v="19"/>
    <n v="4"/>
    <n v="0"/>
    <n v="5.0625"/>
  </r>
  <r>
    <s v="T201082"/>
    <s v="Capitals Vs Punjab Kings"/>
    <s v="Punjab Kings"/>
    <x v="1"/>
    <s v="ShikharDhawan"/>
    <s v="out"/>
    <n v="0"/>
    <n v="1"/>
    <n v="0"/>
    <n v="0"/>
    <n v="6.5945945945945947"/>
  </r>
  <r>
    <s v="T201082"/>
    <s v="Capitals Vs Punjab Kings"/>
    <s v="Punjab Kings"/>
    <x v="2"/>
    <s v="AtharvaTaide"/>
    <s v="out"/>
    <n v="55"/>
    <n v="42"/>
    <n v="5"/>
    <n v="2"/>
    <n v="3.5"/>
  </r>
  <r>
    <s v="T201082"/>
    <s v="Capitals Vs Punjab Kings"/>
    <s v="Punjab Kings"/>
    <x v="3"/>
    <s v="LiamLivingstone"/>
    <s v="out"/>
    <n v="94"/>
    <n v="48"/>
    <n v="5"/>
    <n v="9"/>
    <n v="3.3333333333333335"/>
  </r>
  <r>
    <s v="T201082"/>
    <s v="Capitals Vs Punjab Kings"/>
    <s v="Punjab Kings"/>
    <x v="4"/>
    <s v="JiteshSharma"/>
    <s v="out"/>
    <n v="0"/>
    <n v="3"/>
    <n v="0"/>
    <n v="0"/>
    <n v="6.5"/>
  </r>
  <r>
    <s v="T201082"/>
    <s v="Capitals Vs Punjab Kings"/>
    <s v="Punjab Kings"/>
    <x v="5"/>
    <s v="MShahrukhKhan"/>
    <s v="out"/>
    <n v="6"/>
    <n v="3"/>
    <n v="0"/>
    <n v="1"/>
    <n v="6.5"/>
  </r>
  <r>
    <s v="T201082"/>
    <s v="Capitals Vs Punjab Kings"/>
    <s v="Punjab Kings"/>
    <x v="6"/>
    <s v="SamCurran"/>
    <s v="out"/>
    <n v="11"/>
    <n v="5"/>
    <n v="1"/>
    <n v="1"/>
    <n v="5.625"/>
  </r>
  <r>
    <s v="T201082"/>
    <s v="Capitals Vs Punjab Kings"/>
    <s v="Punjab Kings"/>
    <x v="7"/>
    <s v="HarpreetBrar"/>
    <s v="out"/>
    <n v="0"/>
    <n v="1"/>
    <n v="0"/>
    <n v="0"/>
    <n v="6.5945945945945947"/>
  </r>
  <r>
    <s v="T201082"/>
    <s v="Capitals Vs Punjab Kings"/>
    <s v="Punjab Kings"/>
    <x v="8"/>
    <s v="RahulChahar"/>
    <s v="not_out"/>
    <n v="0"/>
    <n v="0"/>
    <n v="0"/>
    <n v="0"/>
    <n v="5.6428571428571432"/>
  </r>
  <r>
    <s v="T208249"/>
    <s v="Super Giants Vs Mumbai"/>
    <s v="Super Giants"/>
    <x v="0"/>
    <s v="DeepakHooda"/>
    <s v="out"/>
    <n v="5"/>
    <n v="7"/>
    <n v="0"/>
    <n v="0"/>
    <n v="4.8571428571428568"/>
  </r>
  <r>
    <s v="T208249"/>
    <s v="Super Giants Vs Mumbai"/>
    <s v="Super Giants"/>
    <x v="1"/>
    <s v="QuintondeKock"/>
    <s v="out"/>
    <n v="16"/>
    <n v="15"/>
    <n v="0"/>
    <n v="2"/>
    <n v="4.7333333333333334"/>
  </r>
  <r>
    <s v="T208249"/>
    <s v="Super Giants Vs Mumbai"/>
    <s v="Super Giants"/>
    <x v="2"/>
    <s v="PrerakMankad"/>
    <s v="out"/>
    <n v="0"/>
    <n v="1"/>
    <n v="0"/>
    <n v="0"/>
    <n v="6.5945945945945947"/>
  </r>
  <r>
    <s v="T208249"/>
    <s v="Super Giants Vs Mumbai"/>
    <s v="Super Giants"/>
    <x v="3"/>
    <s v="KrunalPandya"/>
    <s v="out"/>
    <n v="49"/>
    <n v="42"/>
    <n v="1"/>
    <n v="1"/>
    <n v="3.5"/>
  </r>
  <r>
    <s v="T208249"/>
    <s v="Super Giants Vs Mumbai"/>
    <s v="Super Giants"/>
    <x v="4"/>
    <s v="MarcusStoinis"/>
    <s v="not_out"/>
    <n v="89"/>
    <n v="47"/>
    <n v="4"/>
    <n v="8"/>
    <n v="2.2857142857142856"/>
  </r>
  <r>
    <s v="T208249"/>
    <s v="Super Giants Vs Mumbai"/>
    <s v="Super Giants"/>
    <x v="5"/>
    <s v="NicholasPooran"/>
    <s v="not_out"/>
    <n v="8"/>
    <n v="8"/>
    <n v="1"/>
    <n v="0"/>
    <n v="4.774193548387097"/>
  </r>
  <r>
    <s v="T208249"/>
    <s v="Super Giants Vs Mumbai"/>
    <s v="Mumbai"/>
    <x v="0"/>
    <s v="IshanKishan"/>
    <s v="out"/>
    <n v="59"/>
    <n v="39"/>
    <n v="8"/>
    <n v="1"/>
    <n v="2.75"/>
  </r>
  <r>
    <s v="T208249"/>
    <s v="Super Giants Vs Mumbai"/>
    <s v="Mumbai"/>
    <x v="1"/>
    <s v="RohitSharma"/>
    <s v="out"/>
    <n v="37"/>
    <n v="25"/>
    <n v="1"/>
    <n v="3"/>
    <n v="4.666666666666667"/>
  </r>
  <r>
    <s v="T208249"/>
    <s v="Super Giants Vs Mumbai"/>
    <s v="Mumbai"/>
    <x v="2"/>
    <s v="SuryakumarYadav"/>
    <s v="out"/>
    <n v="7"/>
    <n v="9"/>
    <n v="0"/>
    <n v="0"/>
    <n v="4.5"/>
  </r>
  <r>
    <s v="T208249"/>
    <s v="Super Giants Vs Mumbai"/>
    <s v="Mumbai"/>
    <x v="3"/>
    <s v="NehalWadhera"/>
    <s v="out"/>
    <n v="16"/>
    <n v="20"/>
    <n v="2"/>
    <n v="0"/>
    <n v="4.7894736842105265"/>
  </r>
  <r>
    <s v="T208249"/>
    <s v="Super Giants Vs Mumbai"/>
    <s v="Mumbai"/>
    <x v="4"/>
    <s v="TimDavid"/>
    <s v="not_out"/>
    <n v="32"/>
    <n v="19"/>
    <n v="1"/>
    <n v="3"/>
    <n v="5.0625"/>
  </r>
  <r>
    <s v="T208249"/>
    <s v="Super Giants Vs Mumbai"/>
    <s v="Mumbai"/>
    <x v="5"/>
    <s v="VishnuVinod"/>
    <s v="out"/>
    <n v="2"/>
    <n v="4"/>
    <n v="0"/>
    <n v="0"/>
    <n v="5.4878048780487809"/>
  </r>
  <r>
    <s v="T208249"/>
    <s v="Super Giants Vs Mumbai"/>
    <s v="Mumbai"/>
    <x v="6"/>
    <s v="CameronGreen"/>
    <s v="not_out"/>
    <n v="4"/>
    <n v="6"/>
    <n v="0"/>
    <n v="0"/>
    <n v="5.84"/>
  </r>
  <r>
    <s v="T208692"/>
    <s v="Titans Vs Sunrisers"/>
    <s v="Titans"/>
    <x v="0"/>
    <s v="WriddhimanSaha"/>
    <s v="out"/>
    <n v="0"/>
    <n v="3"/>
    <n v="0"/>
    <n v="0"/>
    <n v="6.5"/>
  </r>
  <r>
    <s v="T208692"/>
    <s v="Titans Vs Sunrisers"/>
    <s v="Titans"/>
    <x v="1"/>
    <s v="ShubmanGill"/>
    <s v="out"/>
    <n v="101"/>
    <n v="58"/>
    <n v="13"/>
    <n v="1"/>
    <n v="4.5"/>
  </r>
  <r>
    <s v="T208692"/>
    <s v="Titans Vs Sunrisers"/>
    <s v="Titans"/>
    <x v="2"/>
    <s v="SaiSudharsan"/>
    <s v="out"/>
    <n v="47"/>
    <n v="36"/>
    <n v="6"/>
    <n v="1"/>
    <n v="4.4000000000000004"/>
  </r>
  <r>
    <s v="T208692"/>
    <s v="Titans Vs Sunrisers"/>
    <s v="Titans"/>
    <x v="3"/>
    <s v="HardikPandya"/>
    <s v="out"/>
    <n v="8"/>
    <n v="6"/>
    <n v="1"/>
    <n v="0"/>
    <n v="5.84"/>
  </r>
  <r>
    <s v="T208692"/>
    <s v="Titans Vs Sunrisers"/>
    <s v="Titans"/>
    <x v="4"/>
    <s v="DavidMiller"/>
    <s v="out"/>
    <n v="7"/>
    <n v="5"/>
    <n v="1"/>
    <n v="0"/>
    <n v="5.774193548387097"/>
  </r>
  <r>
    <s v="T208692"/>
    <s v="Titans Vs Sunrisers"/>
    <s v="Titans"/>
    <x v="5"/>
    <s v="RahulTewatia"/>
    <s v="out"/>
    <n v="3"/>
    <n v="3"/>
    <n v="0"/>
    <n v="0"/>
    <n v="6.5"/>
  </r>
  <r>
    <s v="T208692"/>
    <s v="Titans Vs Sunrisers"/>
    <s v="Titans"/>
    <x v="6"/>
    <s v="DasunShanaka"/>
    <s v="not_out"/>
    <n v="9"/>
    <n v="7"/>
    <n v="1"/>
    <n v="0"/>
    <n v="4.9230769230769234"/>
  </r>
  <r>
    <s v="T208692"/>
    <s v="Titans Vs Sunrisers"/>
    <s v="Titans"/>
    <x v="7"/>
    <s v="RashidKhan"/>
    <s v="out"/>
    <n v="0"/>
    <n v="1"/>
    <n v="0"/>
    <n v="0"/>
    <n v="6.5945945945945947"/>
  </r>
  <r>
    <s v="T208692"/>
    <s v="Titans Vs Sunrisers"/>
    <s v="Titans"/>
    <x v="8"/>
    <s v="NoorAhmad"/>
    <s v="out"/>
    <n v="0"/>
    <n v="1"/>
    <n v="0"/>
    <n v="0"/>
    <n v="6.5945945945945947"/>
  </r>
  <r>
    <s v="T208692"/>
    <s v="Titans Vs Sunrisers"/>
    <s v="Titans"/>
    <x v="9"/>
    <s v="MohammedShami"/>
    <s v="out"/>
    <n v="0"/>
    <n v="1"/>
    <n v="0"/>
    <n v="0"/>
    <n v="6.5945945945945947"/>
  </r>
  <r>
    <s v="T208692"/>
    <s v="Titans Vs Sunrisers"/>
    <s v="Titans"/>
    <x v="10"/>
    <s v="MohitSharma"/>
    <s v="not_out"/>
    <n v="0"/>
    <n v="1"/>
    <n v="0"/>
    <n v="0"/>
    <n v="6.5945945945945947"/>
  </r>
  <r>
    <s v="T208692"/>
    <s v="Titans Vs Sunrisers"/>
    <s v="Sunrisers"/>
    <x v="0"/>
    <s v="AnmolpreetSingh"/>
    <s v="out"/>
    <n v="5"/>
    <n v="4"/>
    <n v="1"/>
    <n v="0"/>
    <n v="5.45"/>
  </r>
  <r>
    <s v="T208692"/>
    <s v="Titans Vs Sunrisers"/>
    <s v="Sunrisers"/>
    <x v="1"/>
    <s v="AbhishekSharma"/>
    <s v="out"/>
    <n v="5"/>
    <n v="5"/>
    <n v="1"/>
    <n v="0"/>
    <n v="5.9333333333333336"/>
  </r>
  <r>
    <s v="T208692"/>
    <s v="Titans Vs Sunrisers"/>
    <s v="Sunrisers"/>
    <x v="2"/>
    <s v="AidenMarkram"/>
    <s v="out"/>
    <n v="10"/>
    <n v="10"/>
    <n v="1"/>
    <n v="0"/>
    <n v="4.72"/>
  </r>
  <r>
    <s v="T208692"/>
    <s v="Titans Vs Sunrisers"/>
    <s v="Sunrisers"/>
    <x v="3"/>
    <s v="RahulTripathi"/>
    <s v="out"/>
    <n v="1"/>
    <n v="2"/>
    <n v="0"/>
    <n v="0"/>
    <n v="6.125"/>
  </r>
  <r>
    <s v="T208692"/>
    <s v="Titans Vs Sunrisers"/>
    <s v="Sunrisers"/>
    <x v="4"/>
    <s v="HeinrichKlaasen"/>
    <s v="out"/>
    <n v="64"/>
    <n v="44"/>
    <n v="4"/>
    <n v="3"/>
    <n v="2.3333333333333335"/>
  </r>
  <r>
    <s v="T208692"/>
    <s v="Titans Vs Sunrisers"/>
    <s v="Sunrisers"/>
    <x v="5"/>
    <s v="SanvirSingh"/>
    <s v="out"/>
    <n v="7"/>
    <n v="6"/>
    <n v="0"/>
    <n v="1"/>
    <n v="5.84"/>
  </r>
  <r>
    <s v="T208692"/>
    <s v="Titans Vs Sunrisers"/>
    <s v="Sunrisers"/>
    <x v="6"/>
    <s v="AbdulSamad"/>
    <s v="out"/>
    <n v="4"/>
    <n v="3"/>
    <n v="1"/>
    <n v="0"/>
    <n v="6.52"/>
  </r>
  <r>
    <s v="T208692"/>
    <s v="Titans Vs Sunrisers"/>
    <s v="Sunrisers"/>
    <x v="7"/>
    <s v="MarcoJansen"/>
    <s v="out"/>
    <n v="3"/>
    <n v="6"/>
    <n v="0"/>
    <n v="0"/>
    <n v="5.84"/>
  </r>
  <r>
    <s v="T208692"/>
    <s v="Titans Vs Sunrisers"/>
    <s v="Sunrisers"/>
    <x v="8"/>
    <s v="BhuvneshwarKumar"/>
    <s v="out"/>
    <n v="27"/>
    <n v="26"/>
    <n v="3"/>
    <n v="0"/>
    <n v="4.0769230769230766"/>
  </r>
  <r>
    <s v="T208692"/>
    <s v="Titans Vs Sunrisers"/>
    <s v="Sunrisers"/>
    <x v="9"/>
    <s v="MayankMarkande"/>
    <s v="not_out"/>
    <n v="18"/>
    <n v="9"/>
    <n v="2"/>
    <n v="1"/>
    <n v="4.3809523809523814"/>
  </r>
  <r>
    <s v="T208692"/>
    <s v="Titans Vs Sunrisers"/>
    <s v="Sunrisers"/>
    <x v="10"/>
    <s v="FazalhaqFarooqi"/>
    <s v="not_out"/>
    <n v="1"/>
    <n v="5"/>
    <n v="0"/>
    <n v="0"/>
    <n v="6.068965517241379"/>
  </r>
  <r>
    <s v="T206211"/>
    <s v="Super Kings Vs KKR"/>
    <s v="Super Kings"/>
    <x v="0"/>
    <s v="RuturajGaikwad"/>
    <s v="out"/>
    <n v="17"/>
    <n v="13"/>
    <n v="2"/>
    <n v="0"/>
    <n v="5.5263157894736841"/>
  </r>
  <r>
    <s v="T206211"/>
    <s v="Super Kings Vs KKR"/>
    <s v="Super Kings"/>
    <x v="1"/>
    <s v="DevonConway"/>
    <s v="out"/>
    <n v="30"/>
    <n v="28"/>
    <n v="3"/>
    <n v="0"/>
    <n v="3.6666666666666665"/>
  </r>
  <r>
    <s v="T206211"/>
    <s v="Super Kings Vs KKR"/>
    <s v="Super Kings"/>
    <x v="2"/>
    <s v="AjinkyaRahane"/>
    <s v="out"/>
    <n v="16"/>
    <n v="11"/>
    <n v="1"/>
    <n v="1"/>
    <n v="5.2857142857142856"/>
  </r>
  <r>
    <s v="T206211"/>
    <s v="Super Kings Vs KKR"/>
    <s v="Super Kings"/>
    <x v="3"/>
    <s v="AmbatiRayudu"/>
    <s v="out"/>
    <n v="4"/>
    <n v="7"/>
    <n v="0"/>
    <n v="0"/>
    <n v="4.88"/>
  </r>
  <r>
    <s v="T206211"/>
    <s v="Super Kings Vs KKR"/>
    <s v="Super Kings"/>
    <x v="4"/>
    <s v="ShivamDube"/>
    <s v="not_out"/>
    <n v="48"/>
    <n v="34"/>
    <n v="1"/>
    <n v="3"/>
    <n v="4.6363636363636367"/>
  </r>
  <r>
    <s v="T206211"/>
    <s v="Super Kings Vs KKR"/>
    <s v="Super Kings"/>
    <x v="5"/>
    <s v="MoeenAli"/>
    <s v="out"/>
    <n v="1"/>
    <n v="2"/>
    <n v="0"/>
    <n v="0"/>
    <n v="6.125"/>
  </r>
  <r>
    <s v="T206211"/>
    <s v="Super Kings Vs KKR"/>
    <s v="Super Kings"/>
    <x v="6"/>
    <s v="RavindraJadeja"/>
    <s v="out"/>
    <n v="20"/>
    <n v="24"/>
    <n v="0"/>
    <n v="1"/>
    <n v="4.625"/>
  </r>
  <r>
    <s v="T206211"/>
    <s v="Super Kings Vs KKR"/>
    <s v="Super Kings"/>
    <x v="7"/>
    <s v="MSDhoni"/>
    <s v="not_out"/>
    <n v="2"/>
    <n v="3"/>
    <n v="0"/>
    <n v="0"/>
    <n v="6.458333333333333"/>
  </r>
  <r>
    <s v="T206211"/>
    <s v="Super Kings Vs KKR"/>
    <s v="KKR"/>
    <x v="0"/>
    <s v="JasonRoy"/>
    <s v="out"/>
    <n v="12"/>
    <n v="15"/>
    <n v="1"/>
    <n v="0"/>
    <n v="4.7333333333333334"/>
  </r>
  <r>
    <s v="T206211"/>
    <s v="Super Kings Vs KKR"/>
    <s v="KKR"/>
    <x v="1"/>
    <s v="RahmanullahGurbaz"/>
    <s v="out"/>
    <n v="1"/>
    <n v="4"/>
    <n v="0"/>
    <n v="0"/>
    <n v="5.4473684210526319"/>
  </r>
  <r>
    <s v="T206211"/>
    <s v="Super Kings Vs KKR"/>
    <s v="KKR"/>
    <x v="2"/>
    <s v="VenkateshIyer"/>
    <s v="out"/>
    <n v="9"/>
    <n v="4"/>
    <n v="2"/>
    <n v="0"/>
    <n v="5.4473684210526319"/>
  </r>
  <r>
    <s v="T206211"/>
    <s v="Super Kings Vs KKR"/>
    <s v="KKR"/>
    <x v="3"/>
    <s v="NitishRana"/>
    <s v="not_out"/>
    <n v="57"/>
    <n v="44"/>
    <n v="6"/>
    <n v="1"/>
    <n v="2.3333333333333335"/>
  </r>
  <r>
    <s v="T206211"/>
    <s v="Super Kings Vs KKR"/>
    <s v="KKR"/>
    <x v="4"/>
    <s v="RinkuSingh"/>
    <s v="out"/>
    <n v="54"/>
    <n v="43"/>
    <n v="4"/>
    <n v="3"/>
    <n v="2.3333333333333335"/>
  </r>
  <r>
    <s v="T206211"/>
    <s v="Super Kings Vs KKR"/>
    <s v="KKR"/>
    <x v="5"/>
    <s v="AndreRussell"/>
    <s v="not_out"/>
    <n v="2"/>
    <n v="2"/>
    <n v="0"/>
    <n v="0"/>
    <n v="6.0909090909090908"/>
  </r>
  <r>
    <s v="T204453"/>
    <s v="RCB Vs Royals"/>
    <s v="RCB"/>
    <x v="0"/>
    <s v="ViratKohli"/>
    <s v="out"/>
    <n v="18"/>
    <n v="19"/>
    <n v="1"/>
    <n v="0"/>
    <n v="5.0625"/>
  </r>
  <r>
    <s v="T204453"/>
    <s v="RCB Vs Royals"/>
    <s v="RCB"/>
    <x v="1"/>
    <s v="FafduPlessis"/>
    <s v="out"/>
    <n v="55"/>
    <n v="44"/>
    <n v="3"/>
    <n v="2"/>
    <n v="2.3333333333333335"/>
  </r>
  <r>
    <s v="T204453"/>
    <s v="RCB Vs Royals"/>
    <s v="RCB"/>
    <x v="2"/>
    <s v="GlennMaxwell"/>
    <s v="out"/>
    <n v="54"/>
    <n v="33"/>
    <n v="5"/>
    <n v="3"/>
    <n v="2"/>
  </r>
  <r>
    <s v="T204453"/>
    <s v="RCB Vs Royals"/>
    <s v="RCB"/>
    <x v="3"/>
    <s v="MahipalLomror"/>
    <s v="out"/>
    <n v="1"/>
    <n v="2"/>
    <n v="0"/>
    <n v="0"/>
    <n v="6.0925925925925926"/>
  </r>
  <r>
    <s v="T204453"/>
    <s v="RCB Vs Royals"/>
    <s v="RCB"/>
    <x v="4"/>
    <s v="DineshKarthik"/>
    <s v="out"/>
    <n v="0"/>
    <n v="2"/>
    <n v="0"/>
    <n v="0"/>
    <n v="6.0925925925925926"/>
  </r>
  <r>
    <s v="T204453"/>
    <s v="RCB Vs Royals"/>
    <s v="RCB"/>
    <x v="5"/>
    <s v="MichaelBracewell"/>
    <s v="not_out"/>
    <n v="9"/>
    <n v="9"/>
    <n v="0"/>
    <n v="0"/>
    <n v="4.45"/>
  </r>
  <r>
    <s v="T204453"/>
    <s v="RCB Vs Royals"/>
    <s v="RCB"/>
    <x v="6"/>
    <s v="AnujRawat"/>
    <s v="not_out"/>
    <n v="29"/>
    <n v="11"/>
    <n v="3"/>
    <n v="2"/>
    <n v="5.2857142857142856"/>
  </r>
  <r>
    <s v="T204453"/>
    <s v="RCB Vs Royals"/>
    <s v="Royals"/>
    <x v="0"/>
    <s v="YashasviJaiswal"/>
    <s v="out"/>
    <n v="0"/>
    <n v="2"/>
    <n v="0"/>
    <n v="0"/>
    <n v="6.0925925925925926"/>
  </r>
  <r>
    <s v="T204453"/>
    <s v="RCB Vs Royals"/>
    <s v="Royals"/>
    <x v="1"/>
    <s v="JosButtler"/>
    <s v="out"/>
    <n v="0"/>
    <n v="2"/>
    <n v="0"/>
    <n v="0"/>
    <n v="6.0925925925925926"/>
  </r>
  <r>
    <s v="T204453"/>
    <s v="RCB Vs Royals"/>
    <s v="Royals"/>
    <x v="2"/>
    <s v="SanjuSamson"/>
    <s v="out"/>
    <n v="4"/>
    <n v="5"/>
    <n v="1"/>
    <n v="0"/>
    <n v="6.068965517241379"/>
  </r>
  <r>
    <s v="T204453"/>
    <s v="RCB Vs Royals"/>
    <s v="Royals"/>
    <x v="3"/>
    <s v="JoeRoot"/>
    <s v="out"/>
    <n v="10"/>
    <n v="15"/>
    <n v="1"/>
    <n v="0"/>
    <n v="4.7333333333333334"/>
  </r>
  <r>
    <s v="T204453"/>
    <s v="RCB Vs Royals"/>
    <s v="Royals"/>
    <x v="4"/>
    <s v="DevduttPadikkal"/>
    <s v="out"/>
    <n v="4"/>
    <n v="4"/>
    <n v="1"/>
    <n v="0"/>
    <n v="5.5135135135135132"/>
  </r>
  <r>
    <s v="T204453"/>
    <s v="RCB Vs Royals"/>
    <s v="Royals"/>
    <x v="5"/>
    <s v="ShimronHetmyer"/>
    <s v="out"/>
    <n v="35"/>
    <n v="19"/>
    <n v="1"/>
    <n v="4"/>
    <n v="5.0625"/>
  </r>
  <r>
    <s v="T204453"/>
    <s v="RCB Vs Royals"/>
    <s v="Royals"/>
    <x v="6"/>
    <s v="DhruvJurel"/>
    <s v="out"/>
    <n v="1"/>
    <n v="7"/>
    <n v="0"/>
    <n v="0"/>
    <n v="4.88"/>
  </r>
  <r>
    <s v="T204453"/>
    <s v="RCB Vs Royals"/>
    <s v="Royals"/>
    <x v="7"/>
    <s v="RavichandranAshwin"/>
    <s v="out"/>
    <n v="0"/>
    <n v="0"/>
    <n v="0"/>
    <n v="0"/>
    <n v="5.617647058823529"/>
  </r>
  <r>
    <s v="T204453"/>
    <s v="RCB Vs Royals"/>
    <s v="Royals"/>
    <x v="8"/>
    <s v="AdamZampa"/>
    <s v="out"/>
    <n v="2"/>
    <n v="6"/>
    <n v="0"/>
    <n v="0"/>
    <n v="5.84"/>
  </r>
  <r>
    <s v="T204453"/>
    <s v="RCB Vs Royals"/>
    <s v="Royals"/>
    <x v="9"/>
    <s v="SandeepSharma"/>
    <s v="not_out"/>
    <n v="0"/>
    <n v="1"/>
    <n v="0"/>
    <n v="0"/>
    <n v="6.6764705882352944"/>
  </r>
  <r>
    <s v="T204453"/>
    <s v="RCB Vs Royals"/>
    <s v="Royals"/>
    <x v="10"/>
    <s v="KMAsif"/>
    <s v="out"/>
    <n v="0"/>
    <n v="2"/>
    <n v="0"/>
    <n v="0"/>
    <n v="6.0377358490566042"/>
  </r>
  <r>
    <s v="T208032"/>
    <s v="Punjab Kings Vs Capitals"/>
    <s v="Punjab Kings"/>
    <x v="0"/>
    <s v="PrabhsimranSingh"/>
    <s v="out"/>
    <n v="103"/>
    <n v="65"/>
    <n v="10"/>
    <n v="6"/>
    <n v="2.5"/>
  </r>
  <r>
    <s v="T208032"/>
    <s v="Punjab Kings Vs Capitals"/>
    <s v="Punjab Kings"/>
    <x v="1"/>
    <s v="ShikharDhawan"/>
    <s v="out"/>
    <n v="7"/>
    <n v="5"/>
    <n v="0"/>
    <n v="1"/>
    <n v="6.068965517241379"/>
  </r>
  <r>
    <s v="T208032"/>
    <s v="Punjab Kings Vs Capitals"/>
    <s v="Punjab Kings"/>
    <x v="2"/>
    <s v="LiamLivingstone"/>
    <s v="out"/>
    <n v="4"/>
    <n v="5"/>
    <n v="1"/>
    <n v="0"/>
    <n v="6.068965517241379"/>
  </r>
  <r>
    <s v="T208032"/>
    <s v="Punjab Kings Vs Capitals"/>
    <s v="Punjab Kings"/>
    <x v="3"/>
    <s v="JiteshSharma"/>
    <s v="out"/>
    <n v="5"/>
    <n v="5"/>
    <n v="1"/>
    <n v="0"/>
    <n v="6.068965517241379"/>
  </r>
  <r>
    <s v="T208032"/>
    <s v="Punjab Kings Vs Capitals"/>
    <s v="Punjab Kings"/>
    <x v="4"/>
    <s v="SamCurran"/>
    <s v="out"/>
    <n v="20"/>
    <n v="24"/>
    <n v="1"/>
    <n v="0"/>
    <n v="4.625"/>
  </r>
  <r>
    <s v="T208032"/>
    <s v="Punjab Kings Vs Capitals"/>
    <s v="Punjab Kings"/>
    <x v="5"/>
    <s v="HarpreetBrar"/>
    <s v="out"/>
    <n v="2"/>
    <n v="5"/>
    <n v="0"/>
    <n v="0"/>
    <n v="6.1428571428571432"/>
  </r>
  <r>
    <s v="T208032"/>
    <s v="Punjab Kings Vs Capitals"/>
    <s v="Punjab Kings"/>
    <x v="6"/>
    <s v="MShahrukhKhan"/>
    <s v="out"/>
    <n v="2"/>
    <n v="4"/>
    <n v="0"/>
    <n v="0"/>
    <n v="5.6"/>
  </r>
  <r>
    <s v="T208032"/>
    <s v="Punjab Kings Vs Capitals"/>
    <s v="Punjab Kings"/>
    <x v="7"/>
    <s v="SikandarRaza"/>
    <s v="not_out"/>
    <n v="11"/>
    <n v="7"/>
    <n v="0"/>
    <n v="1"/>
    <n v="5"/>
  </r>
  <r>
    <s v="T208032"/>
    <s v="Punjab Kings Vs Capitals"/>
    <s v="Punjab Kings"/>
    <x v="8"/>
    <s v="RishiDhawan"/>
    <s v="not_out"/>
    <n v="0"/>
    <n v="0"/>
    <n v="0"/>
    <n v="0"/>
    <n v="5.4949494949494948"/>
  </r>
  <r>
    <s v="T208032"/>
    <s v="Punjab Kings Vs Capitals"/>
    <s v="Capitals"/>
    <x v="0"/>
    <s v="DavidWarner"/>
    <s v="out"/>
    <n v="54"/>
    <n v="27"/>
    <n v="10"/>
    <n v="1"/>
    <n v="4.0769230769230766"/>
  </r>
  <r>
    <s v="T208032"/>
    <s v="Punjab Kings Vs Capitals"/>
    <s v="Capitals"/>
    <x v="1"/>
    <s v="PhilSalt"/>
    <s v="out"/>
    <n v="21"/>
    <n v="17"/>
    <n v="3"/>
    <n v="0"/>
    <n v="5.3076923076923075"/>
  </r>
  <r>
    <s v="T208032"/>
    <s v="Punjab Kings Vs Capitals"/>
    <s v="Capitals"/>
    <x v="2"/>
    <s v="MitchellMarsh"/>
    <s v="out"/>
    <n v="3"/>
    <n v="4"/>
    <n v="0"/>
    <n v="0"/>
    <n v="5.6"/>
  </r>
  <r>
    <s v="T208032"/>
    <s v="Punjab Kings Vs Capitals"/>
    <s v="Capitals"/>
    <x v="3"/>
    <s v="RileeRossouw"/>
    <s v="out"/>
    <n v="5"/>
    <n v="5"/>
    <n v="1"/>
    <n v="0"/>
    <n v="6.1428571428571432"/>
  </r>
  <r>
    <s v="T208032"/>
    <s v="Punjab Kings Vs Capitals"/>
    <s v="Capitals"/>
    <x v="4"/>
    <s v="AxarPatel"/>
    <s v="out"/>
    <n v="1"/>
    <n v="2"/>
    <n v="0"/>
    <n v="0"/>
    <n v="6.0196078431372548"/>
  </r>
  <r>
    <s v="T208032"/>
    <s v="Punjab Kings Vs Capitals"/>
    <s v="Capitals"/>
    <x v="5"/>
    <s v="ManishPandey"/>
    <s v="out"/>
    <n v="0"/>
    <n v="3"/>
    <n v="0"/>
    <n v="0"/>
    <n v="6.6086956521739131"/>
  </r>
  <r>
    <s v="T208032"/>
    <s v="Punjab Kings Vs Capitals"/>
    <s v="Capitals"/>
    <x v="6"/>
    <s v="AmanHakimKhan"/>
    <s v="out"/>
    <n v="16"/>
    <n v="18"/>
    <n v="1"/>
    <n v="1"/>
    <n v="5.1333333333333337"/>
  </r>
  <r>
    <s v="T208032"/>
    <s v="Punjab Kings Vs Capitals"/>
    <s v="Capitals"/>
    <x v="7"/>
    <s v="PraveenDubey"/>
    <s v="out"/>
    <n v="16"/>
    <n v="20"/>
    <n v="2"/>
    <n v="0"/>
    <n v="4.6470588235294121"/>
  </r>
  <r>
    <s v="T208032"/>
    <s v="Punjab Kings Vs Capitals"/>
    <s v="Capitals"/>
    <x v="8"/>
    <s v="KuldeepYadav"/>
    <s v="not_out"/>
    <n v="10"/>
    <n v="17"/>
    <n v="0"/>
    <n v="0"/>
    <n v="5.3076923076923075"/>
  </r>
  <r>
    <s v="T208032"/>
    <s v="Punjab Kings Vs Capitals"/>
    <s v="Capitals"/>
    <x v="9"/>
    <s v="MukeshKumar"/>
    <s v="not_out"/>
    <n v="6"/>
    <n v="7"/>
    <n v="0"/>
    <n v="0"/>
    <n v="5"/>
  </r>
  <r>
    <s v="T204737"/>
    <s v="Sunrisers Vs Super Giants"/>
    <s v="Sunrisers"/>
    <x v="0"/>
    <s v="AnmolpreetSingh"/>
    <s v="out"/>
    <n v="36"/>
    <n v="27"/>
    <n v="7"/>
    <n v="0"/>
    <n v="4.0769230769230766"/>
  </r>
  <r>
    <s v="T204737"/>
    <s v="Sunrisers Vs Super Giants"/>
    <s v="Sunrisers"/>
    <x v="1"/>
    <s v="AbhishekSharma"/>
    <s v="out"/>
    <n v="7"/>
    <n v="5"/>
    <n v="1"/>
    <n v="0"/>
    <n v="6.2222222222222223"/>
  </r>
  <r>
    <s v="T204737"/>
    <s v="Sunrisers Vs Super Giants"/>
    <s v="Sunrisers"/>
    <x v="2"/>
    <s v="RahulTripathi"/>
    <s v="out"/>
    <n v="20"/>
    <n v="13"/>
    <n v="4"/>
    <n v="0"/>
    <n v="5.5263157894736841"/>
  </r>
  <r>
    <s v="T204737"/>
    <s v="Sunrisers Vs Super Giants"/>
    <s v="Sunrisers"/>
    <x v="3"/>
    <s v="AidenMarkram"/>
    <s v="out"/>
    <n v="28"/>
    <n v="20"/>
    <n v="2"/>
    <n v="1"/>
    <n v="4.75"/>
  </r>
  <r>
    <s v="T204737"/>
    <s v="Sunrisers Vs Super Giants"/>
    <s v="Sunrisers"/>
    <x v="4"/>
    <s v="HeinrichKlaasen"/>
    <s v="out"/>
    <n v="47"/>
    <n v="29"/>
    <n v="3"/>
    <n v="3"/>
    <n v="4.0999999999999996"/>
  </r>
  <r>
    <s v="T204737"/>
    <s v="Sunrisers Vs Super Giants"/>
    <s v="Sunrisers"/>
    <x v="5"/>
    <s v="GlennPhillips"/>
    <s v="out"/>
    <n v="0"/>
    <n v="1"/>
    <n v="0"/>
    <n v="0"/>
    <n v="6.7014925373134329"/>
  </r>
  <r>
    <s v="T204737"/>
    <s v="Sunrisers Vs Super Giants"/>
    <s v="Sunrisers"/>
    <x v="6"/>
    <s v="AbdulSamad"/>
    <s v="not_out"/>
    <n v="37"/>
    <n v="25"/>
    <n v="1"/>
    <n v="4"/>
    <n v="4.666666666666667"/>
  </r>
  <r>
    <s v="T204737"/>
    <s v="Sunrisers Vs Super Giants"/>
    <s v="Sunrisers"/>
    <x v="7"/>
    <s v="BhuvneshwarKumar"/>
    <s v="not_out"/>
    <n v="2"/>
    <n v="1"/>
    <n v="0"/>
    <n v="0"/>
    <n v="6.7014925373134329"/>
  </r>
  <r>
    <s v="T204737"/>
    <s v="Sunrisers Vs Super Giants"/>
    <s v="Super Giants"/>
    <x v="0"/>
    <s v="KyleMayers"/>
    <s v="out"/>
    <n v="2"/>
    <n v="14"/>
    <n v="0"/>
    <n v="0"/>
    <n v="3.8"/>
  </r>
  <r>
    <s v="T204737"/>
    <s v="Sunrisers Vs Super Giants"/>
    <s v="Super Giants"/>
    <x v="1"/>
    <s v="QuintondeKock"/>
    <s v="out"/>
    <n v="29"/>
    <n v="19"/>
    <n v="3"/>
    <n v="1"/>
    <n v="5.0625"/>
  </r>
  <r>
    <s v="T204737"/>
    <s v="Sunrisers Vs Super Giants"/>
    <s v="Super Giants"/>
    <x v="2"/>
    <s v="PrerakMankad"/>
    <s v="not_out"/>
    <n v="64"/>
    <n v="45"/>
    <n v="7"/>
    <n v="2"/>
    <n v="3.8"/>
  </r>
  <r>
    <s v="T204737"/>
    <s v="Sunrisers Vs Super Giants"/>
    <s v="Super Giants"/>
    <x v="3"/>
    <s v="MarcusStoinis"/>
    <s v="out"/>
    <n v="40"/>
    <n v="25"/>
    <n v="2"/>
    <n v="3"/>
    <n v="4.666666666666667"/>
  </r>
  <r>
    <s v="T204737"/>
    <s v="Sunrisers Vs Super Giants"/>
    <s v="Super Giants"/>
    <x v="4"/>
    <s v="NicholasPooran"/>
    <s v="not_out"/>
    <n v="44"/>
    <n v="13"/>
    <n v="3"/>
    <n v="4"/>
    <n v="5.5263157894736841"/>
  </r>
  <r>
    <s v="T203656"/>
    <s v="Mumbai Vs Titans"/>
    <s v="Mumbai"/>
    <x v="0"/>
    <s v="IshanKishan"/>
    <s v="out"/>
    <n v="31"/>
    <n v="20"/>
    <n v="4"/>
    <n v="1"/>
    <n v="4.75"/>
  </r>
  <r>
    <s v="T203656"/>
    <s v="Mumbai Vs Titans"/>
    <s v="Mumbai"/>
    <x v="1"/>
    <s v="RohitSharma"/>
    <s v="out"/>
    <n v="29"/>
    <n v="18"/>
    <n v="3"/>
    <n v="2"/>
    <n v="5.1333333333333337"/>
  </r>
  <r>
    <s v="T203656"/>
    <s v="Mumbai Vs Titans"/>
    <s v="Mumbai"/>
    <x v="2"/>
    <s v="SuryakumarYadav"/>
    <s v="not_out"/>
    <n v="103"/>
    <n v="49"/>
    <n v="11"/>
    <n v="6"/>
    <n v="3"/>
  </r>
  <r>
    <s v="T203656"/>
    <s v="Mumbai Vs Titans"/>
    <s v="Mumbai"/>
    <x v="3"/>
    <s v="NehalWadhera"/>
    <s v="out"/>
    <n v="15"/>
    <n v="7"/>
    <n v="1"/>
    <n v="1"/>
    <n v="5.1304347826086953"/>
  </r>
  <r>
    <s v="T203656"/>
    <s v="Mumbai Vs Titans"/>
    <s v="Mumbai"/>
    <x v="4"/>
    <s v="VishnuVinod"/>
    <s v="out"/>
    <n v="30"/>
    <n v="20"/>
    <n v="2"/>
    <n v="2"/>
    <n v="4.75"/>
  </r>
  <r>
    <s v="T203656"/>
    <s v="Mumbai Vs Titans"/>
    <s v="Mumbai"/>
    <x v="5"/>
    <s v="TimDavid"/>
    <s v="out"/>
    <n v="5"/>
    <n v="3"/>
    <n v="1"/>
    <n v="0"/>
    <n v="6.6086956521739131"/>
  </r>
  <r>
    <s v="T203656"/>
    <s v="Mumbai Vs Titans"/>
    <s v="Mumbai"/>
    <x v="6"/>
    <s v="CameronGreen"/>
    <s v="not_out"/>
    <n v="3"/>
    <n v="3"/>
    <n v="0"/>
    <n v="0"/>
    <n v="6.6086956521739131"/>
  </r>
  <r>
    <s v="T203656"/>
    <s v="Mumbai Vs Titans"/>
    <s v="Titans"/>
    <x v="0"/>
    <s v="WriddhimanSaha"/>
    <s v="out"/>
    <n v="2"/>
    <n v="5"/>
    <n v="0"/>
    <n v="0"/>
    <n v="6.2307692307692308"/>
  </r>
  <r>
    <s v="T203656"/>
    <s v="Mumbai Vs Titans"/>
    <s v="Titans"/>
    <x v="1"/>
    <s v="ShubmanGill"/>
    <s v="out"/>
    <n v="6"/>
    <n v="9"/>
    <n v="0"/>
    <n v="0"/>
    <n v="4.3684210526315788"/>
  </r>
  <r>
    <s v="T203656"/>
    <s v="Mumbai Vs Titans"/>
    <s v="Titans"/>
    <x v="2"/>
    <s v="HardikPandya"/>
    <s v="out"/>
    <n v="4"/>
    <n v="3"/>
    <n v="1"/>
    <n v="0"/>
    <n v="6.5909090909090908"/>
  </r>
  <r>
    <s v="T203656"/>
    <s v="Mumbai Vs Titans"/>
    <s v="Titans"/>
    <x v="3"/>
    <s v="VijayShankar"/>
    <s v="out"/>
    <n v="29"/>
    <n v="14"/>
    <n v="6"/>
    <n v="0"/>
    <n v="3.8"/>
  </r>
  <r>
    <s v="T203656"/>
    <s v="Mumbai Vs Titans"/>
    <s v="Titans"/>
    <x v="4"/>
    <s v="DavidMiller"/>
    <s v="out"/>
    <n v="41"/>
    <n v="26"/>
    <n v="4"/>
    <n v="2"/>
    <n v="4.0769230769230766"/>
  </r>
  <r>
    <s v="T203656"/>
    <s v="Mumbai Vs Titans"/>
    <s v="Titans"/>
    <x v="5"/>
    <s v="AbhinavManohar"/>
    <s v="out"/>
    <n v="2"/>
    <n v="3"/>
    <n v="0"/>
    <n v="0"/>
    <n v="6.5909090909090908"/>
  </r>
  <r>
    <s v="T203656"/>
    <s v="Mumbai Vs Titans"/>
    <s v="Titans"/>
    <x v="6"/>
    <s v="RahulTewatia"/>
    <s v="out"/>
    <n v="14"/>
    <n v="13"/>
    <n v="1"/>
    <n v="0"/>
    <n v="5.5263157894736841"/>
  </r>
  <r>
    <s v="T203656"/>
    <s v="Mumbai Vs Titans"/>
    <s v="Titans"/>
    <x v="7"/>
    <s v="RashidKhan"/>
    <s v="not_out"/>
    <n v="79"/>
    <n v="32"/>
    <n v="3"/>
    <n v="10"/>
    <n v="5.8571428571428568"/>
  </r>
  <r>
    <s v="T203656"/>
    <s v="Mumbai Vs Titans"/>
    <s v="Titans"/>
    <x v="8"/>
    <s v="NoorAhmad"/>
    <s v="out"/>
    <n v="1"/>
    <n v="3"/>
    <n v="0"/>
    <n v="0"/>
    <n v="6.5909090909090908"/>
  </r>
  <r>
    <s v="T203656"/>
    <s v="Mumbai Vs Titans"/>
    <s v="Titans"/>
    <x v="9"/>
    <s v="AlzarriJoseph"/>
    <s v="not_out"/>
    <n v="7"/>
    <n v="12"/>
    <n v="1"/>
    <n v="0"/>
    <n v="5.0476190476190474"/>
  </r>
  <r>
    <s v="T205338"/>
    <s v="KKR Vs Royals"/>
    <s v="KKR"/>
    <x v="0"/>
    <s v="JasonRoy"/>
    <s v="out"/>
    <n v="10"/>
    <n v="8"/>
    <n v="2"/>
    <n v="0"/>
    <n v="4.7586206896551726"/>
  </r>
  <r>
    <s v="T205338"/>
    <s v="KKR Vs Royals"/>
    <s v="KKR"/>
    <x v="1"/>
    <s v="RahmanullahGurbaz"/>
    <s v="out"/>
    <n v="18"/>
    <n v="12"/>
    <n v="1"/>
    <n v="2"/>
    <n v="5.0476190476190474"/>
  </r>
  <r>
    <s v="T205338"/>
    <s v="KKR Vs Royals"/>
    <s v="KKR"/>
    <x v="2"/>
    <s v="VenkateshIyer"/>
    <s v="out"/>
    <n v="57"/>
    <n v="42"/>
    <n v="2"/>
    <n v="4"/>
    <n v="3.5"/>
  </r>
  <r>
    <s v="T205338"/>
    <s v="KKR Vs Royals"/>
    <s v="KKR"/>
    <x v="3"/>
    <s v="NitishRana"/>
    <s v="out"/>
    <n v="22"/>
    <n v="17"/>
    <n v="2"/>
    <n v="0"/>
    <n v="5.3076923076923075"/>
  </r>
  <r>
    <s v="T205338"/>
    <s v="KKR Vs Royals"/>
    <s v="KKR"/>
    <x v="4"/>
    <s v="AndreRussell"/>
    <s v="out"/>
    <n v="10"/>
    <n v="10"/>
    <n v="0"/>
    <n v="1"/>
    <n v="4.8095238095238093"/>
  </r>
  <r>
    <s v="T205338"/>
    <s v="KKR Vs Royals"/>
    <s v="KKR"/>
    <x v="5"/>
    <s v="RinkuSingh"/>
    <s v="out"/>
    <n v="16"/>
    <n v="18"/>
    <n v="0"/>
    <n v="1"/>
    <n v="5.3571428571428568"/>
  </r>
  <r>
    <s v="T205338"/>
    <s v="KKR Vs Royals"/>
    <s v="KKR"/>
    <x v="6"/>
    <s v="ShardulThakur"/>
    <s v="out"/>
    <n v="1"/>
    <n v="2"/>
    <n v="0"/>
    <n v="0"/>
    <n v="6.1914893617021276"/>
  </r>
  <r>
    <s v="T205338"/>
    <s v="KKR Vs Royals"/>
    <s v="KKR"/>
    <x v="7"/>
    <s v="AnukulRoy"/>
    <s v="not_out"/>
    <n v="6"/>
    <n v="6"/>
    <n v="0"/>
    <n v="0"/>
    <n v="5.8260869565217392"/>
  </r>
  <r>
    <s v="T205338"/>
    <s v="KKR Vs Royals"/>
    <s v="KKR"/>
    <x v="8"/>
    <s v="SunilNarine"/>
    <s v="out"/>
    <n v="6"/>
    <n v="5"/>
    <n v="1"/>
    <n v="0"/>
    <n v="6.2307692307692308"/>
  </r>
  <r>
    <s v="T205338"/>
    <s v="KKR Vs Royals"/>
    <s v="Royals"/>
    <x v="0"/>
    <s v="YashasviJaiswal"/>
    <s v="not_out"/>
    <n v="98"/>
    <n v="47"/>
    <n v="12"/>
    <n v="5"/>
    <n v="1.6"/>
  </r>
  <r>
    <s v="T205338"/>
    <s v="KKR Vs Royals"/>
    <s v="Royals"/>
    <x v="1"/>
    <s v="JosButtler"/>
    <s v="out"/>
    <n v="0"/>
    <n v="3"/>
    <n v="0"/>
    <n v="0"/>
    <n v="6.5909090909090908"/>
  </r>
  <r>
    <s v="T205338"/>
    <s v="KKR Vs Royals"/>
    <s v="Royals"/>
    <x v="2"/>
    <s v="SanjuSamson"/>
    <s v="not_out"/>
    <n v="48"/>
    <n v="29"/>
    <n v="2"/>
    <n v="5"/>
    <n v="4.7142857142857144"/>
  </r>
  <r>
    <s v="T209224"/>
    <s v="Super Kings Vs Capitals"/>
    <s v="Super Kings"/>
    <x v="0"/>
    <s v="RuturajGaikwad"/>
    <s v="out"/>
    <n v="24"/>
    <n v="18"/>
    <n v="4"/>
    <n v="0"/>
    <n v="5.3571428571428568"/>
  </r>
  <r>
    <s v="T209224"/>
    <s v="Super Kings Vs Capitals"/>
    <s v="Super Kings"/>
    <x v="1"/>
    <s v="DevonConway"/>
    <s v="out"/>
    <n v="10"/>
    <n v="13"/>
    <n v="1"/>
    <n v="0"/>
    <n v="5.5263157894736841"/>
  </r>
  <r>
    <s v="T209224"/>
    <s v="Super Kings Vs Capitals"/>
    <s v="Super Kings"/>
    <x v="2"/>
    <s v="AjinkyaRahane"/>
    <s v="out"/>
    <n v="21"/>
    <n v="20"/>
    <n v="2"/>
    <n v="0"/>
    <n v="4.75"/>
  </r>
  <r>
    <s v="T209224"/>
    <s v="Super Kings Vs Capitals"/>
    <s v="Super Kings"/>
    <x v="3"/>
    <s v="MoeenAli"/>
    <s v="out"/>
    <n v="7"/>
    <n v="12"/>
    <n v="0"/>
    <n v="0"/>
    <n v="5.0476190476190474"/>
  </r>
  <r>
    <s v="T209224"/>
    <s v="Super Kings Vs Capitals"/>
    <s v="Super Kings"/>
    <x v="4"/>
    <s v="ShivamDube"/>
    <s v="out"/>
    <n v="25"/>
    <n v="12"/>
    <n v="0"/>
    <n v="3"/>
    <n v="5.0476190476190474"/>
  </r>
  <r>
    <s v="T209224"/>
    <s v="Super Kings Vs Capitals"/>
    <s v="Super Kings"/>
    <x v="5"/>
    <s v="AmbatiRayudu"/>
    <s v="out"/>
    <n v="23"/>
    <n v="17"/>
    <n v="1"/>
    <n v="1"/>
    <n v="5.3076923076923075"/>
  </r>
  <r>
    <s v="T209224"/>
    <s v="Super Kings Vs Capitals"/>
    <s v="Super Kings"/>
    <x v="6"/>
    <s v="RavindraJadeja"/>
    <s v="out"/>
    <n v="21"/>
    <n v="16"/>
    <n v="1"/>
    <n v="1"/>
    <n v="6.375"/>
  </r>
  <r>
    <s v="T209224"/>
    <s v="Super Kings Vs Capitals"/>
    <s v="Super Kings"/>
    <x v="7"/>
    <s v="MSDhoni"/>
    <s v="out"/>
    <n v="20"/>
    <n v="9"/>
    <n v="1"/>
    <n v="2"/>
    <n v="4.3684210526315788"/>
  </r>
  <r>
    <s v="T209224"/>
    <s v="Super Kings Vs Capitals"/>
    <s v="Super Kings"/>
    <x v="8"/>
    <s v="DeepakChahar"/>
    <s v="not_out"/>
    <n v="1"/>
    <n v="2"/>
    <n v="0"/>
    <n v="0"/>
    <n v="6.1914893617021276"/>
  </r>
  <r>
    <s v="T209224"/>
    <s v="Super Kings Vs Capitals"/>
    <s v="Super Kings"/>
    <x v="9"/>
    <s v="TusharDeshpande"/>
    <s v="not_out"/>
    <n v="0"/>
    <n v="1"/>
    <n v="0"/>
    <n v="0"/>
    <n v="6.625"/>
  </r>
  <r>
    <s v="T209224"/>
    <s v="Super Kings Vs Capitals"/>
    <s v="Capitals"/>
    <x v="0"/>
    <s v="DavidWarner"/>
    <s v="out"/>
    <n v="0"/>
    <n v="2"/>
    <n v="0"/>
    <n v="0"/>
    <n v="6.1914893617021276"/>
  </r>
  <r>
    <s v="T209224"/>
    <s v="Super Kings Vs Capitals"/>
    <s v="Capitals"/>
    <x v="1"/>
    <s v="PhilSalt"/>
    <s v="out"/>
    <n v="17"/>
    <n v="11"/>
    <n v="1"/>
    <n v="2"/>
    <n v="5.0769230769230766"/>
  </r>
  <r>
    <s v="T209224"/>
    <s v="Super Kings Vs Capitals"/>
    <s v="Capitals"/>
    <x v="2"/>
    <s v="MitchellMarsh"/>
    <s v="out"/>
    <n v="5"/>
    <n v="4"/>
    <n v="1"/>
    <n v="0"/>
    <n v="5.6764705882352944"/>
  </r>
  <r>
    <s v="T209224"/>
    <s v="Super Kings Vs Capitals"/>
    <s v="Capitals"/>
    <x v="3"/>
    <s v="ManishPandey"/>
    <s v="out"/>
    <n v="27"/>
    <n v="29"/>
    <n v="1"/>
    <n v="2"/>
    <n v="4.7142857142857144"/>
  </r>
  <r>
    <s v="T209224"/>
    <s v="Super Kings Vs Capitals"/>
    <s v="Capitals"/>
    <x v="4"/>
    <s v="RileeRossouw"/>
    <s v="out"/>
    <n v="35"/>
    <n v="37"/>
    <n v="2"/>
    <n v="1"/>
    <n v="2.8"/>
  </r>
  <r>
    <s v="T209224"/>
    <s v="Super Kings Vs Capitals"/>
    <s v="Capitals"/>
    <x v="5"/>
    <s v="RipalPatel"/>
    <s v="out"/>
    <n v="10"/>
    <n v="16"/>
    <n v="0"/>
    <n v="0"/>
    <n v="6.375"/>
  </r>
  <r>
    <s v="T209224"/>
    <s v="Super Kings Vs Capitals"/>
    <s v="Capitals"/>
    <x v="6"/>
    <s v="AxarPatel"/>
    <s v="out"/>
    <n v="21"/>
    <n v="12"/>
    <n v="2"/>
    <n v="1"/>
    <n v="5.0476190476190474"/>
  </r>
  <r>
    <s v="T209224"/>
    <s v="Super Kings Vs Capitals"/>
    <s v="Capitals"/>
    <x v="7"/>
    <s v="AmanHakimKhan"/>
    <s v="not_out"/>
    <n v="2"/>
    <n v="3"/>
    <n v="0"/>
    <n v="0"/>
    <n v="6.5909090909090908"/>
  </r>
  <r>
    <s v="T209224"/>
    <s v="Super Kings Vs Capitals"/>
    <s v="Capitals"/>
    <x v="8"/>
    <s v="LalitYadav"/>
    <s v="out"/>
    <n v="12"/>
    <n v="5"/>
    <n v="3"/>
    <n v="0"/>
    <n v="6.36"/>
  </r>
  <r>
    <s v="T209224"/>
    <s v="Super Kings Vs Capitals"/>
    <s v="Capitals"/>
    <x v="9"/>
    <s v="KuldeepYadav"/>
    <s v="not_out"/>
    <n v="0"/>
    <n v="1"/>
    <n v="0"/>
    <n v="0"/>
    <n v="6.625"/>
  </r>
  <r>
    <s v="T205430"/>
    <s v="RCB Vs Mumbai"/>
    <s v="RCB"/>
    <x v="0"/>
    <s v="ViratKohli"/>
    <s v="out"/>
    <n v="1"/>
    <n v="4"/>
    <n v="0"/>
    <n v="0"/>
    <n v="5.6764705882352944"/>
  </r>
  <r>
    <s v="T205430"/>
    <s v="RCB Vs Mumbai"/>
    <s v="RCB"/>
    <x v="1"/>
    <s v="FafduPlessis"/>
    <s v="out"/>
    <n v="65"/>
    <n v="41"/>
    <n v="5"/>
    <n v="3"/>
    <n v="4"/>
  </r>
  <r>
    <s v="T205430"/>
    <s v="RCB Vs Mumbai"/>
    <s v="RCB"/>
    <x v="2"/>
    <s v="AnujRawat"/>
    <s v="out"/>
    <n v="6"/>
    <n v="4"/>
    <n v="1"/>
    <n v="0"/>
    <n v="5.6764705882352944"/>
  </r>
  <r>
    <s v="T205430"/>
    <s v="RCB Vs Mumbai"/>
    <s v="RCB"/>
    <x v="3"/>
    <s v="GlennMaxwell"/>
    <s v="out"/>
    <n v="68"/>
    <n v="33"/>
    <n v="8"/>
    <n v="4"/>
    <n v="2"/>
  </r>
  <r>
    <s v="T205430"/>
    <s v="RCB Vs Mumbai"/>
    <s v="RCB"/>
    <x v="4"/>
    <s v="MahipalLomror"/>
    <s v="out"/>
    <n v="1"/>
    <n v="3"/>
    <n v="0"/>
    <n v="0"/>
    <n v="6.5909090909090908"/>
  </r>
  <r>
    <s v="T205430"/>
    <s v="RCB Vs Mumbai"/>
    <s v="RCB"/>
    <x v="5"/>
    <s v="DineshKarthik"/>
    <s v="out"/>
    <n v="30"/>
    <n v="18"/>
    <n v="4"/>
    <n v="1"/>
    <n v="5.3571428571428568"/>
  </r>
  <r>
    <s v="T205430"/>
    <s v="RCB Vs Mumbai"/>
    <s v="RCB"/>
    <x v="6"/>
    <s v="KedarJadhav"/>
    <s v="not_out"/>
    <n v="12"/>
    <n v="10"/>
    <n v="1"/>
    <n v="0"/>
    <n v="4.8888888888888893"/>
  </r>
  <r>
    <s v="T205430"/>
    <s v="RCB Vs Mumbai"/>
    <s v="RCB"/>
    <x v="7"/>
    <s v="WaninduHasaranga"/>
    <s v="not_out"/>
    <n v="12"/>
    <n v="8"/>
    <n v="2"/>
    <n v="0"/>
    <n v="4.7586206896551726"/>
  </r>
  <r>
    <s v="T205430"/>
    <s v="RCB Vs Mumbai"/>
    <s v="Mumbai"/>
    <x v="0"/>
    <s v="IshanKishan"/>
    <s v="out"/>
    <n v="42"/>
    <n v="21"/>
    <n v="4"/>
    <n v="4"/>
    <n v="4.7826086956521738"/>
  </r>
  <r>
    <s v="T205430"/>
    <s v="RCB Vs Mumbai"/>
    <s v="Mumbai"/>
    <x v="1"/>
    <s v="RohitSharma"/>
    <s v="out"/>
    <n v="7"/>
    <n v="8"/>
    <n v="1"/>
    <n v="0"/>
    <n v="4.7586206896551726"/>
  </r>
  <r>
    <s v="T205430"/>
    <s v="RCB Vs Mumbai"/>
    <s v="Mumbai"/>
    <x v="2"/>
    <s v="SuryakumarYadav"/>
    <s v="out"/>
    <n v="83"/>
    <n v="35"/>
    <n v="7"/>
    <n v="6"/>
    <n v="2.6666666666666665"/>
  </r>
  <r>
    <s v="T205430"/>
    <s v="RCB Vs Mumbai"/>
    <s v="Mumbai"/>
    <x v="3"/>
    <s v="NehalWadhera"/>
    <s v="not_out"/>
    <n v="52"/>
    <n v="34"/>
    <n v="4"/>
    <n v="3"/>
    <n v="4.6363636363636367"/>
  </r>
  <r>
    <s v="T205430"/>
    <s v="RCB Vs Mumbai"/>
    <s v="Mumbai"/>
    <x v="4"/>
    <s v="TimDavid"/>
    <s v="out"/>
    <n v="0"/>
    <n v="1"/>
    <n v="0"/>
    <n v="0"/>
    <n v="6.741935483870968"/>
  </r>
  <r>
    <s v="T205430"/>
    <s v="RCB Vs Mumbai"/>
    <s v="Mumbai"/>
    <x v="5"/>
    <s v="CameronGreen"/>
    <s v="not_out"/>
    <n v="2"/>
    <n v="2"/>
    <n v="0"/>
    <n v="0"/>
    <n v="6.1521739130434785"/>
  </r>
  <r>
    <s v="T201181"/>
    <s v="Punjab Kings Vs KKR"/>
    <s v="Punjab Kings"/>
    <x v="0"/>
    <s v="PrabhsimranSingh"/>
    <s v="out"/>
    <n v="12"/>
    <n v="8"/>
    <n v="3"/>
    <n v="0"/>
    <n v="4.7586206896551726"/>
  </r>
  <r>
    <s v="T201181"/>
    <s v="Punjab Kings Vs KKR"/>
    <s v="Punjab Kings"/>
    <x v="1"/>
    <s v="ShikharDhawan"/>
    <s v="out"/>
    <n v="57"/>
    <n v="47"/>
    <n v="9"/>
    <n v="1"/>
    <n v="1.6"/>
  </r>
  <r>
    <s v="T201181"/>
    <s v="Punjab Kings Vs KKR"/>
    <s v="Punjab Kings"/>
    <x v="2"/>
    <s v="BhanukaRajapaksa"/>
    <s v="out"/>
    <n v="0"/>
    <n v="3"/>
    <n v="0"/>
    <n v="0"/>
    <n v="6.5909090909090908"/>
  </r>
  <r>
    <s v="T201181"/>
    <s v="Punjab Kings Vs KKR"/>
    <s v="Punjab Kings"/>
    <x v="3"/>
    <s v="LiamLivingstone"/>
    <s v="out"/>
    <n v="15"/>
    <n v="9"/>
    <n v="3"/>
    <n v="0"/>
    <n v="4.3684210526315788"/>
  </r>
  <r>
    <s v="T201181"/>
    <s v="Punjab Kings Vs KKR"/>
    <s v="Punjab Kings"/>
    <x v="4"/>
    <s v="JiteshSharma"/>
    <s v="out"/>
    <n v="21"/>
    <n v="18"/>
    <n v="0"/>
    <n v="2"/>
    <n v="5.3571428571428568"/>
  </r>
  <r>
    <s v="T201181"/>
    <s v="Punjab Kings Vs KKR"/>
    <s v="Punjab Kings"/>
    <x v="5"/>
    <s v="SamCurran"/>
    <s v="out"/>
    <n v="4"/>
    <n v="9"/>
    <n v="0"/>
    <n v="0"/>
    <n v="4.3684210526315788"/>
  </r>
  <r>
    <s v="T201181"/>
    <s v="Punjab Kings Vs KKR"/>
    <s v="Punjab Kings"/>
    <x v="6"/>
    <s v="RishiDhawan"/>
    <s v="out"/>
    <n v="19"/>
    <n v="11"/>
    <n v="1"/>
    <n v="1"/>
    <n v="5.0769230769230766"/>
  </r>
  <r>
    <s v="T201181"/>
    <s v="Punjab Kings Vs KKR"/>
    <s v="Punjab Kings"/>
    <x v="7"/>
    <s v="MShahrukhKhan"/>
    <s v="not_out"/>
    <n v="21"/>
    <n v="8"/>
    <n v="3"/>
    <n v="1"/>
    <n v="4.7586206896551726"/>
  </r>
  <r>
    <s v="T201181"/>
    <s v="Punjab Kings Vs KKR"/>
    <s v="Punjab Kings"/>
    <x v="8"/>
    <s v="HarpreetBrar"/>
    <s v="not_out"/>
    <n v="17"/>
    <n v="9"/>
    <n v="2"/>
    <n v="1"/>
    <n v="4.3684210526315788"/>
  </r>
  <r>
    <s v="T201181"/>
    <s v="Punjab Kings Vs KKR"/>
    <s v="KKR"/>
    <x v="0"/>
    <s v="JasonRoy"/>
    <s v="out"/>
    <n v="38"/>
    <n v="24"/>
    <n v="8"/>
    <n v="0"/>
    <n v="5.1428571428571432"/>
  </r>
  <r>
    <s v="T201181"/>
    <s v="Punjab Kings Vs KKR"/>
    <s v="KKR"/>
    <x v="1"/>
    <s v="RahmanullahGurbaz"/>
    <s v="out"/>
    <n v="15"/>
    <n v="12"/>
    <n v="1"/>
    <n v="1"/>
    <n v="4.7647058823529411"/>
  </r>
  <r>
    <s v="T201181"/>
    <s v="Punjab Kings Vs KKR"/>
    <s v="KKR"/>
    <x v="2"/>
    <s v="NitishRana"/>
    <s v="out"/>
    <n v="51"/>
    <n v="38"/>
    <n v="6"/>
    <n v="1"/>
    <n v="4.5"/>
  </r>
  <r>
    <s v="T201181"/>
    <s v="Punjab Kings Vs KKR"/>
    <s v="KKR"/>
    <x v="3"/>
    <s v="VenkateshIyer"/>
    <s v="out"/>
    <n v="11"/>
    <n v="13"/>
    <n v="0"/>
    <n v="0"/>
    <n v="5.5263157894736841"/>
  </r>
  <r>
    <s v="T201181"/>
    <s v="Punjab Kings Vs KKR"/>
    <s v="KKR"/>
    <x v="4"/>
    <s v="AndreRussell"/>
    <s v="out"/>
    <n v="42"/>
    <n v="23"/>
    <n v="3"/>
    <n v="3"/>
    <n v="5.3571428571428568"/>
  </r>
  <r>
    <s v="T201181"/>
    <s v="Punjab Kings Vs KKR"/>
    <s v="KKR"/>
    <x v="5"/>
    <s v="RinkuSingh"/>
    <s v="not_out"/>
    <n v="21"/>
    <n v="10"/>
    <n v="2"/>
    <n v="1"/>
    <n v="4.8888888888888893"/>
  </r>
  <r>
    <s v="T201181"/>
    <s v="Punjab Kings Vs KKR"/>
    <s v="KKR"/>
    <x v="6"/>
    <s v="ShardulThakur"/>
    <s v="not_out"/>
    <n v="0"/>
    <n v="0"/>
    <n v="0"/>
    <n v="0"/>
    <n v="5.4666666666666668"/>
  </r>
  <r>
    <s v="T201576"/>
    <s v="Royals Vs Sunrisers"/>
    <s v="Royals"/>
    <x v="0"/>
    <s v="YashasviJaiswal"/>
    <s v="out"/>
    <n v="35"/>
    <n v="18"/>
    <n v="5"/>
    <n v="2"/>
    <n v="5.3571428571428568"/>
  </r>
  <r>
    <s v="T201576"/>
    <s v="Royals Vs Sunrisers"/>
    <s v="Royals"/>
    <x v="1"/>
    <s v="JosButtler"/>
    <s v="out"/>
    <n v="95"/>
    <n v="59"/>
    <n v="10"/>
    <n v="4"/>
    <n v="2.25"/>
  </r>
  <r>
    <s v="T201576"/>
    <s v="Royals Vs Sunrisers"/>
    <s v="Royals"/>
    <x v="2"/>
    <s v="SanjuSamson"/>
    <s v="not_out"/>
    <n v="66"/>
    <n v="38"/>
    <n v="4"/>
    <n v="5"/>
    <n v="4.5"/>
  </r>
  <r>
    <s v="T201576"/>
    <s v="Royals Vs Sunrisers"/>
    <s v="Royals"/>
    <x v="3"/>
    <s v="ShimronHetmyer"/>
    <s v="not_out"/>
    <n v="7"/>
    <n v="5"/>
    <n v="0"/>
    <n v="0"/>
    <n v="6.36"/>
  </r>
  <r>
    <s v="T201576"/>
    <s v="Royals Vs Sunrisers"/>
    <s v="Sunrisers"/>
    <x v="0"/>
    <s v="AnmolpreetSingh"/>
    <s v="out"/>
    <n v="33"/>
    <n v="25"/>
    <n v="4"/>
    <n v="1"/>
    <n v="4.625"/>
  </r>
  <r>
    <s v="T201576"/>
    <s v="Royals Vs Sunrisers"/>
    <s v="Sunrisers"/>
    <x v="1"/>
    <s v="AbhishekSharma"/>
    <s v="out"/>
    <n v="55"/>
    <n v="34"/>
    <n v="5"/>
    <n v="2"/>
    <n v="4.6363636363636367"/>
  </r>
  <r>
    <s v="T201576"/>
    <s v="Royals Vs Sunrisers"/>
    <s v="Sunrisers"/>
    <x v="2"/>
    <s v="RahulTripathi"/>
    <s v="out"/>
    <n v="47"/>
    <n v="29"/>
    <n v="2"/>
    <n v="3"/>
    <n v="4.7142857142857144"/>
  </r>
  <r>
    <s v="T201576"/>
    <s v="Royals Vs Sunrisers"/>
    <s v="Sunrisers"/>
    <x v="3"/>
    <s v="HeinrichKlaasen"/>
    <s v="out"/>
    <n v="26"/>
    <n v="12"/>
    <n v="2"/>
    <n v="2"/>
    <n v="4.7647058823529411"/>
  </r>
  <r>
    <s v="T201576"/>
    <s v="Royals Vs Sunrisers"/>
    <s v="Sunrisers"/>
    <x v="4"/>
    <s v="AidenMarkram"/>
    <s v="out"/>
    <n v="6"/>
    <n v="5"/>
    <n v="1"/>
    <n v="0"/>
    <n v="6.36"/>
  </r>
  <r>
    <s v="T201576"/>
    <s v="Royals Vs Sunrisers"/>
    <s v="Sunrisers"/>
    <x v="5"/>
    <s v="GlennPhillips"/>
    <s v="out"/>
    <n v="25"/>
    <n v="7"/>
    <n v="1"/>
    <n v="3"/>
    <n v="5.1578947368421053"/>
  </r>
  <r>
    <s v="T201576"/>
    <s v="Royals Vs Sunrisers"/>
    <s v="Sunrisers"/>
    <x v="6"/>
    <s v="AbdulSamad"/>
    <s v="not_out"/>
    <n v="17"/>
    <n v="7"/>
    <n v="0"/>
    <n v="2"/>
    <n v="5.1578947368421053"/>
  </r>
  <r>
    <s v="T201576"/>
    <s v="Royals Vs Sunrisers"/>
    <s v="Sunrisers"/>
    <x v="7"/>
    <s v="MarcoJansen"/>
    <s v="not_out"/>
    <n v="3"/>
    <n v="2"/>
    <n v="0"/>
    <n v="0"/>
    <n v="6.1555555555555559"/>
  </r>
  <r>
    <s v="T201503"/>
    <s v="Titans Vs Super Giants"/>
    <s v="Titans"/>
    <x v="0"/>
    <s v="WriddhimanSaha"/>
    <s v="out"/>
    <n v="81"/>
    <n v="43"/>
    <n v="10"/>
    <n v="4"/>
    <n v="2.3333333333333335"/>
  </r>
  <r>
    <s v="T201503"/>
    <s v="Titans Vs Super Giants"/>
    <s v="Titans"/>
    <x v="1"/>
    <s v="ShubmanGill"/>
    <s v="not_out"/>
    <n v="94"/>
    <n v="51"/>
    <n v="2"/>
    <n v="7"/>
    <n v="3.5"/>
  </r>
  <r>
    <s v="T201503"/>
    <s v="Titans Vs Super Giants"/>
    <s v="Titans"/>
    <x v="2"/>
    <s v="HardikPandya"/>
    <s v="out"/>
    <n v="25"/>
    <n v="15"/>
    <n v="1"/>
    <n v="2"/>
    <n v="5.083333333333333"/>
  </r>
  <r>
    <s v="T201503"/>
    <s v="Titans Vs Super Giants"/>
    <s v="Titans"/>
    <x v="3"/>
    <s v="DavidMiller"/>
    <s v="not_out"/>
    <n v="21"/>
    <n v="12"/>
    <n v="2"/>
    <n v="1"/>
    <n v="4.7647058823529411"/>
  </r>
  <r>
    <s v="T201503"/>
    <s v="Titans Vs Super Giants"/>
    <s v="Super Giants"/>
    <x v="0"/>
    <s v="KyleMayers"/>
    <s v="out"/>
    <n v="48"/>
    <n v="32"/>
    <n v="7"/>
    <n v="2"/>
    <n v="5.8571428571428568"/>
  </r>
  <r>
    <s v="T201503"/>
    <s v="Titans Vs Super Giants"/>
    <s v="Super Giants"/>
    <x v="1"/>
    <s v="QuintondeKock"/>
    <s v="out"/>
    <n v="70"/>
    <n v="41"/>
    <n v="7"/>
    <n v="3"/>
    <n v="4"/>
  </r>
  <r>
    <s v="T201503"/>
    <s v="Titans Vs Super Giants"/>
    <s v="Super Giants"/>
    <x v="2"/>
    <s v="DeepakHooda"/>
    <s v="out"/>
    <n v="11"/>
    <n v="11"/>
    <n v="0"/>
    <n v="0"/>
    <n v="5.166666666666667"/>
  </r>
  <r>
    <s v="T201503"/>
    <s v="Titans Vs Super Giants"/>
    <s v="Super Giants"/>
    <x v="3"/>
    <s v="MarcusStoinis"/>
    <s v="out"/>
    <n v="4"/>
    <n v="9"/>
    <n v="0"/>
    <n v="0"/>
    <n v="4.3684210526315788"/>
  </r>
  <r>
    <s v="T201503"/>
    <s v="Titans Vs Super Giants"/>
    <s v="Super Giants"/>
    <x v="4"/>
    <s v="NicholasPooran"/>
    <s v="out"/>
    <n v="3"/>
    <n v="6"/>
    <n v="0"/>
    <n v="0"/>
    <n v="5.7368421052631575"/>
  </r>
  <r>
    <s v="T201503"/>
    <s v="Titans Vs Super Giants"/>
    <s v="Super Giants"/>
    <x v="5"/>
    <s v="AyushBadoni"/>
    <s v="out"/>
    <n v="21"/>
    <n v="11"/>
    <n v="1"/>
    <n v="2"/>
    <n v="5.3636363636363633"/>
  </r>
  <r>
    <s v="T201503"/>
    <s v="Titans Vs Super Giants"/>
    <s v="Super Giants"/>
    <x v="6"/>
    <s v="SwapnilSingh"/>
    <s v="not_out"/>
    <n v="2"/>
    <n v="4"/>
    <n v="0"/>
    <n v="0"/>
    <n v="5.71875"/>
  </r>
  <r>
    <s v="T201503"/>
    <s v="Titans Vs Super Giants"/>
    <s v="Super Giants"/>
    <x v="7"/>
    <s v="KrunalPandya"/>
    <s v="out"/>
    <n v="0"/>
    <n v="1"/>
    <n v="0"/>
    <n v="0"/>
    <n v="6.741935483870968"/>
  </r>
  <r>
    <s v="T201503"/>
    <s v="Titans Vs Super Giants"/>
    <s v="Super Giants"/>
    <x v="8"/>
    <s v="RaviBishnoi"/>
    <s v="not_out"/>
    <n v="4"/>
    <n v="5"/>
    <n v="1"/>
    <n v="0"/>
    <n v="6.36"/>
  </r>
  <r>
    <s v="T208517"/>
    <s v="RCB Vs Capitals"/>
    <s v="RCB"/>
    <x v="0"/>
    <s v="ViratKohli"/>
    <s v="out"/>
    <n v="55"/>
    <n v="46"/>
    <n v="5"/>
    <n v="0"/>
    <n v="4.4000000000000004"/>
  </r>
  <r>
    <s v="T208517"/>
    <s v="RCB Vs Capitals"/>
    <s v="RCB"/>
    <x v="1"/>
    <s v="FafduPlessis"/>
    <s v="out"/>
    <n v="45"/>
    <n v="32"/>
    <n v="5"/>
    <n v="1"/>
    <n v="5.8571428571428568"/>
  </r>
  <r>
    <s v="T208517"/>
    <s v="RCB Vs Capitals"/>
    <s v="RCB"/>
    <x v="2"/>
    <s v="GlennMaxwell"/>
    <s v="out"/>
    <n v="0"/>
    <n v="1"/>
    <n v="0"/>
    <n v="0"/>
    <n v="6.741935483870968"/>
  </r>
  <r>
    <s v="T208517"/>
    <s v="RCB Vs Capitals"/>
    <s v="RCB"/>
    <x v="3"/>
    <s v="MahipalLomror"/>
    <s v="not_out"/>
    <n v="54"/>
    <n v="29"/>
    <n v="6"/>
    <n v="3"/>
    <n v="4.7142857142857144"/>
  </r>
  <r>
    <s v="T208517"/>
    <s v="RCB Vs Capitals"/>
    <s v="RCB"/>
    <x v="4"/>
    <s v="DineshKarthik"/>
    <s v="out"/>
    <n v="11"/>
    <n v="9"/>
    <n v="0"/>
    <n v="1"/>
    <n v="4.3684210526315788"/>
  </r>
  <r>
    <s v="T208517"/>
    <s v="RCB Vs Capitals"/>
    <s v="RCB"/>
    <x v="5"/>
    <s v="AnujRawat"/>
    <s v="not_out"/>
    <n v="8"/>
    <n v="3"/>
    <n v="0"/>
    <n v="1"/>
    <n v="6.6"/>
  </r>
  <r>
    <s v="T208517"/>
    <s v="RCB Vs Capitals"/>
    <s v="Capitals"/>
    <x v="0"/>
    <s v="DavidWarner"/>
    <s v="out"/>
    <n v="22"/>
    <n v="14"/>
    <n v="3"/>
    <n v="1"/>
    <n v="3.4444444444444446"/>
  </r>
  <r>
    <s v="T208517"/>
    <s v="RCB Vs Capitals"/>
    <s v="Capitals"/>
    <x v="1"/>
    <s v="PhilSalt"/>
    <s v="out"/>
    <n v="87"/>
    <n v="45"/>
    <n v="8"/>
    <n v="6"/>
    <n v="4.25"/>
  </r>
  <r>
    <s v="T208517"/>
    <s v="RCB Vs Capitals"/>
    <s v="Capitals"/>
    <x v="2"/>
    <s v="MitchellMarsh"/>
    <s v="out"/>
    <n v="26"/>
    <n v="17"/>
    <n v="3"/>
    <n v="1"/>
    <n v="5.0999999999999996"/>
  </r>
  <r>
    <s v="T208517"/>
    <s v="RCB Vs Capitals"/>
    <s v="Capitals"/>
    <x v="3"/>
    <s v="RileeRossouw"/>
    <s v="not_out"/>
    <n v="35"/>
    <n v="22"/>
    <n v="1"/>
    <n v="3"/>
    <n v="4.5"/>
  </r>
  <r>
    <s v="T208517"/>
    <s v="RCB Vs Capitals"/>
    <s v="Capitals"/>
    <x v="4"/>
    <s v="AxarPatel"/>
    <s v="not_out"/>
    <n v="8"/>
    <n v="3"/>
    <n v="0"/>
    <n v="1"/>
    <n v="6.6"/>
  </r>
  <r>
    <s v="T204004"/>
    <s v="Mumbai Vs Super Kings"/>
    <s v="Mumbai"/>
    <x v="0"/>
    <s v="CameronGreen"/>
    <s v="out"/>
    <n v="6"/>
    <n v="4"/>
    <n v="1"/>
    <n v="0"/>
    <n v="5.612903225806452"/>
  </r>
  <r>
    <s v="T204004"/>
    <s v="Mumbai Vs Super Kings"/>
    <s v="Mumbai"/>
    <x v="1"/>
    <s v="IshanKishan"/>
    <s v="out"/>
    <n v="7"/>
    <n v="9"/>
    <n v="1"/>
    <n v="0"/>
    <n v="4.3684210526315788"/>
  </r>
  <r>
    <s v="T204004"/>
    <s v="Mumbai Vs Super Kings"/>
    <s v="Mumbai"/>
    <x v="2"/>
    <s v="RohitSharma"/>
    <s v="out"/>
    <n v="0"/>
    <n v="3"/>
    <n v="0"/>
    <n v="0"/>
    <n v="6.6"/>
  </r>
  <r>
    <s v="T204004"/>
    <s v="Mumbai Vs Super Kings"/>
    <s v="Mumbai"/>
    <x v="3"/>
    <s v="NehalWadhera"/>
    <s v="out"/>
    <n v="64"/>
    <n v="51"/>
    <n v="8"/>
    <n v="1"/>
    <n v="3.5"/>
  </r>
  <r>
    <s v="T204004"/>
    <s v="Mumbai Vs Super Kings"/>
    <s v="Mumbai"/>
    <x v="4"/>
    <s v="SuryakumarYadav"/>
    <s v="out"/>
    <n v="26"/>
    <n v="22"/>
    <n v="3"/>
    <n v="0"/>
    <n v="4.5"/>
  </r>
  <r>
    <s v="T204004"/>
    <s v="Mumbai Vs Super Kings"/>
    <s v="Mumbai"/>
    <x v="5"/>
    <s v="TristanStubbs"/>
    <s v="out"/>
    <n v="20"/>
    <n v="21"/>
    <n v="2"/>
    <n v="0"/>
    <n v="4.5"/>
  </r>
  <r>
    <s v="T204004"/>
    <s v="Mumbai Vs Super Kings"/>
    <s v="Mumbai"/>
    <x v="6"/>
    <s v="TimDavid"/>
    <s v="out"/>
    <n v="2"/>
    <n v="4"/>
    <n v="0"/>
    <n v="0"/>
    <n v="5.612903225806452"/>
  </r>
  <r>
    <s v="T204004"/>
    <s v="Mumbai Vs Super Kings"/>
    <s v="Mumbai"/>
    <x v="7"/>
    <s v="ArshadKhan"/>
    <s v="out"/>
    <n v="1"/>
    <n v="2"/>
    <n v="0"/>
    <n v="0"/>
    <n v="6.1162790697674421"/>
  </r>
  <r>
    <s v="T204004"/>
    <s v="Mumbai Vs Super Kings"/>
    <s v="Mumbai"/>
    <x v="8"/>
    <s v="JofraArcher"/>
    <s v="not_out"/>
    <n v="3"/>
    <n v="2"/>
    <n v="0"/>
    <n v="0"/>
    <n v="6.1162790697674421"/>
  </r>
  <r>
    <s v="T204004"/>
    <s v="Mumbai Vs Super Kings"/>
    <s v="Mumbai"/>
    <x v="9"/>
    <s v="PiyushChawla"/>
    <s v="not_out"/>
    <n v="2"/>
    <n v="2"/>
    <n v="0"/>
    <n v="0"/>
    <n v="6.1162790697674421"/>
  </r>
  <r>
    <s v="T204004"/>
    <s v="Mumbai Vs Super Kings"/>
    <s v="Super Kings"/>
    <x v="0"/>
    <s v="RuturajGaikwad"/>
    <s v="out"/>
    <n v="30"/>
    <n v="16"/>
    <n v="4"/>
    <n v="2"/>
    <n v="6.375"/>
  </r>
  <r>
    <s v="T204004"/>
    <s v="Mumbai Vs Super Kings"/>
    <s v="Super Kings"/>
    <x v="1"/>
    <s v="DevonConway"/>
    <s v="out"/>
    <n v="44"/>
    <n v="42"/>
    <n v="4"/>
    <n v="0"/>
    <n v="3.75"/>
  </r>
  <r>
    <s v="T204004"/>
    <s v="Mumbai Vs Super Kings"/>
    <s v="Super Kings"/>
    <x v="2"/>
    <s v="AjinkyaRahane"/>
    <s v="out"/>
    <n v="21"/>
    <n v="17"/>
    <n v="1"/>
    <n v="1"/>
    <n v="5.0999999999999996"/>
  </r>
  <r>
    <s v="T204004"/>
    <s v="Mumbai Vs Super Kings"/>
    <s v="Super Kings"/>
    <x v="3"/>
    <s v="AmbatiRayudu"/>
    <s v="out"/>
    <n v="12"/>
    <n v="11"/>
    <n v="0"/>
    <n v="1"/>
    <n v="5.4"/>
  </r>
  <r>
    <s v="T204004"/>
    <s v="Mumbai Vs Super Kings"/>
    <s v="Super Kings"/>
    <x v="4"/>
    <s v="ShivamDube"/>
    <s v="not_out"/>
    <n v="26"/>
    <n v="18"/>
    <n v="0"/>
    <n v="3"/>
    <n v="5.3571428571428568"/>
  </r>
  <r>
    <s v="T204004"/>
    <s v="Mumbai Vs Super Kings"/>
    <s v="Super Kings"/>
    <x v="5"/>
    <s v="MSDhoni"/>
    <s v="not_out"/>
    <n v="2"/>
    <n v="3"/>
    <n v="0"/>
    <n v="0"/>
    <n v="6.4736842105263159"/>
  </r>
  <r>
    <s v="T206195"/>
    <s v="Royals Vs Titans"/>
    <s v="Royals"/>
    <x v="0"/>
    <s v="YashasviJaiswal"/>
    <s v="out"/>
    <n v="14"/>
    <n v="11"/>
    <n v="1"/>
    <n v="1"/>
    <n v="5.4"/>
  </r>
  <r>
    <s v="T206195"/>
    <s v="Royals Vs Titans"/>
    <s v="Royals"/>
    <x v="1"/>
    <s v="JosButtler"/>
    <s v="out"/>
    <n v="8"/>
    <n v="6"/>
    <n v="2"/>
    <n v="0"/>
    <n v="6"/>
  </r>
  <r>
    <s v="T206195"/>
    <s v="Royals Vs Titans"/>
    <s v="Royals"/>
    <x v="2"/>
    <s v="SanjuSamson"/>
    <s v="out"/>
    <n v="30"/>
    <n v="20"/>
    <n v="3"/>
    <n v="1"/>
    <n v="4.4285714285714288"/>
  </r>
  <r>
    <s v="T206195"/>
    <s v="Royals Vs Titans"/>
    <s v="Royals"/>
    <x v="3"/>
    <s v="DevduttPadikkal"/>
    <s v="out"/>
    <n v="12"/>
    <n v="12"/>
    <n v="1"/>
    <n v="0"/>
    <n v="4.8125"/>
  </r>
  <r>
    <s v="T206195"/>
    <s v="Royals Vs Titans"/>
    <s v="Royals"/>
    <x v="4"/>
    <s v="RavichandranAshwin"/>
    <s v="out"/>
    <n v="2"/>
    <n v="6"/>
    <n v="0"/>
    <n v="0"/>
    <n v="6"/>
  </r>
  <r>
    <s v="T206195"/>
    <s v="Royals Vs Titans"/>
    <s v="Royals"/>
    <x v="5"/>
    <s v="RiyanParag"/>
    <s v="out"/>
    <n v="4"/>
    <n v="6"/>
    <n v="0"/>
    <n v="0"/>
    <n v="6"/>
  </r>
  <r>
    <s v="T206195"/>
    <s v="Royals Vs Titans"/>
    <s v="Royals"/>
    <x v="6"/>
    <s v="ShimronHetmyer"/>
    <s v="out"/>
    <n v="7"/>
    <n v="13"/>
    <n v="0"/>
    <n v="0"/>
    <n v="5.5263157894736841"/>
  </r>
  <r>
    <s v="T206195"/>
    <s v="Royals Vs Titans"/>
    <s v="Royals"/>
    <x v="7"/>
    <s v="DhruvJurel"/>
    <s v="out"/>
    <n v="9"/>
    <n v="8"/>
    <n v="1"/>
    <n v="0"/>
    <n v="4.8076923076923075"/>
  </r>
  <r>
    <s v="T206195"/>
    <s v="Royals Vs Titans"/>
    <s v="Royals"/>
    <x v="8"/>
    <s v="TrentBoult"/>
    <s v="out"/>
    <n v="15"/>
    <n v="11"/>
    <n v="1"/>
    <n v="1"/>
    <n v="5.4"/>
  </r>
  <r>
    <s v="T206195"/>
    <s v="Royals Vs Titans"/>
    <s v="Royals"/>
    <x v="9"/>
    <s v="AdamZampa"/>
    <s v="out"/>
    <n v="7"/>
    <n v="9"/>
    <n v="0"/>
    <n v="0"/>
    <n v="4.166666666666667"/>
  </r>
  <r>
    <s v="T206195"/>
    <s v="Royals Vs Titans"/>
    <s v="Royals"/>
    <x v="10"/>
    <s v="SandeepSharma"/>
    <s v="not_out"/>
    <n v="2"/>
    <n v="5"/>
    <n v="0"/>
    <n v="0"/>
    <n v="6.36"/>
  </r>
  <r>
    <s v="T206195"/>
    <s v="Royals Vs Titans"/>
    <s v="Titans"/>
    <x v="0"/>
    <s v="WriddhimanSaha"/>
    <s v="not_out"/>
    <n v="41"/>
    <n v="34"/>
    <n v="5"/>
    <n v="0"/>
    <n v="4.6363636363636367"/>
  </r>
  <r>
    <s v="T206195"/>
    <s v="Royals Vs Titans"/>
    <s v="Titans"/>
    <x v="1"/>
    <s v="ShubmanGill"/>
    <s v="out"/>
    <n v="36"/>
    <n v="35"/>
    <n v="6"/>
    <n v="0"/>
    <n v="2.75"/>
  </r>
  <r>
    <s v="T206195"/>
    <s v="Royals Vs Titans"/>
    <s v="Titans"/>
    <x v="2"/>
    <s v="HardikPandya"/>
    <s v="not_out"/>
    <n v="39"/>
    <n v="15"/>
    <n v="3"/>
    <n v="3"/>
    <n v="4.7272727272727275"/>
  </r>
  <r>
    <s v="T208611"/>
    <s v="KKR Vs Sunrisers"/>
    <s v="KKR"/>
    <x v="0"/>
    <s v="JasonRoy"/>
    <s v="out"/>
    <n v="20"/>
    <n v="19"/>
    <n v="4"/>
    <n v="0"/>
    <n v="4.9333333333333336"/>
  </r>
  <r>
    <s v="T208611"/>
    <s v="KKR Vs Sunrisers"/>
    <s v="KKR"/>
    <x v="1"/>
    <s v="RahmanullahGurbaz"/>
    <s v="out"/>
    <n v="0"/>
    <n v="1"/>
    <n v="0"/>
    <n v="0"/>
    <n v="6.721311475409836"/>
  </r>
  <r>
    <s v="T208611"/>
    <s v="KKR Vs Sunrisers"/>
    <s v="KKR"/>
    <x v="2"/>
    <s v="VenkateshIyer"/>
    <s v="out"/>
    <n v="7"/>
    <n v="4"/>
    <n v="1"/>
    <n v="0"/>
    <n v="5.6"/>
  </r>
  <r>
    <s v="T208611"/>
    <s v="KKR Vs Sunrisers"/>
    <s v="KKR"/>
    <x v="3"/>
    <s v="NitishRana"/>
    <s v="out"/>
    <n v="42"/>
    <n v="31"/>
    <n v="3"/>
    <n v="3"/>
    <n v="3.625"/>
  </r>
  <r>
    <s v="T208611"/>
    <s v="KKR Vs Sunrisers"/>
    <s v="KKR"/>
    <x v="4"/>
    <s v="RinkuSingh"/>
    <s v="out"/>
    <n v="46"/>
    <n v="35"/>
    <n v="4"/>
    <n v="1"/>
    <n v="2.75"/>
  </r>
  <r>
    <s v="T208611"/>
    <s v="KKR Vs Sunrisers"/>
    <s v="KKR"/>
    <x v="5"/>
    <s v="AndreRussell"/>
    <s v="out"/>
    <n v="24"/>
    <n v="15"/>
    <n v="1"/>
    <n v="2"/>
    <n v="4.7272727272727275"/>
  </r>
  <r>
    <s v="T208611"/>
    <s v="KKR Vs Sunrisers"/>
    <s v="KKR"/>
    <x v="6"/>
    <s v="SunilNarine"/>
    <s v="out"/>
    <n v="1"/>
    <n v="2"/>
    <n v="0"/>
    <n v="0"/>
    <n v="5.9230769230769234"/>
  </r>
  <r>
    <s v="T208611"/>
    <s v="KKR Vs Sunrisers"/>
    <s v="KKR"/>
    <x v="7"/>
    <s v="ShardulThakur"/>
    <s v="out"/>
    <n v="8"/>
    <n v="6"/>
    <n v="1"/>
    <n v="0"/>
    <n v="6"/>
  </r>
  <r>
    <s v="T208611"/>
    <s v="KKR Vs Sunrisers"/>
    <s v="KKR"/>
    <x v="8"/>
    <s v="AnukulRoy"/>
    <s v="not_out"/>
    <n v="13"/>
    <n v="7"/>
    <n v="2"/>
    <n v="0"/>
    <n v="5.0666666666666664"/>
  </r>
  <r>
    <s v="T208611"/>
    <s v="KKR Vs Sunrisers"/>
    <s v="KKR"/>
    <x v="9"/>
    <s v="HarshitRana"/>
    <s v="out"/>
    <n v="0"/>
    <n v="1"/>
    <n v="0"/>
    <n v="0"/>
    <n v="6.7166666666666668"/>
  </r>
  <r>
    <s v="T208611"/>
    <s v="KKR Vs Sunrisers"/>
    <s v="KKR"/>
    <x v="10"/>
    <s v="VaibhavArora"/>
    <s v="not_out"/>
    <n v="2"/>
    <n v="1"/>
    <n v="0"/>
    <n v="0"/>
    <n v="6.7166666666666668"/>
  </r>
  <r>
    <s v="T208611"/>
    <s v="KKR Vs Sunrisers"/>
    <s v="Sunrisers"/>
    <x v="0"/>
    <s v="AbhishekSharma"/>
    <s v="out"/>
    <n v="9"/>
    <n v="10"/>
    <n v="1"/>
    <n v="0"/>
    <n v="4.8888888888888893"/>
  </r>
  <r>
    <s v="T208611"/>
    <s v="KKR Vs Sunrisers"/>
    <s v="Sunrisers"/>
    <x v="1"/>
    <s v="MayankAgarwal"/>
    <s v="out"/>
    <n v="18"/>
    <n v="11"/>
    <n v="2"/>
    <n v="1"/>
    <n v="5.4"/>
  </r>
  <r>
    <s v="T208611"/>
    <s v="KKR Vs Sunrisers"/>
    <s v="Sunrisers"/>
    <x v="2"/>
    <s v="RahulTripathi"/>
    <s v="out"/>
    <n v="20"/>
    <n v="9"/>
    <n v="3"/>
    <n v="1"/>
    <n v="4.3529411764705879"/>
  </r>
  <r>
    <s v="T208611"/>
    <s v="KKR Vs Sunrisers"/>
    <s v="Sunrisers"/>
    <x v="3"/>
    <s v="AidenMarkram"/>
    <s v="out"/>
    <n v="41"/>
    <n v="40"/>
    <n v="4"/>
    <n v="0"/>
    <n v="3.4"/>
  </r>
  <r>
    <s v="T208611"/>
    <s v="KKR Vs Sunrisers"/>
    <s v="Sunrisers"/>
    <x v="4"/>
    <s v="HarryBrook"/>
    <s v="out"/>
    <n v="0"/>
    <n v="4"/>
    <n v="0"/>
    <n v="0"/>
    <n v="5.6"/>
  </r>
  <r>
    <s v="T208611"/>
    <s v="KKR Vs Sunrisers"/>
    <s v="Sunrisers"/>
    <x v="5"/>
    <s v="HeinrichKlaasen"/>
    <s v="out"/>
    <n v="36"/>
    <n v="20"/>
    <n v="1"/>
    <n v="3"/>
    <n v="4.833333333333333"/>
  </r>
  <r>
    <s v="T208611"/>
    <s v="KKR Vs Sunrisers"/>
    <s v="Sunrisers"/>
    <x v="6"/>
    <s v="AbdulSamad"/>
    <s v="out"/>
    <n v="21"/>
    <n v="18"/>
    <n v="3"/>
    <n v="0"/>
    <n v="5.615384615384615"/>
  </r>
  <r>
    <s v="T208611"/>
    <s v="KKR Vs Sunrisers"/>
    <s v="Sunrisers"/>
    <x v="7"/>
    <s v="MarcoJansen"/>
    <s v="out"/>
    <n v="1"/>
    <n v="4"/>
    <n v="0"/>
    <n v="0"/>
    <n v="5.6"/>
  </r>
  <r>
    <s v="T208611"/>
    <s v="KKR Vs Sunrisers"/>
    <s v="Sunrisers"/>
    <x v="8"/>
    <s v="BhuvneshwarKumar"/>
    <s v="not_out"/>
    <n v="5"/>
    <n v="5"/>
    <n v="1"/>
    <n v="0"/>
    <n v="6.36"/>
  </r>
  <r>
    <s v="T208611"/>
    <s v="KKR Vs Sunrisers"/>
    <s v="Sunrisers"/>
    <x v="9"/>
    <s v="MayankMarkande"/>
    <s v="not_out"/>
    <n v="1"/>
    <n v="2"/>
    <n v="0"/>
    <n v="0"/>
    <n v="5.7894736842105265"/>
  </r>
  <r>
    <s v="T205138"/>
    <s v="Punjab Kings Vs Mumbai"/>
    <s v="Punjab Kings"/>
    <x v="0"/>
    <s v="PrabhsimranSingh"/>
    <s v="out"/>
    <n v="9"/>
    <n v="7"/>
    <n v="1"/>
    <n v="0"/>
    <n v="5.0666666666666664"/>
  </r>
  <r>
    <s v="T205138"/>
    <s v="Punjab Kings Vs Mumbai"/>
    <s v="Punjab Kings"/>
    <x v="1"/>
    <s v="ShikharDhawan"/>
    <s v="out"/>
    <n v="30"/>
    <n v="20"/>
    <n v="5"/>
    <n v="0"/>
    <n v="4.833333333333333"/>
  </r>
  <r>
    <s v="T205138"/>
    <s v="Punjab Kings Vs Mumbai"/>
    <s v="Punjab Kings"/>
    <x v="2"/>
    <s v="MatthewShort"/>
    <s v="out"/>
    <n v="27"/>
    <n v="26"/>
    <n v="2"/>
    <n v="1"/>
    <n v="4"/>
  </r>
  <r>
    <s v="T205138"/>
    <s v="Punjab Kings Vs Mumbai"/>
    <s v="Punjab Kings"/>
    <x v="3"/>
    <s v="LiamLivingstone"/>
    <s v="not_out"/>
    <n v="82"/>
    <n v="42"/>
    <n v="7"/>
    <n v="4"/>
    <n v="3.6666666666666665"/>
  </r>
  <r>
    <s v="T205138"/>
    <s v="Punjab Kings Vs Mumbai"/>
    <s v="Punjab Kings"/>
    <x v="4"/>
    <s v="JiteshSharma"/>
    <s v="not_out"/>
    <n v="49"/>
    <n v="27"/>
    <n v="5"/>
    <n v="2"/>
    <n v="4.1818181818181817"/>
  </r>
  <r>
    <s v="T205138"/>
    <s v="Punjab Kings Vs Mumbai"/>
    <s v="Mumbai"/>
    <x v="0"/>
    <s v="RohitSharma"/>
    <s v="out"/>
    <n v="0"/>
    <n v="3"/>
    <n v="0"/>
    <n v="0"/>
    <n v="6.4736842105263159"/>
  </r>
  <r>
    <s v="T205138"/>
    <s v="Punjab Kings Vs Mumbai"/>
    <s v="Mumbai"/>
    <x v="1"/>
    <s v="IshanKishan"/>
    <s v="out"/>
    <n v="75"/>
    <n v="41"/>
    <n v="7"/>
    <n v="4"/>
    <n v="5"/>
  </r>
  <r>
    <s v="T205138"/>
    <s v="Punjab Kings Vs Mumbai"/>
    <s v="Mumbai"/>
    <x v="2"/>
    <s v="CameronGreen"/>
    <s v="out"/>
    <n v="23"/>
    <n v="18"/>
    <n v="4"/>
    <n v="0"/>
    <n v="5.615384615384615"/>
  </r>
  <r>
    <s v="T205138"/>
    <s v="Punjab Kings Vs Mumbai"/>
    <s v="Mumbai"/>
    <x v="3"/>
    <s v="SuryakumarYadav"/>
    <s v="out"/>
    <n v="66"/>
    <n v="31"/>
    <n v="8"/>
    <n v="2"/>
    <n v="3.625"/>
  </r>
  <r>
    <s v="T205138"/>
    <s v="Punjab Kings Vs Mumbai"/>
    <s v="Mumbai"/>
    <x v="4"/>
    <s v="TimDavid"/>
    <s v="not_out"/>
    <n v="19"/>
    <n v="10"/>
    <n v="3"/>
    <n v="0"/>
    <n v="4.8888888888888893"/>
  </r>
  <r>
    <s v="T205138"/>
    <s v="Punjab Kings Vs Mumbai"/>
    <s v="Mumbai"/>
    <x v="5"/>
    <s v="TilakVarma"/>
    <s v="not_out"/>
    <n v="26"/>
    <n v="10"/>
    <n v="1"/>
    <n v="3"/>
    <n v="4.8888888888888893"/>
  </r>
  <r>
    <s v="T203464"/>
    <s v="Capitals Vs Titans"/>
    <s v="Capitals"/>
    <x v="0"/>
    <s v="PhilSalt"/>
    <s v="out"/>
    <n v="0"/>
    <n v="1"/>
    <n v="0"/>
    <n v="0"/>
    <n v="6.6379310344827589"/>
  </r>
  <r>
    <s v="T203464"/>
    <s v="Capitals Vs Titans"/>
    <s v="Capitals"/>
    <x v="1"/>
    <s v="DavidWarner"/>
    <s v="out"/>
    <n v="2"/>
    <n v="2"/>
    <n v="0"/>
    <n v="0"/>
    <n v="5.7894736842105265"/>
  </r>
  <r>
    <s v="T203464"/>
    <s v="Capitals Vs Titans"/>
    <s v="Capitals"/>
    <x v="2"/>
    <s v="PriyamGarg"/>
    <s v="out"/>
    <n v="10"/>
    <n v="14"/>
    <n v="0"/>
    <n v="0"/>
    <n v="3.75"/>
  </r>
  <r>
    <s v="T203464"/>
    <s v="Capitals Vs Titans"/>
    <s v="Capitals"/>
    <x v="3"/>
    <s v="RileeRossouw"/>
    <s v="out"/>
    <n v="8"/>
    <n v="6"/>
    <n v="2"/>
    <n v="0"/>
    <n v="6"/>
  </r>
  <r>
    <s v="T203464"/>
    <s v="Capitals Vs Titans"/>
    <s v="Capitals"/>
    <x v="4"/>
    <s v="ManishPandey"/>
    <s v="out"/>
    <n v="1"/>
    <n v="4"/>
    <n v="0"/>
    <n v="0"/>
    <n v="5.6"/>
  </r>
  <r>
    <s v="T203464"/>
    <s v="Capitals Vs Titans"/>
    <s v="Capitals"/>
    <x v="5"/>
    <s v="AxarPatel"/>
    <s v="out"/>
    <n v="27"/>
    <n v="30"/>
    <n v="2"/>
    <n v="1"/>
    <n v="4.5714285714285712"/>
  </r>
  <r>
    <s v="T203464"/>
    <s v="Capitals Vs Titans"/>
    <s v="Capitals"/>
    <x v="6"/>
    <s v="AmanHakimKhan"/>
    <s v="out"/>
    <n v="51"/>
    <n v="44"/>
    <n v="3"/>
    <n v="3"/>
    <n v="1.75"/>
  </r>
  <r>
    <s v="T203464"/>
    <s v="Capitals Vs Titans"/>
    <s v="Capitals"/>
    <x v="7"/>
    <s v="RipalPatel"/>
    <s v="out"/>
    <n v="23"/>
    <n v="13"/>
    <n v="2"/>
    <n v="1"/>
    <n v="5.333333333333333"/>
  </r>
  <r>
    <s v="T203464"/>
    <s v="Capitals Vs Titans"/>
    <s v="Capitals"/>
    <x v="8"/>
    <s v="AnrichNortje"/>
    <s v="not_out"/>
    <n v="3"/>
    <n v="6"/>
    <n v="0"/>
    <n v="0"/>
    <n v="6"/>
  </r>
  <r>
    <s v="T203464"/>
    <s v="Capitals Vs Titans"/>
    <s v="Capitals"/>
    <x v="9"/>
    <s v="KuldeepYadav"/>
    <s v="not_out"/>
    <n v="0"/>
    <n v="1"/>
    <n v="0"/>
    <n v="0"/>
    <n v="6.666666666666667"/>
  </r>
  <r>
    <s v="T203464"/>
    <s v="Capitals Vs Titans"/>
    <s v="Titans"/>
    <x v="0"/>
    <s v="WriddhimanSaha"/>
    <s v="out"/>
    <n v="0"/>
    <n v="6"/>
    <n v="0"/>
    <n v="0"/>
    <n v="6"/>
  </r>
  <r>
    <s v="T203464"/>
    <s v="Capitals Vs Titans"/>
    <s v="Titans"/>
    <x v="1"/>
    <s v="ShubmanGill"/>
    <s v="out"/>
    <n v="6"/>
    <n v="7"/>
    <n v="1"/>
    <n v="0"/>
    <n v="5.0666666666666664"/>
  </r>
  <r>
    <s v="T203464"/>
    <s v="Capitals Vs Titans"/>
    <s v="Titans"/>
    <x v="2"/>
    <s v="HardikPandya"/>
    <s v="not_out"/>
    <n v="59"/>
    <n v="53"/>
    <n v="7"/>
    <n v="0"/>
    <n v="4.25"/>
  </r>
  <r>
    <s v="T203464"/>
    <s v="Capitals Vs Titans"/>
    <s v="Titans"/>
    <x v="3"/>
    <s v="VijayShankar"/>
    <s v="out"/>
    <n v="6"/>
    <n v="9"/>
    <n v="1"/>
    <n v="0"/>
    <n v="4.5625"/>
  </r>
  <r>
    <s v="T203464"/>
    <s v="Capitals Vs Titans"/>
    <s v="Titans"/>
    <x v="4"/>
    <s v="DavidMiller"/>
    <s v="out"/>
    <n v="0"/>
    <n v="3"/>
    <n v="0"/>
    <n v="0"/>
    <n v="6.333333333333333"/>
  </r>
  <r>
    <s v="T203464"/>
    <s v="Capitals Vs Titans"/>
    <s v="Titans"/>
    <x v="5"/>
    <s v="AbhinavManohar"/>
    <s v="out"/>
    <n v="26"/>
    <n v="33"/>
    <n v="0"/>
    <n v="1"/>
    <n v="3"/>
  </r>
  <r>
    <s v="T203464"/>
    <s v="Capitals Vs Titans"/>
    <s v="Titans"/>
    <x v="6"/>
    <s v="RahulTewatia"/>
    <s v="out"/>
    <n v="20"/>
    <n v="7"/>
    <n v="0"/>
    <n v="3"/>
    <n v="5.0666666666666664"/>
  </r>
  <r>
    <s v="T203464"/>
    <s v="Capitals Vs Titans"/>
    <s v="Titans"/>
    <x v="7"/>
    <s v="RashidKhan"/>
    <s v="not_out"/>
    <n v="3"/>
    <n v="2"/>
    <n v="0"/>
    <n v="0"/>
    <n v="5.8918918918918921"/>
  </r>
  <r>
    <s v="T203494"/>
    <s v="RCB Vs Super Giants"/>
    <s v="RCB"/>
    <x v="0"/>
    <s v="ViratKohli"/>
    <s v="out"/>
    <n v="31"/>
    <n v="30"/>
    <n v="3"/>
    <n v="0"/>
    <n v="4.5714285714285712"/>
  </r>
  <r>
    <s v="T203494"/>
    <s v="RCB Vs Super Giants"/>
    <s v="RCB"/>
    <x v="1"/>
    <s v="FafduPlessis"/>
    <s v="out"/>
    <n v="44"/>
    <n v="40"/>
    <n v="1"/>
    <n v="1"/>
    <n v="3.4"/>
  </r>
  <r>
    <s v="T203494"/>
    <s v="RCB Vs Super Giants"/>
    <s v="RCB"/>
    <x v="2"/>
    <s v="AnujRawat"/>
    <s v="out"/>
    <n v="9"/>
    <n v="11"/>
    <n v="0"/>
    <n v="0"/>
    <n v="5.4"/>
  </r>
  <r>
    <s v="T203494"/>
    <s v="RCB Vs Super Giants"/>
    <s v="RCB"/>
    <x v="3"/>
    <s v="GlennMaxwell"/>
    <s v="out"/>
    <n v="4"/>
    <n v="5"/>
    <n v="0"/>
    <n v="0"/>
    <n v="6.25"/>
  </r>
  <r>
    <s v="T203494"/>
    <s v="RCB Vs Super Giants"/>
    <s v="RCB"/>
    <x v="4"/>
    <s v="SuyashPrabhudessai"/>
    <s v="out"/>
    <n v="6"/>
    <n v="7"/>
    <n v="0"/>
    <n v="0"/>
    <n v="5.0666666666666664"/>
  </r>
  <r>
    <s v="T203494"/>
    <s v="RCB Vs Super Giants"/>
    <s v="RCB"/>
    <x v="5"/>
    <s v="DineshKarthik"/>
    <s v="out"/>
    <n v="16"/>
    <n v="11"/>
    <n v="1"/>
    <n v="1"/>
    <n v="5.4"/>
  </r>
  <r>
    <s v="T203494"/>
    <s v="RCB Vs Super Giants"/>
    <s v="RCB"/>
    <x v="6"/>
    <s v="MahipalLomror"/>
    <s v="out"/>
    <n v="3"/>
    <n v="4"/>
    <n v="0"/>
    <n v="0"/>
    <n v="5.6551724137931032"/>
  </r>
  <r>
    <s v="T203494"/>
    <s v="RCB Vs Super Giants"/>
    <s v="RCB"/>
    <x v="7"/>
    <s v="WaninduHasaranga"/>
    <s v="not_out"/>
    <n v="8"/>
    <n v="7"/>
    <n v="1"/>
    <n v="0"/>
    <n v="5.0666666666666664"/>
  </r>
  <r>
    <s v="T203494"/>
    <s v="RCB Vs Super Giants"/>
    <s v="RCB"/>
    <x v="8"/>
    <s v="KarnSharma"/>
    <s v="out"/>
    <n v="2"/>
    <n v="2"/>
    <n v="0"/>
    <n v="0"/>
    <n v="5.8918918918918921"/>
  </r>
  <r>
    <s v="T203494"/>
    <s v="RCB Vs Super Giants"/>
    <s v="RCB"/>
    <x v="9"/>
    <s v="MohammedSiraj"/>
    <s v="out"/>
    <n v="0"/>
    <n v="1"/>
    <n v="0"/>
    <n v="0"/>
    <n v="6.666666666666667"/>
  </r>
  <r>
    <s v="T203494"/>
    <s v="RCB Vs Super Giants"/>
    <s v="RCB"/>
    <x v="10"/>
    <s v="JoshHazlewood"/>
    <s v="not_out"/>
    <n v="1"/>
    <n v="2"/>
    <n v="0"/>
    <n v="0"/>
    <n v="5.8055555555555554"/>
  </r>
  <r>
    <s v="T203494"/>
    <s v="RCB Vs Super Giants"/>
    <s v="Super Giants"/>
    <x v="0"/>
    <s v="KyleMayers"/>
    <s v="out"/>
    <n v="0"/>
    <n v="2"/>
    <n v="0"/>
    <n v="0"/>
    <n v="5.8055555555555554"/>
  </r>
  <r>
    <s v="T203494"/>
    <s v="RCB Vs Super Giants"/>
    <s v="Super Giants"/>
    <x v="1"/>
    <s v="AyushBadoni"/>
    <s v="out"/>
    <n v="4"/>
    <n v="11"/>
    <n v="0"/>
    <n v="0"/>
    <n v="5.4"/>
  </r>
  <r>
    <s v="T203494"/>
    <s v="RCB Vs Super Giants"/>
    <s v="Super Giants"/>
    <x v="2"/>
    <s v="KrunalPandya"/>
    <s v="out"/>
    <n v="14"/>
    <n v="11"/>
    <n v="3"/>
    <n v="0"/>
    <n v="5.4"/>
  </r>
  <r>
    <s v="T203494"/>
    <s v="RCB Vs Super Giants"/>
    <s v="Super Giants"/>
    <x v="3"/>
    <s v="DeepakHooda"/>
    <s v="out"/>
    <n v="1"/>
    <n v="2"/>
    <n v="0"/>
    <n v="0"/>
    <n v="5.8055555555555554"/>
  </r>
  <r>
    <s v="T203494"/>
    <s v="RCB Vs Super Giants"/>
    <s v="Super Giants"/>
    <x v="4"/>
    <s v="MarcusStoinis"/>
    <s v="out"/>
    <n v="13"/>
    <n v="19"/>
    <n v="0"/>
    <n v="1"/>
    <n v="4.9285714285714288"/>
  </r>
  <r>
    <s v="T203494"/>
    <s v="RCB Vs Super Giants"/>
    <s v="Super Giants"/>
    <x v="5"/>
    <s v="NicholasPooran"/>
    <s v="out"/>
    <n v="9"/>
    <n v="7"/>
    <n v="0"/>
    <n v="1"/>
    <n v="5.0666666666666664"/>
  </r>
  <r>
    <s v="T203494"/>
    <s v="RCB Vs Super Giants"/>
    <s v="Super Giants"/>
    <x v="6"/>
    <s v="KrishnappaGowtham"/>
    <s v="out"/>
    <n v="23"/>
    <n v="13"/>
    <n v="1"/>
    <n v="2"/>
    <n v="5.3529411764705879"/>
  </r>
  <r>
    <s v="T203494"/>
    <s v="RCB Vs Super Giants"/>
    <s v="Super Giants"/>
    <x v="7"/>
    <s v="RaviBishnoi"/>
    <s v="out"/>
    <n v="5"/>
    <n v="10"/>
    <n v="0"/>
    <n v="0"/>
    <n v="5"/>
  </r>
  <r>
    <s v="T203494"/>
    <s v="RCB Vs Super Giants"/>
    <s v="Super Giants"/>
    <x v="8"/>
    <s v="AmitMishra"/>
    <s v="out"/>
    <n v="19"/>
    <n v="30"/>
    <n v="2"/>
    <n v="0"/>
    <n v="4.5714285714285712"/>
  </r>
  <r>
    <s v="T203494"/>
    <s v="RCB Vs Super Giants"/>
    <s v="Super Giants"/>
    <x v="9"/>
    <s v="Naveen-ul-Haq"/>
    <s v="out"/>
    <n v="13"/>
    <n v="13"/>
    <n v="2"/>
    <n v="0"/>
    <n v="5.3529411764705879"/>
  </r>
  <r>
    <s v="T203494"/>
    <s v="RCB Vs Super Giants"/>
    <s v="Super Giants"/>
    <x v="10"/>
    <s v="KLRahul"/>
    <s v="not_out"/>
    <n v="0"/>
    <n v="3"/>
    <n v="0"/>
    <n v="0"/>
    <n v="6.1875"/>
  </r>
  <r>
    <s v="T204100"/>
    <s v="Royals Vs Mumbai"/>
    <s v="Royals"/>
    <x v="0"/>
    <s v="YashasviJaiswal"/>
    <s v="out"/>
    <n v="124"/>
    <n v="62"/>
    <n v="16"/>
    <n v="8"/>
    <n v="3.25"/>
  </r>
  <r>
    <s v="T204100"/>
    <s v="Royals Vs Mumbai"/>
    <s v="Royals"/>
    <x v="1"/>
    <s v="JosButtler"/>
    <s v="out"/>
    <n v="18"/>
    <n v="19"/>
    <n v="2"/>
    <n v="1"/>
    <n v="4.615384615384615"/>
  </r>
  <r>
    <s v="T204100"/>
    <s v="Royals Vs Mumbai"/>
    <s v="Royals"/>
    <x v="2"/>
    <s v="SanjuSamson"/>
    <s v="out"/>
    <n v="14"/>
    <n v="10"/>
    <n v="1"/>
    <n v="1"/>
    <n v="5"/>
  </r>
  <r>
    <s v="T204100"/>
    <s v="Royals Vs Mumbai"/>
    <s v="Royals"/>
    <x v="3"/>
    <s v="DevduttPadikkal"/>
    <s v="out"/>
    <n v="2"/>
    <n v="4"/>
    <n v="0"/>
    <n v="0"/>
    <n v="5.7857142857142856"/>
  </r>
  <r>
    <s v="T204100"/>
    <s v="Royals Vs Mumbai"/>
    <s v="Royals"/>
    <x v="4"/>
    <s v="JasonHolder"/>
    <s v="out"/>
    <n v="11"/>
    <n v="9"/>
    <n v="0"/>
    <n v="1"/>
    <n v="4.5714285714285712"/>
  </r>
  <r>
    <s v="T204100"/>
    <s v="Royals Vs Mumbai"/>
    <s v="Royals"/>
    <x v="5"/>
    <s v="ShimronHetmyer"/>
    <s v="out"/>
    <n v="8"/>
    <n v="9"/>
    <n v="0"/>
    <n v="1"/>
    <n v="4.5714285714285712"/>
  </r>
  <r>
    <s v="T204100"/>
    <s v="Royals Vs Mumbai"/>
    <s v="Royals"/>
    <x v="6"/>
    <s v="DhruvJurel"/>
    <s v="out"/>
    <n v="2"/>
    <n v="3"/>
    <n v="0"/>
    <n v="0"/>
    <n v="6.1875"/>
  </r>
  <r>
    <s v="T204100"/>
    <s v="Royals Vs Mumbai"/>
    <s v="Royals"/>
    <x v="7"/>
    <s v="RavichandranAshwin"/>
    <s v="not_out"/>
    <n v="8"/>
    <n v="5"/>
    <n v="1"/>
    <n v="0"/>
    <n v="6.1739130434782608"/>
  </r>
  <r>
    <s v="T204100"/>
    <s v="Royals Vs Mumbai"/>
    <s v="Royals"/>
    <x v="8"/>
    <s v="TrentBoult"/>
    <s v="not_out"/>
    <n v="0"/>
    <n v="0"/>
    <n v="0"/>
    <n v="0"/>
    <n v="5.52"/>
  </r>
  <r>
    <s v="T204100"/>
    <s v="Royals Vs Mumbai"/>
    <s v="Mumbai"/>
    <x v="0"/>
    <s v="RohitSharma"/>
    <s v="out"/>
    <n v="3"/>
    <n v="5"/>
    <n v="0"/>
    <n v="0"/>
    <n v="6.1739130434782608"/>
  </r>
  <r>
    <s v="T204100"/>
    <s v="Royals Vs Mumbai"/>
    <s v="Mumbai"/>
    <x v="1"/>
    <s v="IshanKishan"/>
    <s v="out"/>
    <n v="28"/>
    <n v="23"/>
    <n v="4"/>
    <n v="0"/>
    <n v="5.1818181818181817"/>
  </r>
  <r>
    <s v="T204100"/>
    <s v="Royals Vs Mumbai"/>
    <s v="Mumbai"/>
    <x v="2"/>
    <s v="CameronGreen"/>
    <s v="out"/>
    <n v="44"/>
    <n v="26"/>
    <n v="4"/>
    <n v="2"/>
    <n v="3.4285714285714284"/>
  </r>
  <r>
    <s v="T204100"/>
    <s v="Royals Vs Mumbai"/>
    <s v="Mumbai"/>
    <x v="3"/>
    <s v="SuryakumarYadav"/>
    <s v="out"/>
    <n v="55"/>
    <n v="29"/>
    <n v="8"/>
    <n v="2"/>
    <n v="4.7142857142857144"/>
  </r>
  <r>
    <s v="T204100"/>
    <s v="Royals Vs Mumbai"/>
    <s v="Mumbai"/>
    <x v="4"/>
    <s v="TilakVarma"/>
    <s v="not_out"/>
    <n v="29"/>
    <n v="21"/>
    <n v="3"/>
    <n v="1"/>
    <n v="4.4375"/>
  </r>
  <r>
    <s v="T204100"/>
    <s v="Royals Vs Mumbai"/>
    <s v="Mumbai"/>
    <x v="5"/>
    <s v="TimDavid"/>
    <s v="not_out"/>
    <n v="45"/>
    <n v="14"/>
    <n v="2"/>
    <n v="5"/>
    <n v="4"/>
  </r>
  <r>
    <s v="T204443"/>
    <s v="Super Kings Vs Punjab Kings"/>
    <s v="Super Kings"/>
    <x v="0"/>
    <s v="RuturajGaikwad"/>
    <s v="out"/>
    <n v="37"/>
    <n v="31"/>
    <n v="4"/>
    <n v="1"/>
    <n v="4"/>
  </r>
  <r>
    <s v="T204443"/>
    <s v="Super Kings Vs Punjab Kings"/>
    <s v="Super Kings"/>
    <x v="1"/>
    <s v="DevonConway"/>
    <s v="not_out"/>
    <n v="92"/>
    <n v="52"/>
    <n v="16"/>
    <n v="1"/>
    <n v="3.25"/>
  </r>
  <r>
    <s v="T204443"/>
    <s v="Super Kings Vs Punjab Kings"/>
    <s v="Super Kings"/>
    <x v="2"/>
    <s v="ShivamDube"/>
    <s v="out"/>
    <n v="28"/>
    <n v="17"/>
    <n v="1"/>
    <n v="2"/>
    <n v="5.0999999999999996"/>
  </r>
  <r>
    <s v="T204443"/>
    <s v="Super Kings Vs Punjab Kings"/>
    <s v="Super Kings"/>
    <x v="3"/>
    <s v="MoeenAli"/>
    <s v="out"/>
    <n v="10"/>
    <n v="6"/>
    <n v="2"/>
    <n v="0"/>
    <n v="6.4666666666666668"/>
  </r>
  <r>
    <s v="T204443"/>
    <s v="Super Kings Vs Punjab Kings"/>
    <s v="Super Kings"/>
    <x v="4"/>
    <s v="RavindraJadeja"/>
    <s v="out"/>
    <n v="12"/>
    <n v="10"/>
    <n v="0"/>
    <n v="0"/>
    <n v="5.0625"/>
  </r>
  <r>
    <s v="T204443"/>
    <s v="Super Kings Vs Punjab Kings"/>
    <s v="Super Kings"/>
    <x v="5"/>
    <s v="MSDhoni"/>
    <s v="not_out"/>
    <n v="13"/>
    <n v="4"/>
    <n v="0"/>
    <n v="2"/>
    <n v="5.7857142857142856"/>
  </r>
  <r>
    <s v="T204443"/>
    <s v="Super Kings Vs Punjab Kings"/>
    <s v="Punjab Kings"/>
    <x v="0"/>
    <s v="PrabhsimranSingh"/>
    <s v="out"/>
    <n v="42"/>
    <n v="24"/>
    <n v="4"/>
    <n v="2"/>
    <n v="5"/>
  </r>
  <r>
    <s v="T204443"/>
    <s v="Super Kings Vs Punjab Kings"/>
    <s v="Punjab Kings"/>
    <x v="1"/>
    <s v="ShikharDhawan"/>
    <s v="out"/>
    <n v="28"/>
    <n v="15"/>
    <n v="4"/>
    <n v="1"/>
    <n v="4.7272727272727275"/>
  </r>
  <r>
    <s v="T204443"/>
    <s v="Super Kings Vs Punjab Kings"/>
    <s v="Punjab Kings"/>
    <x v="2"/>
    <s v="AtharvaTaide"/>
    <s v="out"/>
    <n v="13"/>
    <n v="17"/>
    <n v="0"/>
    <n v="0"/>
    <n v="5.0999999999999996"/>
  </r>
  <r>
    <s v="T204443"/>
    <s v="Super Kings Vs Punjab Kings"/>
    <s v="Punjab Kings"/>
    <x v="3"/>
    <s v="LiamLivingstone"/>
    <s v="out"/>
    <n v="40"/>
    <n v="24"/>
    <n v="1"/>
    <n v="4"/>
    <n v="5"/>
  </r>
  <r>
    <s v="T204443"/>
    <s v="Super Kings Vs Punjab Kings"/>
    <s v="Punjab Kings"/>
    <x v="4"/>
    <s v="SamCurran"/>
    <s v="out"/>
    <n v="29"/>
    <n v="20"/>
    <n v="1"/>
    <n v="1"/>
    <n v="4.6363636363636367"/>
  </r>
  <r>
    <s v="T204443"/>
    <s v="Super Kings Vs Punjab Kings"/>
    <s v="Punjab Kings"/>
    <x v="5"/>
    <s v="JiteshSharma"/>
    <s v="out"/>
    <n v="21"/>
    <n v="10"/>
    <n v="2"/>
    <n v="1"/>
    <n v="5.0625"/>
  </r>
  <r>
    <s v="T204443"/>
    <s v="Super Kings Vs Punjab Kings"/>
    <s v="Punjab Kings"/>
    <x v="6"/>
    <s v="MShahrukhKhan"/>
    <s v="not_out"/>
    <n v="2"/>
    <n v="3"/>
    <n v="0"/>
    <n v="0"/>
    <n v="6.5333333333333332"/>
  </r>
  <r>
    <s v="T204443"/>
    <s v="Super Kings Vs Punjab Kings"/>
    <s v="Punjab Kings"/>
    <x v="7"/>
    <s v="SikandarRaza"/>
    <s v="not_out"/>
    <n v="13"/>
    <n v="7"/>
    <n v="1"/>
    <n v="0"/>
    <n v="5.0666666666666664"/>
  </r>
  <r>
    <s v="T207344"/>
    <s v="Sunrisers Vs Capitals"/>
    <s v="Sunrisers"/>
    <x v="0"/>
    <s v="AbhishekSharma"/>
    <s v="out"/>
    <n v="67"/>
    <n v="36"/>
    <n v="12"/>
    <n v="1"/>
    <n v="5"/>
  </r>
  <r>
    <s v="T207344"/>
    <s v="Sunrisers Vs Capitals"/>
    <s v="Sunrisers"/>
    <x v="1"/>
    <s v="MayankAgarwal"/>
    <s v="out"/>
    <n v="5"/>
    <n v="6"/>
    <n v="1"/>
    <n v="0"/>
    <n v="6.4666666666666668"/>
  </r>
  <r>
    <s v="T207344"/>
    <s v="Sunrisers Vs Capitals"/>
    <s v="Sunrisers"/>
    <x v="2"/>
    <s v="RahulTripathi"/>
    <s v="out"/>
    <n v="10"/>
    <n v="6"/>
    <n v="0"/>
    <n v="1"/>
    <n v="6.4666666666666668"/>
  </r>
  <r>
    <s v="T207344"/>
    <s v="Sunrisers Vs Capitals"/>
    <s v="Sunrisers"/>
    <x v="3"/>
    <s v="AidenMarkram"/>
    <s v="out"/>
    <n v="8"/>
    <n v="13"/>
    <n v="0"/>
    <n v="0"/>
    <n v="4.9230769230769234"/>
  </r>
  <r>
    <s v="T207344"/>
    <s v="Sunrisers Vs Capitals"/>
    <s v="Sunrisers"/>
    <x v="4"/>
    <s v="HarryBrook"/>
    <s v="out"/>
    <n v="0"/>
    <n v="2"/>
    <n v="0"/>
    <n v="0"/>
    <n v="5.7878787878787881"/>
  </r>
  <r>
    <s v="T207344"/>
    <s v="Sunrisers Vs Capitals"/>
    <s v="Sunrisers"/>
    <x v="5"/>
    <s v="HeinrichKlaasen"/>
    <s v="not_out"/>
    <n v="53"/>
    <n v="27"/>
    <n v="2"/>
    <n v="4"/>
    <n v="4"/>
  </r>
  <r>
    <s v="T207344"/>
    <s v="Sunrisers Vs Capitals"/>
    <s v="Sunrisers"/>
    <x v="6"/>
    <s v="AbdulSamad"/>
    <s v="out"/>
    <n v="28"/>
    <n v="21"/>
    <n v="1"/>
    <n v="2"/>
    <n v="4.333333333333333"/>
  </r>
  <r>
    <s v="T207344"/>
    <s v="Sunrisers Vs Capitals"/>
    <s v="Sunrisers"/>
    <x v="7"/>
    <s v="AkealHosein"/>
    <s v="not_out"/>
    <n v="16"/>
    <n v="10"/>
    <n v="1"/>
    <n v="1"/>
    <n v="5.2"/>
  </r>
  <r>
    <s v="T207344"/>
    <s v="Sunrisers Vs Capitals"/>
    <s v="Capitals"/>
    <x v="0"/>
    <s v="DavidWarner"/>
    <s v="out"/>
    <n v="0"/>
    <n v="2"/>
    <n v="0"/>
    <n v="0"/>
    <n v="5.7878787878787881"/>
  </r>
  <r>
    <s v="T207344"/>
    <s v="Sunrisers Vs Capitals"/>
    <s v="Capitals"/>
    <x v="1"/>
    <s v="PhilSalt"/>
    <s v="out"/>
    <n v="59"/>
    <n v="35"/>
    <n v="9"/>
    <n v="0"/>
    <n v="2.75"/>
  </r>
  <r>
    <s v="T207344"/>
    <s v="Sunrisers Vs Capitals"/>
    <s v="Capitals"/>
    <x v="2"/>
    <s v="MitchellMarsh"/>
    <s v="out"/>
    <n v="63"/>
    <n v="39"/>
    <n v="1"/>
    <n v="6"/>
    <n v="2.6666666666666665"/>
  </r>
  <r>
    <s v="T207344"/>
    <s v="Sunrisers Vs Capitals"/>
    <s v="Capitals"/>
    <x v="3"/>
    <s v="ManishPandey"/>
    <s v="out"/>
    <n v="1"/>
    <n v="3"/>
    <n v="0"/>
    <n v="0"/>
    <n v="6.5333333333333332"/>
  </r>
  <r>
    <s v="T207344"/>
    <s v="Sunrisers Vs Capitals"/>
    <s v="Capitals"/>
    <x v="4"/>
    <s v="PriyamGarg"/>
    <s v="out"/>
    <n v="12"/>
    <n v="9"/>
    <n v="1"/>
    <n v="0"/>
    <n v="4.5714285714285712"/>
  </r>
  <r>
    <s v="T207344"/>
    <s v="Sunrisers Vs Capitals"/>
    <s v="Capitals"/>
    <x v="5"/>
    <s v="SarfarazKhan"/>
    <s v="out"/>
    <n v="9"/>
    <n v="10"/>
    <n v="1"/>
    <n v="0"/>
    <n v="5.2"/>
  </r>
  <r>
    <s v="T207344"/>
    <s v="Sunrisers Vs Capitals"/>
    <s v="Capitals"/>
    <x v="6"/>
    <s v="AxarPatel"/>
    <s v="not_out"/>
    <n v="29"/>
    <n v="14"/>
    <n v="1"/>
    <n v="2"/>
    <n v="4"/>
  </r>
  <r>
    <s v="T207344"/>
    <s v="Sunrisers Vs Capitals"/>
    <s v="Capitals"/>
    <x v="7"/>
    <s v="RipalPatel"/>
    <s v="not_out"/>
    <n v="11"/>
    <n v="8"/>
    <n v="1"/>
    <n v="0"/>
    <n v="4.3499999999999996"/>
  </r>
  <r>
    <s v="T201505"/>
    <s v="KKR Vs Titans"/>
    <s v="KKR"/>
    <x v="0"/>
    <s v="NarayanJagadeesan"/>
    <s v="out"/>
    <n v="19"/>
    <n v="15"/>
    <n v="4"/>
    <n v="0"/>
    <n v="4.7272727272727275"/>
  </r>
  <r>
    <s v="T201505"/>
    <s v="KKR Vs Titans"/>
    <s v="KKR"/>
    <x v="1"/>
    <s v="RahmanullahGurbaz"/>
    <s v="out"/>
    <n v="81"/>
    <n v="39"/>
    <n v="5"/>
    <n v="7"/>
    <n v="2.6666666666666665"/>
  </r>
  <r>
    <s v="T201505"/>
    <s v="KKR Vs Titans"/>
    <s v="KKR"/>
    <x v="2"/>
    <s v="ShardulThakur"/>
    <s v="out"/>
    <n v="0"/>
    <n v="4"/>
    <n v="0"/>
    <n v="0"/>
    <n v="5.7857142857142856"/>
  </r>
  <r>
    <s v="T201505"/>
    <s v="KKR Vs Titans"/>
    <s v="KKR"/>
    <x v="3"/>
    <s v="VenkateshIyer"/>
    <s v="out"/>
    <n v="11"/>
    <n v="14"/>
    <n v="0"/>
    <n v="0"/>
    <n v="4"/>
  </r>
  <r>
    <s v="T201505"/>
    <s v="KKR Vs Titans"/>
    <s v="KKR"/>
    <x v="4"/>
    <s v="NitishRana"/>
    <s v="out"/>
    <n v="4"/>
    <n v="3"/>
    <n v="1"/>
    <n v="0"/>
    <n v="6.5333333333333332"/>
  </r>
  <r>
    <s v="T201505"/>
    <s v="KKR Vs Titans"/>
    <s v="KKR"/>
    <x v="5"/>
    <s v="RinkuSingh"/>
    <s v="out"/>
    <n v="19"/>
    <n v="20"/>
    <n v="0"/>
    <n v="1"/>
    <n v="4.6363636363636367"/>
  </r>
  <r>
    <s v="T201505"/>
    <s v="KKR Vs Titans"/>
    <s v="KKR"/>
    <x v="6"/>
    <s v="AndreRussell"/>
    <s v="out"/>
    <n v="34"/>
    <n v="19"/>
    <n v="2"/>
    <n v="3"/>
    <n v="4.8181818181818183"/>
  </r>
  <r>
    <s v="T201505"/>
    <s v="KKR Vs Titans"/>
    <s v="KKR"/>
    <x v="7"/>
    <s v="DavidWiese"/>
    <s v="not_out"/>
    <n v="8"/>
    <n v="6"/>
    <n v="0"/>
    <n v="1"/>
    <n v="6.4666666666666668"/>
  </r>
  <r>
    <s v="T201505"/>
    <s v="KKR Vs Titans"/>
    <s v="Titans"/>
    <x v="0"/>
    <s v="WriddhimanSaha"/>
    <s v="out"/>
    <n v="10"/>
    <n v="10"/>
    <n v="1"/>
    <n v="0"/>
    <n v="5.2"/>
  </r>
  <r>
    <s v="T201505"/>
    <s v="KKR Vs Titans"/>
    <s v="Titans"/>
    <x v="1"/>
    <s v="ShubmanGill"/>
    <s v="out"/>
    <n v="49"/>
    <n v="35"/>
    <n v="8"/>
    <n v="0"/>
    <n v="2.75"/>
  </r>
  <r>
    <s v="T201505"/>
    <s v="KKR Vs Titans"/>
    <s v="Titans"/>
    <x v="2"/>
    <s v="HardikPandya"/>
    <s v="out"/>
    <n v="26"/>
    <n v="20"/>
    <n v="2"/>
    <n v="1"/>
    <n v="4.6363636363636367"/>
  </r>
  <r>
    <s v="T201505"/>
    <s v="KKR Vs Titans"/>
    <s v="Titans"/>
    <x v="3"/>
    <s v="VijayShankar"/>
    <s v="not_out"/>
    <n v="51"/>
    <n v="24"/>
    <n v="2"/>
    <n v="5"/>
    <n v="5"/>
  </r>
  <r>
    <s v="T201505"/>
    <s v="KKR Vs Titans"/>
    <s v="Titans"/>
    <x v="4"/>
    <s v="DavidMiller"/>
    <s v="not_out"/>
    <n v="32"/>
    <n v="18"/>
    <n v="2"/>
    <n v="2"/>
    <n v="5.916666666666667"/>
  </r>
  <r>
    <s v="T204958"/>
    <s v="Super Giants Vs Punjab Kings"/>
    <s v="Super Giants"/>
    <x v="0"/>
    <s v="KLRahul"/>
    <s v="out"/>
    <n v="12"/>
    <n v="9"/>
    <n v="1"/>
    <n v="1"/>
    <n v="4.4615384615384617"/>
  </r>
  <r>
    <s v="T204958"/>
    <s v="Super Giants Vs Punjab Kings"/>
    <s v="Super Giants"/>
    <x v="1"/>
    <s v="KyleMayers"/>
    <s v="out"/>
    <n v="54"/>
    <n v="24"/>
    <n v="7"/>
    <n v="4"/>
    <n v="5"/>
  </r>
  <r>
    <s v="T204958"/>
    <s v="Super Giants Vs Punjab Kings"/>
    <s v="Super Giants"/>
    <x v="2"/>
    <s v="AyushBadoni"/>
    <s v="out"/>
    <n v="43"/>
    <n v="24"/>
    <n v="3"/>
    <n v="3"/>
    <n v="5"/>
  </r>
  <r>
    <s v="T204958"/>
    <s v="Super Giants Vs Punjab Kings"/>
    <s v="Super Giants"/>
    <x v="3"/>
    <s v="MarcusStoinis"/>
    <s v="out"/>
    <n v="72"/>
    <n v="40"/>
    <n v="6"/>
    <n v="5"/>
    <n v="3.25"/>
  </r>
  <r>
    <s v="T204958"/>
    <s v="Super Giants Vs Punjab Kings"/>
    <s v="Super Giants"/>
    <x v="4"/>
    <s v="NicholasPooran"/>
    <s v="out"/>
    <n v="45"/>
    <n v="19"/>
    <n v="7"/>
    <n v="1"/>
    <n v="4.8181818181818183"/>
  </r>
  <r>
    <s v="T204958"/>
    <s v="Super Giants Vs Punjab Kings"/>
    <s v="Super Giants"/>
    <x v="5"/>
    <s v="DeepakHooda"/>
    <s v="not_out"/>
    <n v="11"/>
    <n v="6"/>
    <n v="2"/>
    <n v="0"/>
    <n v="6.4666666666666668"/>
  </r>
  <r>
    <s v="T204958"/>
    <s v="Super Giants Vs Punjab Kings"/>
    <s v="Super Giants"/>
    <x v="6"/>
    <s v="KrunalPandya"/>
    <s v="not_out"/>
    <n v="5"/>
    <n v="2"/>
    <n v="1"/>
    <n v="0"/>
    <n v="5.7878787878787881"/>
  </r>
  <r>
    <s v="T204958"/>
    <s v="Super Giants Vs Punjab Kings"/>
    <s v="Punjab Kings"/>
    <x v="0"/>
    <s v="PrabhsimranSingh"/>
    <s v="out"/>
    <n v="9"/>
    <n v="13"/>
    <n v="2"/>
    <n v="0"/>
    <n v="4.9230769230769234"/>
  </r>
  <r>
    <s v="T204958"/>
    <s v="Super Giants Vs Punjab Kings"/>
    <s v="Punjab Kings"/>
    <x v="1"/>
    <s v="ShikharDhawan"/>
    <s v="out"/>
    <n v="1"/>
    <n v="2"/>
    <n v="0"/>
    <n v="0"/>
    <n v="5.7878787878787881"/>
  </r>
  <r>
    <s v="T204958"/>
    <s v="Super Giants Vs Punjab Kings"/>
    <s v="Punjab Kings"/>
    <x v="2"/>
    <s v="AtharvaTaide"/>
    <s v="out"/>
    <n v="66"/>
    <n v="36"/>
    <n v="8"/>
    <n v="2"/>
    <n v="5"/>
  </r>
  <r>
    <s v="T204958"/>
    <s v="Super Giants Vs Punjab Kings"/>
    <s v="Punjab Kings"/>
    <x v="3"/>
    <s v="SikandarRaza"/>
    <s v="out"/>
    <n v="36"/>
    <n v="22"/>
    <n v="4"/>
    <n v="1"/>
    <n v="4.5"/>
  </r>
  <r>
    <s v="T204958"/>
    <s v="Super Giants Vs Punjab Kings"/>
    <s v="Punjab Kings"/>
    <x v="4"/>
    <s v="LiamLivingstone"/>
    <s v="out"/>
    <n v="23"/>
    <n v="14"/>
    <n v="2"/>
    <n v="1"/>
    <n v="4"/>
  </r>
  <r>
    <s v="T204958"/>
    <s v="Super Giants Vs Punjab Kings"/>
    <s v="Punjab Kings"/>
    <x v="5"/>
    <s v="SamCurran"/>
    <s v="out"/>
    <n v="21"/>
    <n v="11"/>
    <n v="2"/>
    <n v="1"/>
    <n v="5.166666666666667"/>
  </r>
  <r>
    <s v="T204958"/>
    <s v="Super Giants Vs Punjab Kings"/>
    <s v="Punjab Kings"/>
    <x v="6"/>
    <s v="JiteshSharma"/>
    <s v="out"/>
    <n v="24"/>
    <n v="10"/>
    <n v="0"/>
    <n v="3"/>
    <n v="5.5"/>
  </r>
  <r>
    <s v="T204958"/>
    <s v="Super Giants Vs Punjab Kings"/>
    <s v="Punjab Kings"/>
    <x v="7"/>
    <s v="MShahrukhKhan"/>
    <s v="out"/>
    <n v="6"/>
    <n v="9"/>
    <n v="0"/>
    <n v="0"/>
    <n v="4.75"/>
  </r>
  <r>
    <s v="T204958"/>
    <s v="Super Giants Vs Punjab Kings"/>
    <s v="Punjab Kings"/>
    <x v="8"/>
    <s v="RahulChahar"/>
    <s v="out"/>
    <n v="0"/>
    <n v="1"/>
    <n v="0"/>
    <n v="0"/>
    <n v="6.7735849056603774"/>
  </r>
  <r>
    <s v="T204958"/>
    <s v="Super Giants Vs Punjab Kings"/>
    <s v="Punjab Kings"/>
    <x v="9"/>
    <s v="KagisoRabada"/>
    <s v="out"/>
    <n v="0"/>
    <n v="1"/>
    <n v="0"/>
    <n v="0"/>
    <n v="6.7735849056603774"/>
  </r>
  <r>
    <s v="T204958"/>
    <s v="Super Giants Vs Punjab Kings"/>
    <s v="Punjab Kings"/>
    <x v="10"/>
    <s v="ArshdeepSingh"/>
    <s v="not_out"/>
    <n v="2"/>
    <n v="2"/>
    <n v="0"/>
    <n v="0"/>
    <n v="5.7878787878787881"/>
  </r>
  <r>
    <s v="T204283"/>
    <s v="Royals Vs Super Kings"/>
    <s v="Royals"/>
    <x v="0"/>
    <s v="YashasviJaiswal"/>
    <s v="out"/>
    <n v="77"/>
    <n v="43"/>
    <n v="8"/>
    <n v="4"/>
    <n v="2"/>
  </r>
  <r>
    <s v="T204283"/>
    <s v="Royals Vs Super Kings"/>
    <s v="Royals"/>
    <x v="1"/>
    <s v="JosButtler"/>
    <s v="out"/>
    <n v="27"/>
    <n v="21"/>
    <n v="4"/>
    <n v="0"/>
    <n v="4.2142857142857144"/>
  </r>
  <r>
    <s v="T204283"/>
    <s v="Royals Vs Super Kings"/>
    <s v="Royals"/>
    <x v="2"/>
    <s v="SanjuSamson"/>
    <s v="out"/>
    <n v="17"/>
    <n v="17"/>
    <n v="1"/>
    <n v="0"/>
    <n v="5.0999999999999996"/>
  </r>
  <r>
    <s v="T204283"/>
    <s v="Royals Vs Super Kings"/>
    <s v="Royals"/>
    <x v="3"/>
    <s v="ShimronHetmyer"/>
    <s v="out"/>
    <n v="8"/>
    <n v="10"/>
    <n v="0"/>
    <n v="0"/>
    <n v="5.5"/>
  </r>
  <r>
    <s v="T204283"/>
    <s v="Royals Vs Super Kings"/>
    <s v="Royals"/>
    <x v="4"/>
    <s v="DhruvJurel"/>
    <s v="out"/>
    <n v="34"/>
    <n v="15"/>
    <n v="3"/>
    <n v="2"/>
    <n v="4.7272727272727275"/>
  </r>
  <r>
    <s v="T204283"/>
    <s v="Royals Vs Super Kings"/>
    <s v="Royals"/>
    <x v="5"/>
    <s v="DevduttPadikkal"/>
    <s v="not_out"/>
    <n v="27"/>
    <n v="13"/>
    <n v="5"/>
    <n v="0"/>
    <n v="4.9230769230769234"/>
  </r>
  <r>
    <s v="T204283"/>
    <s v="Royals Vs Super Kings"/>
    <s v="Royals"/>
    <x v="6"/>
    <s v="RavichandranAshwin"/>
    <s v="not_out"/>
    <n v="1"/>
    <n v="1"/>
    <n v="0"/>
    <n v="0"/>
    <n v="6.7735849056603774"/>
  </r>
  <r>
    <s v="T204283"/>
    <s v="Royals Vs Super Kings"/>
    <s v="Super Kings"/>
    <x v="0"/>
    <s v="RuturajGaikwad"/>
    <s v="out"/>
    <n v="47"/>
    <n v="29"/>
    <n v="5"/>
    <n v="1"/>
    <n v="4"/>
  </r>
  <r>
    <s v="T204283"/>
    <s v="Royals Vs Super Kings"/>
    <s v="Super Kings"/>
    <x v="1"/>
    <s v="DevonConway"/>
    <s v="out"/>
    <n v="8"/>
    <n v="16"/>
    <n v="1"/>
    <n v="0"/>
    <n v="6.166666666666667"/>
  </r>
  <r>
    <s v="T204283"/>
    <s v="Royals Vs Super Kings"/>
    <s v="Super Kings"/>
    <x v="2"/>
    <s v="AjinkyaRahane"/>
    <s v="out"/>
    <n v="15"/>
    <n v="13"/>
    <n v="0"/>
    <n v="0"/>
    <n v="4.9230769230769234"/>
  </r>
  <r>
    <s v="T204283"/>
    <s v="Royals Vs Super Kings"/>
    <s v="Super Kings"/>
    <x v="3"/>
    <s v="ShivamDube"/>
    <s v="out"/>
    <n v="52"/>
    <n v="33"/>
    <n v="2"/>
    <n v="4"/>
    <n v="3"/>
  </r>
  <r>
    <s v="T204283"/>
    <s v="Royals Vs Super Kings"/>
    <s v="Super Kings"/>
    <x v="4"/>
    <s v="AmbatiRayudu"/>
    <s v="out"/>
    <n v="0"/>
    <n v="2"/>
    <n v="0"/>
    <n v="0"/>
    <n v="5.625"/>
  </r>
  <r>
    <s v="T204283"/>
    <s v="Royals Vs Super Kings"/>
    <s v="Super Kings"/>
    <x v="5"/>
    <s v="MoeenAli"/>
    <s v="out"/>
    <n v="23"/>
    <n v="12"/>
    <n v="2"/>
    <n v="2"/>
    <n v="5.166666666666667"/>
  </r>
  <r>
    <s v="T204283"/>
    <s v="Royals Vs Super Kings"/>
    <s v="Super Kings"/>
    <x v="6"/>
    <s v="RavindraJadeja"/>
    <s v="not_out"/>
    <n v="23"/>
    <n v="15"/>
    <n v="3"/>
    <n v="0"/>
    <n v="4.9000000000000004"/>
  </r>
  <r>
    <s v="T202291"/>
    <s v="KKR Vs RCB"/>
    <s v="KKR"/>
    <x v="0"/>
    <s v="JasonRoy"/>
    <s v="out"/>
    <n v="56"/>
    <n v="29"/>
    <n v="4"/>
    <n v="5"/>
    <n v="4"/>
  </r>
  <r>
    <s v="T202291"/>
    <s v="KKR Vs RCB"/>
    <s v="KKR"/>
    <x v="1"/>
    <s v="NarayanJagadeesan"/>
    <s v="out"/>
    <n v="27"/>
    <n v="29"/>
    <n v="4"/>
    <n v="0"/>
    <n v="4"/>
  </r>
  <r>
    <s v="T202291"/>
    <s v="KKR Vs RCB"/>
    <s v="KKR"/>
    <x v="2"/>
    <s v="VenkateshIyer"/>
    <s v="out"/>
    <n v="31"/>
    <n v="26"/>
    <n v="3"/>
    <n v="0"/>
    <n v="3.5"/>
  </r>
  <r>
    <s v="T202291"/>
    <s v="KKR Vs RCB"/>
    <s v="KKR"/>
    <x v="3"/>
    <s v="NitishRana"/>
    <s v="out"/>
    <n v="48"/>
    <n v="21"/>
    <n v="3"/>
    <n v="4"/>
    <n v="4.2142857142857144"/>
  </r>
  <r>
    <s v="T202291"/>
    <s v="KKR Vs RCB"/>
    <s v="KKR"/>
    <x v="4"/>
    <s v="AndreRussell"/>
    <s v="out"/>
    <n v="1"/>
    <n v="2"/>
    <n v="0"/>
    <n v="0"/>
    <n v="5.625"/>
  </r>
  <r>
    <s v="T202291"/>
    <s v="KKR Vs RCB"/>
    <s v="KKR"/>
    <x v="5"/>
    <s v="RinkuSingh"/>
    <s v="not_out"/>
    <n v="18"/>
    <n v="10"/>
    <n v="2"/>
    <n v="1"/>
    <n v="5.5"/>
  </r>
  <r>
    <s v="T202291"/>
    <s v="KKR Vs RCB"/>
    <s v="KKR"/>
    <x v="6"/>
    <s v="DavidWiese"/>
    <s v="not_out"/>
    <n v="12"/>
    <n v="3"/>
    <n v="0"/>
    <n v="2"/>
    <n v="6.5333333333333332"/>
  </r>
  <r>
    <s v="T202291"/>
    <s v="KKR Vs RCB"/>
    <s v="RCB"/>
    <x v="0"/>
    <s v="ViratKohli"/>
    <s v="out"/>
    <n v="54"/>
    <n v="37"/>
    <n v="6"/>
    <n v="0"/>
    <n v="3.25"/>
  </r>
  <r>
    <s v="T202291"/>
    <s v="KKR Vs RCB"/>
    <s v="RCB"/>
    <x v="1"/>
    <s v="FafduPlessis"/>
    <s v="out"/>
    <n v="17"/>
    <n v="7"/>
    <n v="1"/>
    <n v="2"/>
    <n v="5.0666666666666664"/>
  </r>
  <r>
    <s v="T202291"/>
    <s v="KKR Vs RCB"/>
    <s v="RCB"/>
    <x v="2"/>
    <s v="ShahbazAhmed"/>
    <s v="out"/>
    <n v="2"/>
    <n v="5"/>
    <n v="0"/>
    <n v="0"/>
    <n v="6.333333333333333"/>
  </r>
  <r>
    <s v="T202291"/>
    <s v="KKR Vs RCB"/>
    <s v="RCB"/>
    <x v="3"/>
    <s v="GlennMaxwell"/>
    <s v="out"/>
    <n v="5"/>
    <n v="4"/>
    <n v="1"/>
    <n v="0"/>
    <n v="5.8148148148148149"/>
  </r>
  <r>
    <s v="T202291"/>
    <s v="KKR Vs RCB"/>
    <s v="RCB"/>
    <x v="4"/>
    <s v="MahipalLomror"/>
    <s v="out"/>
    <n v="34"/>
    <n v="18"/>
    <n v="1"/>
    <n v="3"/>
    <n v="5.9090909090909092"/>
  </r>
  <r>
    <s v="T202291"/>
    <s v="KKR Vs RCB"/>
    <s v="RCB"/>
    <x v="5"/>
    <s v="DineshKarthik"/>
    <s v="out"/>
    <n v="22"/>
    <n v="18"/>
    <n v="1"/>
    <n v="1"/>
    <n v="5.9090909090909092"/>
  </r>
  <r>
    <s v="T202291"/>
    <s v="KKR Vs RCB"/>
    <s v="RCB"/>
    <x v="6"/>
    <s v="SuyashPrabhudessai"/>
    <s v="out"/>
    <n v="10"/>
    <n v="9"/>
    <n v="1"/>
    <n v="0"/>
    <n v="4.75"/>
  </r>
  <r>
    <s v="T202291"/>
    <s v="KKR Vs RCB"/>
    <s v="RCB"/>
    <x v="7"/>
    <s v="WaninduHasaranga"/>
    <s v="out"/>
    <n v="5"/>
    <n v="4"/>
    <n v="0"/>
    <n v="0"/>
    <n v="5.8148148148148149"/>
  </r>
  <r>
    <s v="T202291"/>
    <s v="KKR Vs RCB"/>
    <s v="RCB"/>
    <x v="8"/>
    <s v="DavidWilley"/>
    <s v="not_out"/>
    <n v="11"/>
    <n v="10"/>
    <n v="1"/>
    <n v="0"/>
    <n v="5.384615384615385"/>
  </r>
  <r>
    <s v="T202291"/>
    <s v="KKR Vs RCB"/>
    <s v="RCB"/>
    <x v="9"/>
    <s v="VijaykumarVyshak"/>
    <s v="not_out"/>
    <n v="13"/>
    <n v="8"/>
    <n v="0"/>
    <n v="1"/>
    <n v="4.2941176470588234"/>
  </r>
  <r>
    <s v="T208781"/>
    <s v="Titans Vs Mumbai"/>
    <s v="Titans"/>
    <x v="0"/>
    <s v="WriddhimanSaha"/>
    <s v="out"/>
    <n v="4"/>
    <n v="7"/>
    <n v="0"/>
    <n v="0"/>
    <n v="5.0666666666666664"/>
  </r>
  <r>
    <s v="T208781"/>
    <s v="Titans Vs Mumbai"/>
    <s v="Titans"/>
    <x v="1"/>
    <s v="ShubmanGill"/>
    <s v="out"/>
    <n v="56"/>
    <n v="34"/>
    <n v="7"/>
    <n v="1"/>
    <n v="4.25"/>
  </r>
  <r>
    <s v="T208781"/>
    <s v="Titans Vs Mumbai"/>
    <s v="Titans"/>
    <x v="2"/>
    <s v="HardikPandya"/>
    <s v="out"/>
    <n v="13"/>
    <n v="14"/>
    <n v="1"/>
    <n v="0"/>
    <n v="4"/>
  </r>
  <r>
    <s v="T208781"/>
    <s v="Titans Vs Mumbai"/>
    <s v="Titans"/>
    <x v="3"/>
    <s v="VijayShankar"/>
    <s v="out"/>
    <n v="19"/>
    <n v="16"/>
    <n v="1"/>
    <n v="1"/>
    <n v="6.166666666666667"/>
  </r>
  <r>
    <s v="T208781"/>
    <s v="Titans Vs Mumbai"/>
    <s v="Titans"/>
    <x v="4"/>
    <s v="DavidMiller"/>
    <s v="out"/>
    <n v="46"/>
    <n v="22"/>
    <n v="2"/>
    <n v="4"/>
    <n v="4.3636363636363633"/>
  </r>
  <r>
    <s v="T208781"/>
    <s v="Titans Vs Mumbai"/>
    <s v="Titans"/>
    <x v="5"/>
    <s v="AbhinavManohar"/>
    <s v="out"/>
    <n v="42"/>
    <n v="21"/>
    <n v="3"/>
    <n v="3"/>
    <n v="4.2142857142857144"/>
  </r>
  <r>
    <s v="T208781"/>
    <s v="Titans Vs Mumbai"/>
    <s v="Titans"/>
    <x v="6"/>
    <s v="RahulTewatia"/>
    <s v="not_out"/>
    <n v="20"/>
    <n v="5"/>
    <n v="0"/>
    <n v="3"/>
    <n v="6.3684210526315788"/>
  </r>
  <r>
    <s v="T208781"/>
    <s v="Titans Vs Mumbai"/>
    <s v="Titans"/>
    <x v="7"/>
    <s v="RashidKhan"/>
    <s v="not_out"/>
    <n v="2"/>
    <n v="1"/>
    <n v="0"/>
    <n v="0"/>
    <n v="6.8039215686274508"/>
  </r>
  <r>
    <s v="T208781"/>
    <s v="Titans Vs Mumbai"/>
    <s v="Mumbai"/>
    <x v="0"/>
    <s v="RohitSharma"/>
    <s v="out"/>
    <n v="2"/>
    <n v="8"/>
    <n v="0"/>
    <n v="0"/>
    <n v="4.2941176470588234"/>
  </r>
  <r>
    <s v="T208781"/>
    <s v="Titans Vs Mumbai"/>
    <s v="Mumbai"/>
    <x v="1"/>
    <s v="IshanKishan"/>
    <s v="out"/>
    <n v="13"/>
    <n v="21"/>
    <n v="1"/>
    <n v="0"/>
    <n v="4.2142857142857144"/>
  </r>
  <r>
    <s v="T208781"/>
    <s v="Titans Vs Mumbai"/>
    <s v="Mumbai"/>
    <x v="2"/>
    <s v="CameronGreen"/>
    <s v="out"/>
    <n v="33"/>
    <n v="26"/>
    <n v="0"/>
    <n v="3"/>
    <n v="3.5"/>
  </r>
  <r>
    <s v="T208781"/>
    <s v="Titans Vs Mumbai"/>
    <s v="Mumbai"/>
    <x v="3"/>
    <s v="TilakVarma"/>
    <s v="out"/>
    <n v="2"/>
    <n v="3"/>
    <n v="0"/>
    <n v="0"/>
    <n v="6.5333333333333332"/>
  </r>
  <r>
    <s v="T208781"/>
    <s v="Titans Vs Mumbai"/>
    <s v="Mumbai"/>
    <x v="4"/>
    <s v="SuryakumarYadav"/>
    <s v="out"/>
    <n v="23"/>
    <n v="12"/>
    <n v="3"/>
    <n v="1"/>
    <n v="5"/>
  </r>
  <r>
    <s v="T208781"/>
    <s v="Titans Vs Mumbai"/>
    <s v="Mumbai"/>
    <x v="5"/>
    <s v="TimDavid"/>
    <s v="out"/>
    <n v="0"/>
    <n v="2"/>
    <n v="0"/>
    <n v="0"/>
    <n v="5.8571428571428568"/>
  </r>
  <r>
    <s v="T208781"/>
    <s v="Titans Vs Mumbai"/>
    <s v="Mumbai"/>
    <x v="6"/>
    <s v="NehalWadhera"/>
    <s v="out"/>
    <n v="40"/>
    <n v="21"/>
    <n v="3"/>
    <n v="3"/>
    <n v="4.2142857142857144"/>
  </r>
  <r>
    <s v="T208781"/>
    <s v="Titans Vs Mumbai"/>
    <s v="Mumbai"/>
    <x v="7"/>
    <s v="PiyushChawla"/>
    <s v="out"/>
    <n v="18"/>
    <n v="12"/>
    <n v="1"/>
    <n v="1"/>
    <n v="5"/>
  </r>
  <r>
    <s v="T208781"/>
    <s v="Titans Vs Mumbai"/>
    <s v="Mumbai"/>
    <x v="8"/>
    <s v="ArjunTendulkar"/>
    <s v="out"/>
    <n v="13"/>
    <n v="9"/>
    <n v="0"/>
    <n v="1"/>
    <n v="4.75"/>
  </r>
  <r>
    <s v="T208781"/>
    <s v="Titans Vs Mumbai"/>
    <s v="Mumbai"/>
    <x v="9"/>
    <s v="JasonBehrendorff"/>
    <s v="not_out"/>
    <n v="3"/>
    <n v="4"/>
    <n v="0"/>
    <n v="0"/>
    <n v="6"/>
  </r>
  <r>
    <s v="T208781"/>
    <s v="Titans Vs Mumbai"/>
    <s v="Mumbai"/>
    <x v="10"/>
    <s v="RileyMeredith"/>
    <s v="not_out"/>
    <n v="0"/>
    <n v="2"/>
    <n v="0"/>
    <n v="0"/>
    <n v="5.8571428571428568"/>
  </r>
  <r>
    <s v="T206316"/>
    <s v="Capitals Vs Sunrisers"/>
    <s v="Capitals"/>
    <x v="0"/>
    <s v="DavidWarner"/>
    <s v="out"/>
    <n v="21"/>
    <n v="20"/>
    <n v="2"/>
    <n v="1"/>
    <n v="4.4000000000000004"/>
  </r>
  <r>
    <s v="T206316"/>
    <s v="Capitals Vs Sunrisers"/>
    <s v="Capitals"/>
    <x v="1"/>
    <s v="PhilSalt"/>
    <s v="out"/>
    <n v="0"/>
    <n v="1"/>
    <n v="0"/>
    <n v="0"/>
    <n v="6.8039215686274508"/>
  </r>
  <r>
    <s v="T206316"/>
    <s v="Capitals Vs Sunrisers"/>
    <s v="Capitals"/>
    <x v="2"/>
    <s v="MitchellMarsh"/>
    <s v="out"/>
    <n v="25"/>
    <n v="15"/>
    <n v="5"/>
    <n v="0"/>
    <n v="4.9000000000000004"/>
  </r>
  <r>
    <s v="T206316"/>
    <s v="Capitals Vs Sunrisers"/>
    <s v="Capitals"/>
    <x v="3"/>
    <s v="SarfarazKhan"/>
    <s v="out"/>
    <n v="10"/>
    <n v="9"/>
    <n v="0"/>
    <n v="1"/>
    <n v="4.75"/>
  </r>
  <r>
    <s v="T206316"/>
    <s v="Capitals Vs Sunrisers"/>
    <s v="Capitals"/>
    <x v="4"/>
    <s v="ManishPandey"/>
    <s v="out"/>
    <n v="34"/>
    <n v="27"/>
    <n v="2"/>
    <n v="0"/>
    <n v="4.2857142857142856"/>
  </r>
  <r>
    <s v="T206316"/>
    <s v="Capitals Vs Sunrisers"/>
    <s v="Capitals"/>
    <x v="5"/>
    <s v="AmanHakimKhan"/>
    <s v="out"/>
    <n v="4"/>
    <n v="2"/>
    <n v="1"/>
    <n v="0"/>
    <n v="5.8571428571428568"/>
  </r>
  <r>
    <s v="T206316"/>
    <s v="Capitals Vs Sunrisers"/>
    <s v="Capitals"/>
    <x v="6"/>
    <s v="AxarPatel"/>
    <s v="out"/>
    <n v="34"/>
    <n v="34"/>
    <n v="4"/>
    <n v="0"/>
    <n v="4.1428571428571432"/>
  </r>
  <r>
    <s v="T206316"/>
    <s v="Capitals Vs Sunrisers"/>
    <s v="Capitals"/>
    <x v="7"/>
    <s v="RipalPatel"/>
    <s v="out"/>
    <n v="5"/>
    <n v="6"/>
    <n v="0"/>
    <n v="0"/>
    <n v="6.3571428571428568"/>
  </r>
  <r>
    <s v="T206316"/>
    <s v="Capitals Vs Sunrisers"/>
    <s v="Capitals"/>
    <x v="8"/>
    <s v="AnrichNortje"/>
    <s v="out"/>
    <n v="2"/>
    <n v="2"/>
    <n v="0"/>
    <n v="0"/>
    <n v="5.8571428571428568"/>
  </r>
  <r>
    <s v="T206316"/>
    <s v="Capitals Vs Sunrisers"/>
    <s v="Capitals"/>
    <x v="9"/>
    <s v="KuldeepYadav"/>
    <s v="not_out"/>
    <n v="4"/>
    <n v="3"/>
    <n v="1"/>
    <n v="0"/>
    <n v="6.2857142857142856"/>
  </r>
  <r>
    <s v="T206316"/>
    <s v="Capitals Vs Sunrisers"/>
    <s v="Capitals"/>
    <x v="10"/>
    <s v="IshantSharma"/>
    <s v="not_out"/>
    <n v="1"/>
    <n v="1"/>
    <n v="0"/>
    <n v="0"/>
    <n v="6.8039215686274508"/>
  </r>
  <r>
    <s v="T206316"/>
    <s v="Capitals Vs Sunrisers"/>
    <s v="Sunrisers"/>
    <x v="0"/>
    <s v="HarryBrook"/>
    <s v="out"/>
    <n v="7"/>
    <n v="14"/>
    <n v="0"/>
    <n v="0"/>
    <n v="4"/>
  </r>
  <r>
    <s v="T206316"/>
    <s v="Capitals Vs Sunrisers"/>
    <s v="Sunrisers"/>
    <x v="1"/>
    <s v="MayankAgarwal"/>
    <s v="out"/>
    <n v="49"/>
    <n v="39"/>
    <n v="7"/>
    <n v="0"/>
    <n v="2.6666666666666665"/>
  </r>
  <r>
    <s v="T206316"/>
    <s v="Capitals Vs Sunrisers"/>
    <s v="Sunrisers"/>
    <x v="2"/>
    <s v="RahulTripathi"/>
    <s v="out"/>
    <n v="15"/>
    <n v="21"/>
    <n v="0"/>
    <n v="0"/>
    <n v="4.4615384615384617"/>
  </r>
  <r>
    <s v="T206316"/>
    <s v="Capitals Vs Sunrisers"/>
    <s v="Sunrisers"/>
    <x v="3"/>
    <s v="AbhishekSharma"/>
    <s v="out"/>
    <n v="5"/>
    <n v="5"/>
    <n v="0"/>
    <n v="0"/>
    <n v="6.2777777777777777"/>
  </r>
  <r>
    <s v="T206316"/>
    <s v="Capitals Vs Sunrisers"/>
    <s v="Sunrisers"/>
    <x v="4"/>
    <s v="AidenMarkram"/>
    <s v="out"/>
    <n v="3"/>
    <n v="5"/>
    <n v="0"/>
    <n v="0"/>
    <n v="6.4117647058823533"/>
  </r>
  <r>
    <s v="T206316"/>
    <s v="Capitals Vs Sunrisers"/>
    <s v="Sunrisers"/>
    <x v="5"/>
    <s v="HeinrichKlaasen"/>
    <s v="out"/>
    <n v="31"/>
    <n v="19"/>
    <n v="3"/>
    <n v="1"/>
    <n v="4.9000000000000004"/>
  </r>
  <r>
    <s v="T206316"/>
    <s v="Capitals Vs Sunrisers"/>
    <s v="Sunrisers"/>
    <x v="6"/>
    <s v="WashingtonSundar"/>
    <s v="not_out"/>
    <n v="24"/>
    <n v="15"/>
    <n v="3"/>
    <n v="0"/>
    <n v="5.1111111111111107"/>
  </r>
  <r>
    <s v="T206316"/>
    <s v="Capitals Vs Sunrisers"/>
    <s v="Sunrisers"/>
    <x v="7"/>
    <s v="MarcoJansen"/>
    <s v="not_out"/>
    <n v="2"/>
    <n v="3"/>
    <n v="0"/>
    <n v="0"/>
    <n v="6.384615384615385"/>
  </r>
  <r>
    <s v="T207135"/>
    <s v="Super Kings Vs KKR"/>
    <s v="Super Kings"/>
    <x v="0"/>
    <s v="RuturajGaikwad"/>
    <s v="out"/>
    <n v="35"/>
    <n v="20"/>
    <n v="2"/>
    <n v="3"/>
    <n v="4.4000000000000004"/>
  </r>
  <r>
    <s v="T207135"/>
    <s v="Super Kings Vs KKR"/>
    <s v="Super Kings"/>
    <x v="1"/>
    <s v="DevonConway"/>
    <s v="out"/>
    <n v="56"/>
    <n v="40"/>
    <n v="4"/>
    <n v="3"/>
    <n v="2"/>
  </r>
  <r>
    <s v="T207135"/>
    <s v="Super Kings Vs KKR"/>
    <s v="Super Kings"/>
    <x v="2"/>
    <s v="AjinkyaRahane"/>
    <s v="not_out"/>
    <n v="71"/>
    <n v="29"/>
    <n v="6"/>
    <n v="5"/>
    <n v="4"/>
  </r>
  <r>
    <s v="T207135"/>
    <s v="Super Kings Vs KKR"/>
    <s v="Super Kings"/>
    <x v="3"/>
    <s v="ShivamDube"/>
    <s v="out"/>
    <n v="50"/>
    <n v="21"/>
    <n v="2"/>
    <n v="5"/>
    <n v="4.4615384615384617"/>
  </r>
  <r>
    <s v="T207135"/>
    <s v="Super Kings Vs KKR"/>
    <s v="Super Kings"/>
    <x v="4"/>
    <s v="RavindraJadeja"/>
    <s v="out"/>
    <n v="18"/>
    <n v="8"/>
    <n v="0"/>
    <n v="2"/>
    <n v="4.2941176470588234"/>
  </r>
  <r>
    <s v="T207135"/>
    <s v="Super Kings Vs KKR"/>
    <s v="Super Kings"/>
    <x v="5"/>
    <s v="MSDhoni"/>
    <s v="not_out"/>
    <n v="2"/>
    <n v="3"/>
    <n v="0"/>
    <n v="0"/>
    <n v="6.384615384615385"/>
  </r>
  <r>
    <s v="T207135"/>
    <s v="Super Kings Vs KKR"/>
    <s v="KKR"/>
    <x v="0"/>
    <s v="NarayanJagadeesan"/>
    <s v="out"/>
    <n v="1"/>
    <n v="3"/>
    <n v="0"/>
    <n v="0"/>
    <n v="6.384615384615385"/>
  </r>
  <r>
    <s v="T207135"/>
    <s v="Super Kings Vs KKR"/>
    <s v="KKR"/>
    <x v="1"/>
    <s v="SunilNarine"/>
    <s v="out"/>
    <n v="0"/>
    <n v="3"/>
    <n v="0"/>
    <n v="0"/>
    <n v="6.384615384615385"/>
  </r>
  <r>
    <s v="T207135"/>
    <s v="Super Kings Vs KKR"/>
    <s v="KKR"/>
    <x v="2"/>
    <s v="VenkateshIyer"/>
    <s v="out"/>
    <n v="20"/>
    <n v="20"/>
    <n v="2"/>
    <n v="1"/>
    <n v="4.4000000000000004"/>
  </r>
  <r>
    <s v="T207135"/>
    <s v="Super Kings Vs KKR"/>
    <s v="KKR"/>
    <x v="3"/>
    <s v="NitishRana"/>
    <s v="out"/>
    <n v="27"/>
    <n v="20"/>
    <n v="4"/>
    <n v="1"/>
    <n v="4.5555555555555554"/>
  </r>
  <r>
    <s v="T207135"/>
    <s v="Super Kings Vs KKR"/>
    <s v="KKR"/>
    <x v="4"/>
    <s v="JasonRoy"/>
    <s v="out"/>
    <n v="61"/>
    <n v="26"/>
    <n v="5"/>
    <n v="5"/>
    <n v="3.5"/>
  </r>
  <r>
    <s v="T207135"/>
    <s v="Super Kings Vs KKR"/>
    <s v="KKR"/>
    <x v="5"/>
    <s v="RinkuSingh"/>
    <s v="not_out"/>
    <n v="53"/>
    <n v="33"/>
    <n v="3"/>
    <n v="4"/>
    <e v="#DIV/0!"/>
  </r>
  <r>
    <s v="T207135"/>
    <s v="Super Kings Vs KKR"/>
    <s v="KKR"/>
    <x v="6"/>
    <s v="AndreRussell"/>
    <s v="out"/>
    <n v="9"/>
    <n v="6"/>
    <n v="0"/>
    <n v="1"/>
    <n v="6.3571428571428568"/>
  </r>
  <r>
    <s v="T207135"/>
    <s v="Super Kings Vs KKR"/>
    <s v="KKR"/>
    <x v="7"/>
    <s v="DavidWiese"/>
    <s v="out"/>
    <n v="1"/>
    <n v="2"/>
    <n v="0"/>
    <n v="0"/>
    <n v="5.64"/>
  </r>
  <r>
    <s v="T207135"/>
    <s v="Super Kings Vs KKR"/>
    <s v="KKR"/>
    <x v="8"/>
    <s v="UmeshYadav"/>
    <s v="out"/>
    <n v="4"/>
    <n v="4"/>
    <n v="0"/>
    <n v="0"/>
    <n v="5.833333333333333"/>
  </r>
  <r>
    <s v="T207135"/>
    <s v="Super Kings Vs KKR"/>
    <s v="KKR"/>
    <x v="9"/>
    <s v="VarunChakravarthy"/>
    <s v="not_out"/>
    <n v="0"/>
    <n v="3"/>
    <n v="0"/>
    <n v="0"/>
    <n v="6.384615384615385"/>
  </r>
  <r>
    <s v="T205220"/>
    <s v="RCB Vs Royals"/>
    <s v="RCB"/>
    <x v="0"/>
    <s v="ViratKohli"/>
    <s v="out"/>
    <n v="0"/>
    <n v="1"/>
    <n v="0"/>
    <n v="0"/>
    <n v="6.8125"/>
  </r>
  <r>
    <s v="T205220"/>
    <s v="RCB Vs Royals"/>
    <s v="RCB"/>
    <x v="1"/>
    <s v="FafduPlessis"/>
    <s v="out"/>
    <n v="62"/>
    <n v="39"/>
    <n v="8"/>
    <n v="2"/>
    <n v="2.6666666666666665"/>
  </r>
  <r>
    <s v="T205220"/>
    <s v="RCB Vs Royals"/>
    <s v="RCB"/>
    <x v="2"/>
    <s v="ShahbazAhmed"/>
    <s v="out"/>
    <n v="2"/>
    <n v="4"/>
    <n v="0"/>
    <n v="0"/>
    <n v="5.6956521739130439"/>
  </r>
  <r>
    <s v="T205220"/>
    <s v="RCB Vs Royals"/>
    <s v="RCB"/>
    <x v="3"/>
    <s v="GlennMaxwell"/>
    <s v="out"/>
    <n v="77"/>
    <n v="44"/>
    <n v="6"/>
    <n v="4"/>
    <n v="1"/>
  </r>
  <r>
    <s v="T205220"/>
    <s v="RCB Vs Royals"/>
    <s v="RCB"/>
    <x v="4"/>
    <s v="MahipalLomror"/>
    <s v="out"/>
    <n v="8"/>
    <n v="6"/>
    <n v="1"/>
    <n v="0"/>
    <n v="6.3571428571428568"/>
  </r>
  <r>
    <s v="T205220"/>
    <s v="RCB Vs Royals"/>
    <s v="RCB"/>
    <x v="5"/>
    <s v="DineshKarthik"/>
    <s v="out"/>
    <n v="16"/>
    <n v="13"/>
    <n v="2"/>
    <n v="0"/>
    <n v="4.4444444444444446"/>
  </r>
  <r>
    <s v="T205220"/>
    <s v="RCB Vs Royals"/>
    <s v="RCB"/>
    <x v="6"/>
    <s v="SuyashPrabhudessai"/>
    <s v="out"/>
    <n v="0"/>
    <n v="2"/>
    <n v="0"/>
    <n v="0"/>
    <n v="5.75"/>
  </r>
  <r>
    <s v="T205220"/>
    <s v="RCB Vs Royals"/>
    <s v="RCB"/>
    <x v="7"/>
    <s v="WaninduHasaranga"/>
    <s v="out"/>
    <n v="6"/>
    <n v="7"/>
    <n v="0"/>
    <n v="0"/>
    <n v="5.3571428571428568"/>
  </r>
  <r>
    <s v="T205220"/>
    <s v="RCB Vs Royals"/>
    <s v="RCB"/>
    <x v="8"/>
    <s v="DavidWilley"/>
    <s v="not_out"/>
    <n v="4"/>
    <n v="2"/>
    <n v="1"/>
    <n v="0"/>
    <n v="5.75"/>
  </r>
  <r>
    <s v="T205220"/>
    <s v="RCB Vs Royals"/>
    <s v="RCB"/>
    <x v="9"/>
    <s v="VijaykumarVyshak"/>
    <s v="out"/>
    <n v="0"/>
    <n v="1"/>
    <n v="0"/>
    <n v="0"/>
    <n v="6.8125"/>
  </r>
  <r>
    <s v="T205220"/>
    <s v="RCB Vs Royals"/>
    <s v="RCB"/>
    <x v="10"/>
    <s v="MohammedSiraj"/>
    <s v="not_out"/>
    <n v="1"/>
    <n v="1"/>
    <n v="0"/>
    <n v="0"/>
    <n v="6.8125"/>
  </r>
  <r>
    <s v="T205220"/>
    <s v="RCB Vs Royals"/>
    <s v="Royals"/>
    <x v="0"/>
    <s v="YashasviJaiswal"/>
    <s v="out"/>
    <n v="47"/>
    <n v="37"/>
    <n v="5"/>
    <n v="2"/>
    <n v="3.25"/>
  </r>
  <r>
    <s v="T205220"/>
    <s v="RCB Vs Royals"/>
    <s v="Royals"/>
    <x v="1"/>
    <s v="JosButtler"/>
    <s v="out"/>
    <n v="0"/>
    <n v="2"/>
    <n v="0"/>
    <n v="0"/>
    <n v="5.75"/>
  </r>
  <r>
    <s v="T205220"/>
    <s v="RCB Vs Royals"/>
    <s v="Royals"/>
    <x v="2"/>
    <s v="DevduttPadikkal"/>
    <s v="out"/>
    <n v="52"/>
    <n v="34"/>
    <n v="7"/>
    <n v="1"/>
    <n v="3.6666666666666665"/>
  </r>
  <r>
    <s v="T205220"/>
    <s v="RCB Vs Royals"/>
    <s v="Royals"/>
    <x v="3"/>
    <s v="SanjuSamson"/>
    <s v="out"/>
    <n v="22"/>
    <n v="15"/>
    <n v="2"/>
    <n v="1"/>
    <n v="5.1111111111111107"/>
  </r>
  <r>
    <s v="T205220"/>
    <s v="RCB Vs Royals"/>
    <s v="Royals"/>
    <x v="4"/>
    <s v="ShimronHetmyer"/>
    <s v="out"/>
    <n v="3"/>
    <n v="9"/>
    <n v="0"/>
    <n v="0"/>
    <n v="4.5454545454545459"/>
  </r>
  <r>
    <s v="T205220"/>
    <s v="RCB Vs Royals"/>
    <s v="Royals"/>
    <x v="5"/>
    <s v="DhruvJurel"/>
    <s v="not_out"/>
    <n v="34"/>
    <n v="16"/>
    <n v="2"/>
    <n v="2"/>
    <n v="6.2"/>
  </r>
  <r>
    <s v="T205220"/>
    <s v="RCB Vs Royals"/>
    <s v="Royals"/>
    <x v="6"/>
    <s v="RavichandranAshwin"/>
    <s v="out"/>
    <n v="12"/>
    <n v="6"/>
    <n v="2"/>
    <n v="0"/>
    <n v="6.2307692307692308"/>
  </r>
  <r>
    <s v="T205220"/>
    <s v="RCB Vs Royals"/>
    <s v="Royals"/>
    <x v="7"/>
    <s v="AbdulBasith"/>
    <s v="not_out"/>
    <n v="1"/>
    <n v="1"/>
    <n v="0"/>
    <n v="0"/>
    <n v="6.7234042553191493"/>
  </r>
  <r>
    <s v="T204462"/>
    <s v="Punjab Kings Vs Mumbai"/>
    <s v="Punjab Kings"/>
    <x v="0"/>
    <s v="MatthewShort"/>
    <s v="out"/>
    <n v="11"/>
    <n v="10"/>
    <n v="2"/>
    <n v="0"/>
    <n v="5.5"/>
  </r>
  <r>
    <s v="T204462"/>
    <s v="Punjab Kings Vs Mumbai"/>
    <s v="Punjab Kings"/>
    <x v="1"/>
    <s v="PrabhsimranSingh"/>
    <s v="out"/>
    <n v="26"/>
    <n v="17"/>
    <n v="1"/>
    <n v="2"/>
    <n v="5.75"/>
  </r>
  <r>
    <s v="T204462"/>
    <s v="Punjab Kings Vs Mumbai"/>
    <s v="Punjab Kings"/>
    <x v="2"/>
    <s v="AtharvaTaide"/>
    <s v="out"/>
    <n v="29"/>
    <n v="17"/>
    <n v="3"/>
    <n v="1"/>
    <n v="5.75"/>
  </r>
  <r>
    <s v="T204462"/>
    <s v="Punjab Kings Vs Mumbai"/>
    <s v="Punjab Kings"/>
    <x v="3"/>
    <s v="LiamLivingstone"/>
    <s v="out"/>
    <n v="10"/>
    <n v="12"/>
    <n v="0"/>
    <n v="1"/>
    <n v="4.8"/>
  </r>
  <r>
    <s v="T204462"/>
    <s v="Punjab Kings Vs Mumbai"/>
    <s v="Punjab Kings"/>
    <x v="4"/>
    <s v="HarpreetSingh"/>
    <s v="out"/>
    <n v="41"/>
    <n v="28"/>
    <n v="4"/>
    <n v="2"/>
    <n v="3.75"/>
  </r>
  <r>
    <s v="T204462"/>
    <s v="Punjab Kings Vs Mumbai"/>
    <s v="Punjab Kings"/>
    <x v="5"/>
    <s v="SamCurran"/>
    <s v="out"/>
    <n v="55"/>
    <n v="29"/>
    <n v="5"/>
    <n v="4"/>
    <n v="4.333333333333333"/>
  </r>
  <r>
    <s v="T204462"/>
    <s v="Punjab Kings Vs Mumbai"/>
    <s v="Punjab Kings"/>
    <x v="6"/>
    <s v="JiteshSharma"/>
    <s v="out"/>
    <n v="25"/>
    <n v="7"/>
    <n v="0"/>
    <n v="4"/>
    <n v="5.3571428571428568"/>
  </r>
  <r>
    <s v="T204462"/>
    <s v="Punjab Kings Vs Mumbai"/>
    <s v="Punjab Kings"/>
    <x v="7"/>
    <s v="MShahrukhKhan"/>
    <s v="not_out"/>
    <n v="0"/>
    <n v="0"/>
    <n v="0"/>
    <n v="0"/>
    <n v="5.4406779661016946"/>
  </r>
  <r>
    <s v="T204462"/>
    <s v="Punjab Kings Vs Mumbai"/>
    <s v="Punjab Kings"/>
    <x v="8"/>
    <s v="HarpreetBrar"/>
    <s v="out"/>
    <n v="5"/>
    <n v="2"/>
    <n v="1"/>
    <n v="0"/>
    <n v="5.75"/>
  </r>
  <r>
    <s v="T204462"/>
    <s v="Punjab Kings Vs Mumbai"/>
    <s v="Mumbai"/>
    <x v="0"/>
    <s v="RohitSharma"/>
    <s v="out"/>
    <n v="44"/>
    <n v="27"/>
    <n v="4"/>
    <n v="3"/>
    <n v="4.333333333333333"/>
  </r>
  <r>
    <s v="T204462"/>
    <s v="Punjab Kings Vs Mumbai"/>
    <s v="Mumbai"/>
    <x v="1"/>
    <s v="IshanKishan"/>
    <s v="out"/>
    <n v="1"/>
    <n v="4"/>
    <n v="0"/>
    <n v="0"/>
    <n v="5.5454545454545459"/>
  </r>
  <r>
    <s v="T204462"/>
    <s v="Punjab Kings Vs Mumbai"/>
    <s v="Mumbai"/>
    <x v="2"/>
    <s v="CameronGreen"/>
    <s v="out"/>
    <n v="67"/>
    <n v="43"/>
    <n v="6"/>
    <n v="3"/>
    <n v="2"/>
  </r>
  <r>
    <s v="T204462"/>
    <s v="Punjab Kings Vs Mumbai"/>
    <s v="Mumbai"/>
    <x v="3"/>
    <s v="SuryakumarYadav"/>
    <s v="out"/>
    <n v="57"/>
    <n v="26"/>
    <n v="7"/>
    <n v="3"/>
    <n v="3.8"/>
  </r>
  <r>
    <s v="T204462"/>
    <s v="Punjab Kings Vs Mumbai"/>
    <s v="Mumbai"/>
    <x v="4"/>
    <s v="TimDavid"/>
    <s v="not_out"/>
    <n v="25"/>
    <n v="13"/>
    <n v="0"/>
    <n v="2"/>
    <n v="4.4444444444444446"/>
  </r>
  <r>
    <s v="T204462"/>
    <s v="Punjab Kings Vs Mumbai"/>
    <s v="Mumbai"/>
    <x v="5"/>
    <s v="TilakVarma"/>
    <s v="out"/>
    <n v="3"/>
    <n v="4"/>
    <n v="0"/>
    <n v="0"/>
    <n v="5.5454545454545459"/>
  </r>
  <r>
    <s v="T204462"/>
    <s v="Punjab Kings Vs Mumbai"/>
    <s v="Mumbai"/>
    <x v="6"/>
    <s v="NehalWadhera"/>
    <s v="out"/>
    <n v="0"/>
    <n v="1"/>
    <n v="0"/>
    <n v="0"/>
    <n v="6.8"/>
  </r>
  <r>
    <s v="T204462"/>
    <s v="Punjab Kings Vs Mumbai"/>
    <s v="Mumbai"/>
    <x v="7"/>
    <s v="JofraArcher"/>
    <s v="not_out"/>
    <n v="1"/>
    <n v="2"/>
    <n v="0"/>
    <n v="0"/>
    <n v="5.75"/>
  </r>
  <r>
    <s v="T208595"/>
    <s v="Titans Vs Super Giants"/>
    <s v="Titans"/>
    <x v="0"/>
    <s v="WriddhimanSaha"/>
    <s v="out"/>
    <n v="47"/>
    <n v="37"/>
    <n v="6"/>
    <n v="0"/>
    <n v="3.25"/>
  </r>
  <r>
    <s v="T208595"/>
    <s v="Titans Vs Super Giants"/>
    <s v="Titans"/>
    <x v="1"/>
    <s v="ShubmanGill"/>
    <s v="out"/>
    <n v="0"/>
    <n v="2"/>
    <n v="0"/>
    <n v="0"/>
    <n v="5.75"/>
  </r>
  <r>
    <s v="T208595"/>
    <s v="Titans Vs Super Giants"/>
    <s v="Titans"/>
    <x v="2"/>
    <s v="HardikPandya"/>
    <s v="out"/>
    <n v="66"/>
    <n v="50"/>
    <n v="2"/>
    <n v="4"/>
    <n v="3"/>
  </r>
  <r>
    <s v="T208595"/>
    <s v="Titans Vs Super Giants"/>
    <s v="Titans"/>
    <x v="3"/>
    <s v="AbhinavManohar"/>
    <s v="out"/>
    <n v="3"/>
    <n v="5"/>
    <n v="0"/>
    <n v="0"/>
    <n v="6.25"/>
  </r>
  <r>
    <s v="T208595"/>
    <s v="Titans Vs Super Giants"/>
    <s v="Titans"/>
    <x v="4"/>
    <s v="VijayShankar"/>
    <s v="out"/>
    <n v="10"/>
    <n v="12"/>
    <n v="1"/>
    <n v="0"/>
    <n v="4.8"/>
  </r>
  <r>
    <s v="T208595"/>
    <s v="Titans Vs Super Giants"/>
    <s v="Titans"/>
    <x v="5"/>
    <s v="DavidMiller"/>
    <s v="out"/>
    <n v="6"/>
    <n v="12"/>
    <n v="0"/>
    <n v="0"/>
    <n v="4.8"/>
  </r>
  <r>
    <s v="T208595"/>
    <s v="Titans Vs Super Giants"/>
    <s v="Titans"/>
    <x v="6"/>
    <s v="RahulTewatia"/>
    <s v="not_out"/>
    <n v="2"/>
    <n v="2"/>
    <n v="0"/>
    <n v="0"/>
    <n v="5.75"/>
  </r>
  <r>
    <s v="T208595"/>
    <s v="Titans Vs Super Giants"/>
    <s v="Super Giants"/>
    <x v="0"/>
    <s v="KLRahul"/>
    <s v="out"/>
    <n v="68"/>
    <n v="61"/>
    <n v="8"/>
    <n v="0"/>
    <n v="2"/>
  </r>
  <r>
    <s v="T208595"/>
    <s v="Titans Vs Super Giants"/>
    <s v="Super Giants"/>
    <x v="1"/>
    <s v="KyleMayers"/>
    <s v="out"/>
    <n v="24"/>
    <n v="19"/>
    <n v="2"/>
    <n v="1"/>
    <n v="4.9000000000000004"/>
  </r>
  <r>
    <s v="T208595"/>
    <s v="Titans Vs Super Giants"/>
    <s v="Super Giants"/>
    <x v="2"/>
    <s v="KrunalPandya"/>
    <s v="out"/>
    <n v="23"/>
    <n v="23"/>
    <n v="2"/>
    <n v="1"/>
    <n v="4.8571428571428568"/>
  </r>
  <r>
    <s v="T208595"/>
    <s v="Titans Vs Super Giants"/>
    <s v="Super Giants"/>
    <x v="3"/>
    <s v="NicholasPooran"/>
    <s v="out"/>
    <n v="1"/>
    <n v="7"/>
    <n v="0"/>
    <n v="0"/>
    <n v="5.3571428571428568"/>
  </r>
  <r>
    <s v="T208595"/>
    <s v="Titans Vs Super Giants"/>
    <s v="Super Giants"/>
    <x v="4"/>
    <s v="AyushBadoni"/>
    <s v="out"/>
    <n v="8"/>
    <n v="6"/>
    <n v="0"/>
    <n v="0"/>
    <n v="6.25"/>
  </r>
  <r>
    <s v="T208595"/>
    <s v="Titans Vs Super Giants"/>
    <s v="Super Giants"/>
    <x v="5"/>
    <s v="MarcusStoinis"/>
    <s v="out"/>
    <n v="0"/>
    <n v="1"/>
    <n v="0"/>
    <n v="0"/>
    <n v="6.8372093023255811"/>
  </r>
  <r>
    <s v="T208595"/>
    <s v="Titans Vs Super Giants"/>
    <s v="Super Giants"/>
    <x v="6"/>
    <s v="DeepakHooda"/>
    <s v="out"/>
    <n v="2"/>
    <n v="2"/>
    <n v="0"/>
    <n v="0"/>
    <n v="5.6956521739130439"/>
  </r>
  <r>
    <s v="T208595"/>
    <s v="Titans Vs Super Giants"/>
    <s v="Super Giants"/>
    <x v="7"/>
    <s v="PrerakMankad"/>
    <s v="not_out"/>
    <n v="0"/>
    <n v="0"/>
    <n v="0"/>
    <n v="0"/>
    <n v="5.418181818181818"/>
  </r>
  <r>
    <s v="T208595"/>
    <s v="Titans Vs Super Giants"/>
    <s v="Super Giants"/>
    <x v="8"/>
    <s v="RaviBishnoi"/>
    <s v="not_out"/>
    <n v="0"/>
    <n v="1"/>
    <n v="0"/>
    <n v="0"/>
    <n v="6.8372093023255811"/>
  </r>
  <r>
    <s v="T208568"/>
    <s v="Sunrisers Vs Super Kings"/>
    <s v="Sunrisers"/>
    <x v="0"/>
    <s v="HarryBrook"/>
    <s v="out"/>
    <n v="18"/>
    <n v="13"/>
    <n v="3"/>
    <n v="0"/>
    <n v="4.4444444444444446"/>
  </r>
  <r>
    <s v="T208568"/>
    <s v="Sunrisers Vs Super Kings"/>
    <s v="Sunrisers"/>
    <x v="1"/>
    <s v="AbhishekSharma"/>
    <s v="out"/>
    <n v="34"/>
    <n v="26"/>
    <n v="3"/>
    <n v="1"/>
    <n v="3.8"/>
  </r>
  <r>
    <s v="T208568"/>
    <s v="Sunrisers Vs Super Kings"/>
    <s v="Sunrisers"/>
    <x v="2"/>
    <s v="RahulTripathi"/>
    <s v="out"/>
    <n v="21"/>
    <n v="21"/>
    <n v="1"/>
    <n v="1"/>
    <n v="4.4615384615384617"/>
  </r>
  <r>
    <s v="T208568"/>
    <s v="Sunrisers Vs Super Kings"/>
    <s v="Sunrisers"/>
    <x v="3"/>
    <s v="AidenMarkram"/>
    <s v="out"/>
    <n v="12"/>
    <n v="12"/>
    <n v="1"/>
    <n v="0"/>
    <n v="4.8"/>
  </r>
  <r>
    <s v="T208568"/>
    <s v="Sunrisers Vs Super Kings"/>
    <s v="Sunrisers"/>
    <x v="4"/>
    <s v="HeinrichKlaasen"/>
    <s v="out"/>
    <n v="17"/>
    <n v="16"/>
    <n v="1"/>
    <n v="0"/>
    <n v="6.2"/>
  </r>
  <r>
    <s v="T208568"/>
    <s v="Sunrisers Vs Super Kings"/>
    <s v="Sunrisers"/>
    <x v="5"/>
    <s v="MayankAgarwal"/>
    <s v="out"/>
    <n v="2"/>
    <n v="4"/>
    <n v="0"/>
    <n v="0"/>
    <n v="5.5454545454545459"/>
  </r>
  <r>
    <s v="T208568"/>
    <s v="Sunrisers Vs Super Kings"/>
    <s v="Sunrisers"/>
    <x v="6"/>
    <s v="MarcoJansen"/>
    <s v="not_out"/>
    <n v="17"/>
    <n v="22"/>
    <n v="1"/>
    <n v="0"/>
    <n v="4.4000000000000004"/>
  </r>
  <r>
    <s v="T208568"/>
    <s v="Sunrisers Vs Super Kings"/>
    <s v="Sunrisers"/>
    <x v="7"/>
    <s v="WashingtonSundar"/>
    <s v="out"/>
    <n v="9"/>
    <n v="6"/>
    <n v="1"/>
    <n v="0"/>
    <n v="6.25"/>
  </r>
  <r>
    <s v="T208568"/>
    <s v="Sunrisers Vs Super Kings"/>
    <s v="Super Kings"/>
    <x v="0"/>
    <s v="RuturajGaikwad"/>
    <s v="out"/>
    <n v="35"/>
    <n v="30"/>
    <n v="2"/>
    <n v="0"/>
    <n v="4.5714285714285712"/>
  </r>
  <r>
    <s v="T208568"/>
    <s v="Sunrisers Vs Super Kings"/>
    <s v="Super Kings"/>
    <x v="1"/>
    <s v="DevonConway"/>
    <s v="not_out"/>
    <n v="77"/>
    <n v="57"/>
    <n v="12"/>
    <n v="1"/>
    <n v="2"/>
  </r>
  <r>
    <s v="T208568"/>
    <s v="Sunrisers Vs Super Kings"/>
    <s v="Super Kings"/>
    <x v="2"/>
    <s v="AjinkyaRahane"/>
    <s v="out"/>
    <n v="9"/>
    <n v="10"/>
    <n v="0"/>
    <n v="0"/>
    <n v="5.7"/>
  </r>
  <r>
    <s v="T208568"/>
    <s v="Sunrisers Vs Super Kings"/>
    <s v="Super Kings"/>
    <x v="3"/>
    <s v="AmbatiRayudu"/>
    <s v="out"/>
    <n v="9"/>
    <n v="9"/>
    <n v="1"/>
    <n v="0"/>
    <n v="4.333333333333333"/>
  </r>
  <r>
    <s v="T208568"/>
    <s v="Sunrisers Vs Super Kings"/>
    <s v="Super Kings"/>
    <x v="4"/>
    <s v="MoeenAli"/>
    <s v="not_out"/>
    <n v="6"/>
    <n v="6"/>
    <n v="1"/>
    <n v="0"/>
    <n v="6.25"/>
  </r>
  <r>
    <s v="T206506"/>
    <s v="KKR Vs Capitals"/>
    <s v="KKR"/>
    <x v="0"/>
    <s v="JasonRoy"/>
    <s v="out"/>
    <n v="43"/>
    <n v="39"/>
    <n v="5"/>
    <n v="1"/>
    <n v="2.6666666666666665"/>
  </r>
  <r>
    <s v="T206506"/>
    <s v="KKR Vs Capitals"/>
    <s v="KKR"/>
    <x v="1"/>
    <s v="LittonDas"/>
    <s v="out"/>
    <n v="4"/>
    <n v="4"/>
    <n v="1"/>
    <n v="0"/>
    <n v="5.5454545454545459"/>
  </r>
  <r>
    <s v="T206506"/>
    <s v="KKR Vs Capitals"/>
    <s v="KKR"/>
    <x v="2"/>
    <s v="VenkateshIyer"/>
    <s v="out"/>
    <n v="0"/>
    <n v="2"/>
    <n v="0"/>
    <n v="0"/>
    <n v="5.6190476190476186"/>
  </r>
  <r>
    <s v="T206506"/>
    <s v="KKR Vs Capitals"/>
    <s v="KKR"/>
    <x v="3"/>
    <s v="NitishRana"/>
    <s v="out"/>
    <n v="4"/>
    <n v="7"/>
    <n v="1"/>
    <n v="0"/>
    <n v="5.3571428571428568"/>
  </r>
  <r>
    <s v="T206506"/>
    <s v="KKR Vs Capitals"/>
    <s v="KKR"/>
    <x v="4"/>
    <s v="MandeepSingh"/>
    <s v="out"/>
    <n v="12"/>
    <n v="11"/>
    <n v="0"/>
    <n v="1"/>
    <n v="5.25"/>
  </r>
  <r>
    <s v="T206506"/>
    <s v="KKR Vs Capitals"/>
    <s v="KKR"/>
    <x v="5"/>
    <s v="RinkuSingh"/>
    <s v="out"/>
    <n v="6"/>
    <n v="8"/>
    <n v="1"/>
    <n v="0"/>
    <n v="4.2"/>
  </r>
  <r>
    <s v="T206506"/>
    <s v="KKR Vs Capitals"/>
    <s v="KKR"/>
    <x v="6"/>
    <s v="SunilNarine"/>
    <s v="out"/>
    <n v="4"/>
    <n v="6"/>
    <n v="1"/>
    <n v="0"/>
    <n v="6.4"/>
  </r>
  <r>
    <s v="T206506"/>
    <s v="KKR Vs Capitals"/>
    <s v="KKR"/>
    <x v="7"/>
    <s v="AndreRussell"/>
    <s v="not_out"/>
    <n v="38"/>
    <n v="31"/>
    <n v="1"/>
    <n v="4"/>
    <n v="3.8"/>
  </r>
  <r>
    <s v="T206506"/>
    <s v="KKR Vs Capitals"/>
    <s v="KKR"/>
    <x v="8"/>
    <s v="AnukulRoy"/>
    <s v="out"/>
    <n v="0"/>
    <n v="1"/>
    <n v="0"/>
    <n v="0"/>
    <n v="6.8372093023255811"/>
  </r>
  <r>
    <s v="T206506"/>
    <s v="KKR Vs Capitals"/>
    <s v="KKR"/>
    <x v="9"/>
    <s v="UmeshYadav"/>
    <s v="out"/>
    <n v="3"/>
    <n v="5"/>
    <n v="0"/>
    <n v="0"/>
    <n v="6.25"/>
  </r>
  <r>
    <s v="T206506"/>
    <s v="KKR Vs Capitals"/>
    <s v="KKR"/>
    <x v="10"/>
    <s v="VarunChakravarthy"/>
    <s v="out"/>
    <n v="1"/>
    <n v="6"/>
    <n v="0"/>
    <n v="0"/>
    <n v="6.4"/>
  </r>
  <r>
    <s v="T206506"/>
    <s v="KKR Vs Capitals"/>
    <s v="Capitals"/>
    <x v="0"/>
    <s v="DavidWarner"/>
    <s v="out"/>
    <n v="57"/>
    <n v="41"/>
    <n v="11"/>
    <n v="0"/>
    <n v="5"/>
  </r>
  <r>
    <s v="T206506"/>
    <s v="KKR Vs Capitals"/>
    <s v="Capitals"/>
    <x v="1"/>
    <s v="PrithviShaw"/>
    <s v="out"/>
    <n v="13"/>
    <n v="11"/>
    <n v="2"/>
    <n v="0"/>
    <n v="5.25"/>
  </r>
  <r>
    <s v="T206506"/>
    <s v="KKR Vs Capitals"/>
    <s v="Capitals"/>
    <x v="2"/>
    <s v="MitchellMarsh"/>
    <s v="out"/>
    <n v="2"/>
    <n v="9"/>
    <n v="0"/>
    <n v="0"/>
    <n v="4.375"/>
  </r>
  <r>
    <s v="T206506"/>
    <s v="KKR Vs Capitals"/>
    <s v="Capitals"/>
    <x v="3"/>
    <s v="PhilSalt"/>
    <s v="out"/>
    <n v="5"/>
    <n v="3"/>
    <n v="1"/>
    <n v="0"/>
    <n v="6.4444444444444446"/>
  </r>
  <r>
    <s v="T206506"/>
    <s v="KKR Vs Capitals"/>
    <s v="Capitals"/>
    <x v="4"/>
    <s v="ManishPandey"/>
    <s v="out"/>
    <n v="21"/>
    <n v="23"/>
    <n v="2"/>
    <n v="0"/>
    <n v="5.166666666666667"/>
  </r>
  <r>
    <s v="T206506"/>
    <s v="KKR Vs Capitals"/>
    <s v="Capitals"/>
    <x v="5"/>
    <s v="AxarPatel"/>
    <s v="not_out"/>
    <n v="19"/>
    <n v="22"/>
    <n v="1"/>
    <n v="0"/>
    <n v="4.4000000000000004"/>
  </r>
  <r>
    <s v="T206506"/>
    <s v="KKR Vs Capitals"/>
    <s v="Capitals"/>
    <x v="6"/>
    <s v="AmanHakimKhan"/>
    <s v="out"/>
    <n v="0"/>
    <n v="2"/>
    <n v="0"/>
    <n v="0"/>
    <n v="5.75"/>
  </r>
  <r>
    <s v="T206506"/>
    <s v="KKR Vs Capitals"/>
    <s v="Capitals"/>
    <x v="7"/>
    <s v="LalitYadav"/>
    <s v="not_out"/>
    <n v="4"/>
    <n v="7"/>
    <n v="0"/>
    <n v="0"/>
    <n v="5.3571428571428568"/>
  </r>
  <r>
    <s v="T209410"/>
    <s v="RCB Vs Punjab Kings"/>
    <s v="RCB"/>
    <x v="0"/>
    <s v="ViratKohli"/>
    <s v="out"/>
    <n v="59"/>
    <n v="47"/>
    <n v="5"/>
    <n v="1"/>
    <n v="2"/>
  </r>
  <r>
    <s v="T209410"/>
    <s v="RCB Vs Punjab Kings"/>
    <s v="RCB"/>
    <x v="1"/>
    <s v="FafduPlessis"/>
    <s v="out"/>
    <n v="84"/>
    <n v="56"/>
    <n v="5"/>
    <n v="5"/>
    <n v="4"/>
  </r>
  <r>
    <s v="T209410"/>
    <s v="RCB Vs Punjab Kings"/>
    <s v="RCB"/>
    <x v="2"/>
    <s v="GlennMaxwell"/>
    <s v="out"/>
    <n v="0"/>
    <n v="1"/>
    <n v="0"/>
    <n v="0"/>
    <n v="6.7380952380952381"/>
  </r>
  <r>
    <s v="T209410"/>
    <s v="RCB Vs Punjab Kings"/>
    <s v="RCB"/>
    <x v="3"/>
    <s v="DineshKarthik"/>
    <s v="out"/>
    <n v="7"/>
    <n v="5"/>
    <n v="1"/>
    <n v="0"/>
    <n v="6.4"/>
  </r>
  <r>
    <s v="T209410"/>
    <s v="RCB Vs Punjab Kings"/>
    <s v="RCB"/>
    <x v="4"/>
    <s v="MahipalLomror"/>
    <s v="not_out"/>
    <n v="7"/>
    <n v="9"/>
    <n v="1"/>
    <n v="0"/>
    <n v="4.375"/>
  </r>
  <r>
    <s v="T209410"/>
    <s v="RCB Vs Punjab Kings"/>
    <s v="RCB"/>
    <x v="5"/>
    <s v="ShahbazAhmed"/>
    <s v="not_out"/>
    <n v="5"/>
    <n v="3"/>
    <n v="0"/>
    <n v="0"/>
    <n v="6.4444444444444446"/>
  </r>
  <r>
    <s v="T209410"/>
    <s v="RCB Vs Punjab Kings"/>
    <s v="Punjab Kings"/>
    <x v="0"/>
    <s v="AtharvaTaide"/>
    <s v="out"/>
    <n v="4"/>
    <n v="2"/>
    <n v="1"/>
    <n v="0"/>
    <n v="5.75"/>
  </r>
  <r>
    <s v="T209410"/>
    <s v="RCB Vs Punjab Kings"/>
    <s v="Punjab Kings"/>
    <x v="1"/>
    <s v="PrabhsimranSingh"/>
    <s v="out"/>
    <n v="46"/>
    <n v="30"/>
    <n v="3"/>
    <n v="4"/>
    <n v="4.5714285714285712"/>
  </r>
  <r>
    <s v="T209410"/>
    <s v="RCB Vs Punjab Kings"/>
    <s v="Punjab Kings"/>
    <x v="2"/>
    <s v="MatthewShort"/>
    <s v="out"/>
    <n v="8"/>
    <n v="7"/>
    <n v="0"/>
    <n v="1"/>
    <n v="5.5"/>
  </r>
  <r>
    <s v="T209410"/>
    <s v="RCB Vs Punjab Kings"/>
    <s v="Punjab Kings"/>
    <x v="3"/>
    <s v="LiamLivingstone"/>
    <s v="out"/>
    <n v="2"/>
    <n v="4"/>
    <n v="0"/>
    <n v="0"/>
    <n v="5.882352941176471"/>
  </r>
  <r>
    <s v="T209410"/>
    <s v="RCB Vs Punjab Kings"/>
    <s v="Punjab Kings"/>
    <x v="4"/>
    <s v="HarpreetSingh"/>
    <s v="out"/>
    <n v="13"/>
    <n v="9"/>
    <n v="1"/>
    <n v="1"/>
    <n v="4.375"/>
  </r>
  <r>
    <s v="T209410"/>
    <s v="RCB Vs Punjab Kings"/>
    <s v="Punjab Kings"/>
    <x v="5"/>
    <s v="SamCurran"/>
    <s v="out"/>
    <n v="10"/>
    <n v="12"/>
    <n v="1"/>
    <n v="0"/>
    <n v="4.875"/>
  </r>
  <r>
    <s v="T209410"/>
    <s v="RCB Vs Punjab Kings"/>
    <s v="Punjab Kings"/>
    <x v="6"/>
    <s v="JiteshSharma"/>
    <s v="out"/>
    <n v="41"/>
    <n v="27"/>
    <n v="2"/>
    <n v="3"/>
    <n v="4.333333333333333"/>
  </r>
  <r>
    <s v="T209410"/>
    <s v="RCB Vs Punjab Kings"/>
    <s v="Punjab Kings"/>
    <x v="7"/>
    <s v="MShahrukhKhan"/>
    <s v="out"/>
    <n v="7"/>
    <n v="5"/>
    <n v="0"/>
    <n v="1"/>
    <n v="6.4285714285714288"/>
  </r>
  <r>
    <s v="T209410"/>
    <s v="RCB Vs Punjab Kings"/>
    <s v="Punjab Kings"/>
    <x v="8"/>
    <s v="HarpreetBrar"/>
    <s v="out"/>
    <n v="13"/>
    <n v="13"/>
    <n v="1"/>
    <n v="0"/>
    <n v="4.7142857142857144"/>
  </r>
  <r>
    <s v="T209410"/>
    <s v="RCB Vs Punjab Kings"/>
    <s v="Punjab Kings"/>
    <x v="9"/>
    <s v="NathanEllis"/>
    <s v="out"/>
    <n v="1"/>
    <n v="2"/>
    <n v="0"/>
    <n v="0"/>
    <n v="5.8421052631578947"/>
  </r>
  <r>
    <s v="T209410"/>
    <s v="RCB Vs Punjab Kings"/>
    <s v="Punjab Kings"/>
    <x v="10"/>
    <s v="ArshdeepSingh"/>
    <s v="not_out"/>
    <n v="0"/>
    <n v="0"/>
    <n v="0"/>
    <n v="0"/>
    <n v="5.2857142857142856"/>
  </r>
  <r>
    <s v="T205539"/>
    <s v="Super Giants Vs Royals"/>
    <s v="Super Giants"/>
    <x v="0"/>
    <s v="KLRahul"/>
    <s v="out"/>
    <n v="39"/>
    <n v="32"/>
    <n v="4"/>
    <n v="1"/>
    <n v="6"/>
  </r>
  <r>
    <s v="T205539"/>
    <s v="Super Giants Vs Royals"/>
    <s v="Super Giants"/>
    <x v="1"/>
    <s v="KyleMayers"/>
    <s v="out"/>
    <n v="51"/>
    <n v="42"/>
    <n v="4"/>
    <n v="3"/>
    <n v="4"/>
  </r>
  <r>
    <s v="T205539"/>
    <s v="Super Giants Vs Royals"/>
    <s v="Super Giants"/>
    <x v="2"/>
    <s v="AyushBadoni"/>
    <s v="out"/>
    <n v="1"/>
    <n v="4"/>
    <n v="0"/>
    <n v="0"/>
    <n v="5.882352941176471"/>
  </r>
  <r>
    <s v="T205539"/>
    <s v="Super Giants Vs Royals"/>
    <s v="Super Giants"/>
    <x v="3"/>
    <s v="DeepakHooda"/>
    <s v="out"/>
    <n v="2"/>
    <n v="4"/>
    <n v="0"/>
    <n v="0"/>
    <n v="5.882352941176471"/>
  </r>
  <r>
    <s v="T205539"/>
    <s v="Super Giants Vs Royals"/>
    <s v="Super Giants"/>
    <x v="4"/>
    <s v="MarcusStoinis"/>
    <s v="out"/>
    <n v="21"/>
    <n v="16"/>
    <n v="2"/>
    <n v="0"/>
    <n v="6.2"/>
  </r>
  <r>
    <s v="T205539"/>
    <s v="Super Giants Vs Royals"/>
    <s v="Super Giants"/>
    <x v="5"/>
    <s v="NicholasPooran"/>
    <s v="out"/>
    <n v="29"/>
    <n v="20"/>
    <n v="2"/>
    <n v="1"/>
    <n v="4.5555555555555554"/>
  </r>
  <r>
    <s v="T205539"/>
    <s v="Super Giants Vs Royals"/>
    <s v="Super Giants"/>
    <x v="6"/>
    <s v="KrunalPandya"/>
    <s v="not_out"/>
    <n v="4"/>
    <n v="2"/>
    <n v="1"/>
    <n v="0"/>
    <n v="5.9444444444444446"/>
  </r>
  <r>
    <s v="T205539"/>
    <s v="Super Giants Vs Royals"/>
    <s v="Super Giants"/>
    <x v="7"/>
    <s v="YudhvirSingh"/>
    <s v="out"/>
    <n v="1"/>
    <n v="1"/>
    <n v="0"/>
    <n v="0"/>
    <n v="6.75"/>
  </r>
  <r>
    <s v="T205539"/>
    <s v="Super Giants Vs Royals"/>
    <s v="Royals"/>
    <x v="0"/>
    <s v="YashasviJaiswal"/>
    <s v="out"/>
    <n v="44"/>
    <n v="35"/>
    <n v="4"/>
    <n v="2"/>
    <n v="4.5"/>
  </r>
  <r>
    <s v="T205539"/>
    <s v="Super Giants Vs Royals"/>
    <s v="Royals"/>
    <x v="1"/>
    <s v="JosButtler"/>
    <s v="out"/>
    <n v="40"/>
    <n v="41"/>
    <n v="4"/>
    <n v="1"/>
    <n v="3"/>
  </r>
  <r>
    <s v="T205539"/>
    <s v="Super Giants Vs Royals"/>
    <s v="Royals"/>
    <x v="2"/>
    <s v="SanjuSamson"/>
    <s v="out"/>
    <n v="2"/>
    <n v="4"/>
    <n v="0"/>
    <n v="0"/>
    <n v="5.8125"/>
  </r>
  <r>
    <s v="T205539"/>
    <s v="Super Giants Vs Royals"/>
    <s v="Royals"/>
    <x v="3"/>
    <s v="DevduttPadikkal"/>
    <s v="out"/>
    <n v="26"/>
    <n v="21"/>
    <n v="4"/>
    <n v="0"/>
    <n v="4.5"/>
  </r>
  <r>
    <s v="T205539"/>
    <s v="Super Giants Vs Royals"/>
    <s v="Royals"/>
    <x v="4"/>
    <s v="ShimronHetmyer"/>
    <s v="out"/>
    <n v="2"/>
    <n v="5"/>
    <n v="0"/>
    <n v="0"/>
    <n v="6.4285714285714288"/>
  </r>
  <r>
    <s v="T205539"/>
    <s v="Super Giants Vs Royals"/>
    <s v="Royals"/>
    <x v="5"/>
    <s v="RiyanParag"/>
    <s v="not_out"/>
    <n v="15"/>
    <n v="12"/>
    <n v="1"/>
    <n v="1"/>
    <n v="4.875"/>
  </r>
  <r>
    <s v="T205539"/>
    <s v="Super Giants Vs Royals"/>
    <s v="Royals"/>
    <x v="6"/>
    <s v="DhruvJurel"/>
    <s v="out"/>
    <n v="0"/>
    <n v="1"/>
    <n v="0"/>
    <n v="0"/>
    <n v="6.7179487179487181"/>
  </r>
  <r>
    <s v="T205539"/>
    <s v="Super Giants Vs Royals"/>
    <s v="Royals"/>
    <x v="7"/>
    <s v="RavichandranAshwin"/>
    <s v="not_out"/>
    <n v="3"/>
    <n v="2"/>
    <n v="0"/>
    <n v="0"/>
    <n v="6.1875"/>
  </r>
  <r>
    <s v="T203831"/>
    <s v="Mumbai Vs Sunrisers"/>
    <s v="Mumbai"/>
    <x v="0"/>
    <s v="RohitSharma"/>
    <s v="out"/>
    <n v="28"/>
    <n v="18"/>
    <n v="6"/>
    <n v="0"/>
    <n v="6.375"/>
  </r>
  <r>
    <s v="T203831"/>
    <s v="Mumbai Vs Sunrisers"/>
    <s v="Mumbai"/>
    <x v="1"/>
    <s v="IshanKishan"/>
    <s v="out"/>
    <n v="38"/>
    <n v="31"/>
    <n v="3"/>
    <n v="2"/>
    <n v="3.8"/>
  </r>
  <r>
    <s v="T203831"/>
    <s v="Mumbai Vs Sunrisers"/>
    <s v="Mumbai"/>
    <x v="2"/>
    <s v="CameronGreen"/>
    <s v="not_out"/>
    <n v="64"/>
    <n v="40"/>
    <n v="6"/>
    <n v="2"/>
    <n v="2"/>
  </r>
  <r>
    <s v="T203831"/>
    <s v="Mumbai Vs Sunrisers"/>
    <s v="Mumbai"/>
    <x v="3"/>
    <s v="SuryakumarYadav"/>
    <s v="out"/>
    <n v="7"/>
    <n v="3"/>
    <n v="0"/>
    <n v="1"/>
    <n v="6.25"/>
  </r>
  <r>
    <s v="T203831"/>
    <s v="Mumbai Vs Sunrisers"/>
    <s v="Mumbai"/>
    <x v="4"/>
    <s v="TilakVarma"/>
    <s v="out"/>
    <n v="37"/>
    <n v="17"/>
    <n v="2"/>
    <n v="4"/>
    <n v="5.666666666666667"/>
  </r>
  <r>
    <s v="T203831"/>
    <s v="Mumbai Vs Sunrisers"/>
    <s v="Mumbai"/>
    <x v="5"/>
    <s v="TimDavid"/>
    <s v="out"/>
    <n v="16"/>
    <n v="11"/>
    <n v="2"/>
    <n v="0"/>
    <n v="5.25"/>
  </r>
  <r>
    <s v="T203831"/>
    <s v="Mumbai Vs Sunrisers"/>
    <s v="Sunrisers"/>
    <x v="0"/>
    <s v="HarryBrook"/>
    <s v="out"/>
    <n v="9"/>
    <n v="7"/>
    <n v="2"/>
    <n v="0"/>
    <n v="5.4"/>
  </r>
  <r>
    <s v="T203831"/>
    <s v="Mumbai Vs Sunrisers"/>
    <s v="Sunrisers"/>
    <x v="1"/>
    <s v="MayankAgarwal"/>
    <s v="out"/>
    <n v="48"/>
    <n v="41"/>
    <n v="4"/>
    <n v="1"/>
    <n v="3"/>
  </r>
  <r>
    <s v="T203831"/>
    <s v="Mumbai Vs Sunrisers"/>
    <s v="Sunrisers"/>
    <x v="2"/>
    <s v="RahulTripathi"/>
    <s v="out"/>
    <n v="7"/>
    <n v="5"/>
    <n v="1"/>
    <n v="0"/>
    <n v="6.4285714285714288"/>
  </r>
  <r>
    <s v="T203831"/>
    <s v="Mumbai Vs Sunrisers"/>
    <s v="Sunrisers"/>
    <x v="3"/>
    <s v="AidenMarkram"/>
    <s v="out"/>
    <n v="22"/>
    <n v="17"/>
    <n v="1"/>
    <n v="1"/>
    <n v="5.666666666666667"/>
  </r>
  <r>
    <s v="T203831"/>
    <s v="Mumbai Vs Sunrisers"/>
    <s v="Sunrisers"/>
    <x v="4"/>
    <s v="AbhishekSharma"/>
    <s v="out"/>
    <n v="1"/>
    <n v="2"/>
    <n v="0"/>
    <n v="0"/>
    <n v="6.1875"/>
  </r>
  <r>
    <s v="T203831"/>
    <s v="Mumbai Vs Sunrisers"/>
    <s v="Sunrisers"/>
    <x v="5"/>
    <s v="HeinrichKlaasen"/>
    <s v="out"/>
    <n v="36"/>
    <n v="16"/>
    <n v="4"/>
    <n v="2"/>
    <n v="6.25"/>
  </r>
  <r>
    <s v="T203831"/>
    <s v="Mumbai Vs Sunrisers"/>
    <s v="Sunrisers"/>
    <x v="6"/>
    <s v="AbdulSamad"/>
    <s v="out"/>
    <n v="9"/>
    <n v="12"/>
    <n v="1"/>
    <n v="0"/>
    <n v="4.875"/>
  </r>
  <r>
    <s v="T203831"/>
    <s v="Mumbai Vs Sunrisers"/>
    <s v="Sunrisers"/>
    <x v="7"/>
    <s v="MarcoJansen"/>
    <s v="out"/>
    <n v="13"/>
    <n v="6"/>
    <n v="3"/>
    <n v="0"/>
    <n v="6.4"/>
  </r>
  <r>
    <s v="T203831"/>
    <s v="Mumbai Vs Sunrisers"/>
    <s v="Sunrisers"/>
    <x v="8"/>
    <s v="WashingtonSundar"/>
    <s v="out"/>
    <n v="10"/>
    <n v="6"/>
    <n v="2"/>
    <n v="0"/>
    <n v="6.4"/>
  </r>
  <r>
    <s v="T203831"/>
    <s v="Mumbai Vs Sunrisers"/>
    <s v="Sunrisers"/>
    <x v="9"/>
    <s v="BhuvneshwarKumar"/>
    <s v="out"/>
    <n v="2"/>
    <n v="5"/>
    <n v="0"/>
    <n v="0"/>
    <n v="6.4285714285714288"/>
  </r>
  <r>
    <s v="T203831"/>
    <s v="Mumbai Vs Sunrisers"/>
    <s v="Sunrisers"/>
    <x v="10"/>
    <s v="MayankMarkande"/>
    <s v="not_out"/>
    <n v="2"/>
    <n v="2"/>
    <n v="0"/>
    <n v="0"/>
    <n v="5.9333333333333336"/>
  </r>
  <r>
    <s v="T206232"/>
    <s v="Super Kings Vs RCB"/>
    <s v="Super Kings"/>
    <x v="0"/>
    <s v="RuturajGaikwad"/>
    <s v="out"/>
    <n v="3"/>
    <n v="6"/>
    <n v="0"/>
    <n v="0"/>
    <n v="6.4"/>
  </r>
  <r>
    <s v="T206232"/>
    <s v="Super Kings Vs RCB"/>
    <s v="Super Kings"/>
    <x v="1"/>
    <s v="DevonConway"/>
    <s v="out"/>
    <n v="83"/>
    <n v="45"/>
    <n v="6"/>
    <n v="6"/>
    <n v="3"/>
  </r>
  <r>
    <s v="T206232"/>
    <s v="Super Kings Vs RCB"/>
    <s v="Super Kings"/>
    <x v="2"/>
    <s v="AjinkyaRahane"/>
    <s v="out"/>
    <n v="37"/>
    <n v="20"/>
    <n v="3"/>
    <n v="2"/>
    <n v="4.5555555555555554"/>
  </r>
  <r>
    <s v="T206232"/>
    <s v="Super Kings Vs RCB"/>
    <s v="Super Kings"/>
    <x v="3"/>
    <s v="ShivamDube"/>
    <s v="out"/>
    <n v="52"/>
    <n v="27"/>
    <n v="2"/>
    <n v="5"/>
    <n v="4.333333333333333"/>
  </r>
  <r>
    <s v="T206232"/>
    <s v="Super Kings Vs RCB"/>
    <s v="Super Kings"/>
    <x v="4"/>
    <s v="AmbatiRayudu"/>
    <s v="out"/>
    <n v="14"/>
    <n v="6"/>
    <n v="1"/>
    <n v="1"/>
    <n v="6.4"/>
  </r>
  <r>
    <s v="T206232"/>
    <s v="Super Kings Vs RCB"/>
    <s v="Super Kings"/>
    <x v="5"/>
    <s v="MoeenAli"/>
    <s v="not_out"/>
    <n v="19"/>
    <n v="9"/>
    <n v="0"/>
    <n v="2"/>
    <n v="4.5"/>
  </r>
  <r>
    <s v="T206232"/>
    <s v="Super Kings Vs RCB"/>
    <s v="Super Kings"/>
    <x v="6"/>
    <s v="RavindraJadeja"/>
    <s v="out"/>
    <n v="10"/>
    <n v="8"/>
    <n v="0"/>
    <n v="1"/>
    <n v="4.2857142857142856"/>
  </r>
  <r>
    <s v="T206232"/>
    <s v="Super Kings Vs RCB"/>
    <s v="Super Kings"/>
    <x v="7"/>
    <s v="MSDhoni"/>
    <s v="not_out"/>
    <n v="1"/>
    <n v="1"/>
    <n v="0"/>
    <n v="0"/>
    <n v="6.7631578947368425"/>
  </r>
  <r>
    <s v="T206232"/>
    <s v="Super Kings Vs RCB"/>
    <s v="RCB"/>
    <x v="0"/>
    <s v="ViratKohli"/>
    <s v="out"/>
    <n v="6"/>
    <n v="4"/>
    <n v="1"/>
    <n v="0"/>
    <n v="5.8125"/>
  </r>
  <r>
    <s v="T206232"/>
    <s v="Super Kings Vs RCB"/>
    <s v="RCB"/>
    <x v="1"/>
    <s v="FafduPlessis"/>
    <s v="out"/>
    <n v="62"/>
    <n v="33"/>
    <n v="5"/>
    <n v="4"/>
    <e v="#DIV/0!"/>
  </r>
  <r>
    <s v="T206232"/>
    <s v="Super Kings Vs RCB"/>
    <s v="RCB"/>
    <x v="2"/>
    <s v="MahipalLomror"/>
    <s v="out"/>
    <n v="0"/>
    <n v="5"/>
    <n v="0"/>
    <n v="0"/>
    <n v="6.4285714285714288"/>
  </r>
  <r>
    <s v="T206232"/>
    <s v="Super Kings Vs RCB"/>
    <s v="RCB"/>
    <x v="3"/>
    <s v="GlennMaxwell"/>
    <s v="out"/>
    <n v="76"/>
    <n v="36"/>
    <n v="3"/>
    <n v="8"/>
    <n v="5"/>
  </r>
  <r>
    <s v="T206232"/>
    <s v="Super Kings Vs RCB"/>
    <s v="RCB"/>
    <x v="4"/>
    <s v="ShahbazAhmed"/>
    <s v="out"/>
    <n v="12"/>
    <n v="10"/>
    <n v="0"/>
    <n v="1"/>
    <n v="5"/>
  </r>
  <r>
    <s v="T206232"/>
    <s v="Super Kings Vs RCB"/>
    <s v="RCB"/>
    <x v="5"/>
    <s v="DineshKarthik"/>
    <s v="out"/>
    <n v="28"/>
    <n v="14"/>
    <n v="3"/>
    <n v="1"/>
    <n v="3.8"/>
  </r>
  <r>
    <s v="T206232"/>
    <s v="Super Kings Vs RCB"/>
    <s v="RCB"/>
    <x v="6"/>
    <s v="SuyashPrabhudessai"/>
    <s v="out"/>
    <n v="19"/>
    <n v="11"/>
    <n v="0"/>
    <n v="2"/>
    <n v="5.25"/>
  </r>
  <r>
    <s v="T206232"/>
    <s v="Super Kings Vs RCB"/>
    <s v="RCB"/>
    <x v="7"/>
    <s v="WayneParnell"/>
    <s v="out"/>
    <n v="2"/>
    <n v="5"/>
    <n v="0"/>
    <n v="0"/>
    <n v="6.4285714285714288"/>
  </r>
  <r>
    <s v="T206232"/>
    <s v="Super Kings Vs RCB"/>
    <s v="RCB"/>
    <x v="8"/>
    <s v="WaninduHasaranga"/>
    <s v="not_out"/>
    <n v="2"/>
    <n v="2"/>
    <n v="0"/>
    <n v="0"/>
    <n v="5.384615384615385"/>
  </r>
  <r>
    <s v="T204210"/>
    <s v="Titans Vs Royals"/>
    <s v="Titans"/>
    <x v="0"/>
    <s v="WriddhimanSaha"/>
    <s v="out"/>
    <n v="4"/>
    <n v="3"/>
    <n v="1"/>
    <n v="0"/>
    <n v="7"/>
  </r>
  <r>
    <s v="T204210"/>
    <s v="Titans Vs Royals"/>
    <s v="Titans"/>
    <x v="1"/>
    <s v="ShubmanGill"/>
    <s v="out"/>
    <n v="45"/>
    <n v="34"/>
    <n v="4"/>
    <n v="1"/>
    <n v="3.5"/>
  </r>
  <r>
    <s v="T204210"/>
    <s v="Titans Vs Royals"/>
    <s v="Titans"/>
    <x v="2"/>
    <s v="SaiSudharsan"/>
    <s v="out"/>
    <n v="20"/>
    <n v="19"/>
    <n v="2"/>
    <n v="0"/>
    <n v="4.2857142857142856"/>
  </r>
  <r>
    <s v="T204210"/>
    <s v="Titans Vs Royals"/>
    <s v="Titans"/>
    <x v="3"/>
    <s v="HardikPandya"/>
    <s v="out"/>
    <n v="28"/>
    <n v="19"/>
    <n v="3"/>
    <n v="1"/>
    <n v="4.2857142857142856"/>
  </r>
  <r>
    <s v="T204210"/>
    <s v="Titans Vs Royals"/>
    <s v="Titans"/>
    <x v="4"/>
    <s v="DavidMiller"/>
    <s v="out"/>
    <n v="46"/>
    <n v="30"/>
    <n v="3"/>
    <n v="2"/>
    <n v="4.5714285714285712"/>
  </r>
  <r>
    <s v="T204210"/>
    <s v="Titans Vs Royals"/>
    <s v="Titans"/>
    <x v="5"/>
    <s v="AbhinavManohar"/>
    <s v="out"/>
    <n v="27"/>
    <n v="13"/>
    <n v="0"/>
    <n v="3"/>
    <n v="3.2"/>
  </r>
  <r>
    <s v="T204210"/>
    <s v="Titans Vs Royals"/>
    <s v="Titans"/>
    <x v="6"/>
    <s v="RahulTewatia"/>
    <s v="not_out"/>
    <n v="1"/>
    <n v="1"/>
    <n v="0"/>
    <n v="0"/>
    <n v="6.7297297297297298"/>
  </r>
  <r>
    <s v="T204210"/>
    <s v="Titans Vs Royals"/>
    <s v="Titans"/>
    <x v="7"/>
    <s v="RashidKhan"/>
    <s v="out"/>
    <n v="1"/>
    <n v="1"/>
    <n v="0"/>
    <n v="0"/>
    <n v="6.7222222222222223"/>
  </r>
  <r>
    <s v="T204210"/>
    <s v="Titans Vs Royals"/>
    <s v="Titans"/>
    <x v="8"/>
    <s v="AlzarriJoseph"/>
    <s v="not_out"/>
    <n v="0"/>
    <n v="0"/>
    <n v="0"/>
    <n v="0"/>
    <n v="5.1739130434782608"/>
  </r>
  <r>
    <s v="T204210"/>
    <s v="Titans Vs Royals"/>
    <s v="Royals"/>
    <x v="0"/>
    <s v="YashasviJaiswal"/>
    <s v="out"/>
    <n v="1"/>
    <n v="7"/>
    <n v="0"/>
    <n v="0"/>
    <n v="5.666666666666667"/>
  </r>
  <r>
    <s v="T204210"/>
    <s v="Titans Vs Royals"/>
    <s v="Royals"/>
    <x v="1"/>
    <s v="JosButtler"/>
    <s v="out"/>
    <n v="0"/>
    <n v="5"/>
    <n v="0"/>
    <n v="0"/>
    <n v="6.4285714285714288"/>
  </r>
  <r>
    <s v="T204210"/>
    <s v="Titans Vs Royals"/>
    <s v="Royals"/>
    <x v="2"/>
    <s v="DevduttPadikkal"/>
    <s v="out"/>
    <n v="26"/>
    <n v="25"/>
    <n v="2"/>
    <n v="2"/>
    <n v="4.333333333333333"/>
  </r>
  <r>
    <s v="T204210"/>
    <s v="Titans Vs Royals"/>
    <s v="Royals"/>
    <x v="3"/>
    <s v="SanjuSamson"/>
    <s v="out"/>
    <n v="60"/>
    <n v="32"/>
    <n v="3"/>
    <n v="6"/>
    <n v="6"/>
  </r>
  <r>
    <s v="T204210"/>
    <s v="Titans Vs Royals"/>
    <s v="Royals"/>
    <x v="4"/>
    <s v="RiyanParag"/>
    <s v="out"/>
    <n v="5"/>
    <n v="7"/>
    <n v="0"/>
    <n v="0"/>
    <n v="5.666666666666667"/>
  </r>
  <r>
    <s v="T204210"/>
    <s v="Titans Vs Royals"/>
    <s v="Royals"/>
    <x v="5"/>
    <s v="ShimronHetmyer"/>
    <s v="not_out"/>
    <n v="56"/>
    <n v="26"/>
    <n v="2"/>
    <n v="5"/>
    <n v="4"/>
  </r>
  <r>
    <s v="T204210"/>
    <s v="Titans Vs Royals"/>
    <s v="Royals"/>
    <x v="6"/>
    <s v="DhruvJurel"/>
    <s v="out"/>
    <n v="18"/>
    <n v="10"/>
    <n v="2"/>
    <n v="1"/>
    <n v="5"/>
  </r>
  <r>
    <s v="T204210"/>
    <s v="Titans Vs Royals"/>
    <s v="Royals"/>
    <x v="7"/>
    <s v="RavichandranAshwin"/>
    <s v="out"/>
    <n v="10"/>
    <n v="3"/>
    <n v="1"/>
    <n v="1"/>
    <n v="7"/>
  </r>
  <r>
    <s v="T204210"/>
    <s v="Titans Vs Royals"/>
    <s v="Royals"/>
    <x v="8"/>
    <s v="TrentBoult"/>
    <s v="not_out"/>
    <n v="0"/>
    <n v="1"/>
    <n v="0"/>
    <n v="0"/>
    <n v="6.8529411764705879"/>
  </r>
  <r>
    <s v="T202897"/>
    <s v="KKR Vs Mumbai"/>
    <s v="KKR"/>
    <x v="0"/>
    <s v="RahmanullahGurbaz"/>
    <s v="out"/>
    <n v="8"/>
    <n v="12"/>
    <n v="0"/>
    <n v="0"/>
    <n v="4.8571428571428568"/>
  </r>
  <r>
    <s v="T202897"/>
    <s v="KKR Vs Mumbai"/>
    <s v="KKR"/>
    <x v="1"/>
    <s v="NarayanJagadeesan"/>
    <s v="out"/>
    <n v="0"/>
    <n v="5"/>
    <n v="0"/>
    <n v="0"/>
    <n v="6.5384615384615383"/>
  </r>
  <r>
    <s v="T202897"/>
    <s v="KKR Vs Mumbai"/>
    <s v="KKR"/>
    <x v="2"/>
    <s v="VenkateshIyer"/>
    <s v="out"/>
    <n v="104"/>
    <n v="51"/>
    <n v="6"/>
    <n v="9"/>
    <n v="1"/>
  </r>
  <r>
    <s v="T202897"/>
    <s v="KKR Vs Mumbai"/>
    <s v="KKR"/>
    <x v="3"/>
    <s v="NitishRana"/>
    <s v="out"/>
    <n v="5"/>
    <n v="10"/>
    <n v="0"/>
    <n v="0"/>
    <n v="4.5"/>
  </r>
  <r>
    <s v="T202897"/>
    <s v="KKR Vs Mumbai"/>
    <s v="KKR"/>
    <x v="4"/>
    <s v="ShardulThakur"/>
    <s v="out"/>
    <n v="13"/>
    <n v="11"/>
    <n v="1"/>
    <n v="0"/>
    <n v="5.25"/>
  </r>
  <r>
    <s v="T202897"/>
    <s v="KKR Vs Mumbai"/>
    <s v="KKR"/>
    <x v="5"/>
    <s v="RinkuSingh"/>
    <s v="out"/>
    <n v="18"/>
    <n v="18"/>
    <n v="2"/>
    <n v="0"/>
    <n v="6.2857142857142856"/>
  </r>
  <r>
    <s v="T202897"/>
    <s v="KKR Vs Mumbai"/>
    <s v="KKR"/>
    <x v="6"/>
    <s v="AndreRussell"/>
    <s v="not_out"/>
    <n v="21"/>
    <n v="11"/>
    <n v="3"/>
    <n v="1"/>
    <n v="5.25"/>
  </r>
  <r>
    <s v="T202897"/>
    <s v="KKR Vs Mumbai"/>
    <s v="KKR"/>
    <x v="7"/>
    <s v="SunilNarine"/>
    <s v="not_out"/>
    <n v="2"/>
    <n v="2"/>
    <n v="0"/>
    <n v="0"/>
    <n v="5.083333333333333"/>
  </r>
  <r>
    <s v="T202897"/>
    <s v="KKR Vs Mumbai"/>
    <s v="Mumbai"/>
    <x v="0"/>
    <s v="RohitSharma"/>
    <s v="out"/>
    <n v="20"/>
    <n v="13"/>
    <n v="1"/>
    <n v="2"/>
    <n v="2.75"/>
  </r>
  <r>
    <s v="T202897"/>
    <s v="KKR Vs Mumbai"/>
    <s v="Mumbai"/>
    <x v="1"/>
    <s v="IshanKishan"/>
    <s v="out"/>
    <n v="58"/>
    <n v="25"/>
    <n v="5"/>
    <n v="5"/>
    <n v="4.333333333333333"/>
  </r>
  <r>
    <s v="T202897"/>
    <s v="KKR Vs Mumbai"/>
    <s v="Mumbai"/>
    <x v="2"/>
    <s v="SuryakumarYadav"/>
    <s v="out"/>
    <n v="43"/>
    <n v="25"/>
    <n v="4"/>
    <n v="3"/>
    <n v="4.333333333333333"/>
  </r>
  <r>
    <s v="T202897"/>
    <s v="KKR Vs Mumbai"/>
    <s v="Mumbai"/>
    <x v="3"/>
    <s v="TilakVarma"/>
    <s v="out"/>
    <n v="30"/>
    <n v="25"/>
    <n v="3"/>
    <n v="1"/>
    <n v="4.333333333333333"/>
  </r>
  <r>
    <s v="T202897"/>
    <s v="KKR Vs Mumbai"/>
    <s v="Mumbai"/>
    <x v="4"/>
    <s v="TimDavid"/>
    <s v="not_out"/>
    <n v="24"/>
    <n v="13"/>
    <n v="1"/>
    <n v="2"/>
    <n v="2.75"/>
  </r>
  <r>
    <s v="T202897"/>
    <s v="KKR Vs Mumbai"/>
    <s v="Mumbai"/>
    <x v="5"/>
    <s v="NehalWadhera"/>
    <s v="out"/>
    <n v="6"/>
    <n v="4"/>
    <n v="1"/>
    <n v="0"/>
    <n v="6.1333333333333337"/>
  </r>
  <r>
    <s v="T202897"/>
    <s v="KKR Vs Mumbai"/>
    <s v="Mumbai"/>
    <x v="6"/>
    <s v="CameronGreen"/>
    <s v="not_out"/>
    <n v="1"/>
    <n v="1"/>
    <n v="0"/>
    <n v="0"/>
    <n v="6.8529411764705879"/>
  </r>
  <r>
    <s v="T203424"/>
    <s v="Super Giants Vs Punjab Kings"/>
    <s v="Super Giants"/>
    <x v="0"/>
    <s v="KLRahul"/>
    <s v="out"/>
    <n v="74"/>
    <n v="56"/>
    <n v="8"/>
    <n v="1"/>
    <n v="2"/>
  </r>
  <r>
    <s v="T203424"/>
    <s v="Super Giants Vs Punjab Kings"/>
    <s v="Super Giants"/>
    <x v="1"/>
    <s v="KyleMayers"/>
    <s v="out"/>
    <n v="29"/>
    <n v="23"/>
    <n v="1"/>
    <n v="3"/>
    <n v="5.166666666666667"/>
  </r>
  <r>
    <s v="T203424"/>
    <s v="Super Giants Vs Punjab Kings"/>
    <s v="Super Giants"/>
    <x v="2"/>
    <s v="DeepakHooda"/>
    <s v="out"/>
    <n v="2"/>
    <n v="3"/>
    <n v="0"/>
    <n v="0"/>
    <n v="7"/>
  </r>
  <r>
    <s v="T203424"/>
    <s v="Super Giants Vs Punjab Kings"/>
    <s v="Super Giants"/>
    <x v="3"/>
    <s v="KrunalPandya"/>
    <s v="out"/>
    <n v="18"/>
    <n v="17"/>
    <n v="2"/>
    <n v="0"/>
    <n v="5.666666666666667"/>
  </r>
  <r>
    <s v="T203424"/>
    <s v="Super Giants Vs Punjab Kings"/>
    <s v="Super Giants"/>
    <x v="4"/>
    <s v="NicholasPooran"/>
    <s v="out"/>
    <n v="0"/>
    <n v="1"/>
    <n v="0"/>
    <n v="0"/>
    <n v="6.8484848484848486"/>
  </r>
  <r>
    <s v="T203424"/>
    <s v="Super Giants Vs Punjab Kings"/>
    <s v="Super Giants"/>
    <x v="5"/>
    <s v="MarcusStoinis"/>
    <s v="out"/>
    <n v="15"/>
    <n v="11"/>
    <n v="0"/>
    <n v="2"/>
    <n v="5.25"/>
  </r>
  <r>
    <s v="T203424"/>
    <s v="Super Giants Vs Punjab Kings"/>
    <s v="Super Giants"/>
    <x v="6"/>
    <s v="AyushBadoni"/>
    <s v="not_out"/>
    <n v="5"/>
    <n v="6"/>
    <n v="0"/>
    <n v="0"/>
    <n v="7.125"/>
  </r>
  <r>
    <s v="T203424"/>
    <s v="Super Giants Vs Punjab Kings"/>
    <s v="Super Giants"/>
    <x v="7"/>
    <s v="KrishnappaGowtham"/>
    <s v="out"/>
    <n v="1"/>
    <n v="2"/>
    <n v="0"/>
    <n v="0"/>
    <n v="5"/>
  </r>
  <r>
    <s v="T203424"/>
    <s v="Super Giants Vs Punjab Kings"/>
    <s v="Super Giants"/>
    <x v="8"/>
    <s v="YudhvirSingh"/>
    <s v="out"/>
    <n v="0"/>
    <n v="1"/>
    <n v="0"/>
    <n v="0"/>
    <n v="6.8125"/>
  </r>
  <r>
    <s v="T203424"/>
    <s v="Super Giants Vs Punjab Kings"/>
    <s v="Super Giants"/>
    <x v="9"/>
    <s v="RaviBishnoi"/>
    <s v="not_out"/>
    <n v="3"/>
    <n v="1"/>
    <n v="0"/>
    <n v="0"/>
    <n v="6.8125"/>
  </r>
  <r>
    <s v="T203424"/>
    <s v="Super Giants Vs Punjab Kings"/>
    <s v="Punjab Kings"/>
    <x v="0"/>
    <s v="AtharvaTaide"/>
    <s v="out"/>
    <n v="0"/>
    <n v="3"/>
    <n v="0"/>
    <n v="0"/>
    <n v="6.5"/>
  </r>
  <r>
    <s v="T203424"/>
    <s v="Super Giants Vs Punjab Kings"/>
    <s v="Punjab Kings"/>
    <x v="1"/>
    <s v="PrabhsimranSingh"/>
    <s v="out"/>
    <n v="4"/>
    <n v="4"/>
    <n v="1"/>
    <n v="0"/>
    <n v="6.1333333333333337"/>
  </r>
  <r>
    <s v="T203424"/>
    <s v="Super Giants Vs Punjab Kings"/>
    <s v="Punjab Kings"/>
    <x v="2"/>
    <s v="MatthewShort"/>
    <s v="out"/>
    <n v="34"/>
    <n v="22"/>
    <n v="5"/>
    <n v="1"/>
    <n v="4.4444444444444446"/>
  </r>
  <r>
    <s v="T203424"/>
    <s v="Super Giants Vs Punjab Kings"/>
    <s v="Punjab Kings"/>
    <x v="3"/>
    <s v="HarpreetSingh"/>
    <s v="out"/>
    <n v="22"/>
    <n v="22"/>
    <n v="3"/>
    <n v="0"/>
    <n v="4.4444444444444446"/>
  </r>
  <r>
    <s v="T203424"/>
    <s v="Super Giants Vs Punjab Kings"/>
    <s v="Punjab Kings"/>
    <x v="4"/>
    <s v="SikandarRaza"/>
    <s v="out"/>
    <n v="57"/>
    <n v="41"/>
    <n v="4"/>
    <n v="3"/>
    <n v="3"/>
  </r>
  <r>
    <s v="T203424"/>
    <s v="Super Giants Vs Punjab Kings"/>
    <s v="Punjab Kings"/>
    <x v="5"/>
    <s v="SamCurran"/>
    <s v="out"/>
    <n v="6"/>
    <n v="6"/>
    <n v="1"/>
    <n v="0"/>
    <n v="7.125"/>
  </r>
  <r>
    <s v="T203424"/>
    <s v="Super Giants Vs Punjab Kings"/>
    <s v="Punjab Kings"/>
    <x v="6"/>
    <s v="JiteshSharma"/>
    <s v="out"/>
    <n v="2"/>
    <n v="4"/>
    <n v="0"/>
    <n v="0"/>
    <n v="6.4285714285714288"/>
  </r>
  <r>
    <s v="T203424"/>
    <s v="Super Giants Vs Punjab Kings"/>
    <s v="Punjab Kings"/>
    <x v="7"/>
    <s v="MShahrukhKhan"/>
    <s v="not_out"/>
    <n v="23"/>
    <n v="10"/>
    <n v="1"/>
    <n v="2"/>
    <n v="4.5"/>
  </r>
  <r>
    <s v="T203424"/>
    <s v="Super Giants Vs Punjab Kings"/>
    <s v="Punjab Kings"/>
    <x v="8"/>
    <s v="HarpreetBrar"/>
    <s v="out"/>
    <n v="6"/>
    <n v="4"/>
    <n v="1"/>
    <n v="0"/>
    <n v="6.4285714285714288"/>
  </r>
  <r>
    <s v="T203424"/>
    <s v="Super Giants Vs Punjab Kings"/>
    <s v="Punjab Kings"/>
    <x v="9"/>
    <s v="KagisoRabada"/>
    <s v="not_out"/>
    <n v="0"/>
    <n v="1"/>
    <n v="0"/>
    <n v="0"/>
    <n v="6.8125"/>
  </r>
  <r>
    <s v="T208157"/>
    <s v="RCB Vs Capitals"/>
    <s v="RCB"/>
    <x v="0"/>
    <s v="ViratKohli"/>
    <s v="out"/>
    <n v="50"/>
    <n v="34"/>
    <n v="6"/>
    <n v="1"/>
    <n v="3.6666666666666665"/>
  </r>
  <r>
    <s v="T208157"/>
    <s v="RCB Vs Capitals"/>
    <s v="RCB"/>
    <x v="1"/>
    <s v="FafduPlessis"/>
    <s v="out"/>
    <n v="22"/>
    <n v="16"/>
    <n v="3"/>
    <n v="1"/>
    <n v="6.25"/>
  </r>
  <r>
    <s v="T208157"/>
    <s v="RCB Vs Capitals"/>
    <s v="RCB"/>
    <x v="2"/>
    <s v="MahipalLomror"/>
    <s v="out"/>
    <n v="26"/>
    <n v="18"/>
    <n v="0"/>
    <n v="2"/>
    <n v="6.8"/>
  </r>
  <r>
    <s v="T208157"/>
    <s v="RCB Vs Capitals"/>
    <s v="RCB"/>
    <x v="3"/>
    <s v="GlennMaxwell"/>
    <s v="out"/>
    <n v="24"/>
    <n v="14"/>
    <n v="0"/>
    <n v="3"/>
    <n v="3.8"/>
  </r>
  <r>
    <s v="T208157"/>
    <s v="RCB Vs Capitals"/>
    <s v="RCB"/>
    <x v="4"/>
    <s v="HarshalPatel"/>
    <s v="out"/>
    <n v="6"/>
    <n v="4"/>
    <n v="0"/>
    <n v="1"/>
    <n v="6.4285714285714288"/>
  </r>
  <r>
    <s v="T208157"/>
    <s v="RCB Vs Capitals"/>
    <s v="RCB"/>
    <x v="5"/>
    <s v="ShahbazAhmed"/>
    <s v="not_out"/>
    <n v="20"/>
    <n v="12"/>
    <n v="3"/>
    <n v="0"/>
    <n v="4.8571428571428568"/>
  </r>
  <r>
    <s v="T208157"/>
    <s v="RCB Vs Capitals"/>
    <s v="RCB"/>
    <x v="6"/>
    <s v="DineshKarthik"/>
    <s v="out"/>
    <n v="0"/>
    <n v="1"/>
    <n v="0"/>
    <n v="0"/>
    <n v="6.8125"/>
  </r>
  <r>
    <s v="T208157"/>
    <s v="RCB Vs Capitals"/>
    <s v="RCB"/>
    <x v="7"/>
    <s v="AnujRawat"/>
    <s v="not_out"/>
    <n v="15"/>
    <n v="22"/>
    <n v="1"/>
    <n v="0"/>
    <n v="4.8571428571428568"/>
  </r>
  <r>
    <s v="T208157"/>
    <s v="RCB Vs Capitals"/>
    <s v="Capitals"/>
    <x v="0"/>
    <s v="DavidWarner"/>
    <s v="out"/>
    <n v="19"/>
    <n v="13"/>
    <n v="4"/>
    <n v="0"/>
    <n v="2.75"/>
  </r>
  <r>
    <s v="T208157"/>
    <s v="RCB Vs Capitals"/>
    <s v="Capitals"/>
    <x v="1"/>
    <s v="PrithviShaw"/>
    <s v="out"/>
    <n v="0"/>
    <n v="2"/>
    <n v="0"/>
    <n v="0"/>
    <n v="4.7777777777777777"/>
  </r>
  <r>
    <s v="T208157"/>
    <s v="RCB Vs Capitals"/>
    <s v="Capitals"/>
    <x v="2"/>
    <s v="MitchellMarsh"/>
    <s v="out"/>
    <n v="0"/>
    <n v="4"/>
    <n v="0"/>
    <n v="0"/>
    <n v="6.4285714285714288"/>
  </r>
  <r>
    <s v="T208157"/>
    <s v="RCB Vs Capitals"/>
    <s v="Capitals"/>
    <x v="3"/>
    <s v="YashDhull"/>
    <s v="out"/>
    <n v="1"/>
    <n v="4"/>
    <n v="0"/>
    <n v="0"/>
    <n v="6.4285714285714288"/>
  </r>
  <r>
    <s v="T208157"/>
    <s v="RCB Vs Capitals"/>
    <s v="Capitals"/>
    <x v="4"/>
    <s v="ManishPandey"/>
    <s v="out"/>
    <n v="50"/>
    <n v="38"/>
    <n v="5"/>
    <n v="1"/>
    <n v="4"/>
  </r>
  <r>
    <s v="T208157"/>
    <s v="RCB Vs Capitals"/>
    <s v="Capitals"/>
    <x v="5"/>
    <s v="AbishekPorel"/>
    <s v="out"/>
    <n v="5"/>
    <n v="8"/>
    <n v="0"/>
    <n v="0"/>
    <n v="4.5384615384615383"/>
  </r>
  <r>
    <s v="T208157"/>
    <s v="RCB Vs Capitals"/>
    <s v="Capitals"/>
    <x v="6"/>
    <s v="AxarPatel"/>
    <s v="out"/>
    <n v="21"/>
    <n v="14"/>
    <n v="3"/>
    <n v="0"/>
    <n v="3.8"/>
  </r>
  <r>
    <s v="T208157"/>
    <s v="RCB Vs Capitals"/>
    <s v="Capitals"/>
    <x v="7"/>
    <s v="AmanHakimKhan"/>
    <s v="out"/>
    <n v="18"/>
    <n v="10"/>
    <n v="1"/>
    <n v="1"/>
    <n v="4.5"/>
  </r>
  <r>
    <s v="T208157"/>
    <s v="RCB Vs Capitals"/>
    <s v="Capitals"/>
    <x v="8"/>
    <s v="LalitYadav"/>
    <s v="out"/>
    <n v="4"/>
    <n v="7"/>
    <n v="0"/>
    <n v="0"/>
    <n v="5.666666666666667"/>
  </r>
  <r>
    <s v="T208157"/>
    <s v="RCB Vs Capitals"/>
    <s v="Capitals"/>
    <x v="9"/>
    <s v="AnrichNortje"/>
    <s v="not_out"/>
    <n v="23"/>
    <n v="14"/>
    <n v="4"/>
    <n v="0"/>
    <n v="3.8"/>
  </r>
  <r>
    <s v="T208157"/>
    <s v="RCB Vs Capitals"/>
    <s v="Capitals"/>
    <x v="10"/>
    <s v="KuldeepYadav"/>
    <s v="not_out"/>
    <n v="7"/>
    <n v="6"/>
    <n v="1"/>
    <n v="0"/>
    <n v="7.4"/>
  </r>
  <r>
    <s v="T209839"/>
    <s v="Sunrisers Vs KKR"/>
    <s v="Sunrisers"/>
    <x v="0"/>
    <s v="HarryBrook"/>
    <s v="not_out"/>
    <n v="100"/>
    <n v="55"/>
    <n v="12"/>
    <n v="3"/>
    <n v="3"/>
  </r>
  <r>
    <s v="T209839"/>
    <s v="Sunrisers Vs KKR"/>
    <s v="Sunrisers"/>
    <x v="1"/>
    <s v="MayankAgarwal"/>
    <s v="out"/>
    <n v="9"/>
    <n v="13"/>
    <n v="0"/>
    <n v="0"/>
    <n v="2.75"/>
  </r>
  <r>
    <s v="T209839"/>
    <s v="Sunrisers Vs KKR"/>
    <s v="Sunrisers"/>
    <x v="2"/>
    <s v="RahulTripathi"/>
    <s v="out"/>
    <n v="9"/>
    <n v="4"/>
    <n v="2"/>
    <n v="0"/>
    <n v="6.2307692307692308"/>
  </r>
  <r>
    <s v="T209839"/>
    <s v="Sunrisers Vs KKR"/>
    <s v="Sunrisers"/>
    <x v="3"/>
    <s v="AidenMarkram"/>
    <s v="out"/>
    <n v="50"/>
    <n v="26"/>
    <n v="2"/>
    <n v="5"/>
    <n v="4.5"/>
  </r>
  <r>
    <s v="T209839"/>
    <s v="Sunrisers Vs KKR"/>
    <s v="Sunrisers"/>
    <x v="4"/>
    <s v="AbhishekSharma"/>
    <s v="out"/>
    <n v="32"/>
    <n v="17"/>
    <n v="3"/>
    <n v="2"/>
    <n v="5.666666666666667"/>
  </r>
  <r>
    <s v="T209839"/>
    <s v="Sunrisers Vs KKR"/>
    <s v="Sunrisers"/>
    <x v="5"/>
    <s v="HeinrichKlaasen"/>
    <s v="not_out"/>
    <n v="16"/>
    <n v="6"/>
    <n v="2"/>
    <n v="1"/>
    <n v="7.4"/>
  </r>
  <r>
    <s v="T209839"/>
    <s v="Sunrisers Vs KKR"/>
    <s v="KKR"/>
    <x v="0"/>
    <s v="RahmanullahGurbaz"/>
    <s v="out"/>
    <n v="0"/>
    <n v="3"/>
    <n v="0"/>
    <n v="0"/>
    <n v="6.5"/>
  </r>
  <r>
    <s v="T209839"/>
    <s v="Sunrisers Vs KKR"/>
    <s v="KKR"/>
    <x v="1"/>
    <s v="NarayanJagadeesan"/>
    <s v="out"/>
    <n v="36"/>
    <n v="21"/>
    <n v="5"/>
    <n v="1"/>
    <n v="3.875"/>
  </r>
  <r>
    <s v="T209839"/>
    <s v="Sunrisers Vs KKR"/>
    <s v="KKR"/>
    <x v="2"/>
    <s v="VenkateshIyer"/>
    <s v="out"/>
    <n v="10"/>
    <n v="11"/>
    <n v="2"/>
    <n v="0"/>
    <n v="5.25"/>
  </r>
  <r>
    <s v="T209839"/>
    <s v="Sunrisers Vs KKR"/>
    <s v="KKR"/>
    <x v="3"/>
    <s v="SunilNarine"/>
    <s v="out"/>
    <n v="0"/>
    <n v="1"/>
    <n v="0"/>
    <n v="0"/>
    <n v="6.903225806451613"/>
  </r>
  <r>
    <s v="T209839"/>
    <s v="Sunrisers Vs KKR"/>
    <s v="KKR"/>
    <x v="4"/>
    <s v="NitishRana"/>
    <s v="out"/>
    <n v="75"/>
    <n v="41"/>
    <n v="5"/>
    <n v="6"/>
    <n v="3"/>
  </r>
  <r>
    <s v="T209839"/>
    <s v="Sunrisers Vs KKR"/>
    <s v="KKR"/>
    <x v="5"/>
    <s v="AndreRussell"/>
    <s v="out"/>
    <n v="3"/>
    <n v="6"/>
    <n v="0"/>
    <n v="0"/>
    <n v="7.4"/>
  </r>
  <r>
    <s v="T209839"/>
    <s v="Sunrisers Vs KKR"/>
    <s v="KKR"/>
    <x v="6"/>
    <s v="RinkuSingh"/>
    <s v="not_out"/>
    <n v="58"/>
    <n v="31"/>
    <n v="4"/>
    <n v="4"/>
    <n v="3.8"/>
  </r>
  <r>
    <s v="T209839"/>
    <s v="Sunrisers Vs KKR"/>
    <s v="KKR"/>
    <x v="7"/>
    <s v="ShardulThakur"/>
    <s v="out"/>
    <n v="12"/>
    <n v="7"/>
    <n v="2"/>
    <n v="0"/>
    <n v="5"/>
  </r>
  <r>
    <s v="T209839"/>
    <s v="Sunrisers Vs KKR"/>
    <s v="KKR"/>
    <x v="8"/>
    <s v="UmeshYadav"/>
    <s v="not_out"/>
    <n v="1"/>
    <n v="1"/>
    <n v="0"/>
    <n v="0"/>
    <n v="6.903225806451613"/>
  </r>
  <r>
    <s v="T206541"/>
    <s v="Punjab Kings Vs Titans"/>
    <s v="Punjab Kings"/>
    <x v="0"/>
    <s v="PrabhsimranSingh"/>
    <s v="out"/>
    <n v="0"/>
    <n v="2"/>
    <n v="0"/>
    <n v="0"/>
    <n v="4.7777777777777777"/>
  </r>
  <r>
    <s v="T206541"/>
    <s v="Punjab Kings Vs Titans"/>
    <s v="Punjab Kings"/>
    <x v="1"/>
    <s v="ShikharDhawan"/>
    <s v="out"/>
    <n v="8"/>
    <n v="8"/>
    <n v="2"/>
    <n v="0"/>
    <n v="4.5384615384615383"/>
  </r>
  <r>
    <s v="T206541"/>
    <s v="Punjab Kings Vs Titans"/>
    <s v="Punjab Kings"/>
    <x v="2"/>
    <s v="MatthewShort"/>
    <s v="out"/>
    <n v="36"/>
    <n v="24"/>
    <n v="6"/>
    <n v="1"/>
    <n v="5"/>
  </r>
  <r>
    <s v="T206541"/>
    <s v="Punjab Kings Vs Titans"/>
    <s v="Punjab Kings"/>
    <x v="3"/>
    <s v="BhanukaRajapaksa"/>
    <s v="out"/>
    <n v="20"/>
    <n v="26"/>
    <n v="1"/>
    <n v="0"/>
    <n v="4.5"/>
  </r>
  <r>
    <s v="T206541"/>
    <s v="Punjab Kings Vs Titans"/>
    <s v="Punjab Kings"/>
    <x v="4"/>
    <s v="JiteshSharma"/>
    <s v="out"/>
    <n v="25"/>
    <n v="23"/>
    <n v="5"/>
    <n v="0"/>
    <n v="3.25"/>
  </r>
  <r>
    <s v="T206541"/>
    <s v="Punjab Kings Vs Titans"/>
    <s v="Punjab Kings"/>
    <x v="5"/>
    <s v="SamCurran"/>
    <s v="out"/>
    <n v="22"/>
    <n v="22"/>
    <n v="1"/>
    <n v="1"/>
    <n v="4.8571428571428568"/>
  </r>
  <r>
    <s v="T206541"/>
    <s v="Punjab Kings Vs Titans"/>
    <s v="Punjab Kings"/>
    <x v="6"/>
    <s v="MShahrukhKhan"/>
    <s v="out"/>
    <n v="22"/>
    <n v="9"/>
    <n v="1"/>
    <n v="2"/>
    <n v="5.5"/>
  </r>
  <r>
    <s v="T206541"/>
    <s v="Punjab Kings Vs Titans"/>
    <s v="Punjab Kings"/>
    <x v="7"/>
    <s v="HarpreetBrar"/>
    <s v="not_out"/>
    <n v="8"/>
    <n v="5"/>
    <n v="0"/>
    <n v="1"/>
    <n v="6.8"/>
  </r>
  <r>
    <s v="T206541"/>
    <s v="Punjab Kings Vs Titans"/>
    <s v="Punjab Kings"/>
    <x v="8"/>
    <s v="RishiDhawan"/>
    <s v="out"/>
    <n v="1"/>
    <n v="1"/>
    <n v="0"/>
    <n v="0"/>
    <n v="6.833333333333333"/>
  </r>
  <r>
    <s v="T206541"/>
    <s v="Punjab Kings Vs Titans"/>
    <s v="Titans"/>
    <x v="0"/>
    <s v="WriddhimanSaha"/>
    <s v="out"/>
    <n v="30"/>
    <n v="19"/>
    <n v="5"/>
    <n v="0"/>
    <n v="4.833333333333333"/>
  </r>
  <r>
    <s v="T206541"/>
    <s v="Punjab Kings Vs Titans"/>
    <s v="Titans"/>
    <x v="1"/>
    <s v="ShubmanGill"/>
    <s v="out"/>
    <n v="67"/>
    <n v="49"/>
    <n v="7"/>
    <n v="1"/>
    <e v="#DIV/0!"/>
  </r>
  <r>
    <s v="T206541"/>
    <s v="Punjab Kings Vs Titans"/>
    <s v="Titans"/>
    <x v="2"/>
    <s v="SaiSudharsan"/>
    <s v="out"/>
    <n v="19"/>
    <n v="20"/>
    <n v="2"/>
    <n v="0"/>
    <n v="5.4"/>
  </r>
  <r>
    <s v="T206541"/>
    <s v="Punjab Kings Vs Titans"/>
    <s v="Titans"/>
    <x v="3"/>
    <s v="HardikPandya"/>
    <s v="out"/>
    <n v="8"/>
    <n v="11"/>
    <n v="1"/>
    <n v="0"/>
    <n v="5.25"/>
  </r>
  <r>
    <s v="T206541"/>
    <s v="Punjab Kings Vs Titans"/>
    <s v="Titans"/>
    <x v="4"/>
    <s v="DavidMiller"/>
    <s v="not_out"/>
    <n v="17"/>
    <n v="18"/>
    <n v="1"/>
    <n v="0"/>
    <n v="6.5"/>
  </r>
  <r>
    <s v="T206541"/>
    <s v="Punjab Kings Vs Titans"/>
    <s v="Titans"/>
    <x v="5"/>
    <s v="RahulTewatia"/>
    <s v="not_out"/>
    <n v="5"/>
    <n v="2"/>
    <n v="1"/>
    <n v="0"/>
    <n v="4.7777777777777777"/>
  </r>
  <r>
    <s v="T201215"/>
    <s v="Royals Vs Super Kings"/>
    <s v="Royals"/>
    <x v="0"/>
    <s v="YashasviJaiswal"/>
    <s v="out"/>
    <n v="10"/>
    <n v="8"/>
    <n v="2"/>
    <n v="0"/>
    <n v="4.5"/>
  </r>
  <r>
    <s v="T201215"/>
    <s v="Royals Vs Super Kings"/>
    <s v="Royals"/>
    <x v="1"/>
    <s v="JosButtler"/>
    <s v="out"/>
    <n v="52"/>
    <n v="36"/>
    <n v="1"/>
    <n v="3"/>
    <n v="6.666666666666667"/>
  </r>
  <r>
    <s v="T201215"/>
    <s v="Royals Vs Super Kings"/>
    <s v="Royals"/>
    <x v="2"/>
    <s v="DevduttPadikkal"/>
    <s v="out"/>
    <n v="38"/>
    <n v="26"/>
    <n v="5"/>
    <n v="0"/>
    <n v="4.5"/>
  </r>
  <r>
    <s v="T201215"/>
    <s v="Royals Vs Super Kings"/>
    <s v="Royals"/>
    <x v="3"/>
    <s v="SanjuSamson"/>
    <s v="out"/>
    <n v="0"/>
    <n v="2"/>
    <n v="0"/>
    <n v="0"/>
    <n v="4.7777777777777777"/>
  </r>
  <r>
    <s v="T201215"/>
    <s v="Royals Vs Super Kings"/>
    <s v="Royals"/>
    <x v="4"/>
    <s v="RavichandranAshwin"/>
    <s v="out"/>
    <n v="30"/>
    <n v="22"/>
    <n v="1"/>
    <n v="2"/>
    <n v="4.2"/>
  </r>
  <r>
    <s v="T201215"/>
    <s v="Royals Vs Super Kings"/>
    <s v="Royals"/>
    <x v="5"/>
    <s v="ShimronHetmyer"/>
    <s v="not_out"/>
    <n v="30"/>
    <n v="18"/>
    <n v="2"/>
    <n v="2"/>
    <n v="6.5"/>
  </r>
  <r>
    <s v="T201215"/>
    <s v="Royals Vs Super Kings"/>
    <s v="Royals"/>
    <x v="6"/>
    <s v="DhruvJurel"/>
    <s v="out"/>
    <n v="4"/>
    <n v="6"/>
    <n v="0"/>
    <n v="0"/>
    <n v="7.4"/>
  </r>
  <r>
    <s v="T201215"/>
    <s v="Royals Vs Super Kings"/>
    <s v="Royals"/>
    <x v="7"/>
    <s v="JasonHolder"/>
    <s v="out"/>
    <n v="0"/>
    <n v="1"/>
    <n v="0"/>
    <n v="0"/>
    <n v="6.7586206896551726"/>
  </r>
  <r>
    <s v="T201215"/>
    <s v="Royals Vs Super Kings"/>
    <s v="Royals"/>
    <x v="8"/>
    <s v="AdamZampa"/>
    <s v="out"/>
    <n v="1"/>
    <n v="1"/>
    <n v="0"/>
    <n v="0"/>
    <n v="6.7586206896551726"/>
  </r>
  <r>
    <s v="T201215"/>
    <s v="Royals Vs Super Kings"/>
    <s v="Super Kings"/>
    <x v="0"/>
    <s v="RuturajGaikwad"/>
    <s v="out"/>
    <n v="8"/>
    <n v="10"/>
    <n v="1"/>
    <n v="0"/>
    <n v="5.75"/>
  </r>
  <r>
    <s v="T201215"/>
    <s v="Royals Vs Super Kings"/>
    <s v="Super Kings"/>
    <x v="1"/>
    <s v="DevonConway"/>
    <s v="out"/>
    <n v="50"/>
    <n v="38"/>
    <n v="6"/>
    <n v="0"/>
    <n v="5"/>
  </r>
  <r>
    <s v="T201215"/>
    <s v="Royals Vs Super Kings"/>
    <s v="Super Kings"/>
    <x v="2"/>
    <s v="AjinkyaRahane"/>
    <s v="out"/>
    <n v="31"/>
    <n v="19"/>
    <n v="2"/>
    <n v="1"/>
    <n v="5.2"/>
  </r>
  <r>
    <s v="T201215"/>
    <s v="Royals Vs Super Kings"/>
    <s v="Super Kings"/>
    <x v="3"/>
    <s v="ShivamDube"/>
    <s v="out"/>
    <n v="8"/>
    <n v="9"/>
    <n v="1"/>
    <n v="0"/>
    <n v="5.5"/>
  </r>
  <r>
    <s v="T201215"/>
    <s v="Royals Vs Super Kings"/>
    <s v="Super Kings"/>
    <x v="4"/>
    <s v="MoeenAli"/>
    <s v="out"/>
    <n v="7"/>
    <n v="10"/>
    <n v="0"/>
    <n v="0"/>
    <n v="5.75"/>
  </r>
  <r>
    <s v="T201215"/>
    <s v="Royals Vs Super Kings"/>
    <s v="Super Kings"/>
    <x v="5"/>
    <s v="AmbatiRayudu"/>
    <s v="out"/>
    <n v="1"/>
    <n v="2"/>
    <n v="0"/>
    <n v="0"/>
    <n v="4.7777777777777777"/>
  </r>
  <r>
    <s v="T201215"/>
    <s v="Royals Vs Super Kings"/>
    <s v="Super Kings"/>
    <x v="6"/>
    <s v="RavindraJadeja"/>
    <s v="not_out"/>
    <n v="25"/>
    <n v="15"/>
    <n v="1"/>
    <n v="2"/>
    <n v="4.333333333333333"/>
  </r>
  <r>
    <s v="T201215"/>
    <s v="Royals Vs Super Kings"/>
    <s v="Super Kings"/>
    <x v="7"/>
    <s v="MSDhoni"/>
    <s v="not_out"/>
    <n v="32"/>
    <n v="17"/>
    <n v="1"/>
    <n v="3"/>
    <n v="5.8"/>
  </r>
  <r>
    <s v="T207664"/>
    <s v="Capitals Vs Mumbai"/>
    <s v="Capitals"/>
    <x v="0"/>
    <s v="DavidWarner"/>
    <s v="out"/>
    <n v="51"/>
    <n v="47"/>
    <n v="6"/>
    <n v="0"/>
    <n v="2"/>
  </r>
  <r>
    <s v="T207664"/>
    <s v="Capitals Vs Mumbai"/>
    <s v="Capitals"/>
    <x v="1"/>
    <s v="PrithviShaw"/>
    <s v="out"/>
    <n v="15"/>
    <n v="10"/>
    <n v="3"/>
    <n v="0"/>
    <n v="5.75"/>
  </r>
  <r>
    <s v="T207664"/>
    <s v="Capitals Vs Mumbai"/>
    <s v="Capitals"/>
    <x v="2"/>
    <s v="ManishPandey"/>
    <s v="out"/>
    <n v="26"/>
    <n v="18"/>
    <n v="5"/>
    <n v="0"/>
    <n v="6.5"/>
  </r>
  <r>
    <s v="T207664"/>
    <s v="Capitals Vs Mumbai"/>
    <s v="Capitals"/>
    <x v="3"/>
    <s v="YashDhull"/>
    <s v="out"/>
    <n v="2"/>
    <n v="4"/>
    <n v="0"/>
    <n v="0"/>
    <n v="6.166666666666667"/>
  </r>
  <r>
    <s v="T207664"/>
    <s v="Capitals Vs Mumbai"/>
    <s v="Capitals"/>
    <x v="4"/>
    <s v="RovmanPowell"/>
    <s v="out"/>
    <n v="4"/>
    <n v="4"/>
    <n v="1"/>
    <n v="0"/>
    <n v="6.166666666666667"/>
  </r>
  <r>
    <s v="T207664"/>
    <s v="Capitals Vs Mumbai"/>
    <s v="Capitals"/>
    <x v="5"/>
    <s v="LalitYadav"/>
    <s v="out"/>
    <n v="2"/>
    <n v="4"/>
    <n v="0"/>
    <n v="0"/>
    <n v="6.2727272727272725"/>
  </r>
  <r>
    <s v="T207664"/>
    <s v="Capitals Vs Mumbai"/>
    <s v="Capitals"/>
    <x v="6"/>
    <s v="AxarPatel"/>
    <s v="out"/>
    <n v="54"/>
    <n v="25"/>
    <n v="4"/>
    <n v="5"/>
    <n v="1"/>
  </r>
  <r>
    <s v="T207664"/>
    <s v="Capitals Vs Mumbai"/>
    <s v="Capitals"/>
    <x v="7"/>
    <s v="AbishekPorel"/>
    <s v="out"/>
    <n v="1"/>
    <n v="3"/>
    <n v="0"/>
    <n v="0"/>
    <n v="6.6"/>
  </r>
  <r>
    <s v="T207664"/>
    <s v="Capitals Vs Mumbai"/>
    <s v="Capitals"/>
    <x v="8"/>
    <s v="KuldeepYadav"/>
    <s v="out"/>
    <n v="0"/>
    <n v="1"/>
    <n v="0"/>
    <n v="0"/>
    <n v="6.6538461538461542"/>
  </r>
  <r>
    <s v="T207664"/>
    <s v="Capitals Vs Mumbai"/>
    <s v="Capitals"/>
    <x v="9"/>
    <s v="AnrichNortje"/>
    <s v="out"/>
    <n v="5"/>
    <n v="3"/>
    <n v="1"/>
    <n v="0"/>
    <n v="6.6"/>
  </r>
  <r>
    <s v="T207664"/>
    <s v="Capitals Vs Mumbai"/>
    <s v="Capitals"/>
    <x v="10"/>
    <s v="MustafizurRahman"/>
    <s v="not_out"/>
    <n v="1"/>
    <n v="1"/>
    <n v="0"/>
    <n v="0"/>
    <n v="6.6538461538461542"/>
  </r>
  <r>
    <s v="T207664"/>
    <s v="Capitals Vs Mumbai"/>
    <s v="Mumbai"/>
    <x v="0"/>
    <s v="RohitSharma"/>
    <s v="out"/>
    <n v="65"/>
    <n v="45"/>
    <n v="6"/>
    <n v="4"/>
    <n v="4"/>
  </r>
  <r>
    <s v="T207664"/>
    <s v="Capitals Vs Mumbai"/>
    <s v="Mumbai"/>
    <x v="1"/>
    <s v="IshanKishan"/>
    <s v="out"/>
    <n v="31"/>
    <n v="26"/>
    <n v="6"/>
    <n v="0"/>
    <n v="6"/>
  </r>
  <r>
    <s v="T207664"/>
    <s v="Capitals Vs Mumbai"/>
    <s v="Mumbai"/>
    <x v="2"/>
    <s v="TilakVarma"/>
    <s v="out"/>
    <n v="41"/>
    <n v="29"/>
    <n v="1"/>
    <n v="4"/>
    <n v="5"/>
  </r>
  <r>
    <s v="T207664"/>
    <s v="Capitals Vs Mumbai"/>
    <s v="Mumbai"/>
    <x v="3"/>
    <s v="SuryakumarYadav"/>
    <s v="out"/>
    <n v="0"/>
    <n v="1"/>
    <n v="0"/>
    <n v="0"/>
    <n v="6.48"/>
  </r>
  <r>
    <s v="T207664"/>
    <s v="Capitals Vs Mumbai"/>
    <s v="Mumbai"/>
    <x v="4"/>
    <s v="TimDavid"/>
    <s v="not_out"/>
    <n v="13"/>
    <n v="11"/>
    <n v="0"/>
    <n v="1"/>
    <n v="5.25"/>
  </r>
  <r>
    <s v="T207664"/>
    <s v="Capitals Vs Mumbai"/>
    <s v="Mumbai"/>
    <x v="5"/>
    <s v="CameronGreen"/>
    <s v="not_out"/>
    <n v="17"/>
    <n v="8"/>
    <n v="1"/>
    <n v="1"/>
    <n v="5"/>
  </r>
  <r>
    <s v="T202162"/>
    <s v="RCB Vs Super Giants"/>
    <s v="RCB"/>
    <x v="0"/>
    <s v="ViratKohli"/>
    <s v="out"/>
    <n v="61"/>
    <n v="44"/>
    <n v="4"/>
    <n v="4"/>
    <e v="#DIV/0!"/>
  </r>
  <r>
    <s v="T202162"/>
    <s v="RCB Vs Super Giants"/>
    <s v="RCB"/>
    <x v="1"/>
    <s v="FafduPlessis"/>
    <s v="not_out"/>
    <n v="79"/>
    <n v="46"/>
    <n v="5"/>
    <n v="5"/>
    <n v="5"/>
  </r>
  <r>
    <s v="T202162"/>
    <s v="RCB Vs Super Giants"/>
    <s v="RCB"/>
    <x v="2"/>
    <s v="GlennMaxwell"/>
    <s v="out"/>
    <n v="59"/>
    <n v="29"/>
    <n v="3"/>
    <n v="6"/>
    <n v="5"/>
  </r>
  <r>
    <s v="T202162"/>
    <s v="RCB Vs Super Giants"/>
    <s v="RCB"/>
    <x v="3"/>
    <s v="DineshKarthik"/>
    <s v="not_out"/>
    <n v="1"/>
    <n v="1"/>
    <n v="0"/>
    <n v="0"/>
    <n v="6.48"/>
  </r>
  <r>
    <s v="T202162"/>
    <s v="RCB Vs Super Giants"/>
    <s v="Super Giants"/>
    <x v="0"/>
    <s v="KyleMayers"/>
    <s v="out"/>
    <n v="0"/>
    <n v="3"/>
    <n v="0"/>
    <n v="0"/>
    <n v="6.6"/>
  </r>
  <r>
    <s v="T202162"/>
    <s v="RCB Vs Super Giants"/>
    <s v="Super Giants"/>
    <x v="1"/>
    <s v="KLRahul"/>
    <s v="out"/>
    <n v="18"/>
    <n v="20"/>
    <n v="1"/>
    <n v="0"/>
    <n v="5.4"/>
  </r>
  <r>
    <s v="T202162"/>
    <s v="RCB Vs Super Giants"/>
    <s v="Super Giants"/>
    <x v="2"/>
    <s v="DeepakHooda"/>
    <s v="out"/>
    <n v="9"/>
    <n v="10"/>
    <n v="1"/>
    <n v="0"/>
    <n v="5.75"/>
  </r>
  <r>
    <s v="T202162"/>
    <s v="RCB Vs Super Giants"/>
    <s v="Super Giants"/>
    <x v="3"/>
    <s v="KrunalPandya"/>
    <s v="out"/>
    <n v="0"/>
    <n v="2"/>
    <n v="0"/>
    <n v="0"/>
    <n v="4.7142857142857144"/>
  </r>
  <r>
    <s v="T202162"/>
    <s v="RCB Vs Super Giants"/>
    <s v="Super Giants"/>
    <x v="4"/>
    <s v="MarcusStoinis"/>
    <s v="out"/>
    <n v="65"/>
    <n v="30"/>
    <n v="6"/>
    <n v="5"/>
    <n v="5.333333333333333"/>
  </r>
  <r>
    <s v="T202162"/>
    <s v="RCB Vs Super Giants"/>
    <s v="Super Giants"/>
    <x v="5"/>
    <s v="NicholasPooran"/>
    <s v="out"/>
    <n v="62"/>
    <n v="19"/>
    <n v="4"/>
    <n v="7"/>
    <n v="5.2"/>
  </r>
  <r>
    <s v="T202162"/>
    <s v="RCB Vs Super Giants"/>
    <s v="Super Giants"/>
    <x v="6"/>
    <s v="AyushBadoni"/>
    <s v="out"/>
    <n v="30"/>
    <n v="24"/>
    <n v="4"/>
    <n v="0"/>
    <n v="5"/>
  </r>
  <r>
    <s v="T202162"/>
    <s v="RCB Vs Super Giants"/>
    <s v="Super Giants"/>
    <x v="7"/>
    <s v="JaydevUnadkat"/>
    <s v="out"/>
    <n v="9"/>
    <n v="7"/>
    <n v="1"/>
    <n v="0"/>
    <n v="5"/>
  </r>
  <r>
    <s v="T202162"/>
    <s v="RCB Vs Super Giants"/>
    <s v="Super Giants"/>
    <x v="8"/>
    <s v="MarkWood"/>
    <s v="out"/>
    <n v="1"/>
    <n v="2"/>
    <n v="0"/>
    <n v="0"/>
    <n v="4.7142857142857144"/>
  </r>
  <r>
    <s v="T202162"/>
    <s v="RCB Vs Super Giants"/>
    <s v="Super Giants"/>
    <x v="9"/>
    <s v="RaviBishnoi"/>
    <s v="not_out"/>
    <n v="3"/>
    <n v="2"/>
    <n v="0"/>
    <n v="0"/>
    <n v="4.7142857142857144"/>
  </r>
  <r>
    <s v="T202162"/>
    <s v="RCB Vs Super Giants"/>
    <s v="Super Giants"/>
    <x v="10"/>
    <s v="AveshKhan"/>
    <s v="not_out"/>
    <n v="0"/>
    <n v="1"/>
    <n v="0"/>
    <n v="0"/>
    <n v="6.4782608695652177"/>
  </r>
  <r>
    <s v="T206444"/>
    <s v="Punjab Kings Vs Sunrisers"/>
    <s v="Punjab Kings"/>
    <x v="0"/>
    <s v="PrabhsimranSingh"/>
    <s v="out"/>
    <n v="0"/>
    <n v="1"/>
    <n v="0"/>
    <n v="0"/>
    <n v="6.4782608695652177"/>
  </r>
  <r>
    <s v="T206444"/>
    <s v="Punjab Kings Vs Sunrisers"/>
    <s v="Punjab Kings"/>
    <x v="1"/>
    <s v="ShikharDhawan"/>
    <s v="not_out"/>
    <n v="99"/>
    <n v="66"/>
    <n v="12"/>
    <n v="5"/>
    <e v="#DIV/0!"/>
  </r>
  <r>
    <s v="T206444"/>
    <s v="Punjab Kings Vs Sunrisers"/>
    <s v="Punjab Kings"/>
    <x v="2"/>
    <s v="MatthewShort"/>
    <s v="out"/>
    <n v="1"/>
    <n v="3"/>
    <n v="0"/>
    <n v="0"/>
    <n v="5.75"/>
  </r>
  <r>
    <s v="T206444"/>
    <s v="Punjab Kings Vs Sunrisers"/>
    <s v="Punjab Kings"/>
    <x v="3"/>
    <s v="JiteshSharma"/>
    <s v="out"/>
    <n v="4"/>
    <n v="9"/>
    <n v="1"/>
    <n v="0"/>
    <n v="5.5"/>
  </r>
  <r>
    <s v="T206444"/>
    <s v="Punjab Kings Vs Sunrisers"/>
    <s v="Punjab Kings"/>
    <x v="4"/>
    <s v="SamCurran"/>
    <s v="out"/>
    <n v="22"/>
    <n v="15"/>
    <n v="3"/>
    <n v="1"/>
    <n v="4.8"/>
  </r>
  <r>
    <s v="T206444"/>
    <s v="Punjab Kings Vs Sunrisers"/>
    <s v="Punjab Kings"/>
    <x v="5"/>
    <s v="SikandarRaza"/>
    <s v="out"/>
    <n v="5"/>
    <n v="6"/>
    <n v="0"/>
    <n v="0"/>
    <n v="7.4"/>
  </r>
  <r>
    <s v="T206444"/>
    <s v="Punjab Kings Vs Sunrisers"/>
    <s v="Punjab Kings"/>
    <x v="6"/>
    <s v="MShahrukhKhan"/>
    <s v="out"/>
    <n v="4"/>
    <n v="3"/>
    <n v="1"/>
    <n v="0"/>
    <n v="5.75"/>
  </r>
  <r>
    <s v="T206444"/>
    <s v="Punjab Kings Vs Sunrisers"/>
    <s v="Punjab Kings"/>
    <x v="7"/>
    <s v="HarpreetBrar"/>
    <s v="out"/>
    <n v="1"/>
    <n v="2"/>
    <n v="0"/>
    <n v="0"/>
    <n v="4.7142857142857144"/>
  </r>
  <r>
    <s v="T206444"/>
    <s v="Punjab Kings Vs Sunrisers"/>
    <s v="Punjab Kings"/>
    <x v="8"/>
    <s v="RahulChahar"/>
    <s v="out"/>
    <n v="0"/>
    <n v="8"/>
    <n v="0"/>
    <n v="0"/>
    <n v="5"/>
  </r>
  <r>
    <s v="T206444"/>
    <s v="Punjab Kings Vs Sunrisers"/>
    <s v="Punjab Kings"/>
    <x v="9"/>
    <s v="NathanEllis"/>
    <s v="out"/>
    <n v="0"/>
    <n v="5"/>
    <n v="0"/>
    <n v="0"/>
    <n v="6.5714285714285712"/>
  </r>
  <r>
    <s v="T206444"/>
    <s v="Punjab Kings Vs Sunrisers"/>
    <s v="Punjab Kings"/>
    <x v="10"/>
    <s v="MohitRathee"/>
    <s v="not_out"/>
    <n v="1"/>
    <n v="2"/>
    <n v="0"/>
    <n v="0"/>
    <n v="4.7142857142857144"/>
  </r>
  <r>
    <s v="T206444"/>
    <s v="Punjab Kings Vs Sunrisers"/>
    <s v="Sunrisers"/>
    <x v="0"/>
    <s v="HarryBrook"/>
    <s v="out"/>
    <n v="13"/>
    <n v="14"/>
    <n v="3"/>
    <n v="0"/>
    <n v="3.8"/>
  </r>
  <r>
    <s v="T206444"/>
    <s v="Punjab Kings Vs Sunrisers"/>
    <s v="Sunrisers"/>
    <x v="1"/>
    <s v="MayankAgarwal"/>
    <s v="out"/>
    <n v="21"/>
    <n v="20"/>
    <n v="3"/>
    <n v="0"/>
    <n v="5.4"/>
  </r>
  <r>
    <s v="T206444"/>
    <s v="Punjab Kings Vs Sunrisers"/>
    <s v="Sunrisers"/>
    <x v="2"/>
    <s v="RahulTripathi"/>
    <s v="not_out"/>
    <n v="74"/>
    <n v="48"/>
    <n v="10"/>
    <n v="3"/>
    <n v="5"/>
  </r>
  <r>
    <s v="T206444"/>
    <s v="Punjab Kings Vs Sunrisers"/>
    <s v="Sunrisers"/>
    <x v="3"/>
    <s v="AidenMarkram"/>
    <s v="not_out"/>
    <n v="37"/>
    <n v="21"/>
    <n v="6"/>
    <n v="0"/>
    <n v="4.1428571428571432"/>
  </r>
  <r>
    <s v="T208626"/>
    <s v="Titans Vs KKR"/>
    <s v="Titans"/>
    <x v="0"/>
    <s v="WriddhimanSaha"/>
    <s v="out"/>
    <n v="17"/>
    <n v="17"/>
    <n v="3"/>
    <n v="0"/>
    <n v="5.75"/>
  </r>
  <r>
    <s v="T208626"/>
    <s v="Titans Vs KKR"/>
    <s v="Titans"/>
    <x v="1"/>
    <s v="ShubmanGill"/>
    <s v="out"/>
    <n v="39"/>
    <n v="31"/>
    <n v="5"/>
    <n v="0"/>
    <n v="4.666666666666667"/>
  </r>
  <r>
    <s v="T208626"/>
    <s v="Titans Vs KKR"/>
    <s v="Titans"/>
    <x v="2"/>
    <s v="SaiSudharsan"/>
    <s v="out"/>
    <n v="53"/>
    <n v="38"/>
    <n v="3"/>
    <n v="2"/>
    <n v="5"/>
  </r>
  <r>
    <s v="T208626"/>
    <s v="Titans Vs KKR"/>
    <s v="Titans"/>
    <x v="3"/>
    <s v="AbhinavManohar"/>
    <s v="out"/>
    <n v="14"/>
    <n v="8"/>
    <n v="3"/>
    <n v="0"/>
    <n v="5"/>
  </r>
  <r>
    <s v="T208626"/>
    <s v="Titans Vs KKR"/>
    <s v="Titans"/>
    <x v="4"/>
    <s v="VijayShankar"/>
    <s v="not_out"/>
    <n v="63"/>
    <n v="24"/>
    <n v="4"/>
    <n v="5"/>
    <n v="5"/>
  </r>
  <r>
    <s v="T208626"/>
    <s v="Titans Vs KKR"/>
    <s v="Titans"/>
    <x v="5"/>
    <s v="DavidMiller"/>
    <s v="not_out"/>
    <n v="2"/>
    <n v="3"/>
    <n v="0"/>
    <n v="0"/>
    <n v="5.75"/>
  </r>
  <r>
    <s v="T208626"/>
    <s v="Titans Vs KKR"/>
    <s v="KKR"/>
    <x v="0"/>
    <s v="RahmanullahGurbaz"/>
    <s v="out"/>
    <n v="15"/>
    <n v="12"/>
    <n v="1"/>
    <n v="1"/>
    <n v="4.333333333333333"/>
  </r>
  <r>
    <s v="T208626"/>
    <s v="Titans Vs KKR"/>
    <s v="KKR"/>
    <x v="1"/>
    <s v="NarayanJagadeesan"/>
    <s v="out"/>
    <n v="6"/>
    <n v="8"/>
    <n v="1"/>
    <n v="0"/>
    <n v="5"/>
  </r>
  <r>
    <s v="T208626"/>
    <s v="Titans Vs KKR"/>
    <s v="KKR"/>
    <x v="2"/>
    <s v="VenkateshIyer"/>
    <s v="out"/>
    <n v="83"/>
    <n v="40"/>
    <n v="8"/>
    <n v="5"/>
    <n v="2"/>
  </r>
  <r>
    <s v="T208626"/>
    <s v="Titans Vs KKR"/>
    <s v="KKR"/>
    <x v="3"/>
    <s v="NitishRana"/>
    <s v="out"/>
    <n v="45"/>
    <n v="29"/>
    <n v="4"/>
    <n v="3"/>
    <n v="5"/>
  </r>
  <r>
    <s v="T208626"/>
    <s v="Titans Vs KKR"/>
    <s v="KKR"/>
    <x v="4"/>
    <s v="RinkuSingh"/>
    <s v="not_out"/>
    <n v="48"/>
    <n v="21"/>
    <n v="1"/>
    <n v="6"/>
    <n v="4.1428571428571432"/>
  </r>
  <r>
    <s v="T208626"/>
    <s v="Titans Vs KKR"/>
    <s v="KKR"/>
    <x v="5"/>
    <s v="AndreRussell"/>
    <s v="out"/>
    <n v="1"/>
    <n v="2"/>
    <n v="0"/>
    <n v="0"/>
    <n v="4.5"/>
  </r>
  <r>
    <s v="T208626"/>
    <s v="Titans Vs KKR"/>
    <s v="KKR"/>
    <x v="6"/>
    <s v="SunilNarine"/>
    <s v="out"/>
    <n v="0"/>
    <n v="1"/>
    <n v="0"/>
    <n v="0"/>
    <n v="6.3684210526315788"/>
  </r>
  <r>
    <s v="T208626"/>
    <s v="Titans Vs KKR"/>
    <s v="KKR"/>
    <x v="7"/>
    <s v="ShardulThakur"/>
    <s v="out"/>
    <n v="0"/>
    <n v="1"/>
    <n v="0"/>
    <n v="0"/>
    <n v="6.3684210526315788"/>
  </r>
  <r>
    <s v="T208626"/>
    <s v="Titans Vs KKR"/>
    <s v="KKR"/>
    <x v="8"/>
    <s v="UmeshYadav"/>
    <s v="not_out"/>
    <n v="5"/>
    <n v="6"/>
    <n v="0"/>
    <n v="0"/>
    <n v="8.75"/>
  </r>
  <r>
    <s v="T206408"/>
    <s v="Mumbai Vs Super Kings"/>
    <s v="Mumbai"/>
    <x v="0"/>
    <s v="RohitSharma"/>
    <s v="out"/>
    <n v="21"/>
    <n v="13"/>
    <n v="3"/>
    <n v="1"/>
    <n v="2.5"/>
  </r>
  <r>
    <s v="T206408"/>
    <s v="Mumbai Vs Super Kings"/>
    <s v="Mumbai"/>
    <x v="1"/>
    <s v="IshanKishan"/>
    <s v="out"/>
    <n v="32"/>
    <n v="21"/>
    <n v="5"/>
    <n v="0"/>
    <n v="4.666666666666667"/>
  </r>
  <r>
    <s v="T206408"/>
    <s v="Mumbai Vs Super Kings"/>
    <s v="Mumbai"/>
    <x v="2"/>
    <s v="CameronGreen"/>
    <s v="out"/>
    <n v="12"/>
    <n v="11"/>
    <n v="1"/>
    <n v="0"/>
    <n v="5.25"/>
  </r>
  <r>
    <s v="T206408"/>
    <s v="Mumbai Vs Super Kings"/>
    <s v="Mumbai"/>
    <x v="3"/>
    <s v="SuryakumarYadav"/>
    <s v="out"/>
    <n v="1"/>
    <n v="2"/>
    <n v="0"/>
    <n v="0"/>
    <n v="4.5"/>
  </r>
  <r>
    <s v="T206408"/>
    <s v="Mumbai Vs Super Kings"/>
    <s v="Mumbai"/>
    <x v="4"/>
    <s v="TilakVarma"/>
    <s v="out"/>
    <n v="22"/>
    <n v="18"/>
    <n v="2"/>
    <n v="1"/>
    <n v="8"/>
  </r>
  <r>
    <s v="T206408"/>
    <s v="Mumbai Vs Super Kings"/>
    <s v="Mumbai"/>
    <x v="5"/>
    <s v="ArshadKhan"/>
    <s v="out"/>
    <n v="2"/>
    <n v="4"/>
    <n v="0"/>
    <n v="0"/>
    <n v="6.4444444444444446"/>
  </r>
  <r>
    <s v="T206408"/>
    <s v="Mumbai Vs Super Kings"/>
    <s v="Mumbai"/>
    <x v="6"/>
    <s v="TimDavid"/>
    <s v="out"/>
    <n v="31"/>
    <n v="22"/>
    <n v="1"/>
    <n v="2"/>
    <n v="3.6666666666666665"/>
  </r>
  <r>
    <s v="T206408"/>
    <s v="Mumbai Vs Super Kings"/>
    <s v="Mumbai"/>
    <x v="7"/>
    <s v="TristanStubbs"/>
    <s v="out"/>
    <n v="5"/>
    <n v="10"/>
    <n v="0"/>
    <n v="0"/>
    <n v="5.75"/>
  </r>
  <r>
    <s v="T206408"/>
    <s v="Mumbai Vs Super Kings"/>
    <s v="Mumbai"/>
    <x v="8"/>
    <s v="HrithikShokeen"/>
    <s v="not_out"/>
    <n v="18"/>
    <n v="13"/>
    <n v="3"/>
    <n v="0"/>
    <n v="2.5"/>
  </r>
  <r>
    <s v="T206408"/>
    <s v="Mumbai Vs Super Kings"/>
    <s v="Mumbai"/>
    <x v="9"/>
    <s v="PiyushChawla"/>
    <s v="not_out"/>
    <n v="5"/>
    <n v="6"/>
    <n v="0"/>
    <n v="0"/>
    <n v="8.75"/>
  </r>
  <r>
    <s v="T206408"/>
    <s v="Mumbai Vs Super Kings"/>
    <s v="Super Kings"/>
    <x v="0"/>
    <s v="DevonConway"/>
    <s v="out"/>
    <n v="0"/>
    <n v="4"/>
    <n v="0"/>
    <n v="0"/>
    <n v="6.4444444444444446"/>
  </r>
  <r>
    <s v="T206408"/>
    <s v="Mumbai Vs Super Kings"/>
    <s v="Super Kings"/>
    <x v="1"/>
    <s v="RuturajGaikwad"/>
    <s v="not_out"/>
    <n v="40"/>
    <n v="36"/>
    <n v="2"/>
    <n v="1"/>
    <n v="6.666666666666667"/>
  </r>
  <r>
    <s v="T206408"/>
    <s v="Mumbai Vs Super Kings"/>
    <s v="Super Kings"/>
    <x v="2"/>
    <s v="AjinkyaRahane"/>
    <s v="out"/>
    <n v="61"/>
    <n v="27"/>
    <n v="7"/>
    <n v="3"/>
    <n v="4"/>
  </r>
  <r>
    <s v="T206408"/>
    <s v="Mumbai Vs Super Kings"/>
    <s v="Super Kings"/>
    <x v="3"/>
    <s v="ShivamDube"/>
    <s v="out"/>
    <n v="28"/>
    <n v="26"/>
    <n v="2"/>
    <n v="1"/>
    <n v="6"/>
  </r>
  <r>
    <s v="T206408"/>
    <s v="Mumbai Vs Super Kings"/>
    <s v="Super Kings"/>
    <x v="4"/>
    <s v="AmbatiRayudu"/>
    <s v="not_out"/>
    <n v="20"/>
    <n v="16"/>
    <n v="3"/>
    <n v="0"/>
    <n v="6.333333333333333"/>
  </r>
  <r>
    <s v="T207547"/>
    <s v="Royals Vs Capitals"/>
    <s v="Royals"/>
    <x v="0"/>
    <s v="YashasviJaiswal"/>
    <s v="out"/>
    <n v="60"/>
    <n v="31"/>
    <n v="11"/>
    <n v="1"/>
    <n v="3.5"/>
  </r>
  <r>
    <s v="T207547"/>
    <s v="Royals Vs Capitals"/>
    <s v="Royals"/>
    <x v="1"/>
    <s v="JosButtler"/>
    <s v="out"/>
    <n v="79"/>
    <n v="51"/>
    <n v="11"/>
    <n v="1"/>
    <e v="#DIV/0!"/>
  </r>
  <r>
    <s v="T207547"/>
    <s v="Royals Vs Capitals"/>
    <s v="Royals"/>
    <x v="2"/>
    <s v="SanjuSamson"/>
    <s v="out"/>
    <n v="0"/>
    <n v="4"/>
    <n v="0"/>
    <n v="0"/>
    <n v="6.4444444444444446"/>
  </r>
  <r>
    <s v="T207547"/>
    <s v="Royals Vs Capitals"/>
    <s v="Royals"/>
    <x v="3"/>
    <s v="RiyanParag"/>
    <s v="out"/>
    <n v="7"/>
    <n v="11"/>
    <n v="0"/>
    <n v="0"/>
    <n v="5.25"/>
  </r>
  <r>
    <s v="T207547"/>
    <s v="Royals Vs Capitals"/>
    <s v="Royals"/>
    <x v="4"/>
    <s v="ShimronHetmyer"/>
    <s v="not_out"/>
    <n v="39"/>
    <n v="21"/>
    <n v="1"/>
    <n v="4"/>
    <n v="4.666666666666667"/>
  </r>
  <r>
    <s v="T207547"/>
    <s v="Royals Vs Capitals"/>
    <s v="Royals"/>
    <x v="5"/>
    <s v="DhruvJurel"/>
    <s v="not_out"/>
    <n v="8"/>
    <n v="3"/>
    <n v="0"/>
    <n v="1"/>
    <n v="5.75"/>
  </r>
  <r>
    <s v="T207547"/>
    <s v="Royals Vs Capitals"/>
    <s v="Capitals"/>
    <x v="0"/>
    <s v="PrithviShaw"/>
    <s v="out"/>
    <n v="0"/>
    <n v="3"/>
    <n v="0"/>
    <n v="0"/>
    <n v="5.75"/>
  </r>
  <r>
    <s v="T207547"/>
    <s v="Royals Vs Capitals"/>
    <s v="Capitals"/>
    <x v="1"/>
    <s v="DavidWarner"/>
    <s v="out"/>
    <n v="65"/>
    <n v="55"/>
    <n v="7"/>
    <n v="0"/>
    <n v="3"/>
  </r>
  <r>
    <s v="T207547"/>
    <s v="Royals Vs Capitals"/>
    <s v="Capitals"/>
    <x v="2"/>
    <s v="ManishPandey"/>
    <s v="out"/>
    <n v="0"/>
    <n v="1"/>
    <n v="0"/>
    <n v="0"/>
    <n v="6.5"/>
  </r>
  <r>
    <s v="T207547"/>
    <s v="Royals Vs Capitals"/>
    <s v="Capitals"/>
    <x v="3"/>
    <s v="RileeRossouw"/>
    <s v="out"/>
    <n v="14"/>
    <n v="12"/>
    <n v="2"/>
    <n v="0"/>
    <n v="4.5999999999999996"/>
  </r>
  <r>
    <s v="T207547"/>
    <s v="Royals Vs Capitals"/>
    <s v="Capitals"/>
    <x v="4"/>
    <s v="LalitYadav"/>
    <s v="out"/>
    <n v="38"/>
    <n v="24"/>
    <n v="5"/>
    <n v="0"/>
    <n v="5"/>
  </r>
  <r>
    <s v="T207547"/>
    <s v="Royals Vs Capitals"/>
    <s v="Capitals"/>
    <x v="5"/>
    <s v="AxarPatel"/>
    <s v="out"/>
    <n v="2"/>
    <n v="6"/>
    <n v="0"/>
    <n v="0"/>
    <n v="8.75"/>
  </r>
  <r>
    <s v="T207547"/>
    <s v="Royals Vs Capitals"/>
    <s v="Capitals"/>
    <x v="6"/>
    <s v="RovmanPowell"/>
    <s v="out"/>
    <n v="2"/>
    <n v="2"/>
    <n v="0"/>
    <n v="0"/>
    <n v="3.75"/>
  </r>
  <r>
    <s v="T207547"/>
    <s v="Royals Vs Capitals"/>
    <s v="Capitals"/>
    <x v="7"/>
    <s v="AbishekPorel"/>
    <s v="out"/>
    <n v="7"/>
    <n v="9"/>
    <n v="1"/>
    <n v="0"/>
    <n v="5.5"/>
  </r>
  <r>
    <s v="T207547"/>
    <s v="Royals Vs Capitals"/>
    <s v="Capitals"/>
    <x v="8"/>
    <s v="KuldeepYadav"/>
    <s v="not_out"/>
    <n v="3"/>
    <n v="7"/>
    <n v="0"/>
    <n v="0"/>
    <n v="4.5999999999999996"/>
  </r>
  <r>
    <s v="T207547"/>
    <s v="Royals Vs Capitals"/>
    <s v="Capitals"/>
    <x v="9"/>
    <s v="AnrichNortje"/>
    <s v="out"/>
    <n v="0"/>
    <n v="1"/>
    <n v="0"/>
    <n v="0"/>
    <n v="6.5"/>
  </r>
  <r>
    <s v="T207547"/>
    <s v="Royals Vs Capitals"/>
    <s v="Capitals"/>
    <x v="10"/>
    <s v="MukeshKumar"/>
    <s v="not_out"/>
    <n v="1"/>
    <n v="1"/>
    <n v="0"/>
    <n v="0"/>
    <n v="6.5"/>
  </r>
  <r>
    <s v="T209590"/>
    <s v="Sunrisers Vs Super Giants"/>
    <s v="Sunrisers"/>
    <x v="0"/>
    <s v="AnmolpreetSingh"/>
    <s v="out"/>
    <n v="31"/>
    <n v="26"/>
    <n v="3"/>
    <n v="1"/>
    <n v="6"/>
  </r>
  <r>
    <s v="T209590"/>
    <s v="Sunrisers Vs Super Giants"/>
    <s v="Sunrisers"/>
    <x v="1"/>
    <s v="MayankAgarwal"/>
    <s v="out"/>
    <n v="8"/>
    <n v="7"/>
    <n v="1"/>
    <n v="0"/>
    <n v="4.5999999999999996"/>
  </r>
  <r>
    <s v="T209590"/>
    <s v="Sunrisers Vs Super Giants"/>
    <s v="Sunrisers"/>
    <x v="2"/>
    <s v="RahulTripathi"/>
    <s v="out"/>
    <n v="34"/>
    <n v="41"/>
    <n v="4"/>
    <n v="0"/>
    <e v="#DIV/0!"/>
  </r>
  <r>
    <s v="T209590"/>
    <s v="Sunrisers Vs Super Giants"/>
    <s v="Sunrisers"/>
    <x v="3"/>
    <s v="AidenMarkram"/>
    <s v="out"/>
    <n v="0"/>
    <n v="1"/>
    <n v="0"/>
    <n v="0"/>
    <n v="6.2352941176470589"/>
  </r>
  <r>
    <s v="T209590"/>
    <s v="Sunrisers Vs Super Giants"/>
    <s v="Sunrisers"/>
    <x v="4"/>
    <s v="HarryBrook"/>
    <s v="out"/>
    <n v="3"/>
    <n v="4"/>
    <n v="0"/>
    <n v="0"/>
    <n v="6.4444444444444446"/>
  </r>
  <r>
    <s v="T209590"/>
    <s v="Sunrisers Vs Super Giants"/>
    <s v="Sunrisers"/>
    <x v="5"/>
    <s v="WashingtonSundar"/>
    <s v="out"/>
    <n v="16"/>
    <n v="28"/>
    <n v="0"/>
    <n v="0"/>
    <e v="#DIV/0!"/>
  </r>
  <r>
    <s v="T209590"/>
    <s v="Sunrisers Vs Super Giants"/>
    <s v="Sunrisers"/>
    <x v="6"/>
    <s v="AbdulSamad"/>
    <s v="not_out"/>
    <n v="21"/>
    <n v="10"/>
    <n v="1"/>
    <n v="2"/>
    <n v="5.75"/>
  </r>
  <r>
    <s v="T209590"/>
    <s v="Sunrisers Vs Super Giants"/>
    <s v="Sunrisers"/>
    <x v="7"/>
    <s v="AdilRashid"/>
    <s v="out"/>
    <n v="4"/>
    <n v="3"/>
    <n v="1"/>
    <n v="0"/>
    <n v="4.5"/>
  </r>
  <r>
    <s v="T209590"/>
    <s v="Sunrisers Vs Super Giants"/>
    <s v="Sunrisers"/>
    <x v="8"/>
    <s v="UmranMalik"/>
    <s v="out"/>
    <n v="0"/>
    <n v="0"/>
    <n v="0"/>
    <n v="0"/>
    <n v="5.3571428571428568"/>
  </r>
  <r>
    <s v="T209590"/>
    <s v="Sunrisers Vs Super Giants"/>
    <s v="Sunrisers"/>
    <x v="9"/>
    <s v="BhuvneshwarKumar"/>
    <s v="not_out"/>
    <n v="0"/>
    <n v="0"/>
    <n v="0"/>
    <n v="0"/>
    <n v="5.0769230769230766"/>
  </r>
  <r>
    <s v="T209590"/>
    <s v="Sunrisers Vs Super Giants"/>
    <s v="Super Giants"/>
    <x v="0"/>
    <s v="KyleMayers"/>
    <s v="out"/>
    <n v="13"/>
    <n v="14"/>
    <n v="2"/>
    <n v="0"/>
    <n v="3.6666666666666665"/>
  </r>
  <r>
    <s v="T209590"/>
    <s v="Sunrisers Vs Super Giants"/>
    <s v="Super Giants"/>
    <x v="1"/>
    <s v="KLRahul"/>
    <s v="out"/>
    <n v="35"/>
    <n v="31"/>
    <n v="4"/>
    <n v="0"/>
    <n v="6"/>
  </r>
  <r>
    <s v="T209590"/>
    <s v="Sunrisers Vs Super Giants"/>
    <s v="Super Giants"/>
    <x v="2"/>
    <s v="DeepakHooda"/>
    <s v="out"/>
    <n v="7"/>
    <n v="8"/>
    <n v="0"/>
    <n v="1"/>
    <n v="5.333333333333333"/>
  </r>
  <r>
    <s v="T209590"/>
    <s v="Sunrisers Vs Super Giants"/>
    <s v="Super Giants"/>
    <x v="3"/>
    <s v="KrunalPandya"/>
    <s v="out"/>
    <n v="34"/>
    <n v="23"/>
    <n v="4"/>
    <n v="1"/>
    <n v="3.25"/>
  </r>
  <r>
    <s v="T209590"/>
    <s v="Sunrisers Vs Super Giants"/>
    <s v="Super Giants"/>
    <x v="4"/>
    <s v="MarcusStoinis"/>
    <s v="not_out"/>
    <n v="10"/>
    <n v="13"/>
    <n v="2"/>
    <n v="0"/>
    <n v="4"/>
  </r>
  <r>
    <s v="T209590"/>
    <s v="Sunrisers Vs Super Giants"/>
    <s v="Super Giants"/>
    <x v="5"/>
    <s v="RomarioShepherd"/>
    <s v="out"/>
    <n v="0"/>
    <n v="1"/>
    <n v="0"/>
    <n v="0"/>
    <n v="6.2352941176470589"/>
  </r>
  <r>
    <s v="T209590"/>
    <s v="Sunrisers Vs Super Giants"/>
    <s v="Super Giants"/>
    <x v="6"/>
    <s v="NicholasPooran"/>
    <s v="not_out"/>
    <n v="11"/>
    <n v="6"/>
    <n v="1"/>
    <n v="1"/>
    <n v="8.75"/>
  </r>
  <r>
    <s v="T207668"/>
    <s v="KKR Vs RCB"/>
    <s v="KKR"/>
    <x v="0"/>
    <s v="RahmanullahGurbaz"/>
    <s v="out"/>
    <n v="57"/>
    <n v="44"/>
    <n v="6"/>
    <n v="3"/>
    <e v="#DIV/0!"/>
  </r>
  <r>
    <s v="T207668"/>
    <s v="KKR Vs RCB"/>
    <s v="KKR"/>
    <x v="1"/>
    <s v="VenkateshIyer"/>
    <s v="out"/>
    <n v="3"/>
    <n v="7"/>
    <n v="0"/>
    <n v="0"/>
    <n v="5"/>
  </r>
  <r>
    <s v="T207668"/>
    <s v="KKR Vs RCB"/>
    <s v="KKR"/>
    <x v="2"/>
    <s v="MandeepSingh"/>
    <s v="out"/>
    <n v="0"/>
    <n v="1"/>
    <n v="0"/>
    <n v="0"/>
    <n v="6.2352941176470589"/>
  </r>
  <r>
    <s v="T207668"/>
    <s v="KKR Vs RCB"/>
    <s v="KKR"/>
    <x v="3"/>
    <s v="NitishRana"/>
    <s v="out"/>
    <n v="1"/>
    <n v="5"/>
    <n v="0"/>
    <n v="0"/>
    <n v="4.75"/>
  </r>
  <r>
    <s v="T207668"/>
    <s v="KKR Vs RCB"/>
    <s v="KKR"/>
    <x v="4"/>
    <s v="RinkuSingh"/>
    <s v="out"/>
    <n v="46"/>
    <n v="33"/>
    <n v="2"/>
    <n v="3"/>
    <e v="#DIV/0!"/>
  </r>
  <r>
    <s v="T207668"/>
    <s v="KKR Vs RCB"/>
    <s v="KKR"/>
    <x v="5"/>
    <s v="AndreRussell"/>
    <s v="out"/>
    <n v="0"/>
    <n v="1"/>
    <n v="0"/>
    <n v="0"/>
    <n v="6.375"/>
  </r>
  <r>
    <s v="T207668"/>
    <s v="KKR Vs RCB"/>
    <s v="KKR"/>
    <x v="6"/>
    <s v="ShardulThakur"/>
    <s v="out"/>
    <n v="68"/>
    <n v="29"/>
    <n v="9"/>
    <n v="3"/>
    <n v="5"/>
  </r>
  <r>
    <s v="T207668"/>
    <s v="KKR Vs RCB"/>
    <s v="KKR"/>
    <x v="7"/>
    <s v="SunilNarine"/>
    <s v="not_out"/>
    <n v="0"/>
    <n v="1"/>
    <n v="0"/>
    <n v="0"/>
    <n v="6.375"/>
  </r>
  <r>
    <s v="T207668"/>
    <s v="KKR Vs RCB"/>
    <s v="KKR"/>
    <x v="8"/>
    <s v="UmeshYadav"/>
    <s v="not_out"/>
    <n v="6"/>
    <n v="2"/>
    <n v="1"/>
    <n v="0"/>
    <n v="2.6666666666666665"/>
  </r>
  <r>
    <s v="T207668"/>
    <s v="KKR Vs RCB"/>
    <s v="RCB"/>
    <x v="0"/>
    <s v="ViratKohli"/>
    <s v="out"/>
    <n v="21"/>
    <n v="18"/>
    <n v="3"/>
    <n v="0"/>
    <n v="7.5"/>
  </r>
  <r>
    <s v="T207668"/>
    <s v="KKR Vs RCB"/>
    <s v="RCB"/>
    <x v="1"/>
    <s v="FafduPlessis"/>
    <s v="out"/>
    <n v="23"/>
    <n v="12"/>
    <n v="2"/>
    <n v="2"/>
    <n v="4.5999999999999996"/>
  </r>
  <r>
    <s v="T207668"/>
    <s v="KKR Vs RCB"/>
    <s v="RCB"/>
    <x v="2"/>
    <s v="MichaelBracewell"/>
    <s v="out"/>
    <n v="19"/>
    <n v="18"/>
    <n v="1"/>
    <n v="1"/>
    <n v="7.5"/>
  </r>
  <r>
    <s v="T207668"/>
    <s v="KKR Vs RCB"/>
    <s v="RCB"/>
    <x v="3"/>
    <s v="GlennMaxwell"/>
    <s v="out"/>
    <n v="5"/>
    <n v="7"/>
    <n v="1"/>
    <n v="0"/>
    <n v="5"/>
  </r>
  <r>
    <s v="T207668"/>
    <s v="KKR Vs RCB"/>
    <s v="RCB"/>
    <x v="4"/>
    <s v="HarshalPatel"/>
    <s v="out"/>
    <n v="0"/>
    <n v="2"/>
    <n v="0"/>
    <n v="0"/>
    <n v="2.6666666666666665"/>
  </r>
  <r>
    <s v="T207668"/>
    <s v="KKR Vs RCB"/>
    <s v="RCB"/>
    <x v="5"/>
    <s v="ShahbazAhmed"/>
    <s v="out"/>
    <n v="1"/>
    <n v="5"/>
    <n v="0"/>
    <n v="0"/>
    <n v="5"/>
  </r>
  <r>
    <s v="T207668"/>
    <s v="KKR Vs RCB"/>
    <s v="RCB"/>
    <x v="6"/>
    <s v="DineshKarthik"/>
    <s v="out"/>
    <n v="9"/>
    <n v="8"/>
    <n v="1"/>
    <n v="0"/>
    <n v="5.333333333333333"/>
  </r>
  <r>
    <s v="T207668"/>
    <s v="KKR Vs RCB"/>
    <s v="RCB"/>
    <x v="7"/>
    <s v="AnujRawat"/>
    <s v="out"/>
    <n v="1"/>
    <n v="5"/>
    <n v="0"/>
    <n v="0"/>
    <n v="5"/>
  </r>
  <r>
    <s v="T207668"/>
    <s v="KKR Vs RCB"/>
    <s v="RCB"/>
    <x v="8"/>
    <s v="DavidWilley"/>
    <s v="not_out"/>
    <n v="20"/>
    <n v="20"/>
    <n v="2"/>
    <n v="0"/>
    <n v="5.5"/>
  </r>
  <r>
    <s v="T207668"/>
    <s v="KKR Vs RCB"/>
    <s v="RCB"/>
    <x v="9"/>
    <s v="KarnSharma"/>
    <s v="out"/>
    <n v="1"/>
    <n v="3"/>
    <n v="0"/>
    <n v="0"/>
    <n v="7"/>
  </r>
  <r>
    <s v="T207668"/>
    <s v="KKR Vs RCB"/>
    <s v="RCB"/>
    <x v="10"/>
    <s v="AkashDeep"/>
    <s v="out"/>
    <n v="17"/>
    <n v="8"/>
    <n v="2"/>
    <n v="1"/>
    <n v="5.333333333333333"/>
  </r>
  <r>
    <s v="T201031"/>
    <s v="Punjab Kings Vs Royals"/>
    <s v="Punjab Kings"/>
    <x v="0"/>
    <s v="PrabhsimranSingh"/>
    <s v="out"/>
    <n v="60"/>
    <n v="34"/>
    <n v="7"/>
    <n v="3"/>
    <n v="4"/>
  </r>
  <r>
    <s v="T201031"/>
    <s v="Punjab Kings Vs Royals"/>
    <s v="Punjab Kings"/>
    <x v="1"/>
    <s v="ShikharDhawan"/>
    <s v="not_out"/>
    <n v="86"/>
    <n v="56"/>
    <n v="9"/>
    <n v="3"/>
    <n v="2"/>
  </r>
  <r>
    <s v="T201031"/>
    <s v="Punjab Kings Vs Royals"/>
    <s v="Punjab Kings"/>
    <x v="2"/>
    <s v="BhanukaRajapaksa"/>
    <s v="out"/>
    <n v="1"/>
    <n v="1"/>
    <n v="0"/>
    <n v="0"/>
    <n v="6"/>
  </r>
  <r>
    <s v="T201031"/>
    <s v="Punjab Kings Vs Royals"/>
    <s v="Punjab Kings"/>
    <x v="3"/>
    <s v="JiteshSharma"/>
    <s v="out"/>
    <n v="27"/>
    <n v="16"/>
    <n v="2"/>
    <n v="1"/>
    <n v="6.5"/>
  </r>
  <r>
    <s v="T201031"/>
    <s v="Punjab Kings Vs Royals"/>
    <s v="Punjab Kings"/>
    <x v="4"/>
    <s v="SikandarRaza"/>
    <s v="out"/>
    <n v="1"/>
    <n v="2"/>
    <n v="0"/>
    <n v="0"/>
    <n v="2.6666666666666665"/>
  </r>
  <r>
    <s v="T201031"/>
    <s v="Punjab Kings Vs Royals"/>
    <s v="Punjab Kings"/>
    <x v="5"/>
    <s v="MShahrukhKhan"/>
    <s v="out"/>
    <n v="11"/>
    <n v="10"/>
    <n v="1"/>
    <n v="0"/>
    <n v="6"/>
  </r>
  <r>
    <s v="T201031"/>
    <s v="Punjab Kings Vs Royals"/>
    <s v="Punjab Kings"/>
    <x v="6"/>
    <s v="SamCurran"/>
    <s v="not_out"/>
    <n v="1"/>
    <n v="2"/>
    <n v="0"/>
    <n v="0"/>
    <n v="2.6666666666666665"/>
  </r>
  <r>
    <s v="T201031"/>
    <s v="Punjab Kings Vs Royals"/>
    <s v="Royals"/>
    <x v="0"/>
    <s v="YashasviJaiswal"/>
    <s v="out"/>
    <n v="11"/>
    <n v="8"/>
    <n v="1"/>
    <n v="1"/>
    <n v="5.333333333333333"/>
  </r>
  <r>
    <s v="T201031"/>
    <s v="Punjab Kings Vs Royals"/>
    <s v="Royals"/>
    <x v="1"/>
    <s v="RavichandranAshwin"/>
    <s v="out"/>
    <n v="0"/>
    <n v="4"/>
    <n v="0"/>
    <n v="0"/>
    <n v="6.25"/>
  </r>
  <r>
    <s v="T201031"/>
    <s v="Punjab Kings Vs Royals"/>
    <s v="Royals"/>
    <x v="2"/>
    <s v="JosButtler"/>
    <s v="out"/>
    <n v="19"/>
    <n v="11"/>
    <n v="1"/>
    <n v="1"/>
    <n v="7"/>
  </r>
  <r>
    <s v="T201031"/>
    <s v="Punjab Kings Vs Royals"/>
    <s v="Royals"/>
    <x v="3"/>
    <s v="SanjuSamson"/>
    <s v="out"/>
    <n v="42"/>
    <n v="25"/>
    <n v="5"/>
    <n v="1"/>
    <n v="1"/>
  </r>
  <r>
    <s v="T201031"/>
    <s v="Punjab Kings Vs Royals"/>
    <s v="Royals"/>
    <x v="4"/>
    <s v="DevduttPadikkal"/>
    <s v="out"/>
    <n v="21"/>
    <n v="26"/>
    <n v="1"/>
    <n v="0"/>
    <n v="6"/>
  </r>
  <r>
    <s v="T201031"/>
    <s v="Punjab Kings Vs Royals"/>
    <s v="Royals"/>
    <x v="5"/>
    <s v="RiyanParag"/>
    <s v="out"/>
    <n v="20"/>
    <n v="12"/>
    <n v="1"/>
    <n v="2"/>
    <n v="4.5999999999999996"/>
  </r>
  <r>
    <s v="T201031"/>
    <s v="Punjab Kings Vs Royals"/>
    <s v="Royals"/>
    <x v="6"/>
    <s v="ShimronHetmyer"/>
    <s v="out"/>
    <n v="36"/>
    <n v="18"/>
    <n v="1"/>
    <n v="3"/>
    <n v="7.5"/>
  </r>
  <r>
    <s v="T201031"/>
    <s v="Punjab Kings Vs Royals"/>
    <s v="Royals"/>
    <x v="7"/>
    <s v="DhruvJurel"/>
    <s v="not_out"/>
    <n v="32"/>
    <n v="15"/>
    <n v="3"/>
    <n v="2"/>
    <n v="5.75"/>
  </r>
  <r>
    <s v="T201031"/>
    <s v="Punjab Kings Vs Royals"/>
    <s v="Royals"/>
    <x v="8"/>
    <s v="JasonHolder"/>
    <s v="not_out"/>
    <n v="1"/>
    <n v="1"/>
    <n v="0"/>
    <n v="0"/>
    <n v="6.3"/>
  </r>
  <r>
    <s v="T205026"/>
    <s v="Capitals Vs Titans"/>
    <s v="Capitals"/>
    <x v="0"/>
    <s v="DavidWarner"/>
    <s v="out"/>
    <n v="37"/>
    <n v="32"/>
    <n v="7"/>
    <n v="0"/>
    <n v="6.5"/>
  </r>
  <r>
    <s v="T205026"/>
    <s v="Capitals Vs Titans"/>
    <s v="Capitals"/>
    <x v="1"/>
    <s v="PrithviShaw"/>
    <s v="out"/>
    <n v="7"/>
    <n v="5"/>
    <n v="1"/>
    <n v="0"/>
    <n v="5"/>
  </r>
  <r>
    <s v="T205026"/>
    <s v="Capitals Vs Titans"/>
    <s v="Capitals"/>
    <x v="2"/>
    <s v="MitchellMarsh"/>
    <s v="out"/>
    <n v="4"/>
    <n v="4"/>
    <n v="1"/>
    <n v="0"/>
    <n v="6.25"/>
  </r>
  <r>
    <s v="T205026"/>
    <s v="Capitals Vs Titans"/>
    <s v="Capitals"/>
    <x v="3"/>
    <s v="SarfarazKhan"/>
    <s v="out"/>
    <n v="30"/>
    <n v="34"/>
    <n v="2"/>
    <n v="0"/>
    <n v="4"/>
  </r>
  <r>
    <s v="T205026"/>
    <s v="Capitals Vs Titans"/>
    <s v="Capitals"/>
    <x v="4"/>
    <s v="RileeRossouw"/>
    <s v="out"/>
    <n v="0"/>
    <n v="1"/>
    <n v="0"/>
    <n v="0"/>
    <n v="6"/>
  </r>
  <r>
    <s v="T205026"/>
    <s v="Capitals Vs Titans"/>
    <s v="Capitals"/>
    <x v="5"/>
    <s v="AbishekPorel"/>
    <s v="out"/>
    <n v="20"/>
    <n v="11"/>
    <n v="0"/>
    <n v="2"/>
    <n v="7"/>
  </r>
  <r>
    <s v="T205026"/>
    <s v="Capitals Vs Titans"/>
    <s v="Capitals"/>
    <x v="6"/>
    <s v="AxarPatel"/>
    <s v="out"/>
    <n v="36"/>
    <n v="22"/>
    <n v="2"/>
    <n v="3"/>
    <n v="3.6666666666666665"/>
  </r>
  <r>
    <s v="T205026"/>
    <s v="Capitals Vs Titans"/>
    <s v="Capitals"/>
    <x v="7"/>
    <s v="AmanHakimKhan"/>
    <s v="out"/>
    <n v="8"/>
    <n v="8"/>
    <n v="0"/>
    <n v="1"/>
    <n v="5.333333333333333"/>
  </r>
  <r>
    <s v="T205026"/>
    <s v="Capitals Vs Titans"/>
    <s v="Capitals"/>
    <x v="8"/>
    <s v="KuldeepYadav"/>
    <s v="not_out"/>
    <n v="1"/>
    <n v="1"/>
    <n v="0"/>
    <n v="0"/>
    <n v="6"/>
  </r>
  <r>
    <s v="T205026"/>
    <s v="Capitals Vs Titans"/>
    <s v="Capitals"/>
    <x v="9"/>
    <s v="AnrichNortje"/>
    <s v="not_out"/>
    <n v="4"/>
    <n v="2"/>
    <n v="1"/>
    <n v="0"/>
    <n v="2.6666666666666665"/>
  </r>
  <r>
    <s v="T205026"/>
    <s v="Capitals Vs Titans"/>
    <s v="Titans"/>
    <x v="0"/>
    <s v="WriddhimanSaha"/>
    <s v="out"/>
    <n v="14"/>
    <n v="7"/>
    <n v="2"/>
    <n v="1"/>
    <n v="6"/>
  </r>
  <r>
    <s v="T205026"/>
    <s v="Capitals Vs Titans"/>
    <s v="Titans"/>
    <x v="1"/>
    <s v="ShubmanGill"/>
    <s v="out"/>
    <n v="14"/>
    <n v="13"/>
    <n v="3"/>
    <n v="0"/>
    <n v="4"/>
  </r>
  <r>
    <s v="T205026"/>
    <s v="Capitals Vs Titans"/>
    <s v="Titans"/>
    <x v="2"/>
    <s v="SaiSudharsan"/>
    <s v="not_out"/>
    <n v="62"/>
    <n v="48"/>
    <n v="4"/>
    <n v="2"/>
    <e v="#DIV/0!"/>
  </r>
  <r>
    <s v="T205026"/>
    <s v="Capitals Vs Titans"/>
    <s v="Titans"/>
    <x v="3"/>
    <s v="HardikPandya"/>
    <s v="out"/>
    <n v="5"/>
    <n v="4"/>
    <n v="1"/>
    <n v="0"/>
    <n v="6.166666666666667"/>
  </r>
  <r>
    <s v="T205026"/>
    <s v="Capitals Vs Titans"/>
    <s v="Titans"/>
    <x v="4"/>
    <s v="VijayShankar"/>
    <s v="out"/>
    <n v="29"/>
    <n v="23"/>
    <n v="3"/>
    <n v="0"/>
    <n v="3.6666666666666665"/>
  </r>
  <r>
    <s v="T205026"/>
    <s v="Capitals Vs Titans"/>
    <s v="Titans"/>
    <x v="5"/>
    <s v="DavidMiller"/>
    <s v="not_out"/>
    <n v="31"/>
    <n v="16"/>
    <n v="2"/>
    <n v="2"/>
    <n v="6.5"/>
  </r>
  <r>
    <s v="T202790"/>
    <s v="Super Kings Vs Super Giants"/>
    <s v="Super Kings"/>
    <x v="0"/>
    <s v="RuturajGaikwad"/>
    <s v="out"/>
    <n v="57"/>
    <n v="31"/>
    <n v="3"/>
    <n v="4"/>
    <e v="#DIV/0!"/>
  </r>
  <r>
    <s v="T202790"/>
    <s v="Super Kings Vs Super Giants"/>
    <s v="Super Kings"/>
    <x v="1"/>
    <s v="DevonConway"/>
    <s v="out"/>
    <n v="47"/>
    <n v="29"/>
    <n v="5"/>
    <n v="2"/>
    <e v="#DIV/0!"/>
  </r>
  <r>
    <s v="T202790"/>
    <s v="Super Kings Vs Super Giants"/>
    <s v="Super Kings"/>
    <x v="2"/>
    <s v="ShivamDube"/>
    <s v="out"/>
    <n v="27"/>
    <n v="16"/>
    <n v="1"/>
    <n v="3"/>
    <n v="6.5"/>
  </r>
  <r>
    <s v="T202790"/>
    <s v="Super Kings Vs Super Giants"/>
    <s v="Super Kings"/>
    <x v="3"/>
    <s v="MoeenAli"/>
    <s v="out"/>
    <n v="19"/>
    <n v="13"/>
    <n v="3"/>
    <n v="0"/>
    <n v="4"/>
  </r>
  <r>
    <s v="T202790"/>
    <s v="Super Kings Vs Super Giants"/>
    <s v="Super Kings"/>
    <x v="4"/>
    <s v="BenStokes"/>
    <s v="out"/>
    <n v="8"/>
    <n v="8"/>
    <n v="1"/>
    <n v="0"/>
    <n v="4.8"/>
  </r>
  <r>
    <s v="T202790"/>
    <s v="Super Kings Vs Super Giants"/>
    <s v="Super Kings"/>
    <x v="5"/>
    <s v="AmbatiRayudu"/>
    <s v="not_out"/>
    <n v="27"/>
    <n v="14"/>
    <n v="2"/>
    <n v="2"/>
    <n v="8"/>
  </r>
  <r>
    <s v="T202790"/>
    <s v="Super Kings Vs Super Giants"/>
    <s v="Super Kings"/>
    <x v="6"/>
    <s v="RavindraJadeja"/>
    <s v="out"/>
    <n v="3"/>
    <n v="6"/>
    <n v="0"/>
    <n v="0"/>
    <n v="8.6666666666666661"/>
  </r>
  <r>
    <s v="T202790"/>
    <s v="Super Kings Vs Super Giants"/>
    <s v="Super Kings"/>
    <x v="7"/>
    <s v="MSDhoni"/>
    <s v="out"/>
    <n v="12"/>
    <n v="3"/>
    <n v="0"/>
    <n v="2"/>
    <e v="#DIV/0!"/>
  </r>
  <r>
    <s v="T202790"/>
    <s v="Super Kings Vs Super Giants"/>
    <s v="Super Kings"/>
    <x v="8"/>
    <s v="MitchellSantner"/>
    <s v="not_out"/>
    <n v="1"/>
    <n v="1"/>
    <n v="0"/>
    <n v="0"/>
    <n v="5.625"/>
  </r>
  <r>
    <s v="T202790"/>
    <s v="Super Kings Vs Super Giants"/>
    <s v="Super Giants"/>
    <x v="0"/>
    <s v="KLRahul"/>
    <s v="out"/>
    <n v="20"/>
    <n v="18"/>
    <n v="2"/>
    <n v="0"/>
    <n v="7.5"/>
  </r>
  <r>
    <s v="T202790"/>
    <s v="Super Kings Vs Super Giants"/>
    <s v="Super Giants"/>
    <x v="1"/>
    <s v="KyleMayers"/>
    <s v="out"/>
    <n v="53"/>
    <n v="22"/>
    <n v="8"/>
    <n v="2"/>
    <n v="3.6666666666666665"/>
  </r>
  <r>
    <s v="T202790"/>
    <s v="Super Kings Vs Super Giants"/>
    <s v="Super Giants"/>
    <x v="2"/>
    <s v="DeepakHooda"/>
    <s v="out"/>
    <n v="2"/>
    <n v="6"/>
    <n v="0"/>
    <n v="0"/>
    <n v="8.6666666666666661"/>
  </r>
  <r>
    <s v="T202790"/>
    <s v="Super Kings Vs Super Giants"/>
    <s v="Super Giants"/>
    <x v="3"/>
    <s v="KrunalPandya"/>
    <s v="out"/>
    <n v="9"/>
    <n v="9"/>
    <n v="0"/>
    <n v="1"/>
    <n v="4"/>
  </r>
  <r>
    <s v="T202790"/>
    <s v="Super Kings Vs Super Giants"/>
    <s v="Super Giants"/>
    <x v="4"/>
    <s v="MarcusStoinis"/>
    <s v="out"/>
    <n v="21"/>
    <n v="18"/>
    <n v="0"/>
    <n v="1"/>
    <n v="7.5"/>
  </r>
  <r>
    <s v="T202790"/>
    <s v="Super Kings Vs Super Giants"/>
    <s v="Super Giants"/>
    <x v="5"/>
    <s v="NicholasPooran"/>
    <s v="out"/>
    <n v="32"/>
    <n v="18"/>
    <n v="2"/>
    <n v="3"/>
    <n v="7.5"/>
  </r>
  <r>
    <s v="T202790"/>
    <s v="Super Kings Vs Super Giants"/>
    <s v="Super Giants"/>
    <x v="6"/>
    <s v="AyushBadoni"/>
    <s v="out"/>
    <n v="23"/>
    <n v="18"/>
    <n v="0"/>
    <n v="0"/>
    <n v="7.5"/>
  </r>
  <r>
    <s v="T202790"/>
    <s v="Super Kings Vs Super Giants"/>
    <s v="Super Giants"/>
    <x v="7"/>
    <s v="KrishnappaGowtham"/>
    <s v="not_out"/>
    <n v="17"/>
    <n v="11"/>
    <n v="0"/>
    <n v="1"/>
    <n v="7"/>
  </r>
  <r>
    <s v="T202790"/>
    <s v="Super Kings Vs Super Giants"/>
    <s v="Super Giants"/>
    <x v="8"/>
    <s v="MarkWood"/>
    <s v="not_out"/>
    <n v="10"/>
    <n v="3"/>
    <n v="1"/>
    <n v="1"/>
    <e v="#DIV/0!"/>
  </r>
  <r>
    <s v="T202485"/>
    <s v="Mumbai Vs RCB"/>
    <s v="Mumbai"/>
    <x v="0"/>
    <s v="RohitSharma"/>
    <s v="out"/>
    <n v="1"/>
    <n v="10"/>
    <n v="0"/>
    <n v="0"/>
    <n v="4.5"/>
  </r>
  <r>
    <s v="T202485"/>
    <s v="Mumbai Vs RCB"/>
    <s v="Mumbai"/>
    <x v="1"/>
    <s v="IshanKishan"/>
    <s v="out"/>
    <n v="10"/>
    <n v="13"/>
    <n v="2"/>
    <n v="0"/>
    <n v="4"/>
  </r>
  <r>
    <s v="T202485"/>
    <s v="Mumbai Vs RCB"/>
    <s v="Mumbai"/>
    <x v="2"/>
    <s v="CameronGreen"/>
    <s v="out"/>
    <n v="5"/>
    <n v="4"/>
    <n v="1"/>
    <n v="0"/>
    <n v="6.166666666666667"/>
  </r>
  <r>
    <s v="T202485"/>
    <s v="Mumbai Vs RCB"/>
    <s v="Mumbai"/>
    <x v="3"/>
    <s v="SuryakumarYadav"/>
    <s v="out"/>
    <n v="15"/>
    <n v="16"/>
    <n v="1"/>
    <n v="0"/>
    <n v="6.5"/>
  </r>
  <r>
    <s v="T202485"/>
    <s v="Mumbai Vs RCB"/>
    <s v="Mumbai"/>
    <x v="4"/>
    <s v="TilakVarma"/>
    <s v="not_out"/>
    <n v="84"/>
    <n v="46"/>
    <n v="9"/>
    <n v="4"/>
    <e v="#DIV/0!"/>
  </r>
  <r>
    <s v="T202485"/>
    <s v="Mumbai Vs RCB"/>
    <s v="Mumbai"/>
    <x v="5"/>
    <s v="NehalWadhera"/>
    <s v="out"/>
    <n v="21"/>
    <n v="13"/>
    <n v="1"/>
    <n v="2"/>
    <n v="4"/>
  </r>
  <r>
    <s v="T202485"/>
    <s v="Mumbai Vs RCB"/>
    <s v="Mumbai"/>
    <x v="6"/>
    <s v="TimDavid"/>
    <s v="out"/>
    <n v="4"/>
    <n v="7"/>
    <n v="0"/>
    <n v="0"/>
    <n v="6"/>
  </r>
  <r>
    <s v="T202485"/>
    <s v="Mumbai Vs RCB"/>
    <s v="Mumbai"/>
    <x v="7"/>
    <s v="HrithikShokeen"/>
    <s v="out"/>
    <n v="5"/>
    <n v="3"/>
    <n v="1"/>
    <n v="0"/>
    <e v="#DIV/0!"/>
  </r>
  <r>
    <s v="T202485"/>
    <s v="Mumbai Vs RCB"/>
    <s v="Mumbai"/>
    <x v="8"/>
    <s v="ArshadKhan"/>
    <s v="not_out"/>
    <n v="15"/>
    <n v="9"/>
    <n v="0"/>
    <n v="1"/>
    <e v="#DIV/0!"/>
  </r>
  <r>
    <s v="T202485"/>
    <s v="Mumbai Vs RCB"/>
    <s v="RCB"/>
    <x v="0"/>
    <s v="ViratKohli"/>
    <s v="not_out"/>
    <n v="82"/>
    <n v="49"/>
    <n v="6"/>
    <n v="5"/>
    <e v="#DIV/0!"/>
  </r>
  <r>
    <s v="T202485"/>
    <s v="Mumbai Vs RCB"/>
    <s v="RCB"/>
    <x v="1"/>
    <s v="FafduPlessis"/>
    <s v="out"/>
    <n v="73"/>
    <n v="43"/>
    <n v="5"/>
    <n v="6"/>
    <e v="#DIV/0!"/>
  </r>
  <r>
    <s v="T202485"/>
    <s v="Mumbai Vs RCB"/>
    <s v="RCB"/>
    <x v="2"/>
    <s v="DineshKarthik"/>
    <s v="out"/>
    <n v="0"/>
    <n v="3"/>
    <n v="0"/>
    <n v="0"/>
    <e v="#DIV/0!"/>
  </r>
  <r>
    <s v="T202485"/>
    <s v="Mumbai Vs RCB"/>
    <s v="RCB"/>
    <x v="3"/>
    <s v="GlennMaxwell"/>
    <s v="not_out"/>
    <n v="12"/>
    <n v="3"/>
    <n v="0"/>
    <n v="2"/>
    <e v="#DIV/0!"/>
  </r>
  <r>
    <s v="T209117"/>
    <s v="Royals Vs Sunrisers"/>
    <s v="Royals"/>
    <x v="0"/>
    <s v="YashasviJaiswal"/>
    <s v="out"/>
    <n v="54"/>
    <n v="37"/>
    <n v="9"/>
    <n v="0"/>
    <e v="#DIV/0!"/>
  </r>
  <r>
    <s v="T209117"/>
    <s v="Royals Vs Sunrisers"/>
    <s v="Royals"/>
    <x v="1"/>
    <s v="JosButtler"/>
    <s v="out"/>
    <n v="54"/>
    <n v="22"/>
    <n v="7"/>
    <n v="3"/>
    <n v="3.6666666666666665"/>
  </r>
  <r>
    <s v="T209117"/>
    <s v="Royals Vs Sunrisers"/>
    <s v="Royals"/>
    <x v="2"/>
    <s v="SanjuSamson"/>
    <s v="out"/>
    <n v="55"/>
    <n v="32"/>
    <n v="3"/>
    <n v="4"/>
    <n v="7"/>
  </r>
  <r>
    <s v="T209117"/>
    <s v="Royals Vs Sunrisers"/>
    <s v="Royals"/>
    <x v="3"/>
    <s v="DevduttPadikkal"/>
    <s v="out"/>
    <n v="2"/>
    <n v="5"/>
    <n v="0"/>
    <n v="0"/>
    <e v="#DIV/0!"/>
  </r>
  <r>
    <s v="T209117"/>
    <s v="Royals Vs Sunrisers"/>
    <s v="Royals"/>
    <x v="4"/>
    <s v="RiyanParag"/>
    <s v="out"/>
    <n v="7"/>
    <n v="6"/>
    <n v="1"/>
    <n v="0"/>
    <n v="8.6666666666666661"/>
  </r>
  <r>
    <s v="T209117"/>
    <s v="Royals Vs Sunrisers"/>
    <s v="Royals"/>
    <x v="5"/>
    <s v="ShimronHetmyer"/>
    <s v="not_out"/>
    <n v="22"/>
    <n v="16"/>
    <n v="1"/>
    <n v="1"/>
    <n v="6.5"/>
  </r>
  <r>
    <s v="T209117"/>
    <s v="Royals Vs Sunrisers"/>
    <s v="Royals"/>
    <x v="6"/>
    <s v="RavichandranAshwin"/>
    <s v="not_out"/>
    <n v="1"/>
    <n v="2"/>
    <n v="0"/>
    <n v="0"/>
    <n v="1"/>
  </r>
  <r>
    <s v="T209117"/>
    <s v="Royals Vs Sunrisers"/>
    <s v="Sunrisers"/>
    <x v="0"/>
    <s v="AbhishekSharma"/>
    <s v="out"/>
    <n v="0"/>
    <n v="3"/>
    <n v="0"/>
    <n v="0"/>
    <e v="#DIV/0!"/>
  </r>
  <r>
    <s v="T209117"/>
    <s v="Royals Vs Sunrisers"/>
    <s v="Sunrisers"/>
    <x v="1"/>
    <s v="MayankAgarwal"/>
    <s v="out"/>
    <n v="27"/>
    <n v="23"/>
    <n v="3"/>
    <n v="0"/>
    <n v="2"/>
  </r>
  <r>
    <s v="T209117"/>
    <s v="Royals Vs Sunrisers"/>
    <s v="Sunrisers"/>
    <x v="2"/>
    <s v="RahulTripathi"/>
    <s v="out"/>
    <n v="0"/>
    <n v="2"/>
    <n v="0"/>
    <n v="0"/>
    <n v="1"/>
  </r>
  <r>
    <s v="T209117"/>
    <s v="Royals Vs Sunrisers"/>
    <s v="Sunrisers"/>
    <x v="3"/>
    <s v="HarryBrook"/>
    <s v="out"/>
    <n v="13"/>
    <n v="21"/>
    <n v="1"/>
    <n v="0"/>
    <n v="4"/>
  </r>
  <r>
    <s v="T209117"/>
    <s v="Royals Vs Sunrisers"/>
    <s v="Sunrisers"/>
    <x v="4"/>
    <s v="WashingtonSundar"/>
    <s v="out"/>
    <n v="1"/>
    <n v="5"/>
    <n v="0"/>
    <n v="0"/>
    <e v="#DIV/0!"/>
  </r>
  <r>
    <s v="T209117"/>
    <s v="Royals Vs Sunrisers"/>
    <s v="Sunrisers"/>
    <x v="5"/>
    <s v="GlennPhillips"/>
    <s v="out"/>
    <n v="8"/>
    <n v="6"/>
    <n v="0"/>
    <n v="1"/>
    <n v="8.6666666666666661"/>
  </r>
  <r>
    <s v="T209117"/>
    <s v="Royals Vs Sunrisers"/>
    <s v="Sunrisers"/>
    <x v="6"/>
    <s v="AbdulSamad"/>
    <s v="not_out"/>
    <n v="32"/>
    <n v="32"/>
    <n v="2"/>
    <n v="1"/>
    <n v="7"/>
  </r>
  <r>
    <s v="T209117"/>
    <s v="Royals Vs Sunrisers"/>
    <s v="Sunrisers"/>
    <x v="7"/>
    <s v="AdilRashid"/>
    <s v="out"/>
    <n v="18"/>
    <n v="13"/>
    <n v="1"/>
    <n v="1"/>
    <e v="#DIV/0!"/>
  </r>
  <r>
    <s v="T209117"/>
    <s v="Royals Vs Sunrisers"/>
    <s v="Sunrisers"/>
    <x v="8"/>
    <s v="BhuvneshwarKumar"/>
    <s v="out"/>
    <n v="6"/>
    <n v="10"/>
    <n v="0"/>
    <n v="0"/>
    <n v="7"/>
  </r>
  <r>
    <s v="T209117"/>
    <s v="Royals Vs Sunrisers"/>
    <s v="Sunrisers"/>
    <x v="9"/>
    <s v="UmranMalik"/>
    <s v="not_out"/>
    <n v="19"/>
    <n v="8"/>
    <n v="1"/>
    <n v="2"/>
    <n v="4.333333333333333"/>
  </r>
  <r>
    <s v="T208512"/>
    <s v="Super Giants Vs Capitals"/>
    <s v="Super Giants"/>
    <x v="0"/>
    <s v="KLRahul"/>
    <s v="out"/>
    <n v="8"/>
    <n v="12"/>
    <n v="0"/>
    <n v="1"/>
    <n v="3.6666666666666665"/>
  </r>
  <r>
    <s v="T208512"/>
    <s v="Super Giants Vs Capitals"/>
    <s v="Super Giants"/>
    <x v="1"/>
    <s v="KyleMayers"/>
    <s v="out"/>
    <n v="73"/>
    <n v="38"/>
    <n v="2"/>
    <n v="7"/>
    <e v="#DIV/0!"/>
  </r>
  <r>
    <s v="T208512"/>
    <s v="Super Giants Vs Capitals"/>
    <s v="Super Giants"/>
    <x v="2"/>
    <s v="DeepakHooda"/>
    <s v="out"/>
    <n v="17"/>
    <n v="18"/>
    <n v="0"/>
    <n v="0"/>
    <n v="7"/>
  </r>
  <r>
    <s v="T208512"/>
    <s v="Super Giants Vs Capitals"/>
    <s v="Super Giants"/>
    <x v="3"/>
    <s v="KrunalPandya"/>
    <s v="not_out"/>
    <n v="15"/>
    <n v="13"/>
    <n v="0"/>
    <n v="1"/>
    <e v="#DIV/0!"/>
  </r>
  <r>
    <s v="T208512"/>
    <s v="Super Giants Vs Capitals"/>
    <s v="Super Giants"/>
    <x v="4"/>
    <s v="MarcusStoinis"/>
    <s v="out"/>
    <n v="12"/>
    <n v="10"/>
    <n v="0"/>
    <n v="1"/>
    <n v="7"/>
  </r>
  <r>
    <s v="T208512"/>
    <s v="Super Giants Vs Capitals"/>
    <s v="Super Giants"/>
    <x v="5"/>
    <s v="NicholasPooran"/>
    <s v="out"/>
    <n v="36"/>
    <n v="21"/>
    <n v="2"/>
    <n v="3"/>
    <n v="4"/>
  </r>
  <r>
    <s v="T208512"/>
    <s v="Super Giants Vs Capitals"/>
    <s v="Super Giants"/>
    <x v="6"/>
    <s v="AyushBadoni"/>
    <s v="out"/>
    <n v="18"/>
    <n v="7"/>
    <n v="1"/>
    <n v="2"/>
    <n v="6.5"/>
  </r>
  <r>
    <s v="T208512"/>
    <s v="Super Giants Vs Capitals"/>
    <s v="Super Giants"/>
    <x v="7"/>
    <s v="KrishnappaGowtham"/>
    <s v="not_out"/>
    <n v="6"/>
    <n v="1"/>
    <n v="0"/>
    <n v="1"/>
    <n v="5.75"/>
  </r>
  <r>
    <s v="T208512"/>
    <s v="Super Giants Vs Capitals"/>
    <s v="Capitals"/>
    <x v="0"/>
    <s v="PrithviShaw"/>
    <s v="out"/>
    <n v="12"/>
    <n v="9"/>
    <n v="2"/>
    <n v="0"/>
    <e v="#DIV/0!"/>
  </r>
  <r>
    <s v="T208512"/>
    <s v="Super Giants Vs Capitals"/>
    <s v="Capitals"/>
    <x v="1"/>
    <s v="DavidWarner"/>
    <s v="out"/>
    <n v="56"/>
    <n v="48"/>
    <n v="7"/>
    <n v="0"/>
    <e v="#DIV/0!"/>
  </r>
  <r>
    <s v="T208512"/>
    <s v="Super Giants Vs Capitals"/>
    <s v="Capitals"/>
    <x v="2"/>
    <s v="MitchellMarsh"/>
    <s v="out"/>
    <n v="0"/>
    <n v="1"/>
    <n v="0"/>
    <n v="0"/>
    <n v="5.75"/>
  </r>
  <r>
    <s v="T208512"/>
    <s v="Super Giants Vs Capitals"/>
    <s v="Capitals"/>
    <x v="3"/>
    <s v="SarfarazKhan"/>
    <s v="out"/>
    <n v="4"/>
    <n v="9"/>
    <n v="1"/>
    <n v="0"/>
    <e v="#DIV/0!"/>
  </r>
  <r>
    <s v="T208512"/>
    <s v="Super Giants Vs Capitals"/>
    <s v="Capitals"/>
    <x v="4"/>
    <s v="RileeRossouw"/>
    <s v="out"/>
    <n v="30"/>
    <n v="20"/>
    <n v="3"/>
    <n v="1"/>
    <e v="#DIV/0!"/>
  </r>
  <r>
    <s v="T208512"/>
    <s v="Super Giants Vs Capitals"/>
    <s v="Capitals"/>
    <x v="5"/>
    <s v="RovmanPowell"/>
    <s v="out"/>
    <n v="1"/>
    <n v="3"/>
    <n v="0"/>
    <n v="0"/>
    <e v="#DIV/0!"/>
  </r>
  <r>
    <s v="T208512"/>
    <s v="Super Giants Vs Capitals"/>
    <s v="Capitals"/>
    <x v="6"/>
    <s v="AmanHakimKhan"/>
    <s v="out"/>
    <n v="4"/>
    <n v="5"/>
    <n v="0"/>
    <n v="0"/>
    <e v="#DIV/0!"/>
  </r>
  <r>
    <s v="T208512"/>
    <s v="Super Giants Vs Capitals"/>
    <s v="Capitals"/>
    <x v="7"/>
    <s v="AxarPatel"/>
    <s v="out"/>
    <n v="16"/>
    <n v="11"/>
    <n v="1"/>
    <n v="1"/>
    <n v="7"/>
  </r>
  <r>
    <s v="T208512"/>
    <s v="Super Giants Vs Capitals"/>
    <s v="Capitals"/>
    <x v="8"/>
    <s v="KuldeepYadav"/>
    <s v="not_out"/>
    <n v="6"/>
    <n v="10"/>
    <n v="0"/>
    <n v="0"/>
    <n v="7"/>
  </r>
  <r>
    <s v="T208512"/>
    <s v="Super Giants Vs Capitals"/>
    <s v="Capitals"/>
    <x v="9"/>
    <s v="ChetanSakariya"/>
    <s v="out"/>
    <n v="4"/>
    <n v="4"/>
    <n v="1"/>
    <n v="0"/>
    <n v="6.333333333333333"/>
  </r>
  <r>
    <s v="T208512"/>
    <s v="Super Giants Vs Capitals"/>
    <s v="Capitals"/>
    <x v="10"/>
    <s v="MukeshKumar"/>
    <s v="not_out"/>
    <n v="0"/>
    <n v="1"/>
    <n v="0"/>
    <n v="0"/>
    <n v="5.666666666666667"/>
  </r>
  <r>
    <s v="T202853"/>
    <s v="Punjab Kings Vs KKR"/>
    <s v="Punjab Kings"/>
    <x v="0"/>
    <s v="PrabhsimranSingh"/>
    <s v="out"/>
    <n v="23"/>
    <n v="12"/>
    <n v="2"/>
    <n v="2"/>
    <n v="5"/>
  </r>
  <r>
    <s v="T202853"/>
    <s v="Punjab Kings Vs KKR"/>
    <s v="Punjab Kings"/>
    <x v="1"/>
    <s v="ShikharDhawan"/>
    <s v="out"/>
    <n v="40"/>
    <n v="29"/>
    <n v="6"/>
    <n v="0"/>
    <e v="#DIV/0!"/>
  </r>
  <r>
    <s v="T202853"/>
    <s v="Punjab Kings Vs KKR"/>
    <s v="Punjab Kings"/>
    <x v="2"/>
    <s v="BhanukaRajapaksa"/>
    <s v="out"/>
    <n v="50"/>
    <n v="32"/>
    <n v="5"/>
    <n v="2"/>
    <e v="#DIV/0!"/>
  </r>
  <r>
    <s v="T202853"/>
    <s v="Punjab Kings Vs KKR"/>
    <s v="Punjab Kings"/>
    <x v="3"/>
    <s v="JiteshSharma"/>
    <s v="out"/>
    <n v="21"/>
    <n v="11"/>
    <n v="1"/>
    <n v="2"/>
    <n v="7"/>
  </r>
  <r>
    <s v="T202853"/>
    <s v="Punjab Kings Vs KKR"/>
    <s v="Punjab Kings"/>
    <x v="4"/>
    <s v="SikandarRaza"/>
    <s v="out"/>
    <n v="16"/>
    <n v="13"/>
    <n v="1"/>
    <n v="1"/>
    <e v="#DIV/0!"/>
  </r>
  <r>
    <s v="T202853"/>
    <s v="Punjab Kings Vs KKR"/>
    <s v="Punjab Kings"/>
    <x v="5"/>
    <s v="SamCurran"/>
    <s v="not_out"/>
    <n v="26"/>
    <n v="17"/>
    <n v="0"/>
    <n v="2"/>
    <e v="#DIV/0!"/>
  </r>
  <r>
    <s v="T202853"/>
    <s v="Punjab Kings Vs KKR"/>
    <s v="Punjab Kings"/>
    <x v="6"/>
    <s v="MShahrukhKhan"/>
    <s v="not_out"/>
    <n v="11"/>
    <n v="7"/>
    <n v="2"/>
    <n v="0"/>
    <n v="6.5"/>
  </r>
  <r>
    <s v="T202853"/>
    <s v="Punjab Kings Vs KKR"/>
    <s v="KKR"/>
    <x v="0"/>
    <s v="MandeepSingh"/>
    <s v="out"/>
    <n v="2"/>
    <n v="4"/>
    <n v="0"/>
    <n v="0"/>
    <n v="4.5"/>
  </r>
  <r>
    <s v="T202853"/>
    <s v="Punjab Kings Vs KKR"/>
    <s v="KKR"/>
    <x v="1"/>
    <s v="RahmanullahGurbaz"/>
    <s v="out"/>
    <n v="22"/>
    <n v="16"/>
    <n v="3"/>
    <n v="1"/>
    <e v="#DIV/0!"/>
  </r>
  <r>
    <s v="T202853"/>
    <s v="Punjab Kings Vs KKR"/>
    <s v="KKR"/>
    <x v="2"/>
    <s v="AnukulRoy"/>
    <s v="out"/>
    <n v="4"/>
    <n v="5"/>
    <n v="1"/>
    <n v="0"/>
    <e v="#DIV/0!"/>
  </r>
  <r>
    <s v="T202853"/>
    <s v="Punjab Kings Vs KKR"/>
    <s v="KKR"/>
    <x v="3"/>
    <s v="VenkateshIyer"/>
    <s v="out"/>
    <n v="34"/>
    <n v="28"/>
    <n v="3"/>
    <n v="1"/>
    <e v="#DIV/0!"/>
  </r>
  <r>
    <s v="T202853"/>
    <s v="Punjab Kings Vs KKR"/>
    <s v="KKR"/>
    <x v="4"/>
    <s v="NitishRana"/>
    <s v="out"/>
    <n v="24"/>
    <n v="17"/>
    <n v="3"/>
    <n v="1"/>
    <e v="#DIV/0!"/>
  </r>
  <r>
    <s v="T202853"/>
    <s v="Punjab Kings Vs KKR"/>
    <s v="KKR"/>
    <x v="5"/>
    <s v="RinkuSingh"/>
    <s v="out"/>
    <n v="4"/>
    <n v="4"/>
    <n v="0"/>
    <n v="0"/>
    <n v="6"/>
  </r>
  <r>
    <s v="T202853"/>
    <s v="Punjab Kings Vs KKR"/>
    <s v="KKR"/>
    <x v="6"/>
    <s v="AndreRussell"/>
    <s v="out"/>
    <n v="35"/>
    <n v="19"/>
    <n v="3"/>
    <n v="2"/>
    <n v="6"/>
  </r>
  <r>
    <s v="T202853"/>
    <s v="Punjab Kings Vs KKR"/>
    <s v="KKR"/>
    <x v="7"/>
    <s v="ShardulThakur"/>
    <s v="not_out"/>
    <n v="8"/>
    <n v="3"/>
    <n v="0"/>
    <n v="1"/>
    <e v="#DIV/0!"/>
  </r>
  <r>
    <s v="T202853"/>
    <s v="Punjab Kings Vs KKR"/>
    <s v="KKR"/>
    <x v="8"/>
    <s v="SunilNarine"/>
    <s v="not_out"/>
    <n v="7"/>
    <n v="2"/>
    <n v="0"/>
    <n v="1"/>
    <e v="#DIV/0!"/>
  </r>
  <r>
    <s v="T201566"/>
    <s v="Super Kings Vs Titans"/>
    <s v="Super Kings"/>
    <x v="0"/>
    <s v="DevonConway"/>
    <s v="out"/>
    <n v="1"/>
    <n v="6"/>
    <n v="0"/>
    <n v="0"/>
    <e v="#DIV/0!"/>
  </r>
  <r>
    <s v="T201566"/>
    <s v="Super Kings Vs Titans"/>
    <s v="Super Kings"/>
    <x v="1"/>
    <s v="RuturajGaikwad"/>
    <s v="out"/>
    <n v="92"/>
    <n v="50"/>
    <n v="4"/>
    <n v="9"/>
    <e v="#DIV/0!"/>
  </r>
  <r>
    <s v="T201566"/>
    <s v="Super Kings Vs Titans"/>
    <s v="Super Kings"/>
    <x v="2"/>
    <s v="MoeenAli"/>
    <s v="out"/>
    <n v="23"/>
    <n v="17"/>
    <n v="4"/>
    <n v="1"/>
    <e v="#DIV/0!"/>
  </r>
  <r>
    <s v="T201566"/>
    <s v="Super Kings Vs Titans"/>
    <s v="Super Kings"/>
    <x v="3"/>
    <s v="BenStokes"/>
    <s v="out"/>
    <n v="7"/>
    <n v="6"/>
    <n v="1"/>
    <n v="0"/>
    <e v="#DIV/0!"/>
  </r>
  <r>
    <s v="T201566"/>
    <s v="Super Kings Vs Titans"/>
    <s v="Super Kings"/>
    <x v="4"/>
    <s v="AmbatiRayudu"/>
    <s v="out"/>
    <n v="12"/>
    <n v="12"/>
    <n v="0"/>
    <n v="1"/>
    <n v="5"/>
  </r>
  <r>
    <s v="T201566"/>
    <s v="Super Kings Vs Titans"/>
    <s v="Super Kings"/>
    <x v="5"/>
    <s v="ShivamDube"/>
    <s v="out"/>
    <n v="19"/>
    <n v="18"/>
    <n v="0"/>
    <n v="1"/>
    <e v="#DIV/0!"/>
  </r>
  <r>
    <s v="T201566"/>
    <s v="Super Kings Vs Titans"/>
    <s v="Super Kings"/>
    <x v="6"/>
    <s v="RavindraJadeja"/>
    <s v="out"/>
    <n v="1"/>
    <n v="2"/>
    <n v="0"/>
    <n v="0"/>
    <e v="#DIV/0!"/>
  </r>
  <r>
    <s v="T201566"/>
    <s v="Super Kings Vs Titans"/>
    <s v="Super Kings"/>
    <x v="7"/>
    <s v="MSDhoni"/>
    <s v="not_out"/>
    <n v="14"/>
    <n v="7"/>
    <n v="1"/>
    <n v="1"/>
    <e v="#DIV/0!"/>
  </r>
  <r>
    <s v="T201566"/>
    <s v="Super Kings Vs Titans"/>
    <s v="Super Kings"/>
    <x v="8"/>
    <s v="MitchellSantner"/>
    <s v="not_out"/>
    <n v="1"/>
    <n v="3"/>
    <n v="0"/>
    <n v="0"/>
    <e v="#DIV/0!"/>
  </r>
  <r>
    <s v="T201566"/>
    <s v="Super Kings Vs Titans"/>
    <s v="Titans"/>
    <x v="0"/>
    <s v="WriddhimanSaha"/>
    <s v="out"/>
    <n v="25"/>
    <n v="16"/>
    <n v="2"/>
    <n v="2"/>
    <e v="#DIV/0!"/>
  </r>
  <r>
    <s v="T201566"/>
    <s v="Super Kings Vs Titans"/>
    <s v="Titans"/>
    <x v="1"/>
    <s v="ShubmanGill"/>
    <s v="out"/>
    <n v="63"/>
    <n v="36"/>
    <n v="6"/>
    <n v="3"/>
    <e v="#DIV/0!"/>
  </r>
  <r>
    <s v="T201566"/>
    <s v="Super Kings Vs Titans"/>
    <s v="Titans"/>
    <x v="2"/>
    <s v="SaiSudharsan"/>
    <s v="out"/>
    <n v="22"/>
    <n v="17"/>
    <n v="3"/>
    <n v="0"/>
    <e v="#DIV/0!"/>
  </r>
  <r>
    <s v="T201566"/>
    <s v="Super Kings Vs Titans"/>
    <s v="Titans"/>
    <x v="3"/>
    <s v="HardikPandya"/>
    <s v="out"/>
    <n v="8"/>
    <n v="11"/>
    <n v="0"/>
    <n v="0"/>
    <e v="#DIV/0!"/>
  </r>
  <r>
    <s v="T201566"/>
    <s v="Super Kings Vs Titans"/>
    <s v="Titans"/>
    <x v="4"/>
    <s v="VijayShankar"/>
    <s v="out"/>
    <n v="27"/>
    <n v="21"/>
    <n v="2"/>
    <n v="1"/>
    <e v="#DIV/0!"/>
  </r>
  <r>
    <s v="T201566"/>
    <s v="Super Kings Vs Titans"/>
    <s v="Titans"/>
    <x v="5"/>
    <s v="RahulTewatia"/>
    <s v="not_out"/>
    <n v="15"/>
    <n v="14"/>
    <n v="1"/>
    <n v="1"/>
    <e v="#DIV/0!"/>
  </r>
  <r>
    <s v="T201566"/>
    <s v="Super Kings Vs Titans"/>
    <s v="Titans"/>
    <x v="6"/>
    <s v="RashidKhan"/>
    <s v="not_out"/>
    <n v="10"/>
    <n v="3"/>
    <n v="1"/>
    <n v="1"/>
    <e v="#DIV/0!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A13BB1-30E2-4DF7-8B41-5FA60DE88198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BATTING POSITION">
  <location ref="C4:D5" firstHeaderRow="1" firstDataRow="1" firstDataCol="1"/>
  <pivotFields count="11">
    <pivotField showAll="0"/>
    <pivotField showAll="0"/>
    <pivotField showAll="0"/>
    <pivotField axis="axisRow" showAll="0" measureFilter="1" sortType="descending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3"/>
  </rowFields>
  <rowItems count="1">
    <i>
      <x v="1"/>
    </i>
  </rowItems>
  <colItems count="1">
    <i/>
  </colItems>
  <dataFields count="1">
    <dataField name=" runs" fld="6" baseField="3" baseItem="1"/>
  </dataFields>
  <formats count="5">
    <format dxfId="6">
      <pivotArea type="all" dataOnly="0" outline="0" fieldPosition="0"/>
    </format>
    <format dxfId="5">
      <pivotArea outline="0" collapsedLevelsAreSubtotals="1" fieldPosition="0"/>
    </format>
    <format dxfId="4">
      <pivotArea field="3" type="button" dataOnly="0" labelOnly="1" outline="0" axis="axisRow" fieldPosition="0"/>
    </format>
    <format dxfId="3">
      <pivotArea dataOnly="0" labelOnly="1" fieldPosition="0">
        <references count="1">
          <reference field="3" count="1">
            <x v="1"/>
          </reference>
        </references>
      </pivotArea>
    </format>
    <format dxfId="2">
      <pivotArea dataOnly="0" labelOnly="1" outline="0" axis="axisValues" fieldPosition="0"/>
    </format>
  </format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15903-D8A5-464F-BB30-2F549C56FBE6}">
  <dimension ref="A2:C10"/>
  <sheetViews>
    <sheetView zoomScaleNormal="100" workbookViewId="0">
      <selection activeCell="B7" sqref="B7"/>
    </sheetView>
  </sheetViews>
  <sheetFormatPr defaultRowHeight="14.25" x14ac:dyDescent="0.45"/>
  <cols>
    <col min="1" max="1" width="16.1328125" bestFit="1" customWidth="1"/>
    <col min="2" max="2" width="101.265625" customWidth="1"/>
  </cols>
  <sheetData>
    <row r="2" spans="1:3" ht="42.75" x14ac:dyDescent="0.45">
      <c r="A2" s="5" t="s">
        <v>716</v>
      </c>
      <c r="B2" s="4" t="s">
        <v>727</v>
      </c>
    </row>
    <row r="3" spans="1:3" x14ac:dyDescent="0.45">
      <c r="B3" t="s">
        <v>720</v>
      </c>
    </row>
    <row r="5" spans="1:3" x14ac:dyDescent="0.45">
      <c r="A5" s="2" t="s">
        <v>717</v>
      </c>
      <c r="B5" s="2" t="s">
        <v>718</v>
      </c>
      <c r="C5" s="2" t="s">
        <v>719</v>
      </c>
    </row>
    <row r="6" spans="1:3" ht="28.5" x14ac:dyDescent="0.45">
      <c r="A6" s="3">
        <v>1</v>
      </c>
      <c r="B6" s="19" t="s">
        <v>726</v>
      </c>
      <c r="C6" s="3">
        <v>5</v>
      </c>
    </row>
    <row r="7" spans="1:3" ht="42.75" x14ac:dyDescent="0.45">
      <c r="A7" s="3">
        <v>2</v>
      </c>
      <c r="B7" s="19" t="s">
        <v>728</v>
      </c>
      <c r="C7" s="3">
        <v>5</v>
      </c>
    </row>
    <row r="8" spans="1:3" ht="42.75" x14ac:dyDescent="0.45">
      <c r="A8" s="3">
        <v>3</v>
      </c>
      <c r="B8" s="19" t="s">
        <v>729</v>
      </c>
      <c r="C8" s="3">
        <v>6</v>
      </c>
    </row>
    <row r="9" spans="1:3" ht="42.75" x14ac:dyDescent="0.45">
      <c r="A9" s="3">
        <v>4</v>
      </c>
      <c r="B9" s="19" t="s">
        <v>730</v>
      </c>
      <c r="C9" s="3">
        <v>6</v>
      </c>
    </row>
    <row r="10" spans="1:3" ht="57" x14ac:dyDescent="0.45">
      <c r="A10" s="3">
        <v>5</v>
      </c>
      <c r="B10" s="19" t="s">
        <v>731</v>
      </c>
      <c r="C10" s="3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5AB31-FC61-4314-BA82-04E2B3B016E0}">
  <dimension ref="A1:F207"/>
  <sheetViews>
    <sheetView workbookViewId="0">
      <selection activeCell="G1" sqref="G1"/>
    </sheetView>
  </sheetViews>
  <sheetFormatPr defaultRowHeight="14.25" x14ac:dyDescent="0.45"/>
  <cols>
    <col min="1" max="1" width="12.3984375" customWidth="1"/>
    <col min="2" max="2" width="20.86328125" customWidth="1"/>
    <col min="3" max="3" width="12.265625" bestFit="1" customWidth="1"/>
    <col min="4" max="4" width="14" customWidth="1"/>
    <col min="5" max="5" width="19.3984375" customWidth="1"/>
    <col min="6" max="6" width="12.3984375" customWidth="1"/>
  </cols>
  <sheetData>
    <row r="1" spans="1:6" x14ac:dyDescent="0.4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 spans="1:6" x14ac:dyDescent="0.45">
      <c r="A2" t="s">
        <v>6</v>
      </c>
      <c r="B2" t="s">
        <v>7</v>
      </c>
      <c r="C2" t="s">
        <v>6</v>
      </c>
      <c r="D2" t="s">
        <v>8</v>
      </c>
      <c r="E2" s="1">
        <v>44484</v>
      </c>
      <c r="F2" t="s">
        <v>9</v>
      </c>
    </row>
    <row r="3" spans="1:6" x14ac:dyDescent="0.45">
      <c r="A3" t="s">
        <v>10</v>
      </c>
      <c r="B3" t="s">
        <v>7</v>
      </c>
      <c r="C3" t="s">
        <v>7</v>
      </c>
      <c r="D3" t="s">
        <v>11</v>
      </c>
      <c r="E3" s="1">
        <v>44482</v>
      </c>
      <c r="F3" t="s">
        <v>12</v>
      </c>
    </row>
    <row r="4" spans="1:6" x14ac:dyDescent="0.45">
      <c r="A4" t="s">
        <v>13</v>
      </c>
      <c r="B4" t="s">
        <v>7</v>
      </c>
      <c r="C4" t="s">
        <v>7</v>
      </c>
      <c r="D4" t="s">
        <v>14</v>
      </c>
      <c r="E4" s="1">
        <v>44480</v>
      </c>
      <c r="F4" t="s">
        <v>15</v>
      </c>
    </row>
    <row r="5" spans="1:6" x14ac:dyDescent="0.45">
      <c r="A5" t="s">
        <v>10</v>
      </c>
      <c r="B5" t="s">
        <v>6</v>
      </c>
      <c r="C5" t="s">
        <v>6</v>
      </c>
      <c r="D5" t="s">
        <v>14</v>
      </c>
      <c r="E5" s="1">
        <v>44479</v>
      </c>
      <c r="F5" t="s">
        <v>16</v>
      </c>
    </row>
    <row r="6" spans="1:6" x14ac:dyDescent="0.45">
      <c r="A6" t="s">
        <v>10</v>
      </c>
      <c r="B6" t="s">
        <v>13</v>
      </c>
      <c r="C6" t="s">
        <v>13</v>
      </c>
      <c r="D6" t="s">
        <v>17</v>
      </c>
      <c r="E6" s="1">
        <v>44477</v>
      </c>
      <c r="F6" t="s">
        <v>18</v>
      </c>
    </row>
    <row r="7" spans="1:6" x14ac:dyDescent="0.45">
      <c r="A7" t="s">
        <v>19</v>
      </c>
      <c r="B7" t="s">
        <v>20</v>
      </c>
      <c r="C7" t="s">
        <v>19</v>
      </c>
      <c r="D7" t="s">
        <v>21</v>
      </c>
      <c r="E7" s="1">
        <v>44477</v>
      </c>
      <c r="F7" t="s">
        <v>22</v>
      </c>
    </row>
    <row r="8" spans="1:6" x14ac:dyDescent="0.45">
      <c r="A8" t="s">
        <v>7</v>
      </c>
      <c r="B8" t="s">
        <v>23</v>
      </c>
      <c r="C8" t="s">
        <v>7</v>
      </c>
      <c r="D8" t="s">
        <v>24</v>
      </c>
      <c r="E8" s="1">
        <v>44476</v>
      </c>
      <c r="F8" t="s">
        <v>25</v>
      </c>
    </row>
    <row r="9" spans="1:6" x14ac:dyDescent="0.45">
      <c r="A9" t="s">
        <v>6</v>
      </c>
      <c r="B9" t="s">
        <v>26</v>
      </c>
      <c r="C9" t="s">
        <v>26</v>
      </c>
      <c r="D9" t="s">
        <v>27</v>
      </c>
      <c r="E9" s="1">
        <v>44476</v>
      </c>
      <c r="F9" t="s">
        <v>28</v>
      </c>
    </row>
    <row r="10" spans="1:6" x14ac:dyDescent="0.45">
      <c r="A10" t="s">
        <v>20</v>
      </c>
      <c r="B10" t="s">
        <v>13</v>
      </c>
      <c r="C10" t="s">
        <v>20</v>
      </c>
      <c r="D10" t="s">
        <v>29</v>
      </c>
      <c r="E10" s="1">
        <v>44475</v>
      </c>
      <c r="F10" t="s">
        <v>30</v>
      </c>
    </row>
    <row r="11" spans="1:6" x14ac:dyDescent="0.45">
      <c r="A11" t="s">
        <v>23</v>
      </c>
      <c r="B11" t="s">
        <v>19</v>
      </c>
      <c r="C11" t="s">
        <v>19</v>
      </c>
      <c r="D11" t="s">
        <v>31</v>
      </c>
      <c r="E11" s="1">
        <v>44474</v>
      </c>
      <c r="F11" t="s">
        <v>32</v>
      </c>
    </row>
    <row r="12" spans="1:6" x14ac:dyDescent="0.45">
      <c r="A12" t="s">
        <v>6</v>
      </c>
      <c r="B12" t="s">
        <v>10</v>
      </c>
      <c r="C12" t="s">
        <v>10</v>
      </c>
      <c r="D12" t="s">
        <v>11</v>
      </c>
      <c r="E12" s="1">
        <v>44473</v>
      </c>
      <c r="F12" t="s">
        <v>33</v>
      </c>
    </row>
    <row r="13" spans="1:6" x14ac:dyDescent="0.45">
      <c r="A13" t="s">
        <v>20</v>
      </c>
      <c r="B13" t="s">
        <v>7</v>
      </c>
      <c r="C13" t="s">
        <v>7</v>
      </c>
      <c r="D13" t="s">
        <v>27</v>
      </c>
      <c r="E13" s="1">
        <v>44472</v>
      </c>
      <c r="F13" t="s">
        <v>34</v>
      </c>
    </row>
    <row r="14" spans="1:6" x14ac:dyDescent="0.45">
      <c r="A14" t="s">
        <v>13</v>
      </c>
      <c r="B14" t="s">
        <v>26</v>
      </c>
      <c r="C14" t="s">
        <v>13</v>
      </c>
      <c r="D14" t="s">
        <v>35</v>
      </c>
      <c r="E14" s="1">
        <v>44472</v>
      </c>
      <c r="F14" t="s">
        <v>36</v>
      </c>
    </row>
    <row r="15" spans="1:6" x14ac:dyDescent="0.45">
      <c r="A15" t="s">
        <v>6</v>
      </c>
      <c r="B15" t="s">
        <v>23</v>
      </c>
      <c r="C15" t="s">
        <v>23</v>
      </c>
      <c r="D15" t="s">
        <v>17</v>
      </c>
      <c r="E15" s="1">
        <v>44471</v>
      </c>
      <c r="F15" t="s">
        <v>37</v>
      </c>
    </row>
    <row r="16" spans="1:6" x14ac:dyDescent="0.45">
      <c r="A16" t="s">
        <v>19</v>
      </c>
      <c r="B16" t="s">
        <v>10</v>
      </c>
      <c r="C16" t="s">
        <v>10</v>
      </c>
      <c r="D16" t="s">
        <v>14</v>
      </c>
      <c r="E16" s="1">
        <v>44471</v>
      </c>
      <c r="F16" t="s">
        <v>38</v>
      </c>
    </row>
    <row r="17" spans="1:6" x14ac:dyDescent="0.45">
      <c r="A17" t="s">
        <v>7</v>
      </c>
      <c r="B17" t="s">
        <v>26</v>
      </c>
      <c r="C17" t="s">
        <v>26</v>
      </c>
      <c r="D17" t="s">
        <v>39</v>
      </c>
      <c r="E17" s="1">
        <v>44470</v>
      </c>
      <c r="F17" t="s">
        <v>40</v>
      </c>
    </row>
    <row r="18" spans="1:6" x14ac:dyDescent="0.45">
      <c r="A18" t="s">
        <v>20</v>
      </c>
      <c r="B18" t="s">
        <v>6</v>
      </c>
      <c r="C18" t="s">
        <v>6</v>
      </c>
      <c r="D18" t="s">
        <v>27</v>
      </c>
      <c r="E18" s="1">
        <v>44469</v>
      </c>
      <c r="F18" t="s">
        <v>41</v>
      </c>
    </row>
    <row r="19" spans="1:6" x14ac:dyDescent="0.45">
      <c r="A19" t="s">
        <v>23</v>
      </c>
      <c r="B19" t="s">
        <v>13</v>
      </c>
      <c r="C19" t="s">
        <v>13</v>
      </c>
      <c r="D19" t="s">
        <v>17</v>
      </c>
      <c r="E19" s="1">
        <v>44468</v>
      </c>
      <c r="F19" t="s">
        <v>42</v>
      </c>
    </row>
    <row r="20" spans="1:6" x14ac:dyDescent="0.45">
      <c r="A20" t="s">
        <v>26</v>
      </c>
      <c r="B20" t="s">
        <v>19</v>
      </c>
      <c r="C20" t="s">
        <v>19</v>
      </c>
      <c r="D20" t="s">
        <v>27</v>
      </c>
      <c r="E20" s="1">
        <v>44467</v>
      </c>
      <c r="F20" t="s">
        <v>43</v>
      </c>
    </row>
    <row r="21" spans="1:6" x14ac:dyDescent="0.45">
      <c r="A21" t="s">
        <v>10</v>
      </c>
      <c r="B21" t="s">
        <v>7</v>
      </c>
      <c r="C21" t="s">
        <v>7</v>
      </c>
      <c r="D21" t="s">
        <v>11</v>
      </c>
      <c r="E21" s="1">
        <v>44467</v>
      </c>
      <c r="F21" t="s">
        <v>44</v>
      </c>
    </row>
    <row r="22" spans="1:6" x14ac:dyDescent="0.45">
      <c r="A22" t="s">
        <v>23</v>
      </c>
      <c r="B22" t="s">
        <v>20</v>
      </c>
      <c r="C22" t="s">
        <v>20</v>
      </c>
      <c r="D22" t="s">
        <v>17</v>
      </c>
      <c r="E22" s="1">
        <v>44466</v>
      </c>
      <c r="F22" t="s">
        <v>45</v>
      </c>
    </row>
    <row r="23" spans="1:6" x14ac:dyDescent="0.45">
      <c r="A23" t="s">
        <v>13</v>
      </c>
      <c r="B23" t="s">
        <v>19</v>
      </c>
      <c r="C23" t="s">
        <v>13</v>
      </c>
      <c r="D23" t="s">
        <v>46</v>
      </c>
      <c r="E23" s="1">
        <v>44465</v>
      </c>
      <c r="F23" t="s">
        <v>47</v>
      </c>
    </row>
    <row r="24" spans="1:6" x14ac:dyDescent="0.45">
      <c r="A24" t="s">
        <v>7</v>
      </c>
      <c r="B24" t="s">
        <v>6</v>
      </c>
      <c r="C24" t="s">
        <v>6</v>
      </c>
      <c r="D24" t="s">
        <v>48</v>
      </c>
      <c r="E24" s="1">
        <v>44465</v>
      </c>
      <c r="F24" t="s">
        <v>49</v>
      </c>
    </row>
    <row r="25" spans="1:6" x14ac:dyDescent="0.45">
      <c r="A25" t="s">
        <v>26</v>
      </c>
      <c r="B25" t="s">
        <v>20</v>
      </c>
      <c r="C25" t="s">
        <v>26</v>
      </c>
      <c r="D25" t="s">
        <v>50</v>
      </c>
      <c r="E25" s="1">
        <v>44464</v>
      </c>
      <c r="F25" t="s">
        <v>51</v>
      </c>
    </row>
    <row r="26" spans="1:6" x14ac:dyDescent="0.45">
      <c r="A26" t="s">
        <v>10</v>
      </c>
      <c r="B26" t="s">
        <v>23</v>
      </c>
      <c r="C26" t="s">
        <v>10</v>
      </c>
      <c r="D26" t="s">
        <v>52</v>
      </c>
      <c r="E26" s="1">
        <v>44464</v>
      </c>
      <c r="F26" t="s">
        <v>53</v>
      </c>
    </row>
    <row r="27" spans="1:6" x14ac:dyDescent="0.45">
      <c r="A27" t="s">
        <v>13</v>
      </c>
      <c r="B27" t="s">
        <v>6</v>
      </c>
      <c r="C27" t="s">
        <v>6</v>
      </c>
      <c r="D27" t="s">
        <v>27</v>
      </c>
      <c r="E27" s="1">
        <v>44463</v>
      </c>
      <c r="F27" t="s">
        <v>54</v>
      </c>
    </row>
    <row r="28" spans="1:6" x14ac:dyDescent="0.45">
      <c r="A28" t="s">
        <v>19</v>
      </c>
      <c r="B28" t="s">
        <v>7</v>
      </c>
      <c r="C28" t="s">
        <v>7</v>
      </c>
      <c r="D28" t="s">
        <v>17</v>
      </c>
      <c r="E28" s="1">
        <v>44462</v>
      </c>
      <c r="F28" t="s">
        <v>55</v>
      </c>
    </row>
    <row r="29" spans="1:6" x14ac:dyDescent="0.45">
      <c r="A29" t="s">
        <v>20</v>
      </c>
      <c r="B29" t="s">
        <v>10</v>
      </c>
      <c r="C29" t="s">
        <v>10</v>
      </c>
      <c r="D29" t="s">
        <v>31</v>
      </c>
      <c r="E29" s="1">
        <v>44461</v>
      </c>
      <c r="F29" t="s">
        <v>56</v>
      </c>
    </row>
    <row r="30" spans="1:6" x14ac:dyDescent="0.45">
      <c r="A30" t="s">
        <v>23</v>
      </c>
      <c r="B30" t="s">
        <v>26</v>
      </c>
      <c r="C30" t="s">
        <v>23</v>
      </c>
      <c r="D30" t="s">
        <v>57</v>
      </c>
      <c r="E30" s="1">
        <v>44460</v>
      </c>
      <c r="F30" t="s">
        <v>58</v>
      </c>
    </row>
    <row r="31" spans="1:6" x14ac:dyDescent="0.45">
      <c r="A31" t="s">
        <v>13</v>
      </c>
      <c r="B31" t="s">
        <v>7</v>
      </c>
      <c r="C31" t="s">
        <v>7</v>
      </c>
      <c r="D31" t="s">
        <v>59</v>
      </c>
      <c r="E31" s="1">
        <v>44459</v>
      </c>
      <c r="F31" t="s">
        <v>60</v>
      </c>
    </row>
    <row r="32" spans="1:6" x14ac:dyDescent="0.45">
      <c r="A32" t="s">
        <v>6</v>
      </c>
      <c r="B32" t="s">
        <v>19</v>
      </c>
      <c r="C32" t="s">
        <v>6</v>
      </c>
      <c r="D32" t="s">
        <v>61</v>
      </c>
      <c r="E32" s="1">
        <v>44458</v>
      </c>
      <c r="F32" t="s">
        <v>62</v>
      </c>
    </row>
    <row r="33" spans="1:6" x14ac:dyDescent="0.45">
      <c r="A33" t="s">
        <v>26</v>
      </c>
      <c r="B33" t="s">
        <v>10</v>
      </c>
      <c r="C33" t="s">
        <v>10</v>
      </c>
      <c r="D33" t="s">
        <v>17</v>
      </c>
      <c r="E33" s="1">
        <v>44318</v>
      </c>
      <c r="F33" t="s">
        <v>63</v>
      </c>
    </row>
    <row r="34" spans="1:6" x14ac:dyDescent="0.45">
      <c r="A34" t="s">
        <v>23</v>
      </c>
      <c r="B34" t="s">
        <v>20</v>
      </c>
      <c r="C34" t="s">
        <v>23</v>
      </c>
      <c r="D34" t="s">
        <v>64</v>
      </c>
      <c r="E34" s="1">
        <v>44318</v>
      </c>
      <c r="F34" t="s">
        <v>65</v>
      </c>
    </row>
    <row r="35" spans="1:6" x14ac:dyDescent="0.45">
      <c r="A35" t="s">
        <v>6</v>
      </c>
      <c r="B35" t="s">
        <v>19</v>
      </c>
      <c r="C35" t="s">
        <v>19</v>
      </c>
      <c r="D35" t="s">
        <v>14</v>
      </c>
      <c r="E35" s="1">
        <v>44317</v>
      </c>
      <c r="F35" t="s">
        <v>66</v>
      </c>
    </row>
    <row r="36" spans="1:6" x14ac:dyDescent="0.45">
      <c r="A36" t="s">
        <v>26</v>
      </c>
      <c r="B36" t="s">
        <v>13</v>
      </c>
      <c r="C36" t="s">
        <v>26</v>
      </c>
      <c r="D36" t="s">
        <v>67</v>
      </c>
      <c r="E36" s="1">
        <v>44316</v>
      </c>
      <c r="F36" t="s">
        <v>68</v>
      </c>
    </row>
    <row r="37" spans="1:6" x14ac:dyDescent="0.45">
      <c r="A37" t="s">
        <v>7</v>
      </c>
      <c r="B37" t="s">
        <v>10</v>
      </c>
      <c r="C37" t="s">
        <v>10</v>
      </c>
      <c r="D37" t="s">
        <v>17</v>
      </c>
      <c r="E37" s="1">
        <v>44315</v>
      </c>
      <c r="F37" t="s">
        <v>69</v>
      </c>
    </row>
    <row r="38" spans="1:6" x14ac:dyDescent="0.45">
      <c r="A38" t="s">
        <v>23</v>
      </c>
      <c r="B38" t="s">
        <v>19</v>
      </c>
      <c r="C38" t="s">
        <v>19</v>
      </c>
      <c r="D38" t="s">
        <v>17</v>
      </c>
      <c r="E38" s="1">
        <v>44315</v>
      </c>
      <c r="F38" t="s">
        <v>70</v>
      </c>
    </row>
    <row r="39" spans="1:6" x14ac:dyDescent="0.45">
      <c r="A39" t="s">
        <v>20</v>
      </c>
      <c r="B39" t="s">
        <v>6</v>
      </c>
      <c r="C39" t="s">
        <v>6</v>
      </c>
      <c r="D39" t="s">
        <v>17</v>
      </c>
      <c r="E39" s="1">
        <v>44314</v>
      </c>
      <c r="F39" t="s">
        <v>71</v>
      </c>
    </row>
    <row r="40" spans="1:6" x14ac:dyDescent="0.45">
      <c r="A40" t="s">
        <v>13</v>
      </c>
      <c r="B40" t="s">
        <v>10</v>
      </c>
      <c r="C40" t="s">
        <v>13</v>
      </c>
      <c r="D40" t="s">
        <v>72</v>
      </c>
      <c r="E40" s="1">
        <v>44313</v>
      </c>
      <c r="F40" t="s">
        <v>73</v>
      </c>
    </row>
    <row r="41" spans="1:6" x14ac:dyDescent="0.45">
      <c r="A41" t="s">
        <v>26</v>
      </c>
      <c r="B41" t="s">
        <v>7</v>
      </c>
      <c r="C41" t="s">
        <v>7</v>
      </c>
      <c r="D41" t="s">
        <v>39</v>
      </c>
      <c r="E41" s="1">
        <v>44312</v>
      </c>
      <c r="F41" t="s">
        <v>74</v>
      </c>
    </row>
    <row r="42" spans="1:6" x14ac:dyDescent="0.45">
      <c r="A42" t="s">
        <v>6</v>
      </c>
      <c r="B42" t="s">
        <v>13</v>
      </c>
      <c r="C42" t="s">
        <v>6</v>
      </c>
      <c r="D42" t="s">
        <v>75</v>
      </c>
      <c r="E42" s="1">
        <v>44311</v>
      </c>
      <c r="F42" t="s">
        <v>76</v>
      </c>
    </row>
    <row r="43" spans="1:6" x14ac:dyDescent="0.45">
      <c r="A43" t="s">
        <v>7</v>
      </c>
      <c r="B43" t="s">
        <v>23</v>
      </c>
      <c r="C43" t="s">
        <v>23</v>
      </c>
      <c r="D43" t="s">
        <v>27</v>
      </c>
      <c r="E43" s="1">
        <v>44310</v>
      </c>
      <c r="F43" t="s">
        <v>77</v>
      </c>
    </row>
    <row r="44" spans="1:6" x14ac:dyDescent="0.45">
      <c r="A44" t="s">
        <v>19</v>
      </c>
      <c r="B44" t="s">
        <v>26</v>
      </c>
      <c r="C44" t="s">
        <v>26</v>
      </c>
      <c r="D44" t="s">
        <v>59</v>
      </c>
      <c r="E44" s="1">
        <v>44309</v>
      </c>
      <c r="F44" t="s">
        <v>78</v>
      </c>
    </row>
    <row r="45" spans="1:6" x14ac:dyDescent="0.45">
      <c r="A45" t="s">
        <v>23</v>
      </c>
      <c r="B45" t="s">
        <v>13</v>
      </c>
      <c r="C45" t="s">
        <v>13</v>
      </c>
      <c r="D45" t="s">
        <v>79</v>
      </c>
      <c r="E45" s="1">
        <v>44308</v>
      </c>
      <c r="F45" t="s">
        <v>80</v>
      </c>
    </row>
    <row r="46" spans="1:6" x14ac:dyDescent="0.45">
      <c r="A46" t="s">
        <v>6</v>
      </c>
      <c r="B46" t="s">
        <v>7</v>
      </c>
      <c r="C46" t="s">
        <v>6</v>
      </c>
      <c r="D46" t="s">
        <v>81</v>
      </c>
      <c r="E46" s="1">
        <v>44307</v>
      </c>
      <c r="F46" t="s">
        <v>82</v>
      </c>
    </row>
    <row r="47" spans="1:6" x14ac:dyDescent="0.45">
      <c r="A47" t="s">
        <v>26</v>
      </c>
      <c r="B47" t="s">
        <v>20</v>
      </c>
      <c r="C47" t="s">
        <v>20</v>
      </c>
      <c r="D47" t="s">
        <v>59</v>
      </c>
      <c r="E47" s="1">
        <v>44307</v>
      </c>
      <c r="F47" t="s">
        <v>83</v>
      </c>
    </row>
    <row r="48" spans="1:6" x14ac:dyDescent="0.45">
      <c r="A48" t="s">
        <v>19</v>
      </c>
      <c r="B48" t="s">
        <v>10</v>
      </c>
      <c r="C48" t="s">
        <v>10</v>
      </c>
      <c r="D48" t="s">
        <v>27</v>
      </c>
      <c r="E48" s="1">
        <v>44306</v>
      </c>
      <c r="F48" t="s">
        <v>84</v>
      </c>
    </row>
    <row r="49" spans="1:6" x14ac:dyDescent="0.45">
      <c r="A49" t="s">
        <v>6</v>
      </c>
      <c r="B49" t="s">
        <v>23</v>
      </c>
      <c r="C49" t="s">
        <v>6</v>
      </c>
      <c r="D49" t="s">
        <v>85</v>
      </c>
      <c r="E49" s="1">
        <v>44305</v>
      </c>
      <c r="F49" t="s">
        <v>86</v>
      </c>
    </row>
    <row r="50" spans="1:6" x14ac:dyDescent="0.45">
      <c r="A50" t="s">
        <v>26</v>
      </c>
      <c r="B50" t="s">
        <v>10</v>
      </c>
      <c r="C50" t="s">
        <v>10</v>
      </c>
      <c r="D50" t="s">
        <v>27</v>
      </c>
      <c r="E50" s="1">
        <v>44304</v>
      </c>
      <c r="F50" t="s">
        <v>87</v>
      </c>
    </row>
    <row r="51" spans="1:6" x14ac:dyDescent="0.45">
      <c r="A51" t="s">
        <v>13</v>
      </c>
      <c r="B51" t="s">
        <v>7</v>
      </c>
      <c r="C51" t="s">
        <v>13</v>
      </c>
      <c r="D51" t="s">
        <v>88</v>
      </c>
      <c r="E51" s="1">
        <v>44304</v>
      </c>
      <c r="F51" t="s">
        <v>89</v>
      </c>
    </row>
    <row r="52" spans="1:6" x14ac:dyDescent="0.45">
      <c r="A52" t="s">
        <v>19</v>
      </c>
      <c r="B52" t="s">
        <v>20</v>
      </c>
      <c r="C52" t="s">
        <v>19</v>
      </c>
      <c r="D52" t="s">
        <v>90</v>
      </c>
      <c r="E52" s="1">
        <v>44303</v>
      </c>
      <c r="F52" t="s">
        <v>91</v>
      </c>
    </row>
    <row r="53" spans="1:6" x14ac:dyDescent="0.45">
      <c r="A53" t="s">
        <v>26</v>
      </c>
      <c r="B53" t="s">
        <v>6</v>
      </c>
      <c r="C53" t="s">
        <v>6</v>
      </c>
      <c r="D53" t="s">
        <v>27</v>
      </c>
      <c r="E53" s="1">
        <v>44302</v>
      </c>
      <c r="F53" t="s">
        <v>92</v>
      </c>
    </row>
    <row r="54" spans="1:6" x14ac:dyDescent="0.45">
      <c r="A54" t="s">
        <v>10</v>
      </c>
      <c r="B54" t="s">
        <v>23</v>
      </c>
      <c r="C54" t="s">
        <v>23</v>
      </c>
      <c r="D54" t="s">
        <v>11</v>
      </c>
      <c r="E54" s="1">
        <v>44301</v>
      </c>
      <c r="F54" t="s">
        <v>93</v>
      </c>
    </row>
    <row r="55" spans="1:6" x14ac:dyDescent="0.45">
      <c r="A55" t="s">
        <v>13</v>
      </c>
      <c r="B55" t="s">
        <v>20</v>
      </c>
      <c r="C55" t="s">
        <v>13</v>
      </c>
      <c r="D55" t="s">
        <v>35</v>
      </c>
      <c r="E55" s="1">
        <v>44300</v>
      </c>
      <c r="F55" t="s">
        <v>94</v>
      </c>
    </row>
    <row r="56" spans="1:6" x14ac:dyDescent="0.45">
      <c r="A56" t="s">
        <v>19</v>
      </c>
      <c r="B56" t="s">
        <v>7</v>
      </c>
      <c r="C56" t="s">
        <v>19</v>
      </c>
      <c r="D56" t="s">
        <v>95</v>
      </c>
      <c r="E56" s="1">
        <v>44299</v>
      </c>
      <c r="F56" t="s">
        <v>96</v>
      </c>
    </row>
    <row r="57" spans="1:6" x14ac:dyDescent="0.45">
      <c r="A57" t="s">
        <v>26</v>
      </c>
      <c r="B57" t="s">
        <v>23</v>
      </c>
      <c r="C57" t="s">
        <v>26</v>
      </c>
      <c r="D57" t="s">
        <v>29</v>
      </c>
      <c r="E57" s="1">
        <v>44298</v>
      </c>
      <c r="F57" t="s">
        <v>97</v>
      </c>
    </row>
    <row r="58" spans="1:6" x14ac:dyDescent="0.45">
      <c r="A58" t="s">
        <v>7</v>
      </c>
      <c r="B58" t="s">
        <v>20</v>
      </c>
      <c r="C58" t="s">
        <v>7</v>
      </c>
      <c r="D58" t="s">
        <v>95</v>
      </c>
      <c r="E58" s="1">
        <v>44297</v>
      </c>
      <c r="F58" t="s">
        <v>98</v>
      </c>
    </row>
    <row r="59" spans="1:6" x14ac:dyDescent="0.45">
      <c r="A59" t="s">
        <v>6</v>
      </c>
      <c r="B59" t="s">
        <v>10</v>
      </c>
      <c r="C59" t="s">
        <v>10</v>
      </c>
      <c r="D59" t="s">
        <v>17</v>
      </c>
      <c r="E59" s="1">
        <v>44296</v>
      </c>
      <c r="F59" t="s">
        <v>99</v>
      </c>
    </row>
    <row r="60" spans="1:6" x14ac:dyDescent="0.45">
      <c r="A60" t="s">
        <v>19</v>
      </c>
      <c r="B60" t="s">
        <v>13</v>
      </c>
      <c r="C60" t="s">
        <v>13</v>
      </c>
      <c r="D60" t="s">
        <v>48</v>
      </c>
      <c r="E60" s="1">
        <v>44295</v>
      </c>
      <c r="F60" t="s">
        <v>100</v>
      </c>
    </row>
    <row r="61" spans="1:6" x14ac:dyDescent="0.45">
      <c r="A61" t="s">
        <v>23</v>
      </c>
      <c r="B61" t="s">
        <v>101</v>
      </c>
      <c r="C61" t="s">
        <v>101</v>
      </c>
      <c r="D61" t="s">
        <v>17</v>
      </c>
      <c r="E61" s="1">
        <v>44710</v>
      </c>
      <c r="F61" t="s">
        <v>102</v>
      </c>
    </row>
    <row r="62" spans="1:6" x14ac:dyDescent="0.45">
      <c r="A62" t="s">
        <v>13</v>
      </c>
      <c r="B62" t="s">
        <v>23</v>
      </c>
      <c r="C62" t="s">
        <v>23</v>
      </c>
      <c r="D62" t="s">
        <v>17</v>
      </c>
      <c r="E62" s="1">
        <v>44708</v>
      </c>
      <c r="F62" t="s">
        <v>103</v>
      </c>
    </row>
    <row r="63" spans="1:6" x14ac:dyDescent="0.45">
      <c r="A63" t="s">
        <v>13</v>
      </c>
      <c r="B63" t="s">
        <v>104</v>
      </c>
      <c r="C63" t="s">
        <v>13</v>
      </c>
      <c r="D63" t="s">
        <v>105</v>
      </c>
      <c r="E63" s="1">
        <v>44706</v>
      </c>
      <c r="F63" t="s">
        <v>106</v>
      </c>
    </row>
    <row r="64" spans="1:6" x14ac:dyDescent="0.45">
      <c r="A64" t="s">
        <v>23</v>
      </c>
      <c r="B64" t="s">
        <v>101</v>
      </c>
      <c r="C64" t="s">
        <v>101</v>
      </c>
      <c r="D64" t="s">
        <v>17</v>
      </c>
      <c r="E64" s="1">
        <v>44705</v>
      </c>
      <c r="F64" t="s">
        <v>107</v>
      </c>
    </row>
    <row r="65" spans="1:6" x14ac:dyDescent="0.45">
      <c r="A65" t="s">
        <v>20</v>
      </c>
      <c r="B65" t="s">
        <v>26</v>
      </c>
      <c r="C65" t="s">
        <v>26</v>
      </c>
      <c r="D65" t="s">
        <v>39</v>
      </c>
      <c r="E65" s="1">
        <v>44703</v>
      </c>
      <c r="F65" t="s">
        <v>108</v>
      </c>
    </row>
    <row r="66" spans="1:6" x14ac:dyDescent="0.45">
      <c r="A66" t="s">
        <v>10</v>
      </c>
      <c r="B66" t="s">
        <v>19</v>
      </c>
      <c r="C66" t="s">
        <v>19</v>
      </c>
      <c r="D66" t="s">
        <v>39</v>
      </c>
      <c r="E66" s="1">
        <v>44702</v>
      </c>
      <c r="F66" t="s">
        <v>109</v>
      </c>
    </row>
    <row r="67" spans="1:6" x14ac:dyDescent="0.45">
      <c r="A67" t="s">
        <v>6</v>
      </c>
      <c r="B67" t="s">
        <v>23</v>
      </c>
      <c r="C67" t="s">
        <v>23</v>
      </c>
      <c r="D67" t="s">
        <v>39</v>
      </c>
      <c r="E67" s="1">
        <v>44701</v>
      </c>
      <c r="F67" t="s">
        <v>110</v>
      </c>
    </row>
    <row r="68" spans="1:6" x14ac:dyDescent="0.45">
      <c r="A68" t="s">
        <v>101</v>
      </c>
      <c r="B68" t="s">
        <v>13</v>
      </c>
      <c r="C68" t="s">
        <v>13</v>
      </c>
      <c r="D68" t="s">
        <v>31</v>
      </c>
      <c r="E68" s="1">
        <v>44700</v>
      </c>
      <c r="F68" t="s">
        <v>111</v>
      </c>
    </row>
    <row r="69" spans="1:6" x14ac:dyDescent="0.45">
      <c r="A69" t="s">
        <v>104</v>
      </c>
      <c r="B69" t="s">
        <v>7</v>
      </c>
      <c r="C69" t="s">
        <v>104</v>
      </c>
      <c r="D69" t="s">
        <v>57</v>
      </c>
      <c r="E69" s="1">
        <v>44699</v>
      </c>
      <c r="F69" t="s">
        <v>112</v>
      </c>
    </row>
    <row r="70" spans="1:6" x14ac:dyDescent="0.45">
      <c r="A70" t="s">
        <v>20</v>
      </c>
      <c r="B70" t="s">
        <v>19</v>
      </c>
      <c r="C70" t="s">
        <v>20</v>
      </c>
      <c r="D70" t="s">
        <v>113</v>
      </c>
      <c r="E70" s="1">
        <v>44698</v>
      </c>
      <c r="F70" t="s">
        <v>114</v>
      </c>
    </row>
    <row r="71" spans="1:6" x14ac:dyDescent="0.45">
      <c r="A71" t="s">
        <v>10</v>
      </c>
      <c r="B71" t="s">
        <v>26</v>
      </c>
      <c r="C71" t="s">
        <v>10</v>
      </c>
      <c r="D71" t="s">
        <v>115</v>
      </c>
      <c r="E71" s="1">
        <v>44697</v>
      </c>
      <c r="F71" t="s">
        <v>116</v>
      </c>
    </row>
    <row r="72" spans="1:6" x14ac:dyDescent="0.45">
      <c r="A72" t="s">
        <v>23</v>
      </c>
      <c r="B72" t="s">
        <v>104</v>
      </c>
      <c r="C72" t="s">
        <v>23</v>
      </c>
      <c r="D72" t="s">
        <v>117</v>
      </c>
      <c r="E72" s="1">
        <v>44696</v>
      </c>
      <c r="F72" t="s">
        <v>118</v>
      </c>
    </row>
    <row r="73" spans="1:6" x14ac:dyDescent="0.45">
      <c r="A73" t="s">
        <v>6</v>
      </c>
      <c r="B73" t="s">
        <v>101</v>
      </c>
      <c r="C73" t="s">
        <v>101</v>
      </c>
      <c r="D73" t="s">
        <v>17</v>
      </c>
      <c r="E73" s="1">
        <v>44696</v>
      </c>
      <c r="F73" t="s">
        <v>119</v>
      </c>
    </row>
    <row r="74" spans="1:6" x14ac:dyDescent="0.45">
      <c r="A74" t="s">
        <v>7</v>
      </c>
      <c r="B74" t="s">
        <v>20</v>
      </c>
      <c r="C74" t="s">
        <v>7</v>
      </c>
      <c r="D74" t="s">
        <v>46</v>
      </c>
      <c r="E74" s="1">
        <v>44695</v>
      </c>
      <c r="F74" t="s">
        <v>120</v>
      </c>
    </row>
    <row r="75" spans="1:6" x14ac:dyDescent="0.45">
      <c r="A75" t="s">
        <v>26</v>
      </c>
      <c r="B75" t="s">
        <v>13</v>
      </c>
      <c r="C75" t="s">
        <v>26</v>
      </c>
      <c r="D75" t="s">
        <v>46</v>
      </c>
      <c r="E75" s="1">
        <v>44694</v>
      </c>
      <c r="F75" t="s">
        <v>121</v>
      </c>
    </row>
    <row r="76" spans="1:6" x14ac:dyDescent="0.45">
      <c r="A76" t="s">
        <v>6</v>
      </c>
      <c r="B76" t="s">
        <v>19</v>
      </c>
      <c r="C76" t="s">
        <v>19</v>
      </c>
      <c r="D76" t="s">
        <v>39</v>
      </c>
      <c r="E76" s="1">
        <v>44693</v>
      </c>
      <c r="F76" t="s">
        <v>122</v>
      </c>
    </row>
    <row r="77" spans="1:6" x14ac:dyDescent="0.45">
      <c r="A77" t="s">
        <v>23</v>
      </c>
      <c r="B77" t="s">
        <v>10</v>
      </c>
      <c r="C77" t="s">
        <v>10</v>
      </c>
      <c r="D77" t="s">
        <v>31</v>
      </c>
      <c r="E77" s="1">
        <v>44692</v>
      </c>
      <c r="F77" t="s">
        <v>123</v>
      </c>
    </row>
    <row r="78" spans="1:6" x14ac:dyDescent="0.45">
      <c r="A78" t="s">
        <v>101</v>
      </c>
      <c r="B78" t="s">
        <v>104</v>
      </c>
      <c r="C78" t="s">
        <v>101</v>
      </c>
      <c r="D78" t="s">
        <v>124</v>
      </c>
      <c r="E78" s="1">
        <v>44691</v>
      </c>
      <c r="F78" t="s">
        <v>125</v>
      </c>
    </row>
    <row r="79" spans="1:6" x14ac:dyDescent="0.45">
      <c r="A79" t="s">
        <v>7</v>
      </c>
      <c r="B79" t="s">
        <v>19</v>
      </c>
      <c r="C79" t="s">
        <v>7</v>
      </c>
      <c r="D79" t="s">
        <v>126</v>
      </c>
      <c r="E79" s="1">
        <v>44690</v>
      </c>
      <c r="F79" t="s">
        <v>127</v>
      </c>
    </row>
    <row r="80" spans="1:6" x14ac:dyDescent="0.45">
      <c r="A80" t="s">
        <v>6</v>
      </c>
      <c r="B80" t="s">
        <v>10</v>
      </c>
      <c r="C80" t="s">
        <v>6</v>
      </c>
      <c r="D80" t="s">
        <v>128</v>
      </c>
      <c r="E80" s="1">
        <v>44689</v>
      </c>
      <c r="F80" t="s">
        <v>129</v>
      </c>
    </row>
    <row r="81" spans="1:6" x14ac:dyDescent="0.45">
      <c r="A81" t="s">
        <v>13</v>
      </c>
      <c r="B81" t="s">
        <v>20</v>
      </c>
      <c r="C81" t="s">
        <v>13</v>
      </c>
      <c r="D81" t="s">
        <v>130</v>
      </c>
      <c r="E81" s="1">
        <v>44689</v>
      </c>
      <c r="F81" t="s">
        <v>131</v>
      </c>
    </row>
    <row r="82" spans="1:6" x14ac:dyDescent="0.45">
      <c r="A82" t="s">
        <v>104</v>
      </c>
      <c r="B82" t="s">
        <v>7</v>
      </c>
      <c r="C82" t="s">
        <v>104</v>
      </c>
      <c r="D82" t="s">
        <v>132</v>
      </c>
      <c r="E82" s="1">
        <v>44688</v>
      </c>
      <c r="F82" t="s">
        <v>133</v>
      </c>
    </row>
    <row r="83" spans="1:6" x14ac:dyDescent="0.45">
      <c r="A83" t="s">
        <v>26</v>
      </c>
      <c r="B83" t="s">
        <v>23</v>
      </c>
      <c r="C83" t="s">
        <v>23</v>
      </c>
      <c r="D83" t="s">
        <v>27</v>
      </c>
      <c r="E83" s="1">
        <v>44688</v>
      </c>
      <c r="F83" t="s">
        <v>134</v>
      </c>
    </row>
    <row r="84" spans="1:6" x14ac:dyDescent="0.45">
      <c r="A84" t="s">
        <v>19</v>
      </c>
      <c r="B84" t="s">
        <v>101</v>
      </c>
      <c r="C84" t="s">
        <v>19</v>
      </c>
      <c r="D84" t="s">
        <v>50</v>
      </c>
      <c r="E84" s="1">
        <v>44687</v>
      </c>
      <c r="F84" t="s">
        <v>135</v>
      </c>
    </row>
    <row r="85" spans="1:6" x14ac:dyDescent="0.45">
      <c r="A85" t="s">
        <v>10</v>
      </c>
      <c r="B85" t="s">
        <v>20</v>
      </c>
      <c r="C85" t="s">
        <v>10</v>
      </c>
      <c r="D85" t="s">
        <v>136</v>
      </c>
      <c r="E85" s="1">
        <v>44686</v>
      </c>
      <c r="F85" t="s">
        <v>137</v>
      </c>
    </row>
    <row r="86" spans="1:6" x14ac:dyDescent="0.45">
      <c r="A86" t="s">
        <v>13</v>
      </c>
      <c r="B86" t="s">
        <v>6</v>
      </c>
      <c r="C86" t="s">
        <v>13</v>
      </c>
      <c r="D86" t="s">
        <v>90</v>
      </c>
      <c r="E86" s="1">
        <v>44685</v>
      </c>
      <c r="F86" t="s">
        <v>138</v>
      </c>
    </row>
    <row r="87" spans="1:6" x14ac:dyDescent="0.45">
      <c r="A87" t="s">
        <v>101</v>
      </c>
      <c r="B87" t="s">
        <v>26</v>
      </c>
      <c r="C87" t="s">
        <v>26</v>
      </c>
      <c r="D87" t="s">
        <v>31</v>
      </c>
      <c r="E87" s="1">
        <v>44684</v>
      </c>
      <c r="F87" t="s">
        <v>139</v>
      </c>
    </row>
    <row r="88" spans="1:6" x14ac:dyDescent="0.45">
      <c r="A88" t="s">
        <v>23</v>
      </c>
      <c r="B88" t="s">
        <v>7</v>
      </c>
      <c r="C88" t="s">
        <v>7</v>
      </c>
      <c r="D88" t="s">
        <v>17</v>
      </c>
      <c r="E88" s="1">
        <v>44683</v>
      </c>
      <c r="F88" t="s">
        <v>140</v>
      </c>
    </row>
    <row r="89" spans="1:6" x14ac:dyDescent="0.45">
      <c r="A89" t="s">
        <v>6</v>
      </c>
      <c r="B89" t="s">
        <v>20</v>
      </c>
      <c r="C89" t="s">
        <v>6</v>
      </c>
      <c r="D89" t="s">
        <v>90</v>
      </c>
      <c r="E89" s="1">
        <v>44682</v>
      </c>
      <c r="F89" t="s">
        <v>141</v>
      </c>
    </row>
    <row r="90" spans="1:6" x14ac:dyDescent="0.45">
      <c r="A90" t="s">
        <v>104</v>
      </c>
      <c r="B90" t="s">
        <v>10</v>
      </c>
      <c r="C90" t="s">
        <v>104</v>
      </c>
      <c r="D90" t="s">
        <v>35</v>
      </c>
      <c r="E90" s="1">
        <v>44682</v>
      </c>
      <c r="F90" t="s">
        <v>142</v>
      </c>
    </row>
    <row r="91" spans="1:6" x14ac:dyDescent="0.45">
      <c r="A91" t="s">
        <v>23</v>
      </c>
      <c r="B91" t="s">
        <v>19</v>
      </c>
      <c r="C91" t="s">
        <v>19</v>
      </c>
      <c r="D91" t="s">
        <v>39</v>
      </c>
      <c r="E91" s="1">
        <v>44681</v>
      </c>
      <c r="F91" t="s">
        <v>143</v>
      </c>
    </row>
    <row r="92" spans="1:6" x14ac:dyDescent="0.45">
      <c r="A92" t="s">
        <v>13</v>
      </c>
      <c r="B92" t="s">
        <v>101</v>
      </c>
      <c r="C92" t="s">
        <v>101</v>
      </c>
      <c r="D92" t="s">
        <v>27</v>
      </c>
      <c r="E92" s="1">
        <v>44681</v>
      </c>
      <c r="F92" t="s">
        <v>144</v>
      </c>
    </row>
    <row r="93" spans="1:6" x14ac:dyDescent="0.45">
      <c r="A93" t="s">
        <v>104</v>
      </c>
      <c r="B93" t="s">
        <v>26</v>
      </c>
      <c r="C93" t="s">
        <v>104</v>
      </c>
      <c r="D93" t="s">
        <v>61</v>
      </c>
      <c r="E93" s="1">
        <v>44680</v>
      </c>
      <c r="F93" t="s">
        <v>145</v>
      </c>
    </row>
    <row r="94" spans="1:6" x14ac:dyDescent="0.45">
      <c r="A94" t="s">
        <v>7</v>
      </c>
      <c r="B94" t="s">
        <v>10</v>
      </c>
      <c r="C94" t="s">
        <v>10</v>
      </c>
      <c r="D94" t="s">
        <v>14</v>
      </c>
      <c r="E94" s="1">
        <v>44679</v>
      </c>
      <c r="F94" t="s">
        <v>146</v>
      </c>
    </row>
    <row r="95" spans="1:6" x14ac:dyDescent="0.45">
      <c r="A95" t="s">
        <v>20</v>
      </c>
      <c r="B95" t="s">
        <v>101</v>
      </c>
      <c r="C95" t="s">
        <v>101</v>
      </c>
      <c r="D95" t="s">
        <v>39</v>
      </c>
      <c r="E95" s="1">
        <v>44678</v>
      </c>
      <c r="F95" t="s">
        <v>147</v>
      </c>
    </row>
    <row r="96" spans="1:6" x14ac:dyDescent="0.45">
      <c r="A96" t="s">
        <v>23</v>
      </c>
      <c r="B96" t="s">
        <v>13</v>
      </c>
      <c r="C96" t="s">
        <v>23</v>
      </c>
      <c r="D96" t="s">
        <v>148</v>
      </c>
      <c r="E96" s="1">
        <v>44677</v>
      </c>
      <c r="F96" t="s">
        <v>149</v>
      </c>
    </row>
    <row r="97" spans="1:6" x14ac:dyDescent="0.45">
      <c r="A97" t="s">
        <v>26</v>
      </c>
      <c r="B97" t="s">
        <v>6</v>
      </c>
      <c r="C97" t="s">
        <v>26</v>
      </c>
      <c r="D97" t="s">
        <v>150</v>
      </c>
      <c r="E97" s="1">
        <v>44676</v>
      </c>
      <c r="F97" t="s">
        <v>151</v>
      </c>
    </row>
    <row r="98" spans="1:6" x14ac:dyDescent="0.45">
      <c r="A98" t="s">
        <v>104</v>
      </c>
      <c r="B98" t="s">
        <v>19</v>
      </c>
      <c r="C98" t="s">
        <v>104</v>
      </c>
      <c r="D98" t="s">
        <v>152</v>
      </c>
      <c r="E98" s="1">
        <v>44675</v>
      </c>
      <c r="F98" t="s">
        <v>153</v>
      </c>
    </row>
    <row r="99" spans="1:6" x14ac:dyDescent="0.45">
      <c r="A99" t="s">
        <v>13</v>
      </c>
      <c r="B99" t="s">
        <v>20</v>
      </c>
      <c r="C99" t="s">
        <v>20</v>
      </c>
      <c r="D99" t="s">
        <v>59</v>
      </c>
      <c r="E99" s="1">
        <v>44674</v>
      </c>
      <c r="F99" t="s">
        <v>154</v>
      </c>
    </row>
    <row r="100" spans="1:6" x14ac:dyDescent="0.45">
      <c r="A100" t="s">
        <v>101</v>
      </c>
      <c r="B100" t="s">
        <v>7</v>
      </c>
      <c r="C100" t="s">
        <v>101</v>
      </c>
      <c r="D100" t="s">
        <v>155</v>
      </c>
      <c r="E100" s="1">
        <v>44674</v>
      </c>
      <c r="F100" t="s">
        <v>156</v>
      </c>
    </row>
    <row r="101" spans="1:6" x14ac:dyDescent="0.45">
      <c r="A101" t="s">
        <v>23</v>
      </c>
      <c r="B101" t="s">
        <v>10</v>
      </c>
      <c r="C101" t="s">
        <v>23</v>
      </c>
      <c r="D101" t="s">
        <v>157</v>
      </c>
      <c r="E101" s="1">
        <v>44673</v>
      </c>
      <c r="F101" t="s">
        <v>158</v>
      </c>
    </row>
    <row r="102" spans="1:6" x14ac:dyDescent="0.45">
      <c r="A102" t="s">
        <v>19</v>
      </c>
      <c r="B102" t="s">
        <v>6</v>
      </c>
      <c r="C102" t="s">
        <v>6</v>
      </c>
      <c r="D102" t="s">
        <v>11</v>
      </c>
      <c r="E102" s="1">
        <v>44672</v>
      </c>
      <c r="F102" t="s">
        <v>159</v>
      </c>
    </row>
    <row r="103" spans="1:6" x14ac:dyDescent="0.45">
      <c r="A103" t="s">
        <v>26</v>
      </c>
      <c r="B103" t="s">
        <v>10</v>
      </c>
      <c r="C103" t="s">
        <v>10</v>
      </c>
      <c r="D103" t="s">
        <v>59</v>
      </c>
      <c r="E103" s="1">
        <v>44671</v>
      </c>
      <c r="F103" t="s">
        <v>160</v>
      </c>
    </row>
    <row r="104" spans="1:6" x14ac:dyDescent="0.45">
      <c r="A104" t="s">
        <v>13</v>
      </c>
      <c r="B104" t="s">
        <v>104</v>
      </c>
      <c r="C104" t="s">
        <v>13</v>
      </c>
      <c r="D104" t="s">
        <v>81</v>
      </c>
      <c r="E104" s="1">
        <v>44670</v>
      </c>
      <c r="F104" t="s">
        <v>161</v>
      </c>
    </row>
    <row r="105" spans="1:6" x14ac:dyDescent="0.45">
      <c r="A105" t="s">
        <v>23</v>
      </c>
      <c r="B105" t="s">
        <v>7</v>
      </c>
      <c r="C105" t="s">
        <v>23</v>
      </c>
      <c r="D105" t="s">
        <v>162</v>
      </c>
      <c r="E105" s="1">
        <v>44669</v>
      </c>
      <c r="F105" t="s">
        <v>163</v>
      </c>
    </row>
    <row r="106" spans="1:6" x14ac:dyDescent="0.45">
      <c r="A106" t="s">
        <v>6</v>
      </c>
      <c r="B106" t="s">
        <v>101</v>
      </c>
      <c r="C106" t="s">
        <v>101</v>
      </c>
      <c r="D106" t="s">
        <v>11</v>
      </c>
      <c r="E106" s="1">
        <v>44668</v>
      </c>
      <c r="F106" t="s">
        <v>164</v>
      </c>
    </row>
    <row r="107" spans="1:6" x14ac:dyDescent="0.45">
      <c r="A107" t="s">
        <v>26</v>
      </c>
      <c r="B107" t="s">
        <v>20</v>
      </c>
      <c r="C107" t="s">
        <v>20</v>
      </c>
      <c r="D107" t="s">
        <v>17</v>
      </c>
      <c r="E107" s="1">
        <v>44668</v>
      </c>
      <c r="F107" t="s">
        <v>165</v>
      </c>
    </row>
    <row r="108" spans="1:6" x14ac:dyDescent="0.45">
      <c r="A108" t="s">
        <v>13</v>
      </c>
      <c r="B108" t="s">
        <v>10</v>
      </c>
      <c r="C108" t="s">
        <v>13</v>
      </c>
      <c r="D108" t="s">
        <v>166</v>
      </c>
      <c r="E108" s="1">
        <v>44667</v>
      </c>
      <c r="F108" t="s">
        <v>167</v>
      </c>
    </row>
    <row r="109" spans="1:6" x14ac:dyDescent="0.45">
      <c r="A109" t="s">
        <v>104</v>
      </c>
      <c r="B109" t="s">
        <v>19</v>
      </c>
      <c r="C109" t="s">
        <v>104</v>
      </c>
      <c r="D109" t="s">
        <v>81</v>
      </c>
      <c r="E109" s="1">
        <v>44667</v>
      </c>
      <c r="F109" t="s">
        <v>168</v>
      </c>
    </row>
    <row r="110" spans="1:6" x14ac:dyDescent="0.45">
      <c r="A110" t="s">
        <v>7</v>
      </c>
      <c r="B110" t="s">
        <v>20</v>
      </c>
      <c r="C110" t="s">
        <v>20</v>
      </c>
      <c r="D110" t="s">
        <v>17</v>
      </c>
      <c r="E110" s="1">
        <v>44666</v>
      </c>
      <c r="F110" t="s">
        <v>169</v>
      </c>
    </row>
    <row r="111" spans="1:6" x14ac:dyDescent="0.45">
      <c r="A111" t="s">
        <v>101</v>
      </c>
      <c r="B111" t="s">
        <v>23</v>
      </c>
      <c r="C111" t="s">
        <v>101</v>
      </c>
      <c r="D111" t="s">
        <v>170</v>
      </c>
      <c r="E111" s="1">
        <v>44665</v>
      </c>
      <c r="F111" t="s">
        <v>171</v>
      </c>
    </row>
    <row r="112" spans="1:6" x14ac:dyDescent="0.45">
      <c r="A112" t="s">
        <v>26</v>
      </c>
      <c r="B112" t="s">
        <v>19</v>
      </c>
      <c r="C112" t="s">
        <v>26</v>
      </c>
      <c r="D112" t="s">
        <v>172</v>
      </c>
      <c r="E112" s="1">
        <v>44664</v>
      </c>
      <c r="F112" t="s">
        <v>173</v>
      </c>
    </row>
    <row r="113" spans="1:6" x14ac:dyDescent="0.45">
      <c r="A113" t="s">
        <v>6</v>
      </c>
      <c r="B113" t="s">
        <v>13</v>
      </c>
      <c r="C113" t="s">
        <v>6</v>
      </c>
      <c r="D113" t="s">
        <v>174</v>
      </c>
      <c r="E113" s="1">
        <v>44663</v>
      </c>
      <c r="F113" t="s">
        <v>175</v>
      </c>
    </row>
    <row r="114" spans="1:6" x14ac:dyDescent="0.45">
      <c r="A114" t="s">
        <v>101</v>
      </c>
      <c r="B114" t="s">
        <v>20</v>
      </c>
      <c r="C114" t="s">
        <v>20</v>
      </c>
      <c r="D114" t="s">
        <v>31</v>
      </c>
      <c r="E114" s="1">
        <v>44662</v>
      </c>
      <c r="F114" t="s">
        <v>176</v>
      </c>
    </row>
    <row r="115" spans="1:6" x14ac:dyDescent="0.45">
      <c r="A115" t="s">
        <v>23</v>
      </c>
      <c r="B115" t="s">
        <v>104</v>
      </c>
      <c r="C115" t="s">
        <v>23</v>
      </c>
      <c r="D115" t="s">
        <v>113</v>
      </c>
      <c r="E115" s="1">
        <v>44661</v>
      </c>
      <c r="F115" t="s">
        <v>177</v>
      </c>
    </row>
    <row r="116" spans="1:6" x14ac:dyDescent="0.45">
      <c r="A116" t="s">
        <v>10</v>
      </c>
      <c r="B116" t="s">
        <v>7</v>
      </c>
      <c r="C116" t="s">
        <v>10</v>
      </c>
      <c r="D116" t="s">
        <v>178</v>
      </c>
      <c r="E116" s="1">
        <v>44661</v>
      </c>
      <c r="F116" t="s">
        <v>179</v>
      </c>
    </row>
    <row r="117" spans="1:6" x14ac:dyDescent="0.45">
      <c r="A117" t="s">
        <v>19</v>
      </c>
      <c r="B117" t="s">
        <v>13</v>
      </c>
      <c r="C117" t="s">
        <v>13</v>
      </c>
      <c r="D117" t="s">
        <v>17</v>
      </c>
      <c r="E117" s="1">
        <v>44660</v>
      </c>
      <c r="F117" t="s">
        <v>180</v>
      </c>
    </row>
    <row r="118" spans="1:6" x14ac:dyDescent="0.45">
      <c r="A118" t="s">
        <v>6</v>
      </c>
      <c r="B118" t="s">
        <v>20</v>
      </c>
      <c r="C118" t="s">
        <v>20</v>
      </c>
      <c r="D118" t="s">
        <v>31</v>
      </c>
      <c r="E118" s="1">
        <v>44660</v>
      </c>
      <c r="F118" t="s">
        <v>181</v>
      </c>
    </row>
    <row r="119" spans="1:6" x14ac:dyDescent="0.45">
      <c r="A119" t="s">
        <v>26</v>
      </c>
      <c r="B119" t="s">
        <v>101</v>
      </c>
      <c r="C119" t="s">
        <v>101</v>
      </c>
      <c r="D119" t="s">
        <v>27</v>
      </c>
      <c r="E119" s="1">
        <v>44659</v>
      </c>
      <c r="F119" t="s">
        <v>182</v>
      </c>
    </row>
    <row r="120" spans="1:6" x14ac:dyDescent="0.45">
      <c r="A120" t="s">
        <v>10</v>
      </c>
      <c r="B120" t="s">
        <v>104</v>
      </c>
      <c r="C120" t="s">
        <v>104</v>
      </c>
      <c r="D120" t="s">
        <v>27</v>
      </c>
      <c r="E120" s="1">
        <v>44658</v>
      </c>
      <c r="F120" t="s">
        <v>183</v>
      </c>
    </row>
    <row r="121" spans="1:6" x14ac:dyDescent="0.45">
      <c r="A121" t="s">
        <v>19</v>
      </c>
      <c r="B121" t="s">
        <v>7</v>
      </c>
      <c r="C121" t="s">
        <v>7</v>
      </c>
      <c r="D121" t="s">
        <v>39</v>
      </c>
      <c r="E121" s="1">
        <v>44657</v>
      </c>
      <c r="F121" t="s">
        <v>184</v>
      </c>
    </row>
    <row r="122" spans="1:6" x14ac:dyDescent="0.45">
      <c r="A122" t="s">
        <v>23</v>
      </c>
      <c r="B122" t="s">
        <v>13</v>
      </c>
      <c r="C122" t="s">
        <v>13</v>
      </c>
      <c r="D122" t="s">
        <v>14</v>
      </c>
      <c r="E122" s="1">
        <v>44656</v>
      </c>
      <c r="F122" t="s">
        <v>185</v>
      </c>
    </row>
    <row r="123" spans="1:6" x14ac:dyDescent="0.45">
      <c r="A123" t="s">
        <v>104</v>
      </c>
      <c r="B123" t="s">
        <v>20</v>
      </c>
      <c r="C123" t="s">
        <v>104</v>
      </c>
      <c r="D123" t="s">
        <v>172</v>
      </c>
      <c r="E123" s="1">
        <v>44655</v>
      </c>
      <c r="F123" t="s">
        <v>186</v>
      </c>
    </row>
    <row r="124" spans="1:6" x14ac:dyDescent="0.45">
      <c r="A124" t="s">
        <v>26</v>
      </c>
      <c r="B124" t="s">
        <v>6</v>
      </c>
      <c r="C124" t="s">
        <v>26</v>
      </c>
      <c r="D124" t="s">
        <v>46</v>
      </c>
      <c r="E124" s="1">
        <v>44654</v>
      </c>
      <c r="F124" t="s">
        <v>187</v>
      </c>
    </row>
    <row r="125" spans="1:6" x14ac:dyDescent="0.45">
      <c r="A125" t="s">
        <v>101</v>
      </c>
      <c r="B125" t="s">
        <v>10</v>
      </c>
      <c r="C125" t="s">
        <v>101</v>
      </c>
      <c r="D125" t="s">
        <v>105</v>
      </c>
      <c r="E125" s="1">
        <v>44653</v>
      </c>
      <c r="F125" t="s">
        <v>188</v>
      </c>
    </row>
    <row r="126" spans="1:6" x14ac:dyDescent="0.45">
      <c r="A126" t="s">
        <v>23</v>
      </c>
      <c r="B126" t="s">
        <v>19</v>
      </c>
      <c r="C126" t="s">
        <v>23</v>
      </c>
      <c r="D126" t="s">
        <v>174</v>
      </c>
      <c r="E126" s="1">
        <v>44653</v>
      </c>
      <c r="F126" t="s">
        <v>189</v>
      </c>
    </row>
    <row r="127" spans="1:6" x14ac:dyDescent="0.45">
      <c r="A127" t="s">
        <v>26</v>
      </c>
      <c r="B127" t="s">
        <v>7</v>
      </c>
      <c r="C127" t="s">
        <v>7</v>
      </c>
      <c r="D127" t="s">
        <v>27</v>
      </c>
      <c r="E127" s="1">
        <v>44652</v>
      </c>
      <c r="F127" t="s">
        <v>190</v>
      </c>
    </row>
    <row r="128" spans="1:6" x14ac:dyDescent="0.45">
      <c r="A128" t="s">
        <v>6</v>
      </c>
      <c r="B128" t="s">
        <v>104</v>
      </c>
      <c r="C128" t="s">
        <v>104</v>
      </c>
      <c r="D128" t="s">
        <v>27</v>
      </c>
      <c r="E128" s="1">
        <v>44651</v>
      </c>
      <c r="F128" t="s">
        <v>191</v>
      </c>
    </row>
    <row r="129" spans="1:6" x14ac:dyDescent="0.45">
      <c r="A129" t="s">
        <v>7</v>
      </c>
      <c r="B129" t="s">
        <v>13</v>
      </c>
      <c r="C129" t="s">
        <v>13</v>
      </c>
      <c r="D129" t="s">
        <v>11</v>
      </c>
      <c r="E129" s="1">
        <v>44650</v>
      </c>
      <c r="F129" t="s">
        <v>192</v>
      </c>
    </row>
    <row r="130" spans="1:6" x14ac:dyDescent="0.45">
      <c r="A130" t="s">
        <v>23</v>
      </c>
      <c r="B130" t="s">
        <v>20</v>
      </c>
      <c r="C130" t="s">
        <v>23</v>
      </c>
      <c r="D130" t="s">
        <v>193</v>
      </c>
      <c r="E130" s="1">
        <v>44649</v>
      </c>
      <c r="F130" t="s">
        <v>194</v>
      </c>
    </row>
    <row r="131" spans="1:6" x14ac:dyDescent="0.45">
      <c r="A131" t="s">
        <v>104</v>
      </c>
      <c r="B131" t="s">
        <v>101</v>
      </c>
      <c r="C131" t="s">
        <v>101</v>
      </c>
      <c r="D131" t="s">
        <v>39</v>
      </c>
      <c r="E131" s="1">
        <v>44648</v>
      </c>
      <c r="F131" t="s">
        <v>195</v>
      </c>
    </row>
    <row r="132" spans="1:6" x14ac:dyDescent="0.45">
      <c r="A132" t="s">
        <v>13</v>
      </c>
      <c r="B132" t="s">
        <v>26</v>
      </c>
      <c r="C132" t="s">
        <v>26</v>
      </c>
      <c r="D132" t="s">
        <v>39</v>
      </c>
      <c r="E132" s="1">
        <v>44647</v>
      </c>
      <c r="F132" t="s">
        <v>196</v>
      </c>
    </row>
    <row r="133" spans="1:6" x14ac:dyDescent="0.45">
      <c r="A133" t="s">
        <v>19</v>
      </c>
      <c r="B133" t="s">
        <v>10</v>
      </c>
      <c r="C133" t="s">
        <v>10</v>
      </c>
      <c r="D133" t="s">
        <v>14</v>
      </c>
      <c r="E133" s="1">
        <v>44647</v>
      </c>
      <c r="F133" t="s">
        <v>197</v>
      </c>
    </row>
    <row r="134" spans="1:6" x14ac:dyDescent="0.45">
      <c r="A134" t="s">
        <v>6</v>
      </c>
      <c r="B134" t="s">
        <v>7</v>
      </c>
      <c r="C134" t="s">
        <v>7</v>
      </c>
      <c r="D134" t="s">
        <v>27</v>
      </c>
      <c r="E134" s="1">
        <v>44646</v>
      </c>
      <c r="F134" t="s">
        <v>198</v>
      </c>
    </row>
    <row r="135" spans="1:6" x14ac:dyDescent="0.45">
      <c r="A135" t="s">
        <v>101</v>
      </c>
      <c r="B135" t="s">
        <v>6</v>
      </c>
      <c r="C135" t="s">
        <v>6</v>
      </c>
      <c r="D135" t="s">
        <v>39</v>
      </c>
      <c r="E135" t="s">
        <v>199</v>
      </c>
      <c r="F135" t="s">
        <v>200</v>
      </c>
    </row>
    <row r="136" spans="1:6" x14ac:dyDescent="0.45">
      <c r="A136" t="s">
        <v>101</v>
      </c>
      <c r="B136" t="s">
        <v>19</v>
      </c>
      <c r="C136" t="s">
        <v>101</v>
      </c>
      <c r="D136" t="s">
        <v>124</v>
      </c>
      <c r="E136" s="1">
        <v>45072</v>
      </c>
      <c r="F136" t="s">
        <v>201</v>
      </c>
    </row>
    <row r="137" spans="1:6" x14ac:dyDescent="0.45">
      <c r="A137" t="s">
        <v>19</v>
      </c>
      <c r="B137" t="s">
        <v>104</v>
      </c>
      <c r="C137" t="s">
        <v>19</v>
      </c>
      <c r="D137" t="s">
        <v>202</v>
      </c>
      <c r="E137" s="1">
        <v>45070</v>
      </c>
      <c r="F137" t="s">
        <v>203</v>
      </c>
    </row>
    <row r="138" spans="1:6" x14ac:dyDescent="0.45">
      <c r="A138" t="s">
        <v>6</v>
      </c>
      <c r="B138" t="s">
        <v>101</v>
      </c>
      <c r="C138" t="s">
        <v>6</v>
      </c>
      <c r="D138" t="s">
        <v>157</v>
      </c>
      <c r="E138" s="1">
        <v>45069</v>
      </c>
      <c r="F138" t="s">
        <v>204</v>
      </c>
    </row>
    <row r="139" spans="1:6" x14ac:dyDescent="0.45">
      <c r="A139" t="s">
        <v>13</v>
      </c>
      <c r="B139" t="s">
        <v>101</v>
      </c>
      <c r="C139" t="s">
        <v>101</v>
      </c>
      <c r="D139" t="s">
        <v>27</v>
      </c>
      <c r="E139" s="1">
        <v>45067</v>
      </c>
      <c r="F139" t="s">
        <v>205</v>
      </c>
    </row>
    <row r="140" spans="1:6" x14ac:dyDescent="0.45">
      <c r="A140" t="s">
        <v>20</v>
      </c>
      <c r="B140" t="s">
        <v>19</v>
      </c>
      <c r="C140" t="s">
        <v>19</v>
      </c>
      <c r="D140" t="s">
        <v>31</v>
      </c>
      <c r="E140" s="1">
        <v>45067</v>
      </c>
      <c r="F140" t="s">
        <v>206</v>
      </c>
    </row>
    <row r="141" spans="1:6" x14ac:dyDescent="0.45">
      <c r="A141" t="s">
        <v>104</v>
      </c>
      <c r="B141" t="s">
        <v>7</v>
      </c>
      <c r="C141" t="s">
        <v>104</v>
      </c>
      <c r="D141" t="s">
        <v>72</v>
      </c>
      <c r="E141" s="1">
        <v>45066</v>
      </c>
      <c r="F141" t="s">
        <v>207</v>
      </c>
    </row>
    <row r="142" spans="1:6" x14ac:dyDescent="0.45">
      <c r="A142" t="s">
        <v>6</v>
      </c>
      <c r="B142" t="s">
        <v>10</v>
      </c>
      <c r="C142" t="s">
        <v>6</v>
      </c>
      <c r="D142" t="s">
        <v>208</v>
      </c>
      <c r="E142" s="1">
        <v>45066</v>
      </c>
      <c r="F142" t="s">
        <v>209</v>
      </c>
    </row>
    <row r="143" spans="1:6" x14ac:dyDescent="0.45">
      <c r="A143" t="s">
        <v>26</v>
      </c>
      <c r="B143" t="s">
        <v>23</v>
      </c>
      <c r="C143" t="s">
        <v>23</v>
      </c>
      <c r="D143" t="s">
        <v>14</v>
      </c>
      <c r="E143" s="1">
        <v>45065</v>
      </c>
      <c r="F143" t="s">
        <v>210</v>
      </c>
    </row>
    <row r="144" spans="1:6" x14ac:dyDescent="0.45">
      <c r="A144" t="s">
        <v>20</v>
      </c>
      <c r="B144" t="s">
        <v>13</v>
      </c>
      <c r="C144" t="s">
        <v>13</v>
      </c>
      <c r="D144" t="s">
        <v>31</v>
      </c>
      <c r="E144" s="1">
        <v>45064</v>
      </c>
      <c r="F144" t="s">
        <v>211</v>
      </c>
    </row>
    <row r="145" spans="1:6" x14ac:dyDescent="0.45">
      <c r="A145" t="s">
        <v>10</v>
      </c>
      <c r="B145" t="s">
        <v>26</v>
      </c>
      <c r="C145" t="s">
        <v>10</v>
      </c>
      <c r="D145" t="s">
        <v>157</v>
      </c>
      <c r="E145" s="1">
        <v>45063</v>
      </c>
      <c r="F145" t="s">
        <v>212</v>
      </c>
    </row>
    <row r="146" spans="1:6" x14ac:dyDescent="0.45">
      <c r="A146" t="s">
        <v>104</v>
      </c>
      <c r="B146" t="s">
        <v>19</v>
      </c>
      <c r="C146" t="s">
        <v>104</v>
      </c>
      <c r="D146" t="s">
        <v>50</v>
      </c>
      <c r="E146" s="1">
        <v>45062</v>
      </c>
      <c r="F146" t="s">
        <v>213</v>
      </c>
    </row>
    <row r="147" spans="1:6" x14ac:dyDescent="0.45">
      <c r="A147" t="s">
        <v>101</v>
      </c>
      <c r="B147" t="s">
        <v>20</v>
      </c>
      <c r="C147" t="s">
        <v>101</v>
      </c>
      <c r="D147" t="s">
        <v>67</v>
      </c>
      <c r="E147" s="1">
        <v>45061</v>
      </c>
      <c r="F147" t="s">
        <v>214</v>
      </c>
    </row>
    <row r="148" spans="1:6" x14ac:dyDescent="0.45">
      <c r="A148" t="s">
        <v>6</v>
      </c>
      <c r="B148" t="s">
        <v>7</v>
      </c>
      <c r="C148" t="s">
        <v>7</v>
      </c>
      <c r="D148" t="s">
        <v>27</v>
      </c>
      <c r="E148" s="1">
        <v>45060</v>
      </c>
      <c r="F148" t="s">
        <v>215</v>
      </c>
    </row>
    <row r="149" spans="1:6" x14ac:dyDescent="0.45">
      <c r="A149" t="s">
        <v>13</v>
      </c>
      <c r="B149" t="s">
        <v>23</v>
      </c>
      <c r="C149" t="s">
        <v>13</v>
      </c>
      <c r="D149" t="s">
        <v>216</v>
      </c>
      <c r="E149" s="1">
        <v>45060</v>
      </c>
      <c r="F149" t="s">
        <v>217</v>
      </c>
    </row>
    <row r="150" spans="1:6" x14ac:dyDescent="0.45">
      <c r="A150" t="s">
        <v>26</v>
      </c>
      <c r="B150" t="s">
        <v>10</v>
      </c>
      <c r="C150" t="s">
        <v>26</v>
      </c>
      <c r="D150" t="s">
        <v>218</v>
      </c>
      <c r="E150" s="1">
        <v>45059</v>
      </c>
      <c r="F150" t="s">
        <v>219</v>
      </c>
    </row>
    <row r="151" spans="1:6" x14ac:dyDescent="0.45">
      <c r="A151" t="s">
        <v>20</v>
      </c>
      <c r="B151" t="s">
        <v>104</v>
      </c>
      <c r="C151" t="s">
        <v>104</v>
      </c>
      <c r="D151" t="s">
        <v>17</v>
      </c>
      <c r="E151" s="1">
        <v>45059</v>
      </c>
      <c r="F151" t="s">
        <v>220</v>
      </c>
    </row>
    <row r="152" spans="1:6" x14ac:dyDescent="0.45">
      <c r="A152" t="s">
        <v>19</v>
      </c>
      <c r="B152" t="s">
        <v>101</v>
      </c>
      <c r="C152" t="s">
        <v>19</v>
      </c>
      <c r="D152" t="s">
        <v>8</v>
      </c>
      <c r="E152" s="1">
        <v>45058</v>
      </c>
      <c r="F152" t="s">
        <v>221</v>
      </c>
    </row>
    <row r="153" spans="1:6" x14ac:dyDescent="0.45">
      <c r="A153" t="s">
        <v>7</v>
      </c>
      <c r="B153" t="s">
        <v>23</v>
      </c>
      <c r="C153" t="s">
        <v>23</v>
      </c>
      <c r="D153" t="s">
        <v>59</v>
      </c>
      <c r="E153" s="1">
        <v>45057</v>
      </c>
      <c r="F153" t="s">
        <v>222</v>
      </c>
    </row>
    <row r="154" spans="1:6" x14ac:dyDescent="0.45">
      <c r="A154" t="s">
        <v>6</v>
      </c>
      <c r="B154" t="s">
        <v>10</v>
      </c>
      <c r="C154" t="s">
        <v>6</v>
      </c>
      <c r="D154" t="s">
        <v>8</v>
      </c>
      <c r="E154" s="1">
        <v>45056</v>
      </c>
      <c r="F154" t="s">
        <v>223</v>
      </c>
    </row>
    <row r="155" spans="1:6" x14ac:dyDescent="0.45">
      <c r="A155" t="s">
        <v>13</v>
      </c>
      <c r="B155" t="s">
        <v>19</v>
      </c>
      <c r="C155" t="s">
        <v>19</v>
      </c>
      <c r="D155" t="s">
        <v>27</v>
      </c>
      <c r="E155" s="1">
        <v>45055</v>
      </c>
      <c r="F155" t="s">
        <v>224</v>
      </c>
    </row>
    <row r="156" spans="1:6" x14ac:dyDescent="0.45">
      <c r="A156" t="s">
        <v>26</v>
      </c>
      <c r="B156" t="s">
        <v>7</v>
      </c>
      <c r="C156" t="s">
        <v>7</v>
      </c>
      <c r="D156" t="s">
        <v>39</v>
      </c>
      <c r="E156" s="1">
        <v>45054</v>
      </c>
      <c r="F156" t="s">
        <v>225</v>
      </c>
    </row>
    <row r="157" spans="1:6" x14ac:dyDescent="0.45">
      <c r="A157" t="s">
        <v>23</v>
      </c>
      <c r="B157" t="s">
        <v>20</v>
      </c>
      <c r="C157" t="s">
        <v>20</v>
      </c>
      <c r="D157" t="s">
        <v>14</v>
      </c>
      <c r="E157" s="1">
        <v>45053</v>
      </c>
      <c r="F157" t="s">
        <v>226</v>
      </c>
    </row>
    <row r="158" spans="1:6" x14ac:dyDescent="0.45">
      <c r="A158" t="s">
        <v>101</v>
      </c>
      <c r="B158" t="s">
        <v>104</v>
      </c>
      <c r="C158" t="s">
        <v>101</v>
      </c>
      <c r="D158" t="s">
        <v>227</v>
      </c>
      <c r="E158" s="1">
        <v>45053</v>
      </c>
      <c r="F158" t="s">
        <v>228</v>
      </c>
    </row>
    <row r="159" spans="1:6" x14ac:dyDescent="0.45">
      <c r="A159" t="s">
        <v>13</v>
      </c>
      <c r="B159" t="s">
        <v>10</v>
      </c>
      <c r="C159" t="s">
        <v>10</v>
      </c>
      <c r="D159" t="s">
        <v>17</v>
      </c>
      <c r="E159" s="1">
        <v>45052</v>
      </c>
      <c r="F159" t="s">
        <v>229</v>
      </c>
    </row>
    <row r="160" spans="1:6" x14ac:dyDescent="0.45">
      <c r="A160" t="s">
        <v>19</v>
      </c>
      <c r="B160" t="s">
        <v>6</v>
      </c>
      <c r="C160" t="s">
        <v>6</v>
      </c>
      <c r="D160" t="s">
        <v>27</v>
      </c>
      <c r="E160" s="1">
        <v>45052</v>
      </c>
      <c r="F160" t="s">
        <v>230</v>
      </c>
    </row>
    <row r="161" spans="1:6" x14ac:dyDescent="0.45">
      <c r="A161" t="s">
        <v>23</v>
      </c>
      <c r="B161" t="s">
        <v>101</v>
      </c>
      <c r="C161" t="s">
        <v>101</v>
      </c>
      <c r="D161" t="s">
        <v>59</v>
      </c>
      <c r="E161" s="1">
        <v>45051</v>
      </c>
      <c r="F161" t="s">
        <v>231</v>
      </c>
    </row>
    <row r="162" spans="1:6" x14ac:dyDescent="0.45">
      <c r="A162" t="s">
        <v>7</v>
      </c>
      <c r="B162" t="s">
        <v>20</v>
      </c>
      <c r="C162" t="s">
        <v>7</v>
      </c>
      <c r="D162" t="s">
        <v>50</v>
      </c>
      <c r="E162" s="1">
        <v>45050</v>
      </c>
      <c r="F162" t="s">
        <v>232</v>
      </c>
    </row>
    <row r="163" spans="1:6" x14ac:dyDescent="0.45">
      <c r="A163" t="s">
        <v>26</v>
      </c>
      <c r="B163" t="s">
        <v>19</v>
      </c>
      <c r="C163" t="s">
        <v>19</v>
      </c>
      <c r="D163" t="s">
        <v>27</v>
      </c>
      <c r="E163" s="1">
        <v>45049</v>
      </c>
      <c r="F163" t="s">
        <v>233</v>
      </c>
    </row>
    <row r="164" spans="1:6" x14ac:dyDescent="0.45">
      <c r="A164" t="s">
        <v>10</v>
      </c>
      <c r="B164" t="s">
        <v>101</v>
      </c>
      <c r="C164" t="s">
        <v>10</v>
      </c>
      <c r="D164" t="s">
        <v>50</v>
      </c>
      <c r="E164" s="1">
        <v>45048</v>
      </c>
      <c r="F164" t="s">
        <v>234</v>
      </c>
    </row>
    <row r="165" spans="1:6" x14ac:dyDescent="0.45">
      <c r="A165" t="s">
        <v>13</v>
      </c>
      <c r="B165" t="s">
        <v>104</v>
      </c>
      <c r="C165" t="s">
        <v>13</v>
      </c>
      <c r="D165" t="s">
        <v>81</v>
      </c>
      <c r="E165" s="1">
        <v>45047</v>
      </c>
      <c r="F165" t="s">
        <v>235</v>
      </c>
    </row>
    <row r="166" spans="1:6" x14ac:dyDescent="0.45">
      <c r="A166" t="s">
        <v>23</v>
      </c>
      <c r="B166" t="s">
        <v>19</v>
      </c>
      <c r="C166" t="s">
        <v>19</v>
      </c>
      <c r="D166" t="s">
        <v>27</v>
      </c>
      <c r="E166" s="1">
        <v>45046</v>
      </c>
      <c r="F166" t="s">
        <v>236</v>
      </c>
    </row>
    <row r="167" spans="1:6" x14ac:dyDescent="0.45">
      <c r="A167" t="s">
        <v>6</v>
      </c>
      <c r="B167" t="s">
        <v>26</v>
      </c>
      <c r="C167" t="s">
        <v>26</v>
      </c>
      <c r="D167" t="s">
        <v>14</v>
      </c>
      <c r="E167" s="1">
        <v>45046</v>
      </c>
      <c r="F167" t="s">
        <v>237</v>
      </c>
    </row>
    <row r="168" spans="1:6" x14ac:dyDescent="0.45">
      <c r="A168" t="s">
        <v>20</v>
      </c>
      <c r="B168" t="s">
        <v>10</v>
      </c>
      <c r="C168" t="s">
        <v>20</v>
      </c>
      <c r="D168" t="s">
        <v>238</v>
      </c>
      <c r="E168" s="1">
        <v>45045</v>
      </c>
      <c r="F168" t="s">
        <v>239</v>
      </c>
    </row>
    <row r="169" spans="1:6" x14ac:dyDescent="0.45">
      <c r="A169" t="s">
        <v>7</v>
      </c>
      <c r="B169" t="s">
        <v>101</v>
      </c>
      <c r="C169" t="s">
        <v>101</v>
      </c>
      <c r="D169" t="s">
        <v>17</v>
      </c>
      <c r="E169" s="1">
        <v>45045</v>
      </c>
      <c r="F169" t="s">
        <v>240</v>
      </c>
    </row>
    <row r="170" spans="1:6" x14ac:dyDescent="0.45">
      <c r="A170" t="s">
        <v>104</v>
      </c>
      <c r="B170" t="s">
        <v>26</v>
      </c>
      <c r="C170" t="s">
        <v>104</v>
      </c>
      <c r="D170" t="s">
        <v>227</v>
      </c>
      <c r="E170" s="1">
        <v>45044</v>
      </c>
      <c r="F170" t="s">
        <v>241</v>
      </c>
    </row>
    <row r="171" spans="1:6" x14ac:dyDescent="0.45">
      <c r="A171" t="s">
        <v>23</v>
      </c>
      <c r="B171" t="s">
        <v>6</v>
      </c>
      <c r="C171" t="s">
        <v>23</v>
      </c>
      <c r="D171" t="s">
        <v>242</v>
      </c>
      <c r="E171" s="1">
        <v>45043</v>
      </c>
      <c r="F171" t="s">
        <v>243</v>
      </c>
    </row>
    <row r="172" spans="1:6" x14ac:dyDescent="0.45">
      <c r="A172" t="s">
        <v>7</v>
      </c>
      <c r="B172" t="s">
        <v>13</v>
      </c>
      <c r="C172" t="s">
        <v>7</v>
      </c>
      <c r="D172" t="s">
        <v>136</v>
      </c>
      <c r="E172" s="1">
        <v>45042</v>
      </c>
      <c r="F172" t="s">
        <v>244</v>
      </c>
    </row>
    <row r="173" spans="1:6" x14ac:dyDescent="0.45">
      <c r="A173" t="s">
        <v>101</v>
      </c>
      <c r="B173" t="s">
        <v>19</v>
      </c>
      <c r="C173" t="s">
        <v>101</v>
      </c>
      <c r="D173" t="s">
        <v>64</v>
      </c>
      <c r="E173" s="1">
        <v>45041</v>
      </c>
      <c r="F173" t="s">
        <v>245</v>
      </c>
    </row>
    <row r="174" spans="1:6" x14ac:dyDescent="0.45">
      <c r="A174" t="s">
        <v>10</v>
      </c>
      <c r="B174" t="s">
        <v>20</v>
      </c>
      <c r="C174" t="s">
        <v>10</v>
      </c>
      <c r="D174" t="s">
        <v>162</v>
      </c>
      <c r="E174" s="1">
        <v>45040</v>
      </c>
      <c r="F174" t="s">
        <v>246</v>
      </c>
    </row>
    <row r="175" spans="1:6" x14ac:dyDescent="0.45">
      <c r="A175" t="s">
        <v>6</v>
      </c>
      <c r="B175" t="s">
        <v>7</v>
      </c>
      <c r="C175" t="s">
        <v>6</v>
      </c>
      <c r="D175" t="s">
        <v>247</v>
      </c>
      <c r="E175" s="1">
        <v>45039</v>
      </c>
      <c r="F175" t="s">
        <v>248</v>
      </c>
    </row>
    <row r="176" spans="1:6" x14ac:dyDescent="0.45">
      <c r="A176" t="s">
        <v>13</v>
      </c>
      <c r="B176" t="s">
        <v>23</v>
      </c>
      <c r="C176" t="s">
        <v>13</v>
      </c>
      <c r="D176" t="s">
        <v>162</v>
      </c>
      <c r="E176" s="1">
        <v>45039</v>
      </c>
      <c r="F176" t="s">
        <v>249</v>
      </c>
    </row>
    <row r="177" spans="1:6" x14ac:dyDescent="0.45">
      <c r="A177" t="s">
        <v>26</v>
      </c>
      <c r="B177" t="s">
        <v>19</v>
      </c>
      <c r="C177" t="s">
        <v>26</v>
      </c>
      <c r="D177" t="s">
        <v>90</v>
      </c>
      <c r="E177" s="1">
        <v>45038</v>
      </c>
      <c r="F177" t="s">
        <v>250</v>
      </c>
    </row>
    <row r="178" spans="1:6" x14ac:dyDescent="0.45">
      <c r="A178" t="s">
        <v>101</v>
      </c>
      <c r="B178" t="s">
        <v>104</v>
      </c>
      <c r="C178" t="s">
        <v>101</v>
      </c>
      <c r="D178" t="s">
        <v>162</v>
      </c>
      <c r="E178" s="1">
        <v>45038</v>
      </c>
      <c r="F178" t="s">
        <v>251</v>
      </c>
    </row>
    <row r="179" spans="1:6" x14ac:dyDescent="0.45">
      <c r="A179" t="s">
        <v>20</v>
      </c>
      <c r="B179" t="s">
        <v>6</v>
      </c>
      <c r="C179" t="s">
        <v>6</v>
      </c>
      <c r="D179" t="s">
        <v>17</v>
      </c>
      <c r="E179" s="1">
        <v>45037</v>
      </c>
      <c r="F179" t="s">
        <v>252</v>
      </c>
    </row>
    <row r="180" spans="1:6" x14ac:dyDescent="0.45">
      <c r="A180" t="s">
        <v>7</v>
      </c>
      <c r="B180" t="s">
        <v>10</v>
      </c>
      <c r="C180" t="s">
        <v>10</v>
      </c>
      <c r="D180" t="s">
        <v>14</v>
      </c>
      <c r="E180" s="1">
        <v>45036</v>
      </c>
      <c r="F180" t="s">
        <v>253</v>
      </c>
    </row>
    <row r="181" spans="1:6" x14ac:dyDescent="0.45">
      <c r="A181" t="s">
        <v>13</v>
      </c>
      <c r="B181" t="s">
        <v>26</v>
      </c>
      <c r="C181" t="s">
        <v>13</v>
      </c>
      <c r="D181" t="s">
        <v>117</v>
      </c>
      <c r="E181" s="1">
        <v>45036</v>
      </c>
      <c r="F181" t="s">
        <v>254</v>
      </c>
    </row>
    <row r="182" spans="1:6" x14ac:dyDescent="0.45">
      <c r="A182" t="s">
        <v>104</v>
      </c>
      <c r="B182" t="s">
        <v>23</v>
      </c>
      <c r="C182" t="s">
        <v>104</v>
      </c>
      <c r="D182" t="s">
        <v>95</v>
      </c>
      <c r="E182" s="1">
        <v>45035</v>
      </c>
      <c r="F182" t="s">
        <v>255</v>
      </c>
    </row>
    <row r="183" spans="1:6" x14ac:dyDescent="0.45">
      <c r="A183" t="s">
        <v>19</v>
      </c>
      <c r="B183" t="s">
        <v>20</v>
      </c>
      <c r="C183" t="s">
        <v>19</v>
      </c>
      <c r="D183" t="s">
        <v>105</v>
      </c>
      <c r="E183" s="1">
        <v>45034</v>
      </c>
      <c r="F183" t="s">
        <v>256</v>
      </c>
    </row>
    <row r="184" spans="1:6" x14ac:dyDescent="0.45">
      <c r="A184" t="s">
        <v>6</v>
      </c>
      <c r="B184" t="s">
        <v>13</v>
      </c>
      <c r="C184" t="s">
        <v>6</v>
      </c>
      <c r="D184" t="s">
        <v>155</v>
      </c>
      <c r="E184" s="1">
        <v>45033</v>
      </c>
      <c r="F184" t="s">
        <v>257</v>
      </c>
    </row>
    <row r="185" spans="1:6" x14ac:dyDescent="0.45">
      <c r="A185" t="s">
        <v>101</v>
      </c>
      <c r="B185" t="s">
        <v>23</v>
      </c>
      <c r="C185" t="s">
        <v>23</v>
      </c>
      <c r="D185" t="s">
        <v>11</v>
      </c>
      <c r="E185" s="1">
        <v>45032</v>
      </c>
      <c r="F185" t="s">
        <v>258</v>
      </c>
    </row>
    <row r="186" spans="1:6" x14ac:dyDescent="0.45">
      <c r="A186" t="s">
        <v>7</v>
      </c>
      <c r="B186" t="s">
        <v>19</v>
      </c>
      <c r="C186" t="s">
        <v>19</v>
      </c>
      <c r="D186" t="s">
        <v>39</v>
      </c>
      <c r="E186" s="1">
        <v>45032</v>
      </c>
      <c r="F186" t="s">
        <v>259</v>
      </c>
    </row>
    <row r="187" spans="1:6" x14ac:dyDescent="0.45">
      <c r="A187" t="s">
        <v>104</v>
      </c>
      <c r="B187" t="s">
        <v>26</v>
      </c>
      <c r="C187" t="s">
        <v>26</v>
      </c>
      <c r="D187" t="s">
        <v>48</v>
      </c>
      <c r="E187" s="1">
        <v>45031</v>
      </c>
      <c r="F187" t="s">
        <v>260</v>
      </c>
    </row>
    <row r="188" spans="1:6" x14ac:dyDescent="0.45">
      <c r="A188" t="s">
        <v>13</v>
      </c>
      <c r="B188" t="s">
        <v>10</v>
      </c>
      <c r="C188" t="s">
        <v>13</v>
      </c>
      <c r="D188" t="s">
        <v>174</v>
      </c>
      <c r="E188" s="1">
        <v>45031</v>
      </c>
      <c r="F188" t="s">
        <v>261</v>
      </c>
    </row>
    <row r="189" spans="1:6" x14ac:dyDescent="0.45">
      <c r="A189" t="s">
        <v>20</v>
      </c>
      <c r="B189" t="s">
        <v>7</v>
      </c>
      <c r="C189" t="s">
        <v>20</v>
      </c>
      <c r="D189" t="s">
        <v>174</v>
      </c>
      <c r="E189" s="1">
        <v>45030</v>
      </c>
      <c r="F189" t="s">
        <v>262</v>
      </c>
    </row>
    <row r="190" spans="1:6" x14ac:dyDescent="0.45">
      <c r="A190" t="s">
        <v>26</v>
      </c>
      <c r="B190" t="s">
        <v>101</v>
      </c>
      <c r="C190" t="s">
        <v>101</v>
      </c>
      <c r="D190" t="s">
        <v>27</v>
      </c>
      <c r="E190" s="1">
        <v>45029</v>
      </c>
      <c r="F190" t="s">
        <v>263</v>
      </c>
    </row>
    <row r="191" spans="1:6" x14ac:dyDescent="0.45">
      <c r="A191" t="s">
        <v>23</v>
      </c>
      <c r="B191" t="s">
        <v>6</v>
      </c>
      <c r="C191" t="s">
        <v>23</v>
      </c>
      <c r="D191" t="s">
        <v>113</v>
      </c>
      <c r="E191" s="1">
        <v>45028</v>
      </c>
      <c r="F191" t="s">
        <v>264</v>
      </c>
    </row>
    <row r="192" spans="1:6" x14ac:dyDescent="0.45">
      <c r="A192" t="s">
        <v>10</v>
      </c>
      <c r="B192" t="s">
        <v>19</v>
      </c>
      <c r="C192" t="s">
        <v>19</v>
      </c>
      <c r="D192" t="s">
        <v>27</v>
      </c>
      <c r="E192" s="1">
        <v>45027</v>
      </c>
      <c r="F192" t="s">
        <v>265</v>
      </c>
    </row>
    <row r="193" spans="1:6" x14ac:dyDescent="0.45">
      <c r="A193" t="s">
        <v>13</v>
      </c>
      <c r="B193" t="s">
        <v>104</v>
      </c>
      <c r="C193" t="s">
        <v>104</v>
      </c>
      <c r="D193" t="s">
        <v>266</v>
      </c>
      <c r="E193" s="1">
        <v>45026</v>
      </c>
      <c r="F193" t="s">
        <v>267</v>
      </c>
    </row>
    <row r="194" spans="1:6" x14ac:dyDescent="0.45">
      <c r="A194" t="s">
        <v>26</v>
      </c>
      <c r="B194" t="s">
        <v>20</v>
      </c>
      <c r="C194" t="s">
        <v>20</v>
      </c>
      <c r="D194" t="s">
        <v>31</v>
      </c>
      <c r="E194" s="1">
        <v>45025</v>
      </c>
      <c r="F194" t="s">
        <v>268</v>
      </c>
    </row>
    <row r="195" spans="1:6" x14ac:dyDescent="0.45">
      <c r="A195" t="s">
        <v>101</v>
      </c>
      <c r="B195" t="s">
        <v>7</v>
      </c>
      <c r="C195" t="s">
        <v>7</v>
      </c>
      <c r="D195" t="s">
        <v>11</v>
      </c>
      <c r="E195" s="1">
        <v>45025</v>
      </c>
      <c r="F195" t="s">
        <v>269</v>
      </c>
    </row>
    <row r="196" spans="1:6" x14ac:dyDescent="0.45">
      <c r="A196" t="s">
        <v>19</v>
      </c>
      <c r="B196" t="s">
        <v>6</v>
      </c>
      <c r="C196" t="s">
        <v>6</v>
      </c>
      <c r="D196" t="s">
        <v>17</v>
      </c>
      <c r="E196" s="1">
        <v>45024</v>
      </c>
      <c r="F196" t="s">
        <v>270</v>
      </c>
    </row>
    <row r="197" spans="1:6" x14ac:dyDescent="0.45">
      <c r="A197" t="s">
        <v>23</v>
      </c>
      <c r="B197" t="s">
        <v>10</v>
      </c>
      <c r="C197" t="s">
        <v>23</v>
      </c>
      <c r="D197" t="s">
        <v>271</v>
      </c>
      <c r="E197" s="1">
        <v>45024</v>
      </c>
      <c r="F197" t="s">
        <v>272</v>
      </c>
    </row>
    <row r="198" spans="1:6" x14ac:dyDescent="0.45">
      <c r="A198" t="s">
        <v>20</v>
      </c>
      <c r="B198" t="s">
        <v>104</v>
      </c>
      <c r="C198" t="s">
        <v>104</v>
      </c>
      <c r="D198" t="s">
        <v>39</v>
      </c>
      <c r="E198" s="1">
        <v>45023</v>
      </c>
      <c r="F198" t="s">
        <v>273</v>
      </c>
    </row>
    <row r="199" spans="1:6" x14ac:dyDescent="0.45">
      <c r="A199" t="s">
        <v>7</v>
      </c>
      <c r="B199" t="s">
        <v>13</v>
      </c>
      <c r="C199" t="s">
        <v>7</v>
      </c>
      <c r="D199" t="s">
        <v>202</v>
      </c>
      <c r="E199" s="1">
        <v>45022</v>
      </c>
      <c r="F199" t="s">
        <v>274</v>
      </c>
    </row>
    <row r="200" spans="1:6" x14ac:dyDescent="0.45">
      <c r="A200" t="s">
        <v>26</v>
      </c>
      <c r="B200" t="s">
        <v>23</v>
      </c>
      <c r="C200" t="s">
        <v>26</v>
      </c>
      <c r="D200" t="s">
        <v>50</v>
      </c>
      <c r="E200" s="1">
        <v>45021</v>
      </c>
      <c r="F200" t="s">
        <v>275</v>
      </c>
    </row>
    <row r="201" spans="1:6" x14ac:dyDescent="0.45">
      <c r="A201" t="s">
        <v>10</v>
      </c>
      <c r="B201" t="s">
        <v>101</v>
      </c>
      <c r="C201" t="s">
        <v>101</v>
      </c>
      <c r="D201" t="s">
        <v>27</v>
      </c>
      <c r="E201" s="1">
        <v>45020</v>
      </c>
      <c r="F201" t="s">
        <v>276</v>
      </c>
    </row>
    <row r="202" spans="1:6" x14ac:dyDescent="0.45">
      <c r="A202" t="s">
        <v>6</v>
      </c>
      <c r="B202" t="s">
        <v>104</v>
      </c>
      <c r="C202" t="s">
        <v>6</v>
      </c>
      <c r="D202" t="s">
        <v>172</v>
      </c>
      <c r="E202" s="1">
        <v>45019</v>
      </c>
      <c r="F202" t="s">
        <v>277</v>
      </c>
    </row>
    <row r="203" spans="1:6" x14ac:dyDescent="0.45">
      <c r="A203" t="s">
        <v>19</v>
      </c>
      <c r="B203" t="s">
        <v>13</v>
      </c>
      <c r="C203" t="s">
        <v>13</v>
      </c>
      <c r="D203" t="s">
        <v>31</v>
      </c>
      <c r="E203" s="1">
        <v>45018</v>
      </c>
      <c r="F203" t="s">
        <v>278</v>
      </c>
    </row>
    <row r="204" spans="1:6" x14ac:dyDescent="0.45">
      <c r="A204" t="s">
        <v>23</v>
      </c>
      <c r="B204" t="s">
        <v>20</v>
      </c>
      <c r="C204" t="s">
        <v>23</v>
      </c>
      <c r="D204" t="s">
        <v>279</v>
      </c>
      <c r="E204" s="1">
        <v>45018</v>
      </c>
      <c r="F204" t="s">
        <v>280</v>
      </c>
    </row>
    <row r="205" spans="1:6" x14ac:dyDescent="0.45">
      <c r="A205" t="s">
        <v>104</v>
      </c>
      <c r="B205" t="s">
        <v>10</v>
      </c>
      <c r="C205" t="s">
        <v>104</v>
      </c>
      <c r="D205" t="s">
        <v>281</v>
      </c>
      <c r="E205" s="1">
        <v>45017</v>
      </c>
      <c r="F205" t="s">
        <v>282</v>
      </c>
    </row>
    <row r="206" spans="1:6" x14ac:dyDescent="0.45">
      <c r="A206" t="s">
        <v>26</v>
      </c>
      <c r="B206" t="s">
        <v>7</v>
      </c>
      <c r="C206" t="s">
        <v>26</v>
      </c>
      <c r="D206" t="s">
        <v>162</v>
      </c>
      <c r="E206" s="1">
        <v>45017</v>
      </c>
      <c r="F206" t="s">
        <v>283</v>
      </c>
    </row>
    <row r="207" spans="1:6" x14ac:dyDescent="0.45">
      <c r="A207" t="s">
        <v>6</v>
      </c>
      <c r="B207" t="s">
        <v>101</v>
      </c>
      <c r="C207" t="s">
        <v>101</v>
      </c>
      <c r="D207" t="s">
        <v>39</v>
      </c>
      <c r="E207" s="1">
        <v>45016</v>
      </c>
      <c r="F207" t="s">
        <v>284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33EC3-E458-4D97-A8F2-2CC2BFD15B58}">
  <dimension ref="A1:J293"/>
  <sheetViews>
    <sheetView tabSelected="1" workbookViewId="0">
      <selection activeCell="I2" sqref="I2"/>
    </sheetView>
  </sheetViews>
  <sheetFormatPr defaultRowHeight="14.25" x14ac:dyDescent="0.45"/>
  <cols>
    <col min="1" max="1" width="14.73046875" customWidth="1"/>
    <col min="2" max="2" width="16.1328125" customWidth="1"/>
    <col min="3" max="3" width="17.59765625" customWidth="1"/>
    <col min="4" max="4" width="18.265625" customWidth="1"/>
    <col min="5" max="5" width="20.3984375" customWidth="1"/>
    <col min="6" max="7" width="19.86328125" customWidth="1"/>
    <col min="8" max="8" width="17.3984375" customWidth="1"/>
    <col min="9" max="9" width="15.86328125" customWidth="1"/>
    <col min="10" max="10" width="25.59765625" bestFit="1" customWidth="1"/>
  </cols>
  <sheetData>
    <row r="1" spans="1:10" x14ac:dyDescent="0.45">
      <c r="A1" s="7" t="s">
        <v>285</v>
      </c>
      <c r="B1" s="7" t="s">
        <v>286</v>
      </c>
      <c r="C1" s="7" t="s">
        <v>287</v>
      </c>
      <c r="D1" s="7" t="s">
        <v>288</v>
      </c>
      <c r="E1" s="7" t="s">
        <v>289</v>
      </c>
      <c r="F1" s="6" t="s">
        <v>721</v>
      </c>
      <c r="G1" s="6" t="s">
        <v>722</v>
      </c>
      <c r="H1" s="6" t="s">
        <v>723</v>
      </c>
      <c r="I1" s="8" t="s">
        <v>724</v>
      </c>
      <c r="J1" s="6" t="s">
        <v>725</v>
      </c>
    </row>
    <row r="2" spans="1:10" x14ac:dyDescent="0.45">
      <c r="A2" t="s">
        <v>290</v>
      </c>
      <c r="B2" t="s">
        <v>6</v>
      </c>
      <c r="C2" t="s">
        <v>291</v>
      </c>
      <c r="D2" t="s">
        <v>292</v>
      </c>
      <c r="E2" t="s">
        <v>293</v>
      </c>
      <c r="F2">
        <f>COUNTIFS(fact_batting_summary!E:E, A2)</f>
        <v>45</v>
      </c>
      <c r="G2">
        <f>SUMIFS(fact_batting_summary!G:G, fact_batting_summary!E:E, A2)</f>
        <v>1593</v>
      </c>
      <c r="H2">
        <f>SUMIFS(fact_batting_summary!H:H, fact_batting_summary!E:E, A2)</f>
        <v>1157</v>
      </c>
      <c r="I2" t="e" cm="1">
        <f t="array" ref="I2">SUMPRODUCT((fact_bowling_summary!D:D=A2)*(fact_bowling_summary!E:E)*6+MOD(fact_bowling_summary!E:E,13)*10)</f>
        <v>#VALUE!</v>
      </c>
      <c r="J2">
        <f>SUMIFS(fact_bowling_summary!G:G, fact_bowling_summary!D:D, A2)</f>
        <v>0</v>
      </c>
    </row>
    <row r="3" spans="1:10" x14ac:dyDescent="0.45">
      <c r="A3" t="s">
        <v>294</v>
      </c>
      <c r="B3" t="s">
        <v>6</v>
      </c>
      <c r="C3" t="s">
        <v>291</v>
      </c>
      <c r="D3" t="s">
        <v>295</v>
      </c>
      <c r="E3" t="s">
        <v>296</v>
      </c>
      <c r="F3">
        <f>COUNTIFS(fact_batting_summary!E:E, A3)</f>
        <v>46</v>
      </c>
      <c r="G3">
        <f>SUMIFS(fact_batting_summary!G:G, fact_batting_summary!E:E, A3)</f>
        <v>1831</v>
      </c>
      <c r="H3">
        <f>SUMIFS(fact_batting_summary!H:H, fact_batting_summary!E:E, A3)</f>
        <v>1300</v>
      </c>
      <c r="I3" t="e">
        <f>SUMPRODUCT((fact_bowling_summary!D:D=A3)*(fact_bowling_summary!E:E)*6+MOD(fact_bowling_summary!E:E,1)*10)</f>
        <v>#VALUE!</v>
      </c>
      <c r="J3">
        <f>SUMIFS(fact_bowling_summary!G:G, fact_bowling_summary!D:D, A3)</f>
        <v>0</v>
      </c>
    </row>
    <row r="4" spans="1:10" x14ac:dyDescent="0.45">
      <c r="A4" t="s">
        <v>297</v>
      </c>
      <c r="B4" t="s">
        <v>6</v>
      </c>
      <c r="C4" t="s">
        <v>291</v>
      </c>
      <c r="D4" t="s">
        <v>298</v>
      </c>
      <c r="E4" t="s">
        <v>293</v>
      </c>
      <c r="F4">
        <f>COUNTIFS(fact_batting_summary!E:E, A4)</f>
        <v>15</v>
      </c>
      <c r="G4">
        <f>SUMIFS(fact_batting_summary!G:G, fact_batting_summary!E:E, A4)</f>
        <v>345</v>
      </c>
      <c r="H4">
        <f>SUMIFS(fact_batting_summary!H:H, fact_batting_summary!E:E, A4)</f>
        <v>255</v>
      </c>
      <c r="J4">
        <f>SUMIFS(fact_bowling_summary!G:G, fact_bowling_summary!D:D, A4)</f>
        <v>0</v>
      </c>
    </row>
    <row r="5" spans="1:10" x14ac:dyDescent="0.45">
      <c r="A5" t="s">
        <v>299</v>
      </c>
      <c r="B5" t="s">
        <v>6</v>
      </c>
      <c r="C5" t="s">
        <v>300</v>
      </c>
      <c r="D5" t="s">
        <v>292</v>
      </c>
      <c r="E5" t="s">
        <v>301</v>
      </c>
      <c r="F5">
        <f>COUNTIFS(fact_batting_summary!E:E, A5)</f>
        <v>35</v>
      </c>
      <c r="G5">
        <f>SUMIFS(fact_batting_summary!G:G, fact_batting_summary!E:E, A5)</f>
        <v>725</v>
      </c>
      <c r="H5">
        <f>SUMIFS(fact_batting_summary!H:H, fact_batting_summary!E:E, A5)</f>
        <v>528</v>
      </c>
      <c r="J5">
        <f>SUMIFS(fact_bowling_summary!G:G, fact_bowling_summary!D:D, A5)</f>
        <v>501</v>
      </c>
    </row>
    <row r="6" spans="1:10" x14ac:dyDescent="0.45">
      <c r="A6" t="s">
        <v>302</v>
      </c>
      <c r="B6" t="s">
        <v>7</v>
      </c>
      <c r="C6" t="s">
        <v>291</v>
      </c>
      <c r="D6" t="s">
        <v>292</v>
      </c>
      <c r="E6" t="s">
        <v>303</v>
      </c>
      <c r="F6">
        <f>COUNTIFS(fact_batting_summary!E:E, A6)</f>
        <v>50</v>
      </c>
      <c r="G6">
        <f>SUMIFS(fact_batting_summary!G:G, fact_batting_summary!E:E, A6)</f>
        <v>1851</v>
      </c>
      <c r="H6">
        <f>SUMIFS(fact_batting_summary!H:H, fact_batting_summary!E:E, A6)</f>
        <v>1331</v>
      </c>
      <c r="J6">
        <f>SUMIFS(fact_bowling_summary!G:G, fact_bowling_summary!D:D, A6)</f>
        <v>0</v>
      </c>
    </row>
    <row r="7" spans="1:10" x14ac:dyDescent="0.45">
      <c r="A7" t="s">
        <v>304</v>
      </c>
      <c r="B7" t="s">
        <v>7</v>
      </c>
      <c r="C7" t="s">
        <v>300</v>
      </c>
      <c r="D7" t="s">
        <v>298</v>
      </c>
      <c r="E7" t="s">
        <v>305</v>
      </c>
      <c r="F7">
        <f>COUNTIFS(fact_batting_summary!E:E, A7)</f>
        <v>36</v>
      </c>
      <c r="G7">
        <f>SUMIFS(fact_batting_summary!G:G, fact_batting_summary!E:E, A7)</f>
        <v>956</v>
      </c>
      <c r="H7">
        <f>SUMIFS(fact_batting_summary!H:H, fact_batting_summary!E:E, A7)</f>
        <v>734</v>
      </c>
      <c r="J7">
        <f>SUMIFS(fact_bowling_summary!G:G, fact_bowling_summary!D:D, A7)</f>
        <v>115</v>
      </c>
    </row>
    <row r="8" spans="1:10" x14ac:dyDescent="0.45">
      <c r="A8" t="s">
        <v>306</v>
      </c>
      <c r="B8" t="s">
        <v>7</v>
      </c>
      <c r="C8" t="s">
        <v>300</v>
      </c>
      <c r="D8" t="s">
        <v>307</v>
      </c>
      <c r="E8" t="s">
        <v>296</v>
      </c>
      <c r="F8">
        <f>COUNTIFS(fact_batting_summary!E:E, A8)</f>
        <v>44</v>
      </c>
      <c r="G8">
        <f>SUMIFS(fact_batting_summary!G:G, fact_batting_summary!E:E, A8)</f>
        <v>1157</v>
      </c>
      <c r="H8">
        <f>SUMIFS(fact_batting_summary!H:H, fact_batting_summary!E:E, A8)</f>
        <v>858</v>
      </c>
      <c r="J8">
        <f>SUMIFS(fact_bowling_summary!G:G, fact_bowling_summary!D:D, A8)</f>
        <v>110</v>
      </c>
    </row>
    <row r="9" spans="1:10" x14ac:dyDescent="0.45">
      <c r="A9" t="s">
        <v>308</v>
      </c>
      <c r="B9" t="s">
        <v>7</v>
      </c>
      <c r="C9" t="s">
        <v>300</v>
      </c>
      <c r="D9" t="s">
        <v>292</v>
      </c>
      <c r="E9" t="s">
        <v>309</v>
      </c>
      <c r="F9">
        <f>COUNTIFS(fact_batting_summary!E:E, A9)</f>
        <v>30</v>
      </c>
      <c r="G9">
        <f>SUMIFS(fact_batting_summary!G:G, fact_batting_summary!E:E, A9)</f>
        <v>154</v>
      </c>
      <c r="H9">
        <f>SUMIFS(fact_batting_summary!H:H, fact_batting_summary!E:E, A9)</f>
        <v>112</v>
      </c>
      <c r="J9">
        <f>SUMIFS(fact_bowling_summary!G:G, fact_bowling_summary!D:D, A9)</f>
        <v>1056</v>
      </c>
    </row>
    <row r="10" spans="1:10" x14ac:dyDescent="0.45">
      <c r="A10" t="s">
        <v>310</v>
      </c>
      <c r="B10" t="s">
        <v>7</v>
      </c>
      <c r="C10" t="s">
        <v>300</v>
      </c>
      <c r="D10" t="s">
        <v>298</v>
      </c>
      <c r="E10" t="s">
        <v>296</v>
      </c>
      <c r="F10">
        <f>COUNTIFS(fact_batting_summary!E:E, A10)</f>
        <v>16</v>
      </c>
      <c r="G10">
        <f>SUMIFS(fact_batting_summary!G:G, fact_batting_summary!E:E, A10)</f>
        <v>133</v>
      </c>
      <c r="H10">
        <f>SUMIFS(fact_batting_summary!H:H, fact_batting_summary!E:E, A10)</f>
        <v>139</v>
      </c>
      <c r="J10">
        <f>SUMIFS(fact_bowling_summary!G:G, fact_bowling_summary!D:D, A10)</f>
        <v>0</v>
      </c>
    </row>
    <row r="11" spans="1:10" x14ac:dyDescent="0.45">
      <c r="A11" t="s">
        <v>311</v>
      </c>
      <c r="B11" t="s">
        <v>7</v>
      </c>
      <c r="C11" t="s">
        <v>291</v>
      </c>
      <c r="D11" t="s">
        <v>292</v>
      </c>
      <c r="E11" t="s">
        <v>312</v>
      </c>
      <c r="F11">
        <f>COUNTIFS(fact_batting_summary!E:E, A11)</f>
        <v>44</v>
      </c>
      <c r="G11">
        <f>SUMIFS(fact_batting_summary!G:G, fact_batting_summary!E:E, A11)</f>
        <v>693</v>
      </c>
      <c r="H11">
        <f>SUMIFS(fact_batting_summary!H:H, fact_batting_summary!E:E, A11)</f>
        <v>454</v>
      </c>
      <c r="J11">
        <f>SUMIFS(fact_bowling_summary!G:G, fact_bowling_summary!D:D, A11)</f>
        <v>0</v>
      </c>
    </row>
    <row r="12" spans="1:10" x14ac:dyDescent="0.45">
      <c r="A12" t="s">
        <v>313</v>
      </c>
      <c r="B12" t="s">
        <v>7</v>
      </c>
      <c r="C12" t="s">
        <v>300</v>
      </c>
      <c r="D12" t="s">
        <v>314</v>
      </c>
      <c r="E12" t="s">
        <v>305</v>
      </c>
      <c r="F12">
        <f>COUNTIFS(fact_batting_summary!E:E, A12)</f>
        <v>6</v>
      </c>
      <c r="G12">
        <f>SUMIFS(fact_batting_summary!G:G, fact_batting_summary!E:E, A12)</f>
        <v>47</v>
      </c>
      <c r="H12">
        <f>SUMIFS(fact_batting_summary!H:H, fact_batting_summary!E:E, A12)</f>
        <v>48</v>
      </c>
      <c r="J12">
        <f>SUMIFS(fact_bowling_summary!G:G, fact_bowling_summary!D:D, A12)</f>
        <v>187</v>
      </c>
    </row>
    <row r="13" spans="1:10" x14ac:dyDescent="0.45">
      <c r="A13" t="s">
        <v>315</v>
      </c>
      <c r="B13" t="s">
        <v>7</v>
      </c>
      <c r="C13" t="s">
        <v>291</v>
      </c>
      <c r="D13" t="s">
        <v>298</v>
      </c>
      <c r="E13" t="s">
        <v>316</v>
      </c>
      <c r="F13">
        <f>COUNTIFS(fact_batting_summary!E:E, A13)</f>
        <v>43</v>
      </c>
      <c r="G13">
        <f>SUMIFS(fact_batting_summary!G:G, fact_batting_summary!E:E, A13)</f>
        <v>1083</v>
      </c>
      <c r="H13">
        <f>SUMIFS(fact_batting_summary!H:H, fact_batting_summary!E:E, A13)</f>
        <v>757</v>
      </c>
      <c r="J13">
        <f>SUMIFS(fact_bowling_summary!G:G, fact_bowling_summary!D:D, A13)</f>
        <v>0</v>
      </c>
    </row>
    <row r="14" spans="1:10" x14ac:dyDescent="0.45">
      <c r="A14" t="s">
        <v>317</v>
      </c>
      <c r="B14" t="s">
        <v>7</v>
      </c>
      <c r="C14" t="s">
        <v>291</v>
      </c>
      <c r="D14" t="s">
        <v>318</v>
      </c>
      <c r="E14" t="s">
        <v>319</v>
      </c>
      <c r="F14">
        <f>COUNTIFS(fact_batting_summary!E:E, A14)</f>
        <v>6</v>
      </c>
      <c r="G14">
        <f>SUMIFS(fact_batting_summary!G:G, fact_batting_summary!E:E, A14)</f>
        <v>23</v>
      </c>
      <c r="H14">
        <f>SUMIFS(fact_batting_summary!H:H, fact_batting_summary!E:E, A14)</f>
        <v>15</v>
      </c>
      <c r="J14">
        <f>SUMIFS(fact_bowling_summary!G:G, fact_bowling_summary!D:D, A14)</f>
        <v>747</v>
      </c>
    </row>
    <row r="15" spans="1:10" x14ac:dyDescent="0.45">
      <c r="A15" t="s">
        <v>320</v>
      </c>
      <c r="B15" t="s">
        <v>7</v>
      </c>
      <c r="C15" t="s">
        <v>291</v>
      </c>
      <c r="D15" t="s">
        <v>321</v>
      </c>
      <c r="E15" t="s">
        <v>319</v>
      </c>
      <c r="F15">
        <f>COUNTIFS(fact_batting_summary!E:E, A15)</f>
        <v>5</v>
      </c>
      <c r="G15">
        <f>SUMIFS(fact_batting_summary!G:G, fact_batting_summary!E:E, A15)</f>
        <v>28</v>
      </c>
      <c r="H15">
        <f>SUMIFS(fact_batting_summary!H:H, fact_batting_summary!E:E, A15)</f>
        <v>27</v>
      </c>
      <c r="J15">
        <f>SUMIFS(fact_bowling_summary!G:G, fact_bowling_summary!D:D, A15)</f>
        <v>460</v>
      </c>
    </row>
    <row r="16" spans="1:10" x14ac:dyDescent="0.45">
      <c r="A16" t="s">
        <v>322</v>
      </c>
      <c r="B16" t="s">
        <v>7</v>
      </c>
      <c r="C16" t="s">
        <v>291</v>
      </c>
      <c r="D16" t="s">
        <v>323</v>
      </c>
      <c r="E16" t="s">
        <v>319</v>
      </c>
      <c r="F16">
        <f>COUNTIFS(fact_batting_summary!E:E, A16)</f>
        <v>9</v>
      </c>
      <c r="G16">
        <f>SUMIFS(fact_batting_summary!G:G, fact_batting_summary!E:E, A16)</f>
        <v>15</v>
      </c>
      <c r="H16">
        <f>SUMIFS(fact_batting_summary!H:H, fact_batting_summary!E:E, A16)</f>
        <v>31</v>
      </c>
      <c r="J16">
        <f>SUMIFS(fact_bowling_summary!G:G, fact_bowling_summary!D:D, A16)</f>
        <v>1209</v>
      </c>
    </row>
    <row r="17" spans="1:10" x14ac:dyDescent="0.45">
      <c r="A17" t="s">
        <v>324</v>
      </c>
      <c r="B17" t="s">
        <v>6</v>
      </c>
      <c r="C17" t="s">
        <v>291</v>
      </c>
      <c r="D17" t="s">
        <v>298</v>
      </c>
      <c r="E17" t="s">
        <v>319</v>
      </c>
      <c r="F17">
        <f>COUNTIFS(fact_batting_summary!E:E, A17)</f>
        <v>3</v>
      </c>
      <c r="G17">
        <f>SUMIFS(fact_batting_summary!G:G, fact_batting_summary!E:E, A17)</f>
        <v>2</v>
      </c>
      <c r="H17">
        <f>SUMIFS(fact_batting_summary!H:H, fact_batting_summary!E:E, A17)</f>
        <v>3</v>
      </c>
      <c r="J17">
        <f>SUMIFS(fact_bowling_summary!G:G, fact_bowling_summary!D:D, A17)</f>
        <v>707</v>
      </c>
    </row>
    <row r="18" spans="1:10" x14ac:dyDescent="0.45">
      <c r="A18" t="s">
        <v>325</v>
      </c>
      <c r="B18" t="s">
        <v>6</v>
      </c>
      <c r="C18" t="s">
        <v>300</v>
      </c>
      <c r="D18" t="s">
        <v>321</v>
      </c>
      <c r="E18" t="s">
        <v>319</v>
      </c>
      <c r="F18">
        <f>COUNTIFS(fact_batting_summary!E:E, A18)</f>
        <v>6</v>
      </c>
      <c r="G18">
        <f>SUMIFS(fact_batting_summary!G:G, fact_batting_summary!E:E, A18)</f>
        <v>19</v>
      </c>
      <c r="H18">
        <f>SUMIFS(fact_batting_summary!H:H, fact_batting_summary!E:E, A18)</f>
        <v>28</v>
      </c>
      <c r="J18">
        <f>SUMIFS(fact_bowling_summary!G:G, fact_bowling_summary!D:D, A18)</f>
        <v>746</v>
      </c>
    </row>
    <row r="19" spans="1:10" x14ac:dyDescent="0.45">
      <c r="A19" t="s">
        <v>326</v>
      </c>
      <c r="B19" t="s">
        <v>6</v>
      </c>
      <c r="C19" t="s">
        <v>291</v>
      </c>
      <c r="D19" t="s">
        <v>298</v>
      </c>
      <c r="E19" t="s">
        <v>319</v>
      </c>
      <c r="F19">
        <f>COUNTIFS(fact_batting_summary!E:E, A19)</f>
        <v>24</v>
      </c>
      <c r="G19">
        <f>SUMIFS(fact_batting_summary!G:G, fact_batting_summary!E:E, A19)</f>
        <v>238</v>
      </c>
      <c r="H19">
        <f>SUMIFS(fact_batting_summary!H:H, fact_batting_summary!E:E, A19)</f>
        <v>162</v>
      </c>
      <c r="J19">
        <f>SUMIFS(fact_bowling_summary!G:G, fact_bowling_summary!D:D, A19)</f>
        <v>1220</v>
      </c>
    </row>
    <row r="20" spans="1:10" x14ac:dyDescent="0.45">
      <c r="A20" t="s">
        <v>327</v>
      </c>
      <c r="B20" t="s">
        <v>6</v>
      </c>
      <c r="C20" t="s">
        <v>291</v>
      </c>
      <c r="D20" t="s">
        <v>298</v>
      </c>
      <c r="E20" t="s">
        <v>305</v>
      </c>
      <c r="F20">
        <f>COUNTIFS(fact_batting_summary!E:E, A20)</f>
        <v>9</v>
      </c>
      <c r="G20">
        <f>SUMIFS(fact_batting_summary!G:G, fact_batting_summary!E:E, A20)</f>
        <v>70</v>
      </c>
      <c r="H20">
        <f>SUMIFS(fact_batting_summary!H:H, fact_batting_summary!E:E, A20)</f>
        <v>42</v>
      </c>
      <c r="J20">
        <f>SUMIFS(fact_bowling_summary!G:G, fact_bowling_summary!D:D, A20)</f>
        <v>562</v>
      </c>
    </row>
    <row r="21" spans="1:10" x14ac:dyDescent="0.45">
      <c r="A21" t="s">
        <v>328</v>
      </c>
      <c r="B21" t="s">
        <v>6</v>
      </c>
      <c r="C21" t="s">
        <v>300</v>
      </c>
      <c r="D21" t="s">
        <v>314</v>
      </c>
      <c r="E21" t="s">
        <v>305</v>
      </c>
      <c r="F21">
        <f>COUNTIFS(fact_batting_summary!E:E, A21)</f>
        <v>34</v>
      </c>
      <c r="G21">
        <f>SUMIFS(fact_batting_summary!G:G, fact_batting_summary!E:E, A21)</f>
        <v>533</v>
      </c>
      <c r="H21">
        <f>SUMIFS(fact_batting_summary!H:H, fact_batting_summary!E:E, A21)</f>
        <v>387</v>
      </c>
      <c r="J21">
        <f>SUMIFS(fact_bowling_summary!G:G, fact_bowling_summary!D:D, A21)</f>
        <v>1014</v>
      </c>
    </row>
    <row r="22" spans="1:10" x14ac:dyDescent="0.45">
      <c r="A22" t="s">
        <v>329</v>
      </c>
      <c r="B22" t="s">
        <v>10</v>
      </c>
      <c r="C22" t="s">
        <v>291</v>
      </c>
      <c r="D22" t="s">
        <v>292</v>
      </c>
      <c r="E22" t="s">
        <v>303</v>
      </c>
      <c r="F22">
        <f>COUNTIFS(fact_batting_summary!E:E, A22)</f>
        <v>32</v>
      </c>
      <c r="G22">
        <f>SUMIFS(fact_batting_summary!G:G, fact_batting_summary!E:E, A22)</f>
        <v>815</v>
      </c>
      <c r="H22">
        <f>SUMIFS(fact_batting_summary!H:H, fact_batting_summary!E:E, A22)</f>
        <v>532</v>
      </c>
      <c r="J22">
        <f>SUMIFS(fact_bowling_summary!G:G, fact_bowling_summary!D:D, A22)</f>
        <v>0</v>
      </c>
    </row>
    <row r="23" spans="1:10" x14ac:dyDescent="0.45">
      <c r="A23" t="s">
        <v>330</v>
      </c>
      <c r="B23" t="s">
        <v>10</v>
      </c>
      <c r="C23" t="s">
        <v>300</v>
      </c>
      <c r="D23" t="s">
        <v>292</v>
      </c>
      <c r="E23" t="s">
        <v>303</v>
      </c>
      <c r="F23">
        <f>COUNTIFS(fact_batting_summary!E:E, A23)</f>
        <v>40</v>
      </c>
      <c r="G23">
        <f>SUMIFS(fact_batting_summary!G:G, fact_batting_summary!E:E, A23)</f>
        <v>1392</v>
      </c>
      <c r="H23">
        <f>SUMIFS(fact_batting_summary!H:H, fact_batting_summary!E:E, A23)</f>
        <v>1081</v>
      </c>
      <c r="J23">
        <f>SUMIFS(fact_bowling_summary!G:G, fact_bowling_summary!D:D, A23)</f>
        <v>0</v>
      </c>
    </row>
    <row r="24" spans="1:10" x14ac:dyDescent="0.45">
      <c r="A24" t="s">
        <v>331</v>
      </c>
      <c r="B24" t="s">
        <v>10</v>
      </c>
      <c r="C24" t="s">
        <v>291</v>
      </c>
      <c r="D24" t="s">
        <v>298</v>
      </c>
      <c r="E24" t="s">
        <v>301</v>
      </c>
      <c r="F24">
        <f>COUNTIFS(fact_batting_summary!E:E, A24)</f>
        <v>30</v>
      </c>
      <c r="G24">
        <f>SUMIFS(fact_batting_summary!G:G, fact_batting_summary!E:E, A24)</f>
        <v>645</v>
      </c>
      <c r="H24">
        <f>SUMIFS(fact_batting_summary!H:H, fact_batting_summary!E:E, A24)</f>
        <v>444</v>
      </c>
      <c r="J24">
        <f>SUMIFS(fact_bowling_summary!G:G, fact_bowling_summary!D:D, A24)</f>
        <v>284</v>
      </c>
    </row>
    <row r="25" spans="1:10" x14ac:dyDescent="0.45">
      <c r="A25" t="s">
        <v>332</v>
      </c>
      <c r="B25" t="s">
        <v>10</v>
      </c>
      <c r="C25" t="s">
        <v>291</v>
      </c>
      <c r="D25" t="s">
        <v>333</v>
      </c>
      <c r="E25" t="s">
        <v>316</v>
      </c>
      <c r="F25">
        <f>COUNTIFS(fact_batting_summary!E:E, A25)</f>
        <v>22</v>
      </c>
      <c r="G25">
        <f>SUMIFS(fact_batting_summary!G:G, fact_batting_summary!E:E, A25)</f>
        <v>576</v>
      </c>
      <c r="H25">
        <f>SUMIFS(fact_batting_summary!H:H, fact_batting_summary!E:E, A25)</f>
        <v>469</v>
      </c>
      <c r="J25">
        <f>SUMIFS(fact_bowling_summary!G:G, fact_bowling_summary!D:D, A25)</f>
        <v>7</v>
      </c>
    </row>
    <row r="26" spans="1:10" x14ac:dyDescent="0.45">
      <c r="A26" t="s">
        <v>334</v>
      </c>
      <c r="B26" t="s">
        <v>10</v>
      </c>
      <c r="C26" t="s">
        <v>300</v>
      </c>
      <c r="D26" t="s">
        <v>335</v>
      </c>
      <c r="E26" t="s">
        <v>312</v>
      </c>
      <c r="F26">
        <f>COUNTIFS(fact_batting_summary!E:E, A26)</f>
        <v>28</v>
      </c>
      <c r="G26">
        <f>SUMIFS(fact_batting_summary!G:G, fact_batting_summary!E:E, A26)</f>
        <v>722</v>
      </c>
      <c r="H26">
        <f>SUMIFS(fact_batting_summary!H:H, fact_batting_summary!E:E, A26)</f>
        <v>523</v>
      </c>
      <c r="J26">
        <f>SUMIFS(fact_bowling_summary!G:G, fact_bowling_summary!D:D, A26)</f>
        <v>0</v>
      </c>
    </row>
    <row r="27" spans="1:10" x14ac:dyDescent="0.45">
      <c r="A27" t="s">
        <v>336</v>
      </c>
      <c r="B27" t="s">
        <v>10</v>
      </c>
      <c r="C27" t="s">
        <v>300</v>
      </c>
      <c r="D27" t="s">
        <v>335</v>
      </c>
      <c r="E27" t="s">
        <v>316</v>
      </c>
      <c r="F27">
        <f>COUNTIFS(fact_batting_summary!E:E, A27)</f>
        <v>40</v>
      </c>
      <c r="G27">
        <f>SUMIFS(fact_batting_summary!G:G, fact_batting_summary!E:E, A27)</f>
        <v>854</v>
      </c>
      <c r="H27">
        <f>SUMIFS(fact_batting_summary!H:H, fact_batting_summary!E:E, A27)</f>
        <v>543</v>
      </c>
      <c r="J27">
        <f>SUMIFS(fact_bowling_summary!G:G, fact_bowling_summary!D:D, A27)</f>
        <v>0</v>
      </c>
    </row>
    <row r="28" spans="1:10" x14ac:dyDescent="0.45">
      <c r="A28" t="s">
        <v>337</v>
      </c>
      <c r="B28" t="s">
        <v>10</v>
      </c>
      <c r="C28" t="s">
        <v>300</v>
      </c>
      <c r="D28" t="s">
        <v>314</v>
      </c>
      <c r="E28" t="s">
        <v>309</v>
      </c>
      <c r="F28">
        <f>COUNTIFS(fact_batting_summary!E:E, A28)</f>
        <v>29</v>
      </c>
      <c r="G28">
        <f>SUMIFS(fact_batting_summary!G:G, fact_batting_summary!E:E, A28)</f>
        <v>505</v>
      </c>
      <c r="H28">
        <f>SUMIFS(fact_batting_summary!H:H, fact_batting_summary!E:E, A28)</f>
        <v>369</v>
      </c>
      <c r="J28">
        <f>SUMIFS(fact_bowling_summary!G:G, fact_bowling_summary!D:D, A28)</f>
        <v>939</v>
      </c>
    </row>
    <row r="29" spans="1:10" x14ac:dyDescent="0.45">
      <c r="A29" t="s">
        <v>338</v>
      </c>
      <c r="B29" t="s">
        <v>10</v>
      </c>
      <c r="C29" t="s">
        <v>291</v>
      </c>
      <c r="D29" t="s">
        <v>318</v>
      </c>
      <c r="E29" t="s">
        <v>319</v>
      </c>
      <c r="F29">
        <f>COUNTIFS(fact_batting_summary!E:E, A29)</f>
        <v>8</v>
      </c>
      <c r="G29">
        <f>SUMIFS(fact_batting_summary!G:G, fact_batting_summary!E:E, A29)</f>
        <v>38</v>
      </c>
      <c r="H29">
        <f>SUMIFS(fact_batting_summary!H:H, fact_batting_summary!E:E, A29)</f>
        <v>35</v>
      </c>
      <c r="J29">
        <f>SUMIFS(fact_bowling_summary!G:G, fact_bowling_summary!D:D, A29)</f>
        <v>768</v>
      </c>
    </row>
    <row r="30" spans="1:10" x14ac:dyDescent="0.45">
      <c r="A30" t="s">
        <v>339</v>
      </c>
      <c r="B30" t="s">
        <v>10</v>
      </c>
      <c r="C30" t="s">
        <v>291</v>
      </c>
      <c r="D30" t="s">
        <v>292</v>
      </c>
      <c r="E30" t="s">
        <v>309</v>
      </c>
      <c r="F30">
        <f>COUNTIFS(fact_batting_summary!E:E, A30)</f>
        <v>27</v>
      </c>
      <c r="G30">
        <f>SUMIFS(fact_batting_summary!G:G, fact_batting_summary!E:E, A30)</f>
        <v>302</v>
      </c>
      <c r="H30">
        <f>SUMIFS(fact_batting_summary!H:H, fact_batting_summary!E:E, A30)</f>
        <v>228</v>
      </c>
      <c r="J30">
        <f>SUMIFS(fact_bowling_summary!G:G, fact_bowling_summary!D:D, A30)</f>
        <v>1175</v>
      </c>
    </row>
    <row r="31" spans="1:10" x14ac:dyDescent="0.45">
      <c r="A31" t="s">
        <v>340</v>
      </c>
      <c r="B31" t="s">
        <v>10</v>
      </c>
      <c r="C31" t="s">
        <v>291</v>
      </c>
      <c r="D31" t="s">
        <v>321</v>
      </c>
      <c r="E31" t="s">
        <v>319</v>
      </c>
      <c r="F31">
        <f>COUNTIFS(fact_batting_summary!E:E, A31)</f>
        <v>6</v>
      </c>
      <c r="G31">
        <f>SUMIFS(fact_batting_summary!G:G, fact_batting_summary!E:E, A31)</f>
        <v>27</v>
      </c>
      <c r="H31">
        <f>SUMIFS(fact_batting_summary!H:H, fact_batting_summary!E:E, A31)</f>
        <v>17</v>
      </c>
      <c r="J31">
        <f>SUMIFS(fact_bowling_summary!G:G, fact_bowling_summary!D:D, A31)</f>
        <v>1115</v>
      </c>
    </row>
    <row r="32" spans="1:10" x14ac:dyDescent="0.45">
      <c r="A32" t="s">
        <v>341</v>
      </c>
      <c r="B32" t="s">
        <v>10</v>
      </c>
      <c r="C32" t="s">
        <v>300</v>
      </c>
      <c r="D32" t="s">
        <v>318</v>
      </c>
      <c r="E32" t="s">
        <v>319</v>
      </c>
      <c r="F32">
        <f>COUNTIFS(fact_batting_summary!E:E, A32)</f>
        <v>13</v>
      </c>
      <c r="G32">
        <f>SUMIFS(fact_batting_summary!G:G, fact_batting_summary!E:E, A32)</f>
        <v>61</v>
      </c>
      <c r="H32">
        <f>SUMIFS(fact_batting_summary!H:H, fact_batting_summary!E:E, A32)</f>
        <v>51</v>
      </c>
      <c r="J32">
        <f>SUMIFS(fact_bowling_summary!G:G, fact_bowling_summary!D:D, A32)</f>
        <v>1069</v>
      </c>
    </row>
    <row r="33" spans="1:10" x14ac:dyDescent="0.45">
      <c r="A33" t="s">
        <v>342</v>
      </c>
      <c r="B33" t="s">
        <v>13</v>
      </c>
      <c r="C33" t="s">
        <v>300</v>
      </c>
      <c r="D33" t="s">
        <v>292</v>
      </c>
      <c r="E33" t="s">
        <v>316</v>
      </c>
      <c r="F33">
        <f>COUNTIFS(fact_batting_summary!E:E, A33)</f>
        <v>42</v>
      </c>
      <c r="G33">
        <f>SUMIFS(fact_batting_summary!G:G, fact_batting_summary!E:E, A33)</f>
        <v>1048</v>
      </c>
      <c r="H33">
        <f>SUMIFS(fact_batting_summary!H:H, fact_batting_summary!E:E, A33)</f>
        <v>834</v>
      </c>
      <c r="J33">
        <f>SUMIFS(fact_bowling_summary!G:G, fact_bowling_summary!D:D, A33)</f>
        <v>0</v>
      </c>
    </row>
    <row r="34" spans="1:10" x14ac:dyDescent="0.45">
      <c r="A34" t="s">
        <v>343</v>
      </c>
      <c r="B34" t="s">
        <v>13</v>
      </c>
      <c r="C34" t="s">
        <v>291</v>
      </c>
      <c r="D34" t="s">
        <v>298</v>
      </c>
      <c r="E34" t="s">
        <v>316</v>
      </c>
      <c r="F34">
        <f>COUNTIFS(fact_batting_summary!E:E, A34)</f>
        <v>45</v>
      </c>
      <c r="G34">
        <f>SUMIFS(fact_batting_summary!G:G, fact_batting_summary!E:E, A34)</f>
        <v>1385</v>
      </c>
      <c r="H34">
        <f>SUMIFS(fact_batting_summary!H:H, fact_batting_summary!E:E, A34)</f>
        <v>1090</v>
      </c>
      <c r="J34">
        <f>SUMIFS(fact_bowling_summary!G:G, fact_bowling_summary!D:D, A34)</f>
        <v>0</v>
      </c>
    </row>
    <row r="35" spans="1:10" x14ac:dyDescent="0.45">
      <c r="A35" t="s">
        <v>344</v>
      </c>
      <c r="B35" t="s">
        <v>13</v>
      </c>
      <c r="C35" t="s">
        <v>291</v>
      </c>
      <c r="D35" t="s">
        <v>335</v>
      </c>
      <c r="E35" t="s">
        <v>312</v>
      </c>
      <c r="F35">
        <f>COUNTIFS(fact_batting_summary!E:E, A35)</f>
        <v>9</v>
      </c>
      <c r="G35">
        <f>SUMIFS(fact_batting_summary!G:G, fact_batting_summary!E:E, A35)</f>
        <v>199</v>
      </c>
      <c r="H35">
        <f>SUMIFS(fact_batting_summary!H:H, fact_batting_summary!E:E, A35)</f>
        <v>163</v>
      </c>
      <c r="J35">
        <f>SUMIFS(fact_bowling_summary!G:G, fact_bowling_summary!D:D, A35)</f>
        <v>0</v>
      </c>
    </row>
    <row r="36" spans="1:10" x14ac:dyDescent="0.45">
      <c r="A36" t="s">
        <v>345</v>
      </c>
      <c r="B36" t="s">
        <v>13</v>
      </c>
      <c r="C36" t="s">
        <v>291</v>
      </c>
      <c r="D36" t="s">
        <v>292</v>
      </c>
      <c r="E36" t="s">
        <v>301</v>
      </c>
      <c r="F36">
        <f>COUNTIFS(fact_batting_summary!E:E, A36)</f>
        <v>41</v>
      </c>
      <c r="G36">
        <f>SUMIFS(fact_batting_summary!G:G, fact_batting_summary!E:E, A36)</f>
        <v>1214</v>
      </c>
      <c r="H36">
        <f>SUMIFS(fact_batting_summary!H:H, fact_batting_summary!E:E, A36)</f>
        <v>752</v>
      </c>
      <c r="J36">
        <f>SUMIFS(fact_bowling_summary!G:G, fact_bowling_summary!D:D, A36)</f>
        <v>394</v>
      </c>
    </row>
    <row r="37" spans="1:10" x14ac:dyDescent="0.45">
      <c r="A37" t="s">
        <v>346</v>
      </c>
      <c r="B37" t="s">
        <v>13</v>
      </c>
      <c r="C37" t="s">
        <v>291</v>
      </c>
      <c r="D37" t="s">
        <v>298</v>
      </c>
      <c r="E37" t="s">
        <v>312</v>
      </c>
      <c r="F37">
        <f>COUNTIFS(fact_batting_summary!E:E, A37)</f>
        <v>14</v>
      </c>
      <c r="G37">
        <f>SUMIFS(fact_batting_summary!G:G, fact_batting_summary!E:E, A37)</f>
        <v>313</v>
      </c>
      <c r="H37">
        <f>SUMIFS(fact_batting_summary!H:H, fact_batting_summary!E:E, A37)</f>
        <v>211</v>
      </c>
      <c r="J37">
        <f>SUMIFS(fact_bowling_summary!G:G, fact_bowling_summary!D:D, A37)</f>
        <v>0</v>
      </c>
    </row>
    <row r="38" spans="1:10" x14ac:dyDescent="0.45">
      <c r="A38" t="s">
        <v>347</v>
      </c>
      <c r="B38" t="s">
        <v>13</v>
      </c>
      <c r="C38" t="s">
        <v>300</v>
      </c>
      <c r="D38" t="s">
        <v>314</v>
      </c>
      <c r="E38" t="s">
        <v>305</v>
      </c>
      <c r="F38">
        <f>COUNTIFS(fact_batting_summary!E:E, A38)</f>
        <v>24</v>
      </c>
      <c r="G38">
        <f>SUMIFS(fact_batting_summary!G:G, fact_batting_summary!E:E, A38)</f>
        <v>320</v>
      </c>
      <c r="H38">
        <f>SUMIFS(fact_batting_summary!H:H, fact_batting_summary!E:E, A38)</f>
        <v>273</v>
      </c>
      <c r="J38">
        <f>SUMIFS(fact_bowling_summary!G:G, fact_bowling_summary!D:D, A38)</f>
        <v>523</v>
      </c>
    </row>
    <row r="39" spans="1:10" x14ac:dyDescent="0.45">
      <c r="A39" t="s">
        <v>348</v>
      </c>
      <c r="B39" t="s">
        <v>13</v>
      </c>
      <c r="C39" t="s">
        <v>291</v>
      </c>
      <c r="D39" t="s">
        <v>321</v>
      </c>
      <c r="E39" t="s">
        <v>305</v>
      </c>
      <c r="F39">
        <f>COUNTIFS(fact_batting_summary!E:E, A39)</f>
        <v>7</v>
      </c>
      <c r="G39">
        <f>SUMIFS(fact_batting_summary!G:G, fact_batting_summary!E:E, A39)</f>
        <v>14</v>
      </c>
      <c r="H39">
        <f>SUMIFS(fact_batting_summary!H:H, fact_batting_summary!E:E, A39)</f>
        <v>24</v>
      </c>
      <c r="J39">
        <f>SUMIFS(fact_bowling_summary!G:G, fact_bowling_summary!D:D, A39)</f>
        <v>155</v>
      </c>
    </row>
    <row r="40" spans="1:10" x14ac:dyDescent="0.45">
      <c r="A40" t="s">
        <v>349</v>
      </c>
      <c r="B40" t="s">
        <v>13</v>
      </c>
      <c r="C40" t="s">
        <v>291</v>
      </c>
      <c r="D40" t="s">
        <v>298</v>
      </c>
      <c r="E40" t="s">
        <v>319</v>
      </c>
      <c r="F40">
        <f>COUNTIFS(fact_batting_summary!E:E, A40)</f>
        <v>18</v>
      </c>
      <c r="G40">
        <f>SUMIFS(fact_batting_summary!G:G, fact_batting_summary!E:E, A40)</f>
        <v>108</v>
      </c>
      <c r="H40">
        <f>SUMIFS(fact_batting_summary!H:H, fact_batting_summary!E:E, A40)</f>
        <v>91</v>
      </c>
      <c r="J40">
        <f>SUMIFS(fact_bowling_summary!G:G, fact_bowling_summary!D:D, A40)</f>
        <v>1323</v>
      </c>
    </row>
    <row r="41" spans="1:10" x14ac:dyDescent="0.45">
      <c r="A41" t="s">
        <v>350</v>
      </c>
      <c r="B41" t="s">
        <v>13</v>
      </c>
      <c r="C41" t="s">
        <v>300</v>
      </c>
      <c r="D41" t="s">
        <v>351</v>
      </c>
      <c r="E41" t="s">
        <v>309</v>
      </c>
      <c r="F41">
        <f>COUNTIFS(fact_batting_summary!E:E, A41)</f>
        <v>3</v>
      </c>
      <c r="G41">
        <f>SUMIFS(fact_batting_summary!G:G, fact_batting_summary!E:E, A41)</f>
        <v>2</v>
      </c>
      <c r="H41">
        <f>SUMIFS(fact_batting_summary!H:H, fact_batting_summary!E:E, A41)</f>
        <v>4</v>
      </c>
      <c r="J41">
        <f>SUMIFS(fact_bowling_summary!G:G, fact_bowling_summary!D:D, A41)</f>
        <v>135</v>
      </c>
    </row>
    <row r="42" spans="1:10" x14ac:dyDescent="0.45">
      <c r="A42" t="s">
        <v>352</v>
      </c>
      <c r="B42" t="s">
        <v>13</v>
      </c>
      <c r="C42" t="s">
        <v>291</v>
      </c>
      <c r="D42" t="s">
        <v>318</v>
      </c>
      <c r="E42" t="s">
        <v>319</v>
      </c>
      <c r="F42">
        <f>COUNTIFS(fact_batting_summary!E:E, A42)</f>
        <v>11</v>
      </c>
      <c r="G42">
        <f>SUMIFS(fact_batting_summary!G:G, fact_batting_summary!E:E, A42)</f>
        <v>51</v>
      </c>
      <c r="H42">
        <f>SUMIFS(fact_batting_summary!H:H, fact_batting_summary!E:E, A42)</f>
        <v>61</v>
      </c>
      <c r="J42">
        <f>SUMIFS(fact_bowling_summary!G:G, fact_bowling_summary!D:D, A42)</f>
        <v>1242</v>
      </c>
    </row>
    <row r="43" spans="1:10" x14ac:dyDescent="0.45">
      <c r="A43" t="s">
        <v>353</v>
      </c>
      <c r="B43" t="s">
        <v>13</v>
      </c>
      <c r="C43" t="s">
        <v>291</v>
      </c>
      <c r="D43" t="s">
        <v>323</v>
      </c>
      <c r="E43" t="s">
        <v>319</v>
      </c>
      <c r="F43">
        <f>COUNTIFS(fact_batting_summary!E:E, A43)</f>
        <v>4</v>
      </c>
      <c r="G43">
        <f>SUMIFS(fact_batting_summary!G:G, fact_batting_summary!E:E, A43)</f>
        <v>15</v>
      </c>
      <c r="H43">
        <f>SUMIFS(fact_batting_summary!H:H, fact_batting_summary!E:E, A43)</f>
        <v>35</v>
      </c>
      <c r="J43">
        <f>SUMIFS(fact_bowling_summary!G:G, fact_bowling_summary!D:D, A43)</f>
        <v>1333</v>
      </c>
    </row>
    <row r="44" spans="1:10" x14ac:dyDescent="0.45">
      <c r="A44" t="s">
        <v>354</v>
      </c>
      <c r="B44" t="s">
        <v>10</v>
      </c>
      <c r="C44" t="s">
        <v>291</v>
      </c>
      <c r="D44" t="s">
        <v>321</v>
      </c>
      <c r="E44" t="s">
        <v>309</v>
      </c>
      <c r="F44">
        <f>COUNTIFS(fact_batting_summary!E:E, A44)</f>
        <v>2</v>
      </c>
      <c r="G44">
        <f>SUMIFS(fact_batting_summary!G:G, fact_batting_summary!E:E, A44)</f>
        <v>21</v>
      </c>
      <c r="H44">
        <f>SUMIFS(fact_batting_summary!H:H, fact_batting_summary!E:E, A44)</f>
        <v>17</v>
      </c>
      <c r="J44">
        <f>SUMIFS(fact_bowling_summary!G:G, fact_bowling_summary!D:D, A44)</f>
        <v>104</v>
      </c>
    </row>
    <row r="45" spans="1:10" x14ac:dyDescent="0.45">
      <c r="A45" t="s">
        <v>355</v>
      </c>
      <c r="B45" t="s">
        <v>6</v>
      </c>
      <c r="C45" t="s">
        <v>291</v>
      </c>
      <c r="D45" t="s">
        <v>292</v>
      </c>
      <c r="E45" t="s">
        <v>296</v>
      </c>
      <c r="F45">
        <f>COUNTIFS(fact_batting_summary!E:E, A45)</f>
        <v>36</v>
      </c>
      <c r="G45">
        <f>SUMIFS(fact_batting_summary!G:G, fact_batting_summary!E:E, A45)</f>
        <v>689</v>
      </c>
      <c r="H45">
        <f>SUMIFS(fact_batting_summary!H:H, fact_batting_summary!E:E, A45)</f>
        <v>507</v>
      </c>
      <c r="J45">
        <f>SUMIFS(fact_bowling_summary!G:G, fact_bowling_summary!D:D, A45)</f>
        <v>0</v>
      </c>
    </row>
    <row r="46" spans="1:10" x14ac:dyDescent="0.45">
      <c r="A46" t="s">
        <v>356</v>
      </c>
      <c r="B46" t="s">
        <v>6</v>
      </c>
      <c r="C46" t="s">
        <v>291</v>
      </c>
      <c r="D46" t="s">
        <v>298</v>
      </c>
      <c r="E46" t="s">
        <v>312</v>
      </c>
      <c r="F46">
        <f>COUNTIFS(fact_batting_summary!E:E, A46)</f>
        <v>36</v>
      </c>
      <c r="G46">
        <f>SUMIFS(fact_batting_summary!G:G, fact_batting_summary!E:E, A46)</f>
        <v>450</v>
      </c>
      <c r="H46">
        <f>SUMIFS(fact_batting_summary!H:H, fact_batting_summary!E:E, A46)</f>
        <v>352</v>
      </c>
      <c r="J46">
        <f>SUMIFS(fact_bowling_summary!G:G, fact_bowling_summary!D:D, A46)</f>
        <v>0</v>
      </c>
    </row>
    <row r="47" spans="1:10" x14ac:dyDescent="0.45">
      <c r="A47" t="s">
        <v>357</v>
      </c>
      <c r="B47" t="s">
        <v>10</v>
      </c>
      <c r="C47" t="s">
        <v>291</v>
      </c>
      <c r="D47" t="s">
        <v>358</v>
      </c>
      <c r="E47" t="s">
        <v>296</v>
      </c>
      <c r="F47">
        <f>COUNTIFS(fact_batting_summary!E:E, A47)</f>
        <v>7</v>
      </c>
      <c r="G47">
        <f>SUMIFS(fact_batting_summary!G:G, fact_batting_summary!E:E, A47)</f>
        <v>80</v>
      </c>
      <c r="H47">
        <f>SUMIFS(fact_batting_summary!H:H, fact_batting_summary!E:E, A47)</f>
        <v>73</v>
      </c>
      <c r="J47">
        <f>SUMIFS(fact_bowling_summary!G:G, fact_bowling_summary!D:D, A47)</f>
        <v>22</v>
      </c>
    </row>
    <row r="48" spans="1:10" x14ac:dyDescent="0.45">
      <c r="A48" t="s">
        <v>359</v>
      </c>
      <c r="B48" t="s">
        <v>19</v>
      </c>
      <c r="C48" t="s">
        <v>291</v>
      </c>
      <c r="D48" t="s">
        <v>292</v>
      </c>
      <c r="E48" t="s">
        <v>316</v>
      </c>
      <c r="F48">
        <f>COUNTIFS(fact_batting_summary!E:E, A48)</f>
        <v>43</v>
      </c>
      <c r="G48">
        <f>SUMIFS(fact_batting_summary!G:G, fact_batting_summary!E:E, A48)</f>
        <v>981</v>
      </c>
      <c r="H48">
        <f>SUMIFS(fact_batting_summary!H:H, fact_batting_summary!E:E, A48)</f>
        <v>772</v>
      </c>
      <c r="J48">
        <f>SUMIFS(fact_bowling_summary!G:G, fact_bowling_summary!D:D, A48)</f>
        <v>13</v>
      </c>
    </row>
    <row r="49" spans="1:10" x14ac:dyDescent="0.45">
      <c r="A49" t="s">
        <v>360</v>
      </c>
      <c r="B49" t="s">
        <v>19</v>
      </c>
      <c r="C49" t="s">
        <v>300</v>
      </c>
      <c r="D49" t="s">
        <v>335</v>
      </c>
      <c r="E49" t="s">
        <v>312</v>
      </c>
      <c r="F49">
        <f>COUNTIFS(fact_batting_summary!E:E, A49)</f>
        <v>39</v>
      </c>
      <c r="G49">
        <f>SUMIFS(fact_batting_summary!G:G, fact_batting_summary!E:E, A49)</f>
        <v>1113</v>
      </c>
      <c r="H49">
        <f>SUMIFS(fact_batting_summary!H:H, fact_batting_summary!E:E, A49)</f>
        <v>846</v>
      </c>
      <c r="J49">
        <f>SUMIFS(fact_bowling_summary!G:G, fact_bowling_summary!D:D, A49)</f>
        <v>0</v>
      </c>
    </row>
    <row r="50" spans="1:10" x14ac:dyDescent="0.45">
      <c r="A50" t="s">
        <v>361</v>
      </c>
      <c r="B50" t="s">
        <v>19</v>
      </c>
      <c r="C50" t="s">
        <v>291</v>
      </c>
      <c r="D50" t="s">
        <v>358</v>
      </c>
      <c r="E50" t="s">
        <v>305</v>
      </c>
      <c r="F50">
        <f>COUNTIFS(fact_batting_summary!E:E, A50)</f>
        <v>41</v>
      </c>
      <c r="G50">
        <f>SUMIFS(fact_batting_summary!G:G, fact_batting_summary!E:E, A50)</f>
        <v>960</v>
      </c>
      <c r="H50">
        <f>SUMIFS(fact_batting_summary!H:H, fact_batting_summary!E:E, A50)</f>
        <v>736</v>
      </c>
      <c r="J50">
        <f>SUMIFS(fact_bowling_summary!G:G, fact_bowling_summary!D:D, A50)</f>
        <v>450</v>
      </c>
    </row>
    <row r="51" spans="1:10" x14ac:dyDescent="0.45">
      <c r="A51" t="s">
        <v>362</v>
      </c>
      <c r="B51" t="s">
        <v>19</v>
      </c>
      <c r="C51" t="s">
        <v>291</v>
      </c>
      <c r="D51" t="s">
        <v>298</v>
      </c>
      <c r="E51" t="s">
        <v>301</v>
      </c>
      <c r="F51">
        <f>COUNTIFS(fact_batting_summary!E:E, A51)</f>
        <v>24</v>
      </c>
      <c r="G51">
        <f>SUMIFS(fact_batting_summary!G:G, fact_batting_summary!E:E, A51)</f>
        <v>389</v>
      </c>
      <c r="H51">
        <f>SUMIFS(fact_batting_summary!H:H, fact_batting_summary!E:E, A51)</f>
        <v>299</v>
      </c>
      <c r="J51">
        <f>SUMIFS(fact_bowling_summary!G:G, fact_bowling_summary!D:D, A51)</f>
        <v>220</v>
      </c>
    </row>
    <row r="52" spans="1:10" x14ac:dyDescent="0.45">
      <c r="A52" t="s">
        <v>363</v>
      </c>
      <c r="B52" t="s">
        <v>19</v>
      </c>
      <c r="C52" t="s">
        <v>291</v>
      </c>
      <c r="D52" t="s">
        <v>364</v>
      </c>
      <c r="E52" t="s">
        <v>293</v>
      </c>
      <c r="F52">
        <f>COUNTIFS(fact_batting_summary!E:E, A52)</f>
        <v>38</v>
      </c>
      <c r="G52">
        <f>SUMIFS(fact_batting_summary!G:G, fact_batting_summary!E:E, A52)</f>
        <v>1225</v>
      </c>
      <c r="H52">
        <f>SUMIFS(fact_batting_summary!H:H, fact_batting_summary!E:E, A52)</f>
        <v>763</v>
      </c>
      <c r="J52">
        <f>SUMIFS(fact_bowling_summary!G:G, fact_bowling_summary!D:D, A52)</f>
        <v>0</v>
      </c>
    </row>
    <row r="53" spans="1:10" x14ac:dyDescent="0.45">
      <c r="A53" t="s">
        <v>365</v>
      </c>
      <c r="B53" t="s">
        <v>19</v>
      </c>
      <c r="C53" t="s">
        <v>300</v>
      </c>
      <c r="D53" t="s">
        <v>358</v>
      </c>
      <c r="E53" t="s">
        <v>301</v>
      </c>
      <c r="F53">
        <f>COUNTIFS(fact_batting_summary!E:E, A53)</f>
        <v>4</v>
      </c>
      <c r="G53">
        <f>SUMIFS(fact_batting_summary!G:G, fact_batting_summary!E:E, A53)</f>
        <v>31</v>
      </c>
      <c r="H53">
        <f>SUMIFS(fact_batting_summary!H:H, fact_batting_summary!E:E, A53)</f>
        <v>29</v>
      </c>
      <c r="J53">
        <f>SUMIFS(fact_bowling_summary!G:G, fact_bowling_summary!D:D, A53)</f>
        <v>95</v>
      </c>
    </row>
    <row r="54" spans="1:10" x14ac:dyDescent="0.45">
      <c r="A54" t="s">
        <v>366</v>
      </c>
      <c r="B54" t="s">
        <v>19</v>
      </c>
      <c r="C54" t="s">
        <v>300</v>
      </c>
      <c r="D54" t="s">
        <v>314</v>
      </c>
      <c r="E54" t="s">
        <v>305</v>
      </c>
      <c r="F54">
        <f>COUNTIFS(fact_batting_summary!E:E, A54)</f>
        <v>38</v>
      </c>
      <c r="G54">
        <f>SUMIFS(fact_batting_summary!G:G, fact_batting_summary!E:E, A54)</f>
        <v>514</v>
      </c>
      <c r="H54">
        <f>SUMIFS(fact_batting_summary!H:H, fact_batting_summary!E:E, A54)</f>
        <v>432</v>
      </c>
      <c r="J54">
        <f>SUMIFS(fact_bowling_summary!G:G, fact_bowling_summary!D:D, A54)</f>
        <v>843</v>
      </c>
    </row>
    <row r="55" spans="1:10" x14ac:dyDescent="0.45">
      <c r="A55" t="s">
        <v>367</v>
      </c>
      <c r="B55" t="s">
        <v>19</v>
      </c>
      <c r="C55" t="s">
        <v>291</v>
      </c>
      <c r="D55" t="s">
        <v>318</v>
      </c>
      <c r="E55" t="s">
        <v>309</v>
      </c>
      <c r="F55">
        <f>COUNTIFS(fact_batting_summary!E:E, A55)</f>
        <v>3</v>
      </c>
      <c r="G55">
        <f>SUMIFS(fact_batting_summary!G:G, fact_batting_summary!E:E, A55)</f>
        <v>5</v>
      </c>
      <c r="H55">
        <f>SUMIFS(fact_batting_summary!H:H, fact_batting_summary!E:E, A55)</f>
        <v>7</v>
      </c>
      <c r="J55">
        <f>SUMIFS(fact_bowling_summary!G:G, fact_bowling_summary!D:D, A55)</f>
        <v>175</v>
      </c>
    </row>
    <row r="56" spans="1:10" x14ac:dyDescent="0.45">
      <c r="A56" t="s">
        <v>368</v>
      </c>
      <c r="B56" t="s">
        <v>19</v>
      </c>
      <c r="C56" t="s">
        <v>300</v>
      </c>
      <c r="D56" t="s">
        <v>295</v>
      </c>
      <c r="E56" t="s">
        <v>309</v>
      </c>
      <c r="F56">
        <f>COUNTIFS(fact_batting_summary!E:E, A56)</f>
        <v>5</v>
      </c>
      <c r="G56">
        <f>SUMIFS(fact_batting_summary!G:G, fact_batting_summary!E:E, A56)</f>
        <v>25</v>
      </c>
      <c r="H56">
        <f>SUMIFS(fact_batting_summary!H:H, fact_batting_summary!E:E, A56)</f>
        <v>24</v>
      </c>
      <c r="J56">
        <f>SUMIFS(fact_bowling_summary!G:G, fact_bowling_summary!D:D, A56)</f>
        <v>533</v>
      </c>
    </row>
    <row r="57" spans="1:10" x14ac:dyDescent="0.45">
      <c r="A57" t="s">
        <v>369</v>
      </c>
      <c r="B57" t="s">
        <v>19</v>
      </c>
      <c r="C57" t="s">
        <v>291</v>
      </c>
      <c r="D57" t="s">
        <v>318</v>
      </c>
      <c r="E57" t="s">
        <v>319</v>
      </c>
      <c r="F57">
        <f>COUNTIFS(fact_batting_summary!E:E, A57)</f>
        <v>13</v>
      </c>
      <c r="G57">
        <f>SUMIFS(fact_batting_summary!G:G, fact_batting_summary!E:E, A57)</f>
        <v>16</v>
      </c>
      <c r="H57">
        <f>SUMIFS(fact_batting_summary!H:H, fact_batting_summary!E:E, A57)</f>
        <v>25</v>
      </c>
      <c r="J57">
        <f>SUMIFS(fact_bowling_summary!G:G, fact_bowling_summary!D:D, A57)</f>
        <v>793</v>
      </c>
    </row>
    <row r="58" spans="1:10" x14ac:dyDescent="0.45">
      <c r="A58" t="s">
        <v>370</v>
      </c>
      <c r="B58" t="s">
        <v>19</v>
      </c>
      <c r="C58" t="s">
        <v>291</v>
      </c>
      <c r="D58" t="s">
        <v>371</v>
      </c>
      <c r="E58" t="s">
        <v>319</v>
      </c>
      <c r="F58">
        <f>COUNTIFS(fact_batting_summary!E:E, A58)</f>
        <v>16</v>
      </c>
      <c r="G58">
        <f>SUMIFS(fact_batting_summary!G:G, fact_batting_summary!E:E, A58)</f>
        <v>57</v>
      </c>
      <c r="H58">
        <f>SUMIFS(fact_batting_summary!H:H, fact_batting_summary!E:E, A58)</f>
        <v>47</v>
      </c>
      <c r="J58">
        <f>SUMIFS(fact_bowling_summary!G:G, fact_bowling_summary!D:D, A58)</f>
        <v>1210</v>
      </c>
    </row>
    <row r="59" spans="1:10" x14ac:dyDescent="0.45">
      <c r="A59" t="s">
        <v>372</v>
      </c>
      <c r="B59" t="s">
        <v>20</v>
      </c>
      <c r="C59" t="s">
        <v>291</v>
      </c>
      <c r="D59" t="s">
        <v>335</v>
      </c>
      <c r="E59" t="s">
        <v>303</v>
      </c>
      <c r="F59">
        <f>COUNTIFS(fact_batting_summary!E:E, A59)</f>
        <v>13</v>
      </c>
      <c r="G59">
        <f>SUMIFS(fact_batting_summary!G:G, fact_batting_summary!E:E, A59)</f>
        <v>435</v>
      </c>
      <c r="H59">
        <f>SUMIFS(fact_batting_summary!H:H, fact_batting_summary!E:E, A59)</f>
        <v>309</v>
      </c>
      <c r="J59">
        <f>SUMIFS(fact_bowling_summary!G:G, fact_bowling_summary!D:D, A59)</f>
        <v>0</v>
      </c>
    </row>
    <row r="60" spans="1:10" x14ac:dyDescent="0.45">
      <c r="A60" t="s">
        <v>373</v>
      </c>
      <c r="B60" t="s">
        <v>20</v>
      </c>
      <c r="C60" t="s">
        <v>300</v>
      </c>
      <c r="D60" t="s">
        <v>314</v>
      </c>
      <c r="E60" t="s">
        <v>305</v>
      </c>
      <c r="F60">
        <f>COUNTIFS(fact_batting_summary!E:E, A60)</f>
        <v>31</v>
      </c>
      <c r="G60">
        <f>SUMIFS(fact_batting_summary!G:G, fact_batting_summary!E:E, A60)</f>
        <v>745</v>
      </c>
      <c r="H60">
        <f>SUMIFS(fact_batting_summary!H:H, fact_batting_summary!E:E, A60)</f>
        <v>546</v>
      </c>
      <c r="J60">
        <f>SUMIFS(fact_bowling_summary!G:G, fact_bowling_summary!D:D, A60)</f>
        <v>212</v>
      </c>
    </row>
    <row r="61" spans="1:10" x14ac:dyDescent="0.45">
      <c r="A61" t="s">
        <v>374</v>
      </c>
      <c r="B61" t="s">
        <v>20</v>
      </c>
      <c r="C61" t="s">
        <v>291</v>
      </c>
      <c r="D61" t="s">
        <v>298</v>
      </c>
      <c r="E61" t="s">
        <v>316</v>
      </c>
      <c r="F61">
        <f>COUNTIFS(fact_batting_summary!E:E, A61)</f>
        <v>23</v>
      </c>
      <c r="G61">
        <f>SUMIFS(fact_batting_summary!G:G, fact_batting_summary!E:E, A61)</f>
        <v>540</v>
      </c>
      <c r="H61">
        <f>SUMIFS(fact_batting_summary!H:H, fact_batting_summary!E:E, A61)</f>
        <v>462</v>
      </c>
      <c r="J61">
        <f>SUMIFS(fact_bowling_summary!G:G, fact_bowling_summary!D:D, A61)</f>
        <v>0</v>
      </c>
    </row>
    <row r="62" spans="1:10" x14ac:dyDescent="0.45">
      <c r="A62" t="s">
        <v>375</v>
      </c>
      <c r="B62" t="s">
        <v>20</v>
      </c>
      <c r="C62" t="s">
        <v>291</v>
      </c>
      <c r="D62" t="s">
        <v>292</v>
      </c>
      <c r="E62" t="s">
        <v>305</v>
      </c>
      <c r="F62">
        <f>COUNTIFS(fact_batting_summary!E:E, A62)</f>
        <v>3</v>
      </c>
      <c r="G62">
        <f>SUMIFS(fact_batting_summary!G:G, fact_batting_summary!E:E, A62)</f>
        <v>34</v>
      </c>
      <c r="H62">
        <f>SUMIFS(fact_batting_summary!H:H, fact_batting_summary!E:E, A62)</f>
        <v>20</v>
      </c>
      <c r="J62">
        <f>SUMIFS(fact_bowling_summary!G:G, fact_bowling_summary!D:D, A62)</f>
        <v>86</v>
      </c>
    </row>
    <row r="63" spans="1:10" x14ac:dyDescent="0.45">
      <c r="A63" t="s">
        <v>376</v>
      </c>
      <c r="B63" t="s">
        <v>20</v>
      </c>
      <c r="C63" t="s">
        <v>291</v>
      </c>
      <c r="D63" t="s">
        <v>295</v>
      </c>
      <c r="E63" t="s">
        <v>293</v>
      </c>
      <c r="F63">
        <f>COUNTIFS(fact_batting_summary!E:E, A63)</f>
        <v>20</v>
      </c>
      <c r="G63">
        <f>SUMIFS(fact_batting_summary!G:G, fact_batting_summary!E:E, A63)</f>
        <v>284</v>
      </c>
      <c r="H63">
        <f>SUMIFS(fact_batting_summary!H:H, fact_batting_summary!E:E, A63)</f>
        <v>222</v>
      </c>
      <c r="J63">
        <f>SUMIFS(fact_bowling_summary!G:G, fact_bowling_summary!D:D, A63)</f>
        <v>17</v>
      </c>
    </row>
    <row r="64" spans="1:10" x14ac:dyDescent="0.45">
      <c r="A64" t="s">
        <v>377</v>
      </c>
      <c r="B64" t="s">
        <v>20</v>
      </c>
      <c r="C64" t="s">
        <v>291</v>
      </c>
      <c r="D64" t="s">
        <v>298</v>
      </c>
      <c r="E64" t="s">
        <v>316</v>
      </c>
      <c r="F64">
        <f>COUNTIFS(fact_batting_summary!E:E, A64)</f>
        <v>9</v>
      </c>
      <c r="G64">
        <f>SUMIFS(fact_batting_summary!G:G, fact_batting_summary!E:E, A64)</f>
        <v>140</v>
      </c>
      <c r="H64">
        <f>SUMIFS(fact_batting_summary!H:H, fact_batting_summary!E:E, A64)</f>
        <v>130</v>
      </c>
      <c r="J64">
        <f>SUMIFS(fact_bowling_summary!G:G, fact_bowling_summary!D:D, A64)</f>
        <v>0</v>
      </c>
    </row>
    <row r="65" spans="1:10" x14ac:dyDescent="0.45">
      <c r="A65" t="s">
        <v>378</v>
      </c>
      <c r="B65" t="s">
        <v>20</v>
      </c>
      <c r="C65" t="s">
        <v>291</v>
      </c>
      <c r="D65" t="s">
        <v>358</v>
      </c>
      <c r="E65" t="s">
        <v>309</v>
      </c>
      <c r="F65">
        <f>COUNTIFS(fact_batting_summary!E:E, A65)</f>
        <v>18</v>
      </c>
      <c r="G65">
        <f>SUMIFS(fact_batting_summary!G:G, fact_batting_summary!E:E, A65)</f>
        <v>155</v>
      </c>
      <c r="H65">
        <f>SUMIFS(fact_batting_summary!H:H, fact_batting_summary!E:E, A65)</f>
        <v>127</v>
      </c>
      <c r="J65">
        <f>SUMIFS(fact_bowling_summary!G:G, fact_bowling_summary!D:D, A65)</f>
        <v>922</v>
      </c>
    </row>
    <row r="66" spans="1:10" x14ac:dyDescent="0.45">
      <c r="A66" t="s">
        <v>379</v>
      </c>
      <c r="B66" t="s">
        <v>20</v>
      </c>
      <c r="C66" t="s">
        <v>291</v>
      </c>
      <c r="D66" t="s">
        <v>323</v>
      </c>
      <c r="E66" t="s">
        <v>309</v>
      </c>
      <c r="F66">
        <f>COUNTIFS(fact_batting_summary!E:E, A66)</f>
        <v>26</v>
      </c>
      <c r="G66">
        <f>SUMIFS(fact_batting_summary!G:G, fact_batting_summary!E:E, A66)</f>
        <v>304</v>
      </c>
      <c r="H66">
        <f>SUMIFS(fact_batting_summary!H:H, fact_batting_summary!E:E, A66)</f>
        <v>172</v>
      </c>
      <c r="J66">
        <f>SUMIFS(fact_bowling_summary!G:G, fact_bowling_summary!D:D, A66)</f>
        <v>1317</v>
      </c>
    </row>
    <row r="67" spans="1:10" x14ac:dyDescent="0.45">
      <c r="A67" t="s">
        <v>380</v>
      </c>
      <c r="B67" t="s">
        <v>20</v>
      </c>
      <c r="C67" t="s">
        <v>291</v>
      </c>
      <c r="D67" t="s">
        <v>335</v>
      </c>
      <c r="E67" t="s">
        <v>312</v>
      </c>
      <c r="F67">
        <f>COUNTIFS(fact_batting_summary!E:E, A67)</f>
        <v>37</v>
      </c>
      <c r="G67">
        <f>SUMIFS(fact_batting_summary!G:G, fact_batting_summary!E:E, A67)</f>
        <v>819</v>
      </c>
      <c r="H67">
        <f>SUMIFS(fact_batting_summary!H:H, fact_batting_summary!E:E, A67)</f>
        <v>686</v>
      </c>
      <c r="J67">
        <f>SUMIFS(fact_bowling_summary!G:G, fact_bowling_summary!D:D, A67)</f>
        <v>0</v>
      </c>
    </row>
    <row r="68" spans="1:10" x14ac:dyDescent="0.45">
      <c r="A68" t="s">
        <v>381</v>
      </c>
      <c r="B68" t="s">
        <v>20</v>
      </c>
      <c r="C68" t="s">
        <v>291</v>
      </c>
      <c r="D68" t="s">
        <v>298</v>
      </c>
      <c r="E68" t="s">
        <v>319</v>
      </c>
      <c r="F68">
        <f>COUNTIFS(fact_batting_summary!E:E, A68)</f>
        <v>2</v>
      </c>
      <c r="G68">
        <f>SUMIFS(fact_batting_summary!G:G, fact_batting_summary!E:E, A68)</f>
        <v>8</v>
      </c>
      <c r="H68">
        <f>SUMIFS(fact_batting_summary!H:H, fact_batting_summary!E:E, A68)</f>
        <v>8</v>
      </c>
      <c r="J68">
        <f>SUMIFS(fact_bowling_summary!G:G, fact_bowling_summary!D:D, A68)</f>
        <v>259</v>
      </c>
    </row>
    <row r="69" spans="1:10" x14ac:dyDescent="0.45">
      <c r="A69" t="s">
        <v>382</v>
      </c>
      <c r="B69" t="s">
        <v>20</v>
      </c>
      <c r="C69" t="s">
        <v>291</v>
      </c>
      <c r="D69" t="s">
        <v>318</v>
      </c>
      <c r="E69" t="s">
        <v>319</v>
      </c>
      <c r="F69">
        <f>COUNTIFS(fact_batting_summary!E:E, A69)</f>
        <v>6</v>
      </c>
      <c r="G69">
        <f>SUMIFS(fact_batting_summary!G:G, fact_batting_summary!E:E, A69)</f>
        <v>23</v>
      </c>
      <c r="H69">
        <f>SUMIFS(fact_batting_summary!H:H, fact_batting_summary!E:E, A69)</f>
        <v>16</v>
      </c>
      <c r="J69">
        <f>SUMIFS(fact_bowling_summary!G:G, fact_bowling_summary!D:D, A69)</f>
        <v>757</v>
      </c>
    </row>
    <row r="70" spans="1:10" x14ac:dyDescent="0.45">
      <c r="A70" t="s">
        <v>383</v>
      </c>
      <c r="B70" t="s">
        <v>23</v>
      </c>
      <c r="C70" t="s">
        <v>300</v>
      </c>
      <c r="D70" t="s">
        <v>295</v>
      </c>
      <c r="E70" t="s">
        <v>303</v>
      </c>
      <c r="F70">
        <f>COUNTIFS(fact_batting_summary!E:E, A70)</f>
        <v>34</v>
      </c>
      <c r="G70">
        <f>SUMIFS(fact_batting_summary!G:G, fact_batting_summary!E:E, A70)</f>
        <v>1132</v>
      </c>
      <c r="H70">
        <f>SUMIFS(fact_batting_summary!H:H, fact_batting_summary!E:E, A70)</f>
        <v>744</v>
      </c>
      <c r="J70">
        <f>SUMIFS(fact_bowling_summary!G:G, fact_bowling_summary!D:D, A70)</f>
        <v>6</v>
      </c>
    </row>
    <row r="71" spans="1:10" x14ac:dyDescent="0.45">
      <c r="A71" t="s">
        <v>384</v>
      </c>
      <c r="B71" t="s">
        <v>23</v>
      </c>
      <c r="C71" t="s">
        <v>291</v>
      </c>
      <c r="D71" t="s">
        <v>385</v>
      </c>
      <c r="E71" t="s">
        <v>301</v>
      </c>
      <c r="F71">
        <f>COUNTIFS(fact_batting_summary!E:E, A71)</f>
        <v>28</v>
      </c>
      <c r="G71">
        <f>SUMIFS(fact_batting_summary!G:G, fact_batting_summary!E:E, A71)</f>
        <v>758</v>
      </c>
      <c r="H71">
        <f>SUMIFS(fact_batting_summary!H:H, fact_batting_summary!E:E, A71)</f>
        <v>452</v>
      </c>
      <c r="J71">
        <f>SUMIFS(fact_bowling_summary!G:G, fact_bowling_summary!D:D, A71)</f>
        <v>296</v>
      </c>
    </row>
    <row r="72" spans="1:10" x14ac:dyDescent="0.45">
      <c r="A72" t="s">
        <v>386</v>
      </c>
      <c r="B72" t="s">
        <v>23</v>
      </c>
      <c r="C72" t="s">
        <v>291</v>
      </c>
      <c r="D72" t="s">
        <v>335</v>
      </c>
      <c r="E72" t="s">
        <v>312</v>
      </c>
      <c r="F72">
        <f>COUNTIFS(fact_batting_summary!E:E, A72)</f>
        <v>45</v>
      </c>
      <c r="G72">
        <f>SUMIFS(fact_batting_summary!G:G, fact_batting_summary!E:E, A72)</f>
        <v>1304</v>
      </c>
      <c r="H72">
        <f>SUMIFS(fact_batting_summary!H:H, fact_batting_summary!E:E, A72)</f>
        <v>902</v>
      </c>
      <c r="J72">
        <f>SUMIFS(fact_bowling_summary!G:G, fact_bowling_summary!D:D, A72)</f>
        <v>0</v>
      </c>
    </row>
    <row r="73" spans="1:10" x14ac:dyDescent="0.45">
      <c r="A73" t="s">
        <v>387</v>
      </c>
      <c r="B73" t="s">
        <v>23</v>
      </c>
      <c r="C73" t="s">
        <v>300</v>
      </c>
      <c r="D73" t="s">
        <v>298</v>
      </c>
      <c r="E73" t="s">
        <v>305</v>
      </c>
      <c r="F73">
        <f>COUNTIFS(fact_batting_summary!E:E, A73)</f>
        <v>34</v>
      </c>
      <c r="G73">
        <f>SUMIFS(fact_batting_summary!G:G, fact_batting_summary!E:E, A73)</f>
        <v>937</v>
      </c>
      <c r="H73">
        <f>SUMIFS(fact_batting_summary!H:H, fact_batting_summary!E:E, A73)</f>
        <v>642</v>
      </c>
      <c r="J73">
        <f>SUMIFS(fact_bowling_summary!G:G, fact_bowling_summary!D:D, A73)</f>
        <v>85</v>
      </c>
    </row>
    <row r="74" spans="1:10" x14ac:dyDescent="0.45">
      <c r="A74" t="s">
        <v>388</v>
      </c>
      <c r="B74" t="s">
        <v>23</v>
      </c>
      <c r="C74" t="s">
        <v>300</v>
      </c>
      <c r="D74" t="s">
        <v>335</v>
      </c>
      <c r="E74" t="s">
        <v>312</v>
      </c>
      <c r="F74">
        <f>COUNTIFS(fact_batting_summary!E:E, A74)</f>
        <v>16</v>
      </c>
      <c r="G74">
        <f>SUMIFS(fact_batting_summary!G:G, fact_batting_summary!E:E, A74)</f>
        <v>220</v>
      </c>
      <c r="H74">
        <f>SUMIFS(fact_batting_summary!H:H, fact_batting_summary!E:E, A74)</f>
        <v>190</v>
      </c>
      <c r="J74">
        <f>SUMIFS(fact_bowling_summary!G:G, fact_bowling_summary!D:D, A74)</f>
        <v>0</v>
      </c>
    </row>
    <row r="75" spans="1:10" x14ac:dyDescent="0.45">
      <c r="A75" t="s">
        <v>389</v>
      </c>
      <c r="B75" t="s">
        <v>23</v>
      </c>
      <c r="C75" t="s">
        <v>291</v>
      </c>
      <c r="D75" t="s">
        <v>292</v>
      </c>
      <c r="E75" t="s">
        <v>305</v>
      </c>
      <c r="F75">
        <f>COUNTIFS(fact_batting_summary!E:E, A75)</f>
        <v>8</v>
      </c>
      <c r="G75">
        <f>SUMIFS(fact_batting_summary!G:G, fact_batting_summary!E:E, A75)</f>
        <v>65</v>
      </c>
      <c r="H75">
        <f>SUMIFS(fact_batting_summary!H:H, fact_batting_summary!E:E, A75)</f>
        <v>55</v>
      </c>
      <c r="J75">
        <f>SUMIFS(fact_bowling_summary!G:G, fact_bowling_summary!D:D, A75)</f>
        <v>40</v>
      </c>
    </row>
    <row r="76" spans="1:10" x14ac:dyDescent="0.45">
      <c r="A76" t="s">
        <v>390</v>
      </c>
      <c r="B76" t="s">
        <v>23</v>
      </c>
      <c r="C76" t="s">
        <v>300</v>
      </c>
      <c r="D76" t="s">
        <v>295</v>
      </c>
      <c r="E76" t="s">
        <v>309</v>
      </c>
      <c r="F76">
        <f>COUNTIFS(fact_batting_summary!E:E, A76)</f>
        <v>33</v>
      </c>
      <c r="G76">
        <f>SUMIFS(fact_batting_summary!G:G, fact_batting_summary!E:E, A76)</f>
        <v>459</v>
      </c>
      <c r="H76">
        <f>SUMIFS(fact_batting_summary!H:H, fact_batting_summary!E:E, A76)</f>
        <v>351</v>
      </c>
      <c r="J76">
        <f>SUMIFS(fact_bowling_summary!G:G, fact_bowling_summary!D:D, A76)</f>
        <v>431</v>
      </c>
    </row>
    <row r="77" spans="1:10" x14ac:dyDescent="0.45">
      <c r="A77" t="s">
        <v>391</v>
      </c>
      <c r="B77" t="s">
        <v>23</v>
      </c>
      <c r="C77" t="s">
        <v>291</v>
      </c>
      <c r="D77" t="s">
        <v>321</v>
      </c>
      <c r="E77" t="s">
        <v>309</v>
      </c>
      <c r="F77">
        <f>COUNTIFS(fact_batting_summary!E:E, A77)</f>
        <v>7</v>
      </c>
      <c r="G77">
        <f>SUMIFS(fact_batting_summary!G:G, fact_batting_summary!E:E, A77)</f>
        <v>67</v>
      </c>
      <c r="H77">
        <f>SUMIFS(fact_batting_summary!H:H, fact_batting_summary!E:E, A77)</f>
        <v>49</v>
      </c>
      <c r="J77">
        <f>SUMIFS(fact_bowling_summary!G:G, fact_bowling_summary!D:D, A77)</f>
        <v>376</v>
      </c>
    </row>
    <row r="78" spans="1:10" x14ac:dyDescent="0.45">
      <c r="A78" t="s">
        <v>392</v>
      </c>
      <c r="B78" t="s">
        <v>23</v>
      </c>
      <c r="C78" t="s">
        <v>291</v>
      </c>
      <c r="D78" t="s">
        <v>393</v>
      </c>
      <c r="E78" t="s">
        <v>319</v>
      </c>
      <c r="F78">
        <f>COUNTIFS(fact_batting_summary!E:E, A78)</f>
        <v>9</v>
      </c>
      <c r="G78">
        <f>SUMIFS(fact_batting_summary!G:G, fact_batting_summary!E:E, A78)</f>
        <v>109</v>
      </c>
      <c r="H78">
        <f>SUMIFS(fact_batting_summary!H:H, fact_batting_summary!E:E, A78)</f>
        <v>73</v>
      </c>
      <c r="J78">
        <f>SUMIFS(fact_bowling_summary!G:G, fact_bowling_summary!D:D, A78)</f>
        <v>450</v>
      </c>
    </row>
    <row r="79" spans="1:10" x14ac:dyDescent="0.45">
      <c r="A79" t="s">
        <v>394</v>
      </c>
      <c r="B79" t="s">
        <v>23</v>
      </c>
      <c r="C79" t="s">
        <v>300</v>
      </c>
      <c r="D79" t="s">
        <v>395</v>
      </c>
      <c r="E79" t="s">
        <v>319</v>
      </c>
      <c r="F79">
        <f>COUNTIFS(fact_batting_summary!E:E, A79)</f>
        <v>8</v>
      </c>
      <c r="G79">
        <f>SUMIFS(fact_batting_summary!G:G, fact_batting_summary!E:E, A79)</f>
        <v>20</v>
      </c>
      <c r="H79">
        <f>SUMIFS(fact_batting_summary!H:H, fact_batting_summary!E:E, A79)</f>
        <v>31</v>
      </c>
      <c r="J79">
        <f>SUMIFS(fact_bowling_summary!G:G, fact_bowling_summary!D:D, A79)</f>
        <v>599</v>
      </c>
    </row>
    <row r="80" spans="1:10" x14ac:dyDescent="0.45">
      <c r="A80" t="s">
        <v>396</v>
      </c>
      <c r="B80" t="s">
        <v>23</v>
      </c>
      <c r="C80" t="s">
        <v>300</v>
      </c>
      <c r="D80" t="s">
        <v>371</v>
      </c>
      <c r="E80" t="s">
        <v>319</v>
      </c>
      <c r="F80">
        <f>COUNTIFS(fact_batting_summary!E:E, A80)</f>
        <v>7</v>
      </c>
      <c r="G80">
        <f>SUMIFS(fact_batting_summary!G:G, fact_batting_summary!E:E, A80)</f>
        <v>12</v>
      </c>
      <c r="H80">
        <f>SUMIFS(fact_batting_summary!H:H, fact_batting_summary!E:E, A80)</f>
        <v>20</v>
      </c>
      <c r="J80">
        <f>SUMIFS(fact_bowling_summary!G:G, fact_bowling_summary!D:D, A80)</f>
        <v>759</v>
      </c>
    </row>
    <row r="81" spans="1:10" x14ac:dyDescent="0.45">
      <c r="A81" t="s">
        <v>397</v>
      </c>
      <c r="B81" t="s">
        <v>26</v>
      </c>
      <c r="C81" t="s">
        <v>291</v>
      </c>
      <c r="D81" t="s">
        <v>335</v>
      </c>
      <c r="E81" t="s">
        <v>312</v>
      </c>
      <c r="F81">
        <f>COUNTIFS(fact_batting_summary!E:E, A81)</f>
        <v>37</v>
      </c>
      <c r="G81">
        <f>SUMIFS(fact_batting_summary!G:G, fact_batting_summary!E:E, A81)</f>
        <v>1516</v>
      </c>
      <c r="H81">
        <f>SUMIFS(fact_batting_summary!H:H, fact_batting_summary!E:E, A81)</f>
        <v>1148</v>
      </c>
      <c r="J81">
        <f>SUMIFS(fact_bowling_summary!G:G, fact_bowling_summary!D:D, A81)</f>
        <v>0</v>
      </c>
    </row>
    <row r="82" spans="1:10" x14ac:dyDescent="0.45">
      <c r="A82" t="s">
        <v>398</v>
      </c>
      <c r="B82" t="s">
        <v>26</v>
      </c>
      <c r="C82" t="s">
        <v>291</v>
      </c>
      <c r="D82" t="s">
        <v>292</v>
      </c>
      <c r="E82" t="s">
        <v>293</v>
      </c>
      <c r="F82">
        <f>COUNTIFS(fact_batting_summary!E:E, A82)</f>
        <v>34</v>
      </c>
      <c r="G82">
        <f>SUMIFS(fact_batting_summary!G:G, fact_batting_summary!E:E, A82)</f>
        <v>907</v>
      </c>
      <c r="H82">
        <f>SUMIFS(fact_batting_summary!H:H, fact_batting_summary!E:E, A82)</f>
        <v>684</v>
      </c>
      <c r="J82">
        <f>SUMIFS(fact_bowling_summary!G:G, fact_bowling_summary!D:D, A82)</f>
        <v>0</v>
      </c>
    </row>
    <row r="83" spans="1:10" x14ac:dyDescent="0.45">
      <c r="A83" t="s">
        <v>399</v>
      </c>
      <c r="B83" t="s">
        <v>26</v>
      </c>
      <c r="C83" t="s">
        <v>291</v>
      </c>
      <c r="D83" t="s">
        <v>295</v>
      </c>
      <c r="E83" t="s">
        <v>296</v>
      </c>
      <c r="F83">
        <f>COUNTIFS(fact_batting_summary!E:E, A83)</f>
        <v>11</v>
      </c>
      <c r="G83">
        <f>SUMIFS(fact_batting_summary!G:G, fact_batting_summary!E:E, A83)</f>
        <v>144</v>
      </c>
      <c r="H83">
        <f>SUMIFS(fact_batting_summary!H:H, fact_batting_summary!E:E, A83)</f>
        <v>133</v>
      </c>
      <c r="J83">
        <f>SUMIFS(fact_bowling_summary!G:G, fact_bowling_summary!D:D, A83)</f>
        <v>0</v>
      </c>
    </row>
    <row r="84" spans="1:10" x14ac:dyDescent="0.45">
      <c r="A84" t="s">
        <v>400</v>
      </c>
      <c r="B84" t="s">
        <v>26</v>
      </c>
      <c r="C84" t="s">
        <v>291</v>
      </c>
      <c r="D84" t="s">
        <v>292</v>
      </c>
      <c r="E84" t="s">
        <v>293</v>
      </c>
      <c r="F84">
        <f>COUNTIFS(fact_batting_summary!E:E, A84)</f>
        <v>31</v>
      </c>
      <c r="G84">
        <f>SUMIFS(fact_batting_summary!G:G, fact_batting_summary!E:E, A84)</f>
        <v>426</v>
      </c>
      <c r="H84">
        <f>SUMIFS(fact_batting_summary!H:H, fact_batting_summary!E:E, A84)</f>
        <v>316</v>
      </c>
      <c r="J84">
        <f>SUMIFS(fact_bowling_summary!G:G, fact_bowling_summary!D:D, A84)</f>
        <v>0</v>
      </c>
    </row>
    <row r="85" spans="1:10" x14ac:dyDescent="0.45">
      <c r="A85" t="s">
        <v>401</v>
      </c>
      <c r="B85" t="s">
        <v>26</v>
      </c>
      <c r="C85" t="s">
        <v>291</v>
      </c>
      <c r="D85" t="s">
        <v>292</v>
      </c>
      <c r="E85" t="s">
        <v>303</v>
      </c>
      <c r="F85">
        <f>COUNTIFS(fact_batting_summary!E:E, A85)</f>
        <v>31</v>
      </c>
      <c r="G85">
        <f>SUMIFS(fact_batting_summary!G:G, fact_batting_summary!E:E, A85)</f>
        <v>775</v>
      </c>
      <c r="H85">
        <f>SUMIFS(fact_batting_summary!H:H, fact_batting_summary!E:E, A85)</f>
        <v>590</v>
      </c>
      <c r="J85">
        <f>SUMIFS(fact_bowling_summary!G:G, fact_bowling_summary!D:D, A85)</f>
        <v>157</v>
      </c>
    </row>
    <row r="86" spans="1:10" x14ac:dyDescent="0.45">
      <c r="A86" t="s">
        <v>402</v>
      </c>
      <c r="B86" t="s">
        <v>26</v>
      </c>
      <c r="C86" t="s">
        <v>291</v>
      </c>
      <c r="D86" t="s">
        <v>321</v>
      </c>
      <c r="E86" t="s">
        <v>305</v>
      </c>
      <c r="F86">
        <f>COUNTIFS(fact_batting_summary!E:E, A86)</f>
        <v>4</v>
      </c>
      <c r="G86">
        <f>SUMIFS(fact_batting_summary!G:G, fact_batting_summary!E:E, A86)</f>
        <v>31</v>
      </c>
      <c r="H86">
        <f>SUMIFS(fact_batting_summary!H:H, fact_batting_summary!E:E, A86)</f>
        <v>32</v>
      </c>
      <c r="J86">
        <f>SUMIFS(fact_bowling_summary!G:G, fact_bowling_summary!D:D, A86)</f>
        <v>45</v>
      </c>
    </row>
    <row r="87" spans="1:10" x14ac:dyDescent="0.45">
      <c r="A87" t="s">
        <v>403</v>
      </c>
      <c r="B87" t="s">
        <v>26</v>
      </c>
      <c r="C87" t="s">
        <v>291</v>
      </c>
      <c r="D87" t="s">
        <v>318</v>
      </c>
      <c r="E87" t="s">
        <v>319</v>
      </c>
      <c r="F87">
        <f>COUNTIFS(fact_batting_summary!E:E, A87)</f>
        <v>6</v>
      </c>
      <c r="G87">
        <f>SUMIFS(fact_batting_summary!G:G, fact_batting_summary!E:E, A87)</f>
        <v>18</v>
      </c>
      <c r="H87">
        <f>SUMIFS(fact_batting_summary!H:H, fact_batting_summary!E:E, A87)</f>
        <v>23</v>
      </c>
      <c r="J87">
        <f>SUMIFS(fact_bowling_summary!G:G, fact_bowling_summary!D:D, A87)</f>
        <v>1405</v>
      </c>
    </row>
    <row r="88" spans="1:10" x14ac:dyDescent="0.45">
      <c r="A88" t="s">
        <v>404</v>
      </c>
      <c r="B88" t="s">
        <v>26</v>
      </c>
      <c r="C88" t="s">
        <v>300</v>
      </c>
      <c r="D88" t="s">
        <v>314</v>
      </c>
      <c r="E88" t="s">
        <v>319</v>
      </c>
      <c r="F88">
        <f>COUNTIFS(fact_batting_summary!E:E, A88)</f>
        <v>16</v>
      </c>
      <c r="G88">
        <f>SUMIFS(fact_batting_summary!G:G, fact_batting_summary!E:E, A88)</f>
        <v>138</v>
      </c>
      <c r="H88">
        <f>SUMIFS(fact_batting_summary!H:H, fact_batting_summary!E:E, A88)</f>
        <v>124</v>
      </c>
      <c r="J88">
        <f>SUMIFS(fact_bowling_summary!G:G, fact_bowling_summary!D:D, A88)</f>
        <v>503</v>
      </c>
    </row>
    <row r="89" spans="1:10" x14ac:dyDescent="0.45">
      <c r="A89" t="s">
        <v>405</v>
      </c>
      <c r="B89" t="s">
        <v>26</v>
      </c>
      <c r="C89" t="s">
        <v>300</v>
      </c>
      <c r="D89" t="s">
        <v>395</v>
      </c>
      <c r="E89" t="s">
        <v>319</v>
      </c>
      <c r="F89">
        <f>COUNTIFS(fact_batting_summary!E:E, A89)</f>
        <v>10</v>
      </c>
      <c r="G89">
        <f>SUMIFS(fact_batting_summary!G:G, fact_batting_summary!E:E, A89)</f>
        <v>25</v>
      </c>
      <c r="H89">
        <f>SUMIFS(fact_batting_summary!H:H, fact_batting_summary!E:E, A89)</f>
        <v>34</v>
      </c>
      <c r="J89">
        <f>SUMIFS(fact_bowling_summary!G:G, fact_bowling_summary!D:D, A89)</f>
        <v>1220</v>
      </c>
    </row>
    <row r="90" spans="1:10" x14ac:dyDescent="0.45">
      <c r="A90" t="s">
        <v>406</v>
      </c>
      <c r="B90" t="s">
        <v>26</v>
      </c>
      <c r="C90" t="s">
        <v>291</v>
      </c>
      <c r="D90" t="s">
        <v>321</v>
      </c>
      <c r="E90" t="s">
        <v>319</v>
      </c>
      <c r="F90">
        <f>COUNTIFS(fact_batting_summary!E:E, A90)</f>
        <v>6</v>
      </c>
      <c r="G90">
        <f>SUMIFS(fact_batting_summary!G:G, fact_batting_summary!E:E, A90)</f>
        <v>49</v>
      </c>
      <c r="H90">
        <f>SUMIFS(fact_batting_summary!H:H, fact_batting_summary!E:E, A90)</f>
        <v>41</v>
      </c>
      <c r="J90">
        <f>SUMIFS(fact_bowling_summary!G:G, fact_bowling_summary!D:D, A90)</f>
        <v>468</v>
      </c>
    </row>
    <row r="91" spans="1:10" x14ac:dyDescent="0.45">
      <c r="A91" t="s">
        <v>407</v>
      </c>
      <c r="B91" t="s">
        <v>26</v>
      </c>
      <c r="C91" t="s">
        <v>291</v>
      </c>
      <c r="D91" t="s">
        <v>323</v>
      </c>
      <c r="E91" t="s">
        <v>319</v>
      </c>
      <c r="F91">
        <f>COUNTIFS(fact_batting_summary!E:E, A91)</f>
        <v>9</v>
      </c>
      <c r="G91">
        <f>SUMIFS(fact_batting_summary!G:G, fact_batting_summary!E:E, A91)</f>
        <v>21</v>
      </c>
      <c r="H91">
        <f>SUMIFS(fact_batting_summary!H:H, fact_batting_summary!E:E, A91)</f>
        <v>32</v>
      </c>
      <c r="J91">
        <f>SUMIFS(fact_bowling_summary!G:G, fact_bowling_summary!D:D, A91)</f>
        <v>1077</v>
      </c>
    </row>
    <row r="92" spans="1:10" x14ac:dyDescent="0.45">
      <c r="A92" t="s">
        <v>408</v>
      </c>
      <c r="B92" t="s">
        <v>20</v>
      </c>
      <c r="C92" t="s">
        <v>291</v>
      </c>
      <c r="D92" t="s">
        <v>292</v>
      </c>
      <c r="E92" t="s">
        <v>316</v>
      </c>
      <c r="F92">
        <f>COUNTIFS(fact_batting_summary!E:E, A92)</f>
        <v>22</v>
      </c>
      <c r="G92">
        <f>SUMIFS(fact_batting_summary!G:G, fact_batting_summary!E:E, A92)</f>
        <v>416</v>
      </c>
      <c r="H92">
        <f>SUMIFS(fact_batting_summary!H:H, fact_batting_summary!E:E, A92)</f>
        <v>415</v>
      </c>
      <c r="J92">
        <f>SUMIFS(fact_bowling_summary!G:G, fact_bowling_summary!D:D, A92)</f>
        <v>0</v>
      </c>
    </row>
    <row r="93" spans="1:10" x14ac:dyDescent="0.45">
      <c r="A93" t="s">
        <v>409</v>
      </c>
      <c r="B93" t="s">
        <v>20</v>
      </c>
      <c r="C93" t="s">
        <v>291</v>
      </c>
      <c r="D93" t="s">
        <v>298</v>
      </c>
      <c r="E93" t="s">
        <v>319</v>
      </c>
      <c r="F93">
        <f>COUNTIFS(fact_batting_summary!E:E, A93)</f>
        <v>19</v>
      </c>
      <c r="G93">
        <f>SUMIFS(fact_batting_summary!G:G, fact_batting_summary!E:E, A93)</f>
        <v>100</v>
      </c>
      <c r="H93">
        <f>SUMIFS(fact_batting_summary!H:H, fact_batting_summary!E:E, A93)</f>
        <v>103</v>
      </c>
      <c r="J93">
        <f>SUMIFS(fact_bowling_summary!G:G, fact_bowling_summary!D:D, A93)</f>
        <v>1143</v>
      </c>
    </row>
    <row r="94" spans="1:10" x14ac:dyDescent="0.45">
      <c r="A94" t="s">
        <v>410</v>
      </c>
      <c r="B94" t="s">
        <v>23</v>
      </c>
      <c r="C94" t="s">
        <v>300</v>
      </c>
      <c r="D94" t="s">
        <v>335</v>
      </c>
      <c r="E94" t="s">
        <v>303</v>
      </c>
      <c r="F94">
        <f>COUNTIFS(fact_batting_summary!E:E, A94)</f>
        <v>10</v>
      </c>
      <c r="G94">
        <f>SUMIFS(fact_batting_summary!G:G, fact_batting_summary!E:E, A94)</f>
        <v>224</v>
      </c>
      <c r="H94">
        <f>SUMIFS(fact_batting_summary!H:H, fact_batting_summary!E:E, A94)</f>
        <v>149</v>
      </c>
      <c r="J94">
        <f>SUMIFS(fact_bowling_summary!G:G, fact_bowling_summary!D:D, A94)</f>
        <v>0</v>
      </c>
    </row>
    <row r="95" spans="1:10" x14ac:dyDescent="0.45">
      <c r="A95" t="s">
        <v>411</v>
      </c>
      <c r="B95" t="s">
        <v>23</v>
      </c>
      <c r="C95" t="s">
        <v>300</v>
      </c>
      <c r="D95" t="s">
        <v>292</v>
      </c>
      <c r="E95" t="s">
        <v>296</v>
      </c>
      <c r="F95">
        <f>COUNTIFS(fact_batting_summary!E:E, A95)</f>
        <v>37</v>
      </c>
      <c r="G95">
        <f>SUMIFS(fact_batting_summary!G:G, fact_batting_summary!E:E, A95)</f>
        <v>864</v>
      </c>
      <c r="H95">
        <f>SUMIFS(fact_batting_summary!H:H, fact_batting_summary!E:E, A95)</f>
        <v>628</v>
      </c>
      <c r="J95">
        <f>SUMIFS(fact_bowling_summary!G:G, fact_bowling_summary!D:D, A95)</f>
        <v>0</v>
      </c>
    </row>
    <row r="96" spans="1:10" x14ac:dyDescent="0.45">
      <c r="A96" t="s">
        <v>412</v>
      </c>
      <c r="B96" t="s">
        <v>23</v>
      </c>
      <c r="C96" t="s">
        <v>291</v>
      </c>
      <c r="D96" t="s">
        <v>295</v>
      </c>
      <c r="E96" t="s">
        <v>305</v>
      </c>
      <c r="F96">
        <f>COUNTIFS(fact_batting_summary!E:E, A96)</f>
        <v>3</v>
      </c>
      <c r="G96">
        <f>SUMIFS(fact_batting_summary!G:G, fact_batting_summary!E:E, A96)</f>
        <v>16</v>
      </c>
      <c r="H96">
        <f>SUMIFS(fact_batting_summary!H:H, fact_batting_summary!E:E, A96)</f>
        <v>12</v>
      </c>
      <c r="J96">
        <f>SUMIFS(fact_bowling_summary!G:G, fact_bowling_summary!D:D, A96)</f>
        <v>118</v>
      </c>
    </row>
    <row r="97" spans="1:10" x14ac:dyDescent="0.45">
      <c r="A97" t="s">
        <v>413</v>
      </c>
      <c r="B97" t="s">
        <v>23</v>
      </c>
      <c r="C97" t="s">
        <v>300</v>
      </c>
      <c r="D97" t="s">
        <v>371</v>
      </c>
      <c r="E97" t="s">
        <v>319</v>
      </c>
      <c r="F97">
        <f>COUNTIFS(fact_batting_summary!E:E, A97)</f>
        <v>1</v>
      </c>
      <c r="G97">
        <f>SUMIFS(fact_batting_summary!G:G, fact_batting_summary!E:E, A97)</f>
        <v>0</v>
      </c>
      <c r="H97">
        <f>SUMIFS(fact_batting_summary!H:H, fact_batting_summary!E:E, A97)</f>
        <v>4</v>
      </c>
      <c r="J97">
        <f>SUMIFS(fact_bowling_summary!G:G, fact_bowling_summary!D:D, A97)</f>
        <v>84</v>
      </c>
    </row>
    <row r="98" spans="1:10" x14ac:dyDescent="0.45">
      <c r="A98" t="s">
        <v>414</v>
      </c>
      <c r="B98" t="s">
        <v>19</v>
      </c>
      <c r="C98" t="s">
        <v>291</v>
      </c>
      <c r="D98" t="s">
        <v>292</v>
      </c>
      <c r="E98" t="s">
        <v>319</v>
      </c>
      <c r="F98">
        <f>COUNTIFS(fact_batting_summary!E:E, A98)</f>
        <v>3</v>
      </c>
      <c r="G98">
        <f>SUMIFS(fact_batting_summary!G:G, fact_batting_summary!E:E, A98)</f>
        <v>34</v>
      </c>
      <c r="H98">
        <f>SUMIFS(fact_batting_summary!H:H, fact_batting_summary!E:E, A98)</f>
        <v>26</v>
      </c>
      <c r="J98">
        <f>SUMIFS(fact_bowling_summary!G:G, fact_bowling_summary!D:D, A98)</f>
        <v>156</v>
      </c>
    </row>
    <row r="99" spans="1:10" x14ac:dyDescent="0.45">
      <c r="A99" t="s">
        <v>415</v>
      </c>
      <c r="B99" t="s">
        <v>7</v>
      </c>
      <c r="C99" t="s">
        <v>291</v>
      </c>
      <c r="D99" t="s">
        <v>358</v>
      </c>
      <c r="E99" t="s">
        <v>319</v>
      </c>
      <c r="F99">
        <f>COUNTIFS(fact_batting_summary!E:E, A99)</f>
        <v>6</v>
      </c>
      <c r="G99">
        <f>SUMIFS(fact_batting_summary!G:G, fact_batting_summary!E:E, A99)</f>
        <v>5</v>
      </c>
      <c r="H99">
        <f>SUMIFS(fact_batting_summary!H:H, fact_batting_summary!E:E, A99)</f>
        <v>17</v>
      </c>
      <c r="J99">
        <f>SUMIFS(fact_bowling_summary!G:G, fact_bowling_summary!D:D, A99)</f>
        <v>449</v>
      </c>
    </row>
    <row r="100" spans="1:10" x14ac:dyDescent="0.45">
      <c r="A100" t="s">
        <v>416</v>
      </c>
      <c r="B100" t="s">
        <v>26</v>
      </c>
      <c r="C100" t="s">
        <v>300</v>
      </c>
      <c r="D100" t="s">
        <v>292</v>
      </c>
      <c r="E100" t="s">
        <v>312</v>
      </c>
      <c r="F100">
        <f>COUNTIFS(fact_batting_summary!E:E, A100)</f>
        <v>38</v>
      </c>
      <c r="G100">
        <f>SUMIFS(fact_batting_summary!G:G, fact_batting_summary!E:E, A100)</f>
        <v>729</v>
      </c>
      <c r="H100">
        <f>SUMIFS(fact_batting_summary!H:H, fact_batting_summary!E:E, A100)</f>
        <v>464</v>
      </c>
      <c r="J100">
        <f>SUMIFS(fact_bowling_summary!G:G, fact_bowling_summary!D:D, A100)</f>
        <v>0</v>
      </c>
    </row>
    <row r="101" spans="1:10" x14ac:dyDescent="0.45">
      <c r="A101" t="s">
        <v>417</v>
      </c>
      <c r="B101" t="s">
        <v>6</v>
      </c>
      <c r="C101" t="s">
        <v>300</v>
      </c>
      <c r="D101" t="s">
        <v>292</v>
      </c>
      <c r="E101" t="s">
        <v>296</v>
      </c>
      <c r="F101">
        <f>COUNTIFS(fact_batting_summary!E:E, A101)</f>
        <v>11</v>
      </c>
      <c r="G101">
        <f>SUMIFS(fact_batting_summary!G:G, fact_batting_summary!E:E, A101)</f>
        <v>160</v>
      </c>
      <c r="H101">
        <f>SUMIFS(fact_batting_summary!H:H, fact_batting_summary!E:E, A101)</f>
        <v>128</v>
      </c>
      <c r="J101">
        <f>SUMIFS(fact_bowling_summary!G:G, fact_bowling_summary!D:D, A101)</f>
        <v>0</v>
      </c>
    </row>
    <row r="102" spans="1:10" x14ac:dyDescent="0.45">
      <c r="A102" t="s">
        <v>418</v>
      </c>
      <c r="B102" t="s">
        <v>23</v>
      </c>
      <c r="C102" t="s">
        <v>291</v>
      </c>
      <c r="D102" t="s">
        <v>395</v>
      </c>
      <c r="E102" t="s">
        <v>319</v>
      </c>
      <c r="F102">
        <f>COUNTIFS(fact_batting_summary!E:E, A102)</f>
        <v>0</v>
      </c>
      <c r="G102">
        <f>SUMIFS(fact_batting_summary!G:G, fact_batting_summary!E:E, A102)</f>
        <v>0</v>
      </c>
      <c r="H102">
        <f>SUMIFS(fact_batting_summary!H:H, fact_batting_summary!E:E, A102)</f>
        <v>0</v>
      </c>
      <c r="J102">
        <f>SUMIFS(fact_bowling_summary!G:G, fact_bowling_summary!D:D, A102)</f>
        <v>227</v>
      </c>
    </row>
    <row r="103" spans="1:10" x14ac:dyDescent="0.45">
      <c r="A103" t="s">
        <v>419</v>
      </c>
      <c r="B103" t="s">
        <v>23</v>
      </c>
      <c r="C103" t="s">
        <v>291</v>
      </c>
      <c r="D103" t="s">
        <v>295</v>
      </c>
      <c r="E103" t="s">
        <v>319</v>
      </c>
      <c r="F103">
        <f>COUNTIFS(fact_batting_summary!E:E, A103)</f>
        <v>3</v>
      </c>
      <c r="G103">
        <f>SUMIFS(fact_batting_summary!G:G, fact_batting_summary!E:E, A103)</f>
        <v>21</v>
      </c>
      <c r="H103">
        <f>SUMIFS(fact_batting_summary!H:H, fact_batting_summary!E:E, A103)</f>
        <v>13</v>
      </c>
      <c r="J103">
        <f>SUMIFS(fact_bowling_summary!G:G, fact_bowling_summary!D:D, A103)</f>
        <v>383</v>
      </c>
    </row>
    <row r="104" spans="1:10" x14ac:dyDescent="0.45">
      <c r="A104" t="s">
        <v>420</v>
      </c>
      <c r="B104" t="s">
        <v>6</v>
      </c>
      <c r="C104" t="s">
        <v>300</v>
      </c>
      <c r="D104" t="s">
        <v>395</v>
      </c>
      <c r="E104" t="s">
        <v>305</v>
      </c>
      <c r="F104">
        <f>COUNTIFS(fact_batting_summary!E:E, A104)</f>
        <v>17</v>
      </c>
      <c r="G104">
        <f>SUMIFS(fact_batting_summary!G:G, fact_batting_summary!E:E, A104)</f>
        <v>332</v>
      </c>
      <c r="H104">
        <f>SUMIFS(fact_batting_summary!H:H, fact_batting_summary!E:E, A104)</f>
        <v>232</v>
      </c>
      <c r="J104">
        <f>SUMIFS(fact_bowling_summary!G:G, fact_bowling_summary!D:D, A104)</f>
        <v>817</v>
      </c>
    </row>
    <row r="105" spans="1:10" x14ac:dyDescent="0.45">
      <c r="A105" t="s">
        <v>421</v>
      </c>
      <c r="B105" t="s">
        <v>6</v>
      </c>
      <c r="C105" t="s">
        <v>291</v>
      </c>
      <c r="D105" t="s">
        <v>298</v>
      </c>
      <c r="E105" t="s">
        <v>319</v>
      </c>
      <c r="F105">
        <f>COUNTIFS(fact_batting_summary!E:E, A105)</f>
        <v>1</v>
      </c>
      <c r="G105">
        <f>SUMIFS(fact_batting_summary!G:G, fact_batting_summary!E:E, A105)</f>
        <v>0</v>
      </c>
      <c r="H105">
        <f>SUMIFS(fact_batting_summary!H:H, fact_batting_summary!E:E, A105)</f>
        <v>2</v>
      </c>
      <c r="J105">
        <f>SUMIFS(fact_bowling_summary!G:G, fact_bowling_summary!D:D, A105)</f>
        <v>156</v>
      </c>
    </row>
    <row r="106" spans="1:10" x14ac:dyDescent="0.45">
      <c r="A106" t="s">
        <v>422</v>
      </c>
      <c r="B106" t="s">
        <v>19</v>
      </c>
      <c r="C106" t="s">
        <v>300</v>
      </c>
      <c r="D106" t="s">
        <v>335</v>
      </c>
      <c r="E106" t="s">
        <v>312</v>
      </c>
      <c r="F106">
        <f>COUNTIFS(fact_batting_summary!E:E, A106)</f>
        <v>30</v>
      </c>
      <c r="G106">
        <f>SUMIFS(fact_batting_summary!G:G, fact_batting_summary!E:E, A106)</f>
        <v>948</v>
      </c>
      <c r="H106">
        <f>SUMIFS(fact_batting_summary!H:H, fact_batting_summary!E:E, A106)</f>
        <v>699</v>
      </c>
      <c r="J106">
        <f>SUMIFS(fact_bowling_summary!G:G, fact_bowling_summary!D:D, A106)</f>
        <v>0</v>
      </c>
    </row>
    <row r="107" spans="1:10" x14ac:dyDescent="0.45">
      <c r="A107" t="s">
        <v>423</v>
      </c>
      <c r="B107" t="s">
        <v>19</v>
      </c>
      <c r="C107" t="s">
        <v>300</v>
      </c>
      <c r="D107" t="s">
        <v>335</v>
      </c>
      <c r="E107" t="s">
        <v>316</v>
      </c>
      <c r="F107">
        <f>COUNTIFS(fact_batting_summary!E:E, A107)</f>
        <v>4</v>
      </c>
      <c r="G107">
        <f>SUMIFS(fact_batting_summary!G:G, fact_batting_summary!E:E, A107)</f>
        <v>115</v>
      </c>
      <c r="H107">
        <f>SUMIFS(fact_batting_summary!H:H, fact_batting_summary!E:E, A107)</f>
        <v>97</v>
      </c>
      <c r="J107">
        <f>SUMIFS(fact_bowling_summary!G:G, fact_bowling_summary!D:D, A107)</f>
        <v>0</v>
      </c>
    </row>
    <row r="108" spans="1:10" x14ac:dyDescent="0.45">
      <c r="A108" t="s">
        <v>424</v>
      </c>
      <c r="B108" t="s">
        <v>10</v>
      </c>
      <c r="C108" t="s">
        <v>291</v>
      </c>
      <c r="D108" t="s">
        <v>323</v>
      </c>
      <c r="E108" t="s">
        <v>316</v>
      </c>
      <c r="F108">
        <f>COUNTIFS(fact_batting_summary!E:E, A108)</f>
        <v>6</v>
      </c>
      <c r="G108">
        <f>SUMIFS(fact_batting_summary!G:G, fact_batting_summary!E:E, A108)</f>
        <v>118</v>
      </c>
      <c r="H108">
        <f>SUMIFS(fact_batting_summary!H:H, fact_batting_summary!E:E, A108)</f>
        <v>110</v>
      </c>
      <c r="J108">
        <f>SUMIFS(fact_bowling_summary!G:G, fact_bowling_summary!D:D, A108)</f>
        <v>0</v>
      </c>
    </row>
    <row r="109" spans="1:10" x14ac:dyDescent="0.45">
      <c r="A109" t="s">
        <v>425</v>
      </c>
      <c r="B109" t="s">
        <v>7</v>
      </c>
      <c r="C109" t="s">
        <v>291</v>
      </c>
      <c r="D109" t="s">
        <v>335</v>
      </c>
      <c r="E109" t="s">
        <v>312</v>
      </c>
      <c r="F109">
        <f>COUNTIFS(fact_batting_summary!E:E, A109)</f>
        <v>3</v>
      </c>
      <c r="G109">
        <f>SUMIFS(fact_batting_summary!G:G, fact_batting_summary!E:E, A109)</f>
        <v>26</v>
      </c>
      <c r="H109">
        <f>SUMIFS(fact_batting_summary!H:H, fact_batting_summary!E:E, A109)</f>
        <v>23</v>
      </c>
      <c r="J109">
        <f>SUMIFS(fact_bowling_summary!G:G, fact_bowling_summary!D:D, A109)</f>
        <v>0</v>
      </c>
    </row>
    <row r="110" spans="1:10" x14ac:dyDescent="0.45">
      <c r="A110" t="s">
        <v>426</v>
      </c>
      <c r="B110" t="s">
        <v>26</v>
      </c>
      <c r="C110" t="s">
        <v>291</v>
      </c>
      <c r="D110" t="s">
        <v>292</v>
      </c>
      <c r="E110" t="s">
        <v>305</v>
      </c>
      <c r="F110">
        <f>COUNTIFS(fact_batting_summary!E:E, A110)</f>
        <v>37</v>
      </c>
      <c r="G110">
        <f>SUMIFS(fact_batting_summary!G:G, fact_batting_summary!E:E, A110)</f>
        <v>695</v>
      </c>
      <c r="H110">
        <f>SUMIFS(fact_batting_summary!H:H, fact_batting_summary!E:E, A110)</f>
        <v>543</v>
      </c>
      <c r="J110">
        <f>SUMIFS(fact_bowling_summary!G:G, fact_bowling_summary!D:D, A110)</f>
        <v>187</v>
      </c>
    </row>
    <row r="111" spans="1:10" x14ac:dyDescent="0.45">
      <c r="A111" t="s">
        <v>427</v>
      </c>
      <c r="B111" t="s">
        <v>26</v>
      </c>
      <c r="C111" t="s">
        <v>291</v>
      </c>
      <c r="D111" t="s">
        <v>314</v>
      </c>
      <c r="E111" t="s">
        <v>309</v>
      </c>
      <c r="F111">
        <f>COUNTIFS(fact_batting_summary!E:E, A111)</f>
        <v>4</v>
      </c>
      <c r="G111">
        <f>SUMIFS(fact_batting_summary!G:G, fact_batting_summary!E:E, A111)</f>
        <v>14</v>
      </c>
      <c r="H111">
        <f>SUMIFS(fact_batting_summary!H:H, fact_batting_summary!E:E, A111)</f>
        <v>19</v>
      </c>
      <c r="J111">
        <f>SUMIFS(fact_bowling_summary!G:G, fact_bowling_summary!D:D, A111)</f>
        <v>136</v>
      </c>
    </row>
    <row r="112" spans="1:10" x14ac:dyDescent="0.45">
      <c r="A112" t="s">
        <v>428</v>
      </c>
      <c r="B112" t="s">
        <v>26</v>
      </c>
      <c r="C112" t="s">
        <v>291</v>
      </c>
      <c r="D112" t="s">
        <v>321</v>
      </c>
      <c r="E112" t="s">
        <v>319</v>
      </c>
      <c r="F112">
        <f>COUNTIFS(fact_batting_summary!E:E, A112)</f>
        <v>5</v>
      </c>
      <c r="G112">
        <f>SUMIFS(fact_batting_summary!G:G, fact_batting_summary!E:E, A112)</f>
        <v>19</v>
      </c>
      <c r="H112">
        <f>SUMIFS(fact_batting_summary!H:H, fact_batting_summary!E:E, A112)</f>
        <v>25</v>
      </c>
      <c r="J112">
        <f>SUMIFS(fact_bowling_summary!G:G, fact_bowling_summary!D:D, A112)</f>
        <v>484</v>
      </c>
    </row>
    <row r="113" spans="1:10" x14ac:dyDescent="0.45">
      <c r="A113" t="s">
        <v>429</v>
      </c>
      <c r="B113" t="s">
        <v>20</v>
      </c>
      <c r="C113" t="s">
        <v>291</v>
      </c>
      <c r="D113" t="s">
        <v>298</v>
      </c>
      <c r="E113" t="s">
        <v>319</v>
      </c>
      <c r="F113">
        <f>COUNTIFS(fact_batting_summary!E:E, A113)</f>
        <v>4</v>
      </c>
      <c r="G113">
        <f>SUMIFS(fact_batting_summary!G:G, fact_batting_summary!E:E, A113)</f>
        <v>10</v>
      </c>
      <c r="H113">
        <f>SUMIFS(fact_batting_summary!H:H, fact_batting_summary!E:E, A113)</f>
        <v>13</v>
      </c>
      <c r="J113">
        <f>SUMIFS(fact_bowling_summary!G:G, fact_bowling_summary!D:D, A113)</f>
        <v>752</v>
      </c>
    </row>
    <row r="114" spans="1:10" x14ac:dyDescent="0.45">
      <c r="A114" t="s">
        <v>430</v>
      </c>
      <c r="B114" t="s">
        <v>23</v>
      </c>
      <c r="C114" t="s">
        <v>300</v>
      </c>
      <c r="D114" t="s">
        <v>314</v>
      </c>
      <c r="E114" t="s">
        <v>305</v>
      </c>
      <c r="F114">
        <f>COUNTIFS(fact_batting_summary!E:E, A114)</f>
        <v>19</v>
      </c>
      <c r="G114">
        <f>SUMIFS(fact_batting_summary!G:G, fact_batting_summary!E:E, A114)</f>
        <v>315</v>
      </c>
      <c r="H114">
        <f>SUMIFS(fact_batting_summary!H:H, fact_batting_summary!E:E, A114)</f>
        <v>227</v>
      </c>
      <c r="J114">
        <f>SUMIFS(fact_bowling_summary!G:G, fact_bowling_summary!D:D, A114)</f>
        <v>82</v>
      </c>
    </row>
    <row r="115" spans="1:10" x14ac:dyDescent="0.45">
      <c r="A115" t="s">
        <v>431</v>
      </c>
      <c r="B115" t="s">
        <v>23</v>
      </c>
      <c r="C115" t="s">
        <v>291</v>
      </c>
      <c r="D115" t="s">
        <v>295</v>
      </c>
      <c r="E115" t="s">
        <v>316</v>
      </c>
      <c r="F115">
        <f>COUNTIFS(fact_batting_summary!E:E, A115)</f>
        <v>31</v>
      </c>
      <c r="G115">
        <f>SUMIFS(fact_batting_summary!G:G, fact_batting_summary!E:E, A115)</f>
        <v>354</v>
      </c>
      <c r="H115">
        <f>SUMIFS(fact_batting_summary!H:H, fact_batting_summary!E:E, A115)</f>
        <v>281</v>
      </c>
      <c r="J115">
        <f>SUMIFS(fact_bowling_summary!G:G, fact_bowling_summary!D:D, A115)</f>
        <v>132</v>
      </c>
    </row>
    <row r="116" spans="1:10" x14ac:dyDescent="0.45">
      <c r="A116" t="s">
        <v>432</v>
      </c>
      <c r="B116" t="s">
        <v>23</v>
      </c>
      <c r="C116" t="s">
        <v>291</v>
      </c>
      <c r="D116" t="s">
        <v>318</v>
      </c>
      <c r="E116" t="s">
        <v>319</v>
      </c>
      <c r="F116">
        <f>COUNTIFS(fact_batting_summary!E:E, A116)</f>
        <v>4</v>
      </c>
      <c r="G116">
        <f>SUMIFS(fact_batting_summary!G:G, fact_batting_summary!E:E, A116)</f>
        <v>9</v>
      </c>
      <c r="H116">
        <f>SUMIFS(fact_batting_summary!H:H, fact_batting_summary!E:E, A116)</f>
        <v>10</v>
      </c>
      <c r="J116">
        <f>SUMIFS(fact_bowling_summary!G:G, fact_bowling_summary!D:D, A116)</f>
        <v>295</v>
      </c>
    </row>
    <row r="117" spans="1:10" x14ac:dyDescent="0.45">
      <c r="A117" t="s">
        <v>433</v>
      </c>
      <c r="B117" t="s">
        <v>26</v>
      </c>
      <c r="C117" t="s">
        <v>291</v>
      </c>
      <c r="D117" t="s">
        <v>298</v>
      </c>
      <c r="E117" t="s">
        <v>305</v>
      </c>
      <c r="F117">
        <f>COUNTIFS(fact_batting_summary!E:E, A117)</f>
        <v>7</v>
      </c>
      <c r="G117">
        <f>SUMIFS(fact_batting_summary!G:G, fact_batting_summary!E:E, A117)</f>
        <v>47</v>
      </c>
      <c r="H117">
        <f>SUMIFS(fact_batting_summary!H:H, fact_batting_summary!E:E, A117)</f>
        <v>53</v>
      </c>
      <c r="J117">
        <f>SUMIFS(fact_bowling_summary!G:G, fact_bowling_summary!D:D, A117)</f>
        <v>0</v>
      </c>
    </row>
    <row r="118" spans="1:10" x14ac:dyDescent="0.45">
      <c r="A118" t="s">
        <v>434</v>
      </c>
      <c r="B118" t="s">
        <v>26</v>
      </c>
      <c r="C118" t="s">
        <v>300</v>
      </c>
      <c r="D118" t="s">
        <v>292</v>
      </c>
      <c r="E118" t="s">
        <v>305</v>
      </c>
      <c r="F118">
        <f>COUNTIFS(fact_batting_summary!E:E, A118)</f>
        <v>10</v>
      </c>
      <c r="G118">
        <f>SUMIFS(fact_batting_summary!G:G, fact_batting_summary!E:E, A118)</f>
        <v>193</v>
      </c>
      <c r="H118">
        <f>SUMIFS(fact_batting_summary!H:H, fact_batting_summary!E:E, A118)</f>
        <v>154</v>
      </c>
      <c r="J118">
        <f>SUMIFS(fact_bowling_summary!G:G, fact_bowling_summary!D:D, A118)</f>
        <v>0</v>
      </c>
    </row>
    <row r="119" spans="1:10" x14ac:dyDescent="0.45">
      <c r="A119" t="s">
        <v>435</v>
      </c>
      <c r="B119" t="s">
        <v>19</v>
      </c>
      <c r="C119" t="s">
        <v>291</v>
      </c>
      <c r="D119" t="s">
        <v>323</v>
      </c>
      <c r="E119" t="s">
        <v>319</v>
      </c>
      <c r="F119">
        <f>COUNTIFS(fact_batting_summary!E:E, A119)</f>
        <v>16</v>
      </c>
      <c r="G119">
        <f>SUMIFS(fact_batting_summary!G:G, fact_batting_summary!E:E, A119)</f>
        <v>91</v>
      </c>
      <c r="H119">
        <f>SUMIFS(fact_batting_summary!H:H, fact_batting_summary!E:E, A119)</f>
        <v>92</v>
      </c>
      <c r="J119">
        <f>SUMIFS(fact_bowling_summary!G:G, fact_bowling_summary!D:D, A119)</f>
        <v>1063</v>
      </c>
    </row>
    <row r="120" spans="1:10" x14ac:dyDescent="0.45">
      <c r="A120" t="s">
        <v>436</v>
      </c>
      <c r="B120" t="s">
        <v>10</v>
      </c>
      <c r="C120" t="s">
        <v>291</v>
      </c>
      <c r="D120" t="s">
        <v>292</v>
      </c>
      <c r="E120" t="s">
        <v>305</v>
      </c>
      <c r="F120">
        <f>COUNTIFS(fact_batting_summary!E:E, A120)</f>
        <v>19</v>
      </c>
      <c r="G120">
        <f>SUMIFS(fact_batting_summary!G:G, fact_batting_summary!E:E, A120)</f>
        <v>295</v>
      </c>
      <c r="H120">
        <f>SUMIFS(fact_batting_summary!H:H, fact_batting_summary!E:E, A120)</f>
        <v>278</v>
      </c>
      <c r="J120">
        <f>SUMIFS(fact_bowling_summary!G:G, fact_bowling_summary!D:D, A120)</f>
        <v>369</v>
      </c>
    </row>
    <row r="121" spans="1:10" x14ac:dyDescent="0.45">
      <c r="A121" t="s">
        <v>437</v>
      </c>
      <c r="B121" t="s">
        <v>7</v>
      </c>
      <c r="C121" t="s">
        <v>291</v>
      </c>
      <c r="D121" t="s">
        <v>298</v>
      </c>
      <c r="E121" t="s">
        <v>319</v>
      </c>
      <c r="F121">
        <f>COUNTIFS(fact_batting_summary!E:E, A121)</f>
        <v>0</v>
      </c>
      <c r="G121">
        <f>SUMIFS(fact_batting_summary!G:G, fact_batting_summary!E:E, A121)</f>
        <v>0</v>
      </c>
      <c r="H121">
        <f>SUMIFS(fact_batting_summary!H:H, fact_batting_summary!E:E, A121)</f>
        <v>0</v>
      </c>
      <c r="J121">
        <f>SUMIFS(fact_bowling_summary!G:G, fact_bowling_summary!D:D, A121)</f>
        <v>15</v>
      </c>
    </row>
    <row r="122" spans="1:10" x14ac:dyDescent="0.45">
      <c r="A122" t="s">
        <v>438</v>
      </c>
      <c r="B122" t="s">
        <v>13</v>
      </c>
      <c r="C122" t="s">
        <v>291</v>
      </c>
      <c r="D122" t="s">
        <v>321</v>
      </c>
      <c r="E122" t="s">
        <v>319</v>
      </c>
      <c r="F122">
        <f>COUNTIFS(fact_batting_summary!E:E, A122)</f>
        <v>7</v>
      </c>
      <c r="G122">
        <f>SUMIFS(fact_batting_summary!G:G, fact_batting_summary!E:E, A122)</f>
        <v>65</v>
      </c>
      <c r="H122">
        <f>SUMIFS(fact_batting_summary!H:H, fact_batting_summary!E:E, A122)</f>
        <v>55</v>
      </c>
      <c r="J122">
        <f>SUMIFS(fact_bowling_summary!G:G, fact_bowling_summary!D:D, A122)</f>
        <v>269</v>
      </c>
    </row>
    <row r="123" spans="1:10" x14ac:dyDescent="0.45">
      <c r="A123" t="s">
        <v>439</v>
      </c>
      <c r="B123" t="s">
        <v>19</v>
      </c>
      <c r="C123" t="s">
        <v>291</v>
      </c>
      <c r="D123" t="s">
        <v>318</v>
      </c>
      <c r="E123" t="s">
        <v>319</v>
      </c>
      <c r="F123">
        <f>COUNTIFS(fact_batting_summary!E:E, A123)</f>
        <v>3</v>
      </c>
      <c r="G123">
        <f>SUMIFS(fact_batting_summary!G:G, fact_batting_summary!E:E, A123)</f>
        <v>16</v>
      </c>
      <c r="H123">
        <f>SUMIFS(fact_batting_summary!H:H, fact_batting_summary!E:E, A123)</f>
        <v>17</v>
      </c>
      <c r="J123">
        <f>SUMIFS(fact_bowling_summary!G:G, fact_bowling_summary!D:D, A123)</f>
        <v>150</v>
      </c>
    </row>
    <row r="124" spans="1:10" x14ac:dyDescent="0.45">
      <c r="A124" t="s">
        <v>440</v>
      </c>
      <c r="B124" t="s">
        <v>7</v>
      </c>
      <c r="C124" t="s">
        <v>291</v>
      </c>
      <c r="D124" t="s">
        <v>318</v>
      </c>
      <c r="E124" t="s">
        <v>305</v>
      </c>
      <c r="F124">
        <f>COUNTIFS(fact_batting_summary!E:E, A124)</f>
        <v>35</v>
      </c>
      <c r="G124">
        <f>SUMIFS(fact_batting_summary!G:G, fact_batting_summary!E:E, A124)</f>
        <v>745</v>
      </c>
      <c r="H124">
        <f>SUMIFS(fact_batting_summary!H:H, fact_batting_summary!E:E, A124)</f>
        <v>468</v>
      </c>
      <c r="J124">
        <f>SUMIFS(fact_bowling_summary!G:G, fact_bowling_summary!D:D, A124)</f>
        <v>638</v>
      </c>
    </row>
    <row r="125" spans="1:10" x14ac:dyDescent="0.45">
      <c r="A125" t="s">
        <v>441</v>
      </c>
      <c r="B125" t="s">
        <v>7</v>
      </c>
      <c r="C125" t="s">
        <v>291</v>
      </c>
      <c r="D125" t="s">
        <v>321</v>
      </c>
      <c r="E125" t="s">
        <v>319</v>
      </c>
      <c r="F125">
        <f>COUNTIFS(fact_batting_summary!E:E, A125)</f>
        <v>5</v>
      </c>
      <c r="G125">
        <f>SUMIFS(fact_batting_summary!G:G, fact_batting_summary!E:E, A125)</f>
        <v>6</v>
      </c>
      <c r="H125">
        <f>SUMIFS(fact_batting_summary!H:H, fact_batting_summary!E:E, A125)</f>
        <v>13</v>
      </c>
      <c r="J125">
        <f>SUMIFS(fact_bowling_summary!G:G, fact_bowling_summary!D:D, A125)</f>
        <v>902</v>
      </c>
    </row>
    <row r="126" spans="1:10" x14ac:dyDescent="0.45">
      <c r="A126" t="s">
        <v>442</v>
      </c>
      <c r="B126" t="s">
        <v>20</v>
      </c>
      <c r="C126" t="s">
        <v>300</v>
      </c>
      <c r="D126" t="s">
        <v>295</v>
      </c>
      <c r="E126" t="s">
        <v>303</v>
      </c>
      <c r="F126">
        <f>COUNTIFS(fact_batting_summary!E:E, A126)</f>
        <v>33</v>
      </c>
      <c r="G126">
        <f>SUMIFS(fact_batting_summary!G:G, fact_batting_summary!E:E, A126)</f>
        <v>1137</v>
      </c>
      <c r="H126">
        <f>SUMIFS(fact_batting_summary!H:H, fact_batting_summary!E:E, A126)</f>
        <v>852</v>
      </c>
      <c r="J126">
        <f>SUMIFS(fact_bowling_summary!G:G, fact_bowling_summary!D:D, A126)</f>
        <v>0</v>
      </c>
    </row>
    <row r="127" spans="1:10" x14ac:dyDescent="0.45">
      <c r="A127" t="s">
        <v>443</v>
      </c>
      <c r="B127" t="s">
        <v>20</v>
      </c>
      <c r="C127" t="s">
        <v>291</v>
      </c>
      <c r="D127" t="s">
        <v>292</v>
      </c>
      <c r="E127" t="s">
        <v>301</v>
      </c>
      <c r="F127">
        <f>COUNTIFS(fact_batting_summary!E:E, A127)</f>
        <v>5</v>
      </c>
      <c r="G127">
        <f>SUMIFS(fact_batting_summary!G:G, fact_batting_summary!E:E, A127)</f>
        <v>58</v>
      </c>
      <c r="H127">
        <f>SUMIFS(fact_batting_summary!H:H, fact_batting_summary!E:E, A127)</f>
        <v>53</v>
      </c>
      <c r="J127">
        <f>SUMIFS(fact_bowling_summary!G:G, fact_bowling_summary!D:D, A127)</f>
        <v>0</v>
      </c>
    </row>
    <row r="128" spans="1:10" x14ac:dyDescent="0.45">
      <c r="A128" t="s">
        <v>444</v>
      </c>
      <c r="B128" t="s">
        <v>20</v>
      </c>
      <c r="C128" t="s">
        <v>291</v>
      </c>
      <c r="D128" t="s">
        <v>371</v>
      </c>
      <c r="E128" t="s">
        <v>319</v>
      </c>
      <c r="F128">
        <f>COUNTIFS(fact_batting_summary!E:E, A128)</f>
        <v>3</v>
      </c>
      <c r="G128">
        <f>SUMIFS(fact_batting_summary!G:G, fact_batting_summary!E:E, A128)</f>
        <v>1</v>
      </c>
      <c r="H128">
        <f>SUMIFS(fact_batting_summary!H:H, fact_batting_summary!E:E, A128)</f>
        <v>4</v>
      </c>
      <c r="J128">
        <f>SUMIFS(fact_bowling_summary!G:G, fact_bowling_summary!D:D, A128)</f>
        <v>793</v>
      </c>
    </row>
    <row r="129" spans="1:10" x14ac:dyDescent="0.45">
      <c r="A129" t="s">
        <v>445</v>
      </c>
      <c r="B129" t="s">
        <v>23</v>
      </c>
      <c r="C129" t="s">
        <v>291</v>
      </c>
      <c r="D129" t="s">
        <v>446</v>
      </c>
      <c r="E129" t="s">
        <v>319</v>
      </c>
      <c r="F129">
        <f>COUNTIFS(fact_batting_summary!E:E, A129)</f>
        <v>1</v>
      </c>
      <c r="G129">
        <f>SUMIFS(fact_batting_summary!G:G, fact_batting_summary!E:E, A129)</f>
        <v>2</v>
      </c>
      <c r="H129">
        <f>SUMIFS(fact_batting_summary!H:H, fact_batting_summary!E:E, A129)</f>
        <v>4</v>
      </c>
      <c r="J129">
        <f>SUMIFS(fact_bowling_summary!G:G, fact_bowling_summary!D:D, A129)</f>
        <v>34</v>
      </c>
    </row>
    <row r="130" spans="1:10" x14ac:dyDescent="0.45">
      <c r="A130" t="s">
        <v>447</v>
      </c>
      <c r="B130" t="s">
        <v>13</v>
      </c>
      <c r="C130" t="s">
        <v>291</v>
      </c>
      <c r="D130" t="s">
        <v>292</v>
      </c>
      <c r="E130" t="s">
        <v>296</v>
      </c>
      <c r="F130">
        <f>COUNTIFS(fact_batting_summary!E:E, A130)</f>
        <v>24</v>
      </c>
      <c r="G130">
        <f>SUMIFS(fact_batting_summary!G:G, fact_batting_summary!E:E, A130)</f>
        <v>418</v>
      </c>
      <c r="H130">
        <f>SUMIFS(fact_batting_summary!H:H, fact_batting_summary!E:E, A130)</f>
        <v>235</v>
      </c>
      <c r="J130">
        <f>SUMIFS(fact_bowling_summary!G:G, fact_bowling_summary!D:D, A130)</f>
        <v>0</v>
      </c>
    </row>
    <row r="131" spans="1:10" x14ac:dyDescent="0.45">
      <c r="A131" t="s">
        <v>448</v>
      </c>
      <c r="B131" t="s">
        <v>13</v>
      </c>
      <c r="C131" t="s">
        <v>291</v>
      </c>
      <c r="D131" t="s">
        <v>295</v>
      </c>
      <c r="E131" t="s">
        <v>305</v>
      </c>
      <c r="F131">
        <f>COUNTIFS(fact_batting_summary!E:E, A131)</f>
        <v>14</v>
      </c>
      <c r="G131">
        <f>SUMIFS(fact_batting_summary!G:G, fact_batting_summary!E:E, A131)</f>
        <v>72</v>
      </c>
      <c r="H131">
        <f>SUMIFS(fact_batting_summary!H:H, fact_batting_summary!E:E, A131)</f>
        <v>73</v>
      </c>
      <c r="J131">
        <f>SUMIFS(fact_bowling_summary!G:G, fact_bowling_summary!D:D, A131)</f>
        <v>748</v>
      </c>
    </row>
    <row r="132" spans="1:10" x14ac:dyDescent="0.45">
      <c r="A132" t="s">
        <v>449</v>
      </c>
      <c r="B132" t="s">
        <v>13</v>
      </c>
      <c r="C132" t="s">
        <v>291</v>
      </c>
      <c r="D132" t="s">
        <v>318</v>
      </c>
      <c r="E132" t="s">
        <v>319</v>
      </c>
      <c r="F132">
        <f>COUNTIFS(fact_batting_summary!E:E, A132)</f>
        <v>2</v>
      </c>
      <c r="G132">
        <f>SUMIFS(fact_batting_summary!G:G, fact_batting_summary!E:E, A132)</f>
        <v>4</v>
      </c>
      <c r="H132">
        <f>SUMIFS(fact_batting_summary!H:H, fact_batting_summary!E:E, A132)</f>
        <v>6</v>
      </c>
      <c r="J132">
        <f>SUMIFS(fact_bowling_summary!G:G, fact_bowling_summary!D:D, A132)</f>
        <v>198</v>
      </c>
    </row>
    <row r="133" spans="1:10" x14ac:dyDescent="0.45">
      <c r="A133" t="s">
        <v>450</v>
      </c>
      <c r="B133" t="s">
        <v>26</v>
      </c>
      <c r="C133" t="s">
        <v>291</v>
      </c>
      <c r="D133" t="s">
        <v>298</v>
      </c>
      <c r="E133" t="s">
        <v>319</v>
      </c>
      <c r="F133">
        <f>COUNTIFS(fact_batting_summary!E:E, A133)</f>
        <v>0</v>
      </c>
      <c r="G133">
        <f>SUMIFS(fact_batting_summary!G:G, fact_batting_summary!E:E, A133)</f>
        <v>0</v>
      </c>
      <c r="H133">
        <f>SUMIFS(fact_batting_summary!H:H, fact_batting_summary!E:E, A133)</f>
        <v>0</v>
      </c>
      <c r="J133">
        <f>SUMIFS(fact_bowling_summary!G:G, fact_bowling_summary!D:D, A133)</f>
        <v>39</v>
      </c>
    </row>
    <row r="134" spans="1:10" x14ac:dyDescent="0.45">
      <c r="A134" t="s">
        <v>451</v>
      </c>
      <c r="B134" t="s">
        <v>26</v>
      </c>
      <c r="C134" t="s">
        <v>291</v>
      </c>
      <c r="D134" t="s">
        <v>295</v>
      </c>
      <c r="E134" t="s">
        <v>319</v>
      </c>
      <c r="F134">
        <f>COUNTIFS(fact_batting_summary!E:E, A134)</f>
        <v>2</v>
      </c>
      <c r="G134">
        <f>SUMIFS(fact_batting_summary!G:G, fact_batting_summary!E:E, A134)</f>
        <v>22</v>
      </c>
      <c r="H134">
        <f>SUMIFS(fact_batting_summary!H:H, fact_batting_summary!E:E, A134)</f>
        <v>16</v>
      </c>
      <c r="J134">
        <f>SUMIFS(fact_bowling_summary!G:G, fact_bowling_summary!D:D, A134)</f>
        <v>91</v>
      </c>
    </row>
    <row r="135" spans="1:10" x14ac:dyDescent="0.45">
      <c r="A135" t="s">
        <v>452</v>
      </c>
      <c r="B135" t="s">
        <v>13</v>
      </c>
      <c r="C135" t="s">
        <v>300</v>
      </c>
      <c r="D135" t="s">
        <v>292</v>
      </c>
      <c r="E135" t="s">
        <v>293</v>
      </c>
      <c r="F135">
        <f>COUNTIFS(fact_batting_summary!E:E, A135)</f>
        <v>1</v>
      </c>
      <c r="G135">
        <f>SUMIFS(fact_batting_summary!G:G, fact_batting_summary!E:E, A135)</f>
        <v>7</v>
      </c>
      <c r="H135">
        <f>SUMIFS(fact_batting_summary!H:H, fact_batting_summary!E:E, A135)</f>
        <v>17</v>
      </c>
      <c r="J135">
        <f>SUMIFS(fact_bowling_summary!G:G, fact_bowling_summary!D:D, A135)</f>
        <v>0</v>
      </c>
    </row>
    <row r="136" spans="1:10" x14ac:dyDescent="0.45">
      <c r="A136" t="s">
        <v>453</v>
      </c>
      <c r="B136" t="s">
        <v>19</v>
      </c>
      <c r="C136" t="s">
        <v>291</v>
      </c>
      <c r="D136" t="s">
        <v>292</v>
      </c>
      <c r="E136" t="s">
        <v>293</v>
      </c>
      <c r="F136">
        <f>COUNTIFS(fact_batting_summary!E:E, A136)</f>
        <v>7</v>
      </c>
      <c r="G136">
        <f>SUMIFS(fact_batting_summary!G:G, fact_batting_summary!E:E, A136)</f>
        <v>134</v>
      </c>
      <c r="H136">
        <f>SUMIFS(fact_batting_summary!H:H, fact_batting_summary!E:E, A136)</f>
        <v>109</v>
      </c>
      <c r="J136">
        <f>SUMIFS(fact_bowling_summary!G:G, fact_bowling_summary!D:D, A136)</f>
        <v>0</v>
      </c>
    </row>
    <row r="137" spans="1:10" x14ac:dyDescent="0.45">
      <c r="A137" t="s">
        <v>454</v>
      </c>
      <c r="B137" t="s">
        <v>26</v>
      </c>
      <c r="C137" t="s">
        <v>291</v>
      </c>
      <c r="D137" t="s">
        <v>335</v>
      </c>
      <c r="E137" t="s">
        <v>312</v>
      </c>
      <c r="F137">
        <f>COUNTIFS(fact_batting_summary!E:E, A137)</f>
        <v>17</v>
      </c>
      <c r="G137">
        <f>SUMIFS(fact_batting_summary!G:G, fact_batting_summary!E:E, A137)</f>
        <v>391</v>
      </c>
      <c r="H137">
        <f>SUMIFS(fact_batting_summary!H:H, fact_batting_summary!E:E, A137)</f>
        <v>272</v>
      </c>
      <c r="J137">
        <f>SUMIFS(fact_bowling_summary!G:G, fact_bowling_summary!D:D, A137)</f>
        <v>0</v>
      </c>
    </row>
    <row r="138" spans="1:10" x14ac:dyDescent="0.45">
      <c r="A138" t="s">
        <v>455</v>
      </c>
      <c r="B138" t="s">
        <v>26</v>
      </c>
      <c r="C138" t="s">
        <v>300</v>
      </c>
      <c r="D138" t="s">
        <v>295</v>
      </c>
      <c r="E138" t="s">
        <v>316</v>
      </c>
      <c r="F138">
        <f>COUNTIFS(fact_batting_summary!E:E, A138)</f>
        <v>1</v>
      </c>
      <c r="G138">
        <f>SUMIFS(fact_batting_summary!G:G, fact_batting_summary!E:E, A138)</f>
        <v>26</v>
      </c>
      <c r="H138">
        <f>SUMIFS(fact_batting_summary!H:H, fact_batting_summary!E:E, A138)</f>
        <v>26</v>
      </c>
      <c r="J138">
        <f>SUMIFS(fact_bowling_summary!G:G, fact_bowling_summary!D:D, A138)</f>
        <v>0</v>
      </c>
    </row>
    <row r="139" spans="1:10" x14ac:dyDescent="0.45">
      <c r="A139" t="s">
        <v>456</v>
      </c>
      <c r="B139" t="s">
        <v>10</v>
      </c>
      <c r="C139" t="s">
        <v>291</v>
      </c>
      <c r="D139" t="s">
        <v>321</v>
      </c>
      <c r="E139" t="s">
        <v>319</v>
      </c>
      <c r="F139">
        <f>COUNTIFS(fact_batting_summary!E:E, A139)</f>
        <v>1</v>
      </c>
      <c r="G139">
        <f>SUMIFS(fact_batting_summary!G:G, fact_batting_summary!E:E, A139)</f>
        <v>1</v>
      </c>
      <c r="H139">
        <f>SUMIFS(fact_batting_summary!H:H, fact_batting_summary!E:E, A139)</f>
        <v>1</v>
      </c>
      <c r="J139">
        <f>SUMIFS(fact_bowling_summary!G:G, fact_bowling_summary!D:D, A139)</f>
        <v>303</v>
      </c>
    </row>
    <row r="140" spans="1:10" x14ac:dyDescent="0.45">
      <c r="A140" t="s">
        <v>457</v>
      </c>
      <c r="B140" t="s">
        <v>26</v>
      </c>
      <c r="C140" t="s">
        <v>291</v>
      </c>
      <c r="D140" t="s">
        <v>318</v>
      </c>
      <c r="E140" t="s">
        <v>319</v>
      </c>
      <c r="F140">
        <f>COUNTIFS(fact_batting_summary!E:E, A140)</f>
        <v>3</v>
      </c>
      <c r="G140">
        <f>SUMIFS(fact_batting_summary!G:G, fact_batting_summary!E:E, A140)</f>
        <v>0</v>
      </c>
      <c r="H140">
        <f>SUMIFS(fact_batting_summary!H:H, fact_batting_summary!E:E, A140)</f>
        <v>3</v>
      </c>
      <c r="J140">
        <f>SUMIFS(fact_bowling_summary!G:G, fact_bowling_summary!D:D, A140)</f>
        <v>612</v>
      </c>
    </row>
    <row r="141" spans="1:10" x14ac:dyDescent="0.45">
      <c r="A141" t="s">
        <v>458</v>
      </c>
      <c r="B141" t="s">
        <v>23</v>
      </c>
      <c r="C141" t="s">
        <v>291</v>
      </c>
      <c r="D141" t="s">
        <v>335</v>
      </c>
      <c r="E141" t="s">
        <v>312</v>
      </c>
      <c r="F141">
        <f>COUNTIFS(fact_batting_summary!E:E, A141)</f>
        <v>38</v>
      </c>
      <c r="G141">
        <f>SUMIFS(fact_batting_summary!G:G, fact_batting_summary!E:E, A141)</f>
        <v>1509</v>
      </c>
      <c r="H141">
        <f>SUMIFS(fact_batting_summary!H:H, fact_batting_summary!E:E, A141)</f>
        <v>1027</v>
      </c>
      <c r="J141">
        <f>SUMIFS(fact_bowling_summary!G:G, fact_bowling_summary!D:D, A141)</f>
        <v>0</v>
      </c>
    </row>
    <row r="142" spans="1:10" x14ac:dyDescent="0.45">
      <c r="A142" t="s">
        <v>459</v>
      </c>
      <c r="B142" t="s">
        <v>20</v>
      </c>
      <c r="C142" t="s">
        <v>291</v>
      </c>
      <c r="D142" t="s">
        <v>298</v>
      </c>
      <c r="E142" t="s">
        <v>312</v>
      </c>
      <c r="F142">
        <f>COUNTIFS(fact_batting_summary!E:E, A142)</f>
        <v>17</v>
      </c>
      <c r="G142">
        <f>SUMIFS(fact_batting_summary!G:G, fact_batting_summary!E:E, A142)</f>
        <v>463</v>
      </c>
      <c r="H142">
        <f>SUMIFS(fact_batting_summary!H:H, fact_batting_summary!E:E, A142)</f>
        <v>332</v>
      </c>
      <c r="J142">
        <f>SUMIFS(fact_bowling_summary!G:G, fact_bowling_summary!D:D, A142)</f>
        <v>0</v>
      </c>
    </row>
    <row r="143" spans="1:10" x14ac:dyDescent="0.45">
      <c r="A143" t="s">
        <v>460</v>
      </c>
      <c r="B143" t="s">
        <v>20</v>
      </c>
      <c r="C143" t="s">
        <v>291</v>
      </c>
      <c r="D143" t="s">
        <v>298</v>
      </c>
      <c r="E143" t="s">
        <v>305</v>
      </c>
      <c r="F143">
        <f>COUNTIFS(fact_batting_summary!E:E, A143)</f>
        <v>18</v>
      </c>
      <c r="G143">
        <f>SUMIFS(fact_batting_summary!G:G, fact_batting_summary!E:E, A143)</f>
        <v>370</v>
      </c>
      <c r="H143">
        <f>SUMIFS(fact_batting_summary!H:H, fact_batting_summary!E:E, A143)</f>
        <v>268</v>
      </c>
      <c r="J143">
        <f>SUMIFS(fact_bowling_summary!G:G, fact_bowling_summary!D:D, A143)</f>
        <v>96</v>
      </c>
    </row>
    <row r="144" spans="1:10" x14ac:dyDescent="0.45">
      <c r="A144" t="s">
        <v>461</v>
      </c>
      <c r="B144" t="s">
        <v>19</v>
      </c>
      <c r="C144" t="s">
        <v>291</v>
      </c>
      <c r="D144" t="s">
        <v>298</v>
      </c>
      <c r="E144" t="s">
        <v>319</v>
      </c>
      <c r="F144">
        <f>COUNTIFS(fact_batting_summary!E:E, A144)</f>
        <v>1</v>
      </c>
      <c r="G144">
        <f>SUMIFS(fact_batting_summary!G:G, fact_batting_summary!E:E, A144)</f>
        <v>0</v>
      </c>
      <c r="H144">
        <f>SUMIFS(fact_batting_summary!H:H, fact_batting_summary!E:E, A144)</f>
        <v>0</v>
      </c>
      <c r="J144">
        <f>SUMIFS(fact_bowling_summary!G:G, fact_bowling_summary!D:D, A144)</f>
        <v>48</v>
      </c>
    </row>
    <row r="145" spans="1:10" x14ac:dyDescent="0.45">
      <c r="A145" t="s">
        <v>462</v>
      </c>
      <c r="B145" t="s">
        <v>6</v>
      </c>
      <c r="C145" t="s">
        <v>291</v>
      </c>
      <c r="D145" t="s">
        <v>321</v>
      </c>
      <c r="E145" t="s">
        <v>319</v>
      </c>
      <c r="F145">
        <f>COUNTIFS(fact_batting_summary!E:E, A145)</f>
        <v>0</v>
      </c>
      <c r="G145">
        <f>SUMIFS(fact_batting_summary!G:G, fact_batting_summary!E:E, A145)</f>
        <v>0</v>
      </c>
      <c r="H145">
        <f>SUMIFS(fact_batting_summary!H:H, fact_batting_summary!E:E, A145)</f>
        <v>0</v>
      </c>
      <c r="J145">
        <f>SUMIFS(fact_bowling_summary!G:G, fact_bowling_summary!D:D, A145)</f>
        <v>125</v>
      </c>
    </row>
    <row r="146" spans="1:10" x14ac:dyDescent="0.45">
      <c r="A146" t="s">
        <v>463</v>
      </c>
      <c r="B146" t="s">
        <v>13</v>
      </c>
      <c r="C146" t="s">
        <v>291</v>
      </c>
      <c r="D146" t="s">
        <v>292</v>
      </c>
      <c r="E146" t="s">
        <v>316</v>
      </c>
      <c r="F146">
        <f>COUNTIFS(fact_batting_summary!E:E, A146)</f>
        <v>11</v>
      </c>
      <c r="G146">
        <f>SUMIFS(fact_batting_summary!G:G, fact_batting_summary!E:E, A146)</f>
        <v>404</v>
      </c>
      <c r="H146">
        <f>SUMIFS(fact_batting_summary!H:H, fact_batting_summary!E:E, A146)</f>
        <v>280</v>
      </c>
      <c r="J146">
        <f>SUMIFS(fact_bowling_summary!G:G, fact_bowling_summary!D:D, A146)</f>
        <v>0</v>
      </c>
    </row>
    <row r="147" spans="1:10" x14ac:dyDescent="0.45">
      <c r="A147" t="s">
        <v>464</v>
      </c>
      <c r="B147" t="s">
        <v>13</v>
      </c>
      <c r="C147" t="s">
        <v>291</v>
      </c>
      <c r="D147" t="s">
        <v>371</v>
      </c>
      <c r="E147" t="s">
        <v>305</v>
      </c>
      <c r="F147">
        <f>COUNTIFS(fact_batting_summary!E:E, A147)</f>
        <v>12</v>
      </c>
      <c r="G147">
        <f>SUMIFS(fact_batting_summary!G:G, fact_batting_summary!E:E, A147)</f>
        <v>44</v>
      </c>
      <c r="H147">
        <f>SUMIFS(fact_batting_summary!H:H, fact_batting_summary!E:E, A147)</f>
        <v>42</v>
      </c>
      <c r="J147">
        <f>SUMIFS(fact_bowling_summary!G:G, fact_bowling_summary!D:D, A147)</f>
        <v>409</v>
      </c>
    </row>
    <row r="148" spans="1:10" x14ac:dyDescent="0.45">
      <c r="A148" t="s">
        <v>465</v>
      </c>
      <c r="B148" t="s">
        <v>7</v>
      </c>
      <c r="C148" t="s">
        <v>291</v>
      </c>
      <c r="D148" t="s">
        <v>318</v>
      </c>
      <c r="E148" t="s">
        <v>319</v>
      </c>
      <c r="F148">
        <f>COUNTIFS(fact_batting_summary!E:E, A148)</f>
        <v>10</v>
      </c>
      <c r="G148">
        <f>SUMIFS(fact_batting_summary!G:G, fact_batting_summary!E:E, A148)</f>
        <v>156</v>
      </c>
      <c r="H148">
        <f>SUMIFS(fact_batting_summary!H:H, fact_batting_summary!E:E, A148)</f>
        <v>80</v>
      </c>
      <c r="J148">
        <f>SUMIFS(fact_bowling_summary!G:G, fact_bowling_summary!D:D, A148)</f>
        <v>449</v>
      </c>
    </row>
    <row r="149" spans="1:10" x14ac:dyDescent="0.45">
      <c r="A149" t="s">
        <v>466</v>
      </c>
      <c r="B149" t="s">
        <v>20</v>
      </c>
      <c r="C149" t="s">
        <v>300</v>
      </c>
      <c r="D149" t="s">
        <v>314</v>
      </c>
      <c r="E149" t="s">
        <v>319</v>
      </c>
      <c r="F149">
        <f>COUNTIFS(fact_batting_summary!E:E, A149)</f>
        <v>2</v>
      </c>
      <c r="G149">
        <f>SUMIFS(fact_batting_summary!G:G, fact_batting_summary!E:E, A149)</f>
        <v>2</v>
      </c>
      <c r="H149">
        <f>SUMIFS(fact_batting_summary!H:H, fact_batting_summary!E:E, A149)</f>
        <v>8</v>
      </c>
      <c r="J149">
        <f>SUMIFS(fact_bowling_summary!G:G, fact_bowling_summary!D:D, A149)</f>
        <v>185</v>
      </c>
    </row>
    <row r="150" spans="1:10" x14ac:dyDescent="0.45">
      <c r="A150" t="s">
        <v>467</v>
      </c>
      <c r="B150" t="s">
        <v>13</v>
      </c>
      <c r="C150" t="s">
        <v>300</v>
      </c>
      <c r="D150" t="s">
        <v>292</v>
      </c>
      <c r="E150" t="s">
        <v>309</v>
      </c>
      <c r="F150">
        <f>COUNTIFS(fact_batting_summary!E:E, A150)</f>
        <v>16</v>
      </c>
      <c r="G150">
        <f>SUMIFS(fact_batting_summary!G:G, fact_batting_summary!E:E, A150)</f>
        <v>192</v>
      </c>
      <c r="H150">
        <f>SUMIFS(fact_batting_summary!H:H, fact_batting_summary!E:E, A150)</f>
        <v>176</v>
      </c>
      <c r="J150">
        <f>SUMIFS(fact_bowling_summary!G:G, fact_bowling_summary!D:D, A150)</f>
        <v>503</v>
      </c>
    </row>
    <row r="151" spans="1:10" x14ac:dyDescent="0.45">
      <c r="A151" t="s">
        <v>468</v>
      </c>
      <c r="B151" t="s">
        <v>10</v>
      </c>
      <c r="C151" t="s">
        <v>291</v>
      </c>
      <c r="D151" t="s">
        <v>295</v>
      </c>
      <c r="E151" t="s">
        <v>319</v>
      </c>
      <c r="F151">
        <f>COUNTIFS(fact_batting_summary!E:E, A151)</f>
        <v>1</v>
      </c>
      <c r="G151">
        <f>SUMIFS(fact_batting_summary!G:G, fact_batting_summary!E:E, A151)</f>
        <v>19</v>
      </c>
      <c r="H151">
        <f>SUMIFS(fact_batting_summary!H:H, fact_batting_summary!E:E, A151)</f>
        <v>30</v>
      </c>
      <c r="J151">
        <f>SUMIFS(fact_bowling_summary!G:G, fact_bowling_summary!D:D, A151)</f>
        <v>227</v>
      </c>
    </row>
    <row r="152" spans="1:10" x14ac:dyDescent="0.45">
      <c r="A152" t="s">
        <v>469</v>
      </c>
      <c r="B152" t="s">
        <v>6</v>
      </c>
      <c r="C152" t="s">
        <v>291</v>
      </c>
      <c r="D152" t="s">
        <v>323</v>
      </c>
      <c r="E152" t="s">
        <v>319</v>
      </c>
      <c r="F152">
        <f>COUNTIFS(fact_batting_summary!E:E, A152)</f>
        <v>0</v>
      </c>
      <c r="G152">
        <f>SUMIFS(fact_batting_summary!G:G, fact_batting_summary!E:E, A152)</f>
        <v>0</v>
      </c>
      <c r="H152">
        <f>SUMIFS(fact_batting_summary!H:H, fact_batting_summary!E:E, A152)</f>
        <v>0</v>
      </c>
      <c r="J152">
        <f>SUMIFS(fact_bowling_summary!G:G, fact_bowling_summary!D:D, A152)</f>
        <v>16</v>
      </c>
    </row>
    <row r="153" spans="1:10" x14ac:dyDescent="0.45">
      <c r="A153" t="s">
        <v>470</v>
      </c>
      <c r="B153" t="s">
        <v>23</v>
      </c>
      <c r="C153" t="s">
        <v>291</v>
      </c>
      <c r="D153" t="s">
        <v>298</v>
      </c>
      <c r="E153" t="s">
        <v>303</v>
      </c>
      <c r="F153">
        <f>COUNTIFS(fact_batting_summary!E:E, A153)</f>
        <v>5</v>
      </c>
      <c r="G153">
        <f>SUMIFS(fact_batting_summary!G:G, fact_batting_summary!E:E, A153)</f>
        <v>61</v>
      </c>
      <c r="H153">
        <f>SUMIFS(fact_batting_summary!H:H, fact_batting_summary!E:E, A153)</f>
        <v>50</v>
      </c>
      <c r="J153">
        <f>SUMIFS(fact_bowling_summary!G:G, fact_bowling_summary!D:D, A153)</f>
        <v>0</v>
      </c>
    </row>
    <row r="154" spans="1:10" x14ac:dyDescent="0.45">
      <c r="A154" t="s">
        <v>471</v>
      </c>
      <c r="B154" t="s">
        <v>13</v>
      </c>
      <c r="C154" t="s">
        <v>291</v>
      </c>
      <c r="D154" t="s">
        <v>321</v>
      </c>
      <c r="E154" t="s">
        <v>319</v>
      </c>
      <c r="F154">
        <f>COUNTIFS(fact_batting_summary!E:E, A154)</f>
        <v>0</v>
      </c>
      <c r="G154">
        <f>SUMIFS(fact_batting_summary!G:G, fact_batting_summary!E:E, A154)</f>
        <v>0</v>
      </c>
      <c r="H154">
        <f>SUMIFS(fact_batting_summary!H:H, fact_batting_summary!E:E, A154)</f>
        <v>0</v>
      </c>
      <c r="J154">
        <f>SUMIFS(fact_bowling_summary!G:G, fact_bowling_summary!D:D, A154)</f>
        <v>29</v>
      </c>
    </row>
    <row r="155" spans="1:10" x14ac:dyDescent="0.45">
      <c r="A155" t="s">
        <v>472</v>
      </c>
      <c r="B155" t="s">
        <v>7</v>
      </c>
      <c r="C155" t="s">
        <v>291</v>
      </c>
      <c r="D155" t="s">
        <v>318</v>
      </c>
      <c r="E155" t="s">
        <v>319</v>
      </c>
      <c r="F155">
        <f>COUNTIFS(fact_batting_summary!E:E, A155)</f>
        <v>1</v>
      </c>
      <c r="G155">
        <f>SUMIFS(fact_batting_summary!G:G, fact_batting_summary!E:E, A155)</f>
        <v>0</v>
      </c>
      <c r="H155">
        <f>SUMIFS(fact_batting_summary!H:H, fact_batting_summary!E:E, A155)</f>
        <v>2</v>
      </c>
      <c r="J155">
        <f>SUMIFS(fact_bowling_summary!G:G, fact_bowling_summary!D:D, A155)</f>
        <v>54</v>
      </c>
    </row>
    <row r="156" spans="1:10" x14ac:dyDescent="0.45">
      <c r="A156" t="s">
        <v>473</v>
      </c>
      <c r="B156" t="s">
        <v>26</v>
      </c>
      <c r="C156" t="s">
        <v>291</v>
      </c>
      <c r="D156" t="s">
        <v>323</v>
      </c>
      <c r="E156" t="s">
        <v>319</v>
      </c>
      <c r="F156">
        <f>COUNTIFS(fact_batting_summary!E:E, A156)</f>
        <v>7</v>
      </c>
      <c r="G156">
        <f>SUMIFS(fact_batting_summary!G:G, fact_batting_summary!E:E, A156)</f>
        <v>27</v>
      </c>
      <c r="H156">
        <f>SUMIFS(fact_batting_summary!H:H, fact_batting_summary!E:E, A156)</f>
        <v>38</v>
      </c>
      <c r="J156">
        <f>SUMIFS(fact_bowling_summary!G:G, fact_bowling_summary!D:D, A156)</f>
        <v>378</v>
      </c>
    </row>
    <row r="157" spans="1:10" x14ac:dyDescent="0.45">
      <c r="A157" t="s">
        <v>474</v>
      </c>
      <c r="B157" t="s">
        <v>10</v>
      </c>
      <c r="C157" t="s">
        <v>291</v>
      </c>
      <c r="D157" t="s">
        <v>321</v>
      </c>
      <c r="E157" t="s">
        <v>305</v>
      </c>
      <c r="F157">
        <f>COUNTIFS(fact_batting_summary!E:E, A157)</f>
        <v>1</v>
      </c>
      <c r="G157">
        <f>SUMIFS(fact_batting_summary!G:G, fact_batting_summary!E:E, A157)</f>
        <v>15</v>
      </c>
      <c r="H157">
        <f>SUMIFS(fact_batting_summary!H:H, fact_batting_summary!E:E, A157)</f>
        <v>11</v>
      </c>
      <c r="J157">
        <f>SUMIFS(fact_bowling_summary!G:G, fact_bowling_summary!D:D, A157)</f>
        <v>82</v>
      </c>
    </row>
    <row r="158" spans="1:10" x14ac:dyDescent="0.45">
      <c r="A158" t="s">
        <v>475</v>
      </c>
      <c r="B158" t="s">
        <v>10</v>
      </c>
      <c r="C158" t="s">
        <v>300</v>
      </c>
      <c r="D158" t="s">
        <v>371</v>
      </c>
      <c r="E158" t="s">
        <v>319</v>
      </c>
      <c r="F158">
        <f>COUNTIFS(fact_batting_summary!E:E, A158)</f>
        <v>0</v>
      </c>
      <c r="G158">
        <f>SUMIFS(fact_batting_summary!G:G, fact_batting_summary!E:E, A158)</f>
        <v>0</v>
      </c>
      <c r="H158">
        <f>SUMIFS(fact_batting_summary!H:H, fact_batting_summary!E:E, A158)</f>
        <v>0</v>
      </c>
      <c r="J158">
        <f>SUMIFS(fact_bowling_summary!G:G, fact_bowling_summary!D:D, A158)</f>
        <v>32</v>
      </c>
    </row>
    <row r="159" spans="1:10" x14ac:dyDescent="0.45">
      <c r="A159" t="s">
        <v>476</v>
      </c>
      <c r="B159" t="s">
        <v>26</v>
      </c>
      <c r="C159" t="s">
        <v>291</v>
      </c>
      <c r="D159" t="s">
        <v>333</v>
      </c>
      <c r="E159" t="s">
        <v>305</v>
      </c>
      <c r="F159">
        <f>COUNTIFS(fact_batting_summary!E:E, A159)</f>
        <v>0</v>
      </c>
      <c r="G159">
        <f>SUMIFS(fact_batting_summary!G:G, fact_batting_summary!E:E, A159)</f>
        <v>0</v>
      </c>
      <c r="H159">
        <f>SUMIFS(fact_batting_summary!H:H, fact_batting_summary!E:E, A159)</f>
        <v>0</v>
      </c>
      <c r="J159">
        <f>SUMIFS(fact_bowling_summary!G:G, fact_bowling_summary!D:D, A159)</f>
        <v>27</v>
      </c>
    </row>
    <row r="160" spans="1:10" x14ac:dyDescent="0.45">
      <c r="A160" t="s">
        <v>477</v>
      </c>
      <c r="B160" t="s">
        <v>26</v>
      </c>
      <c r="C160" t="s">
        <v>291</v>
      </c>
      <c r="D160" t="s">
        <v>318</v>
      </c>
      <c r="E160" t="s">
        <v>319</v>
      </c>
      <c r="F160">
        <f>COUNTIFS(fact_batting_summary!E:E, A160)</f>
        <v>2</v>
      </c>
      <c r="G160">
        <f>SUMIFS(fact_batting_summary!G:G, fact_batting_summary!E:E, A160)</f>
        <v>15</v>
      </c>
      <c r="H160">
        <f>SUMIFS(fact_batting_summary!H:H, fact_batting_summary!E:E, A160)</f>
        <v>24</v>
      </c>
      <c r="J160">
        <f>SUMIFS(fact_bowling_summary!G:G, fact_bowling_summary!D:D, A160)</f>
        <v>117</v>
      </c>
    </row>
    <row r="161" spans="1:10" x14ac:dyDescent="0.45">
      <c r="A161" t="s">
        <v>478</v>
      </c>
      <c r="B161" t="s">
        <v>7</v>
      </c>
      <c r="C161" t="s">
        <v>291</v>
      </c>
      <c r="D161" t="s">
        <v>292</v>
      </c>
      <c r="E161" t="s">
        <v>319</v>
      </c>
      <c r="F161">
        <f>COUNTIFS(fact_batting_summary!E:E, A161)</f>
        <v>2</v>
      </c>
      <c r="G161">
        <f>SUMIFS(fact_batting_summary!G:G, fact_batting_summary!E:E, A161)</f>
        <v>4</v>
      </c>
      <c r="H161">
        <f>SUMIFS(fact_batting_summary!H:H, fact_batting_summary!E:E, A161)</f>
        <v>4</v>
      </c>
      <c r="J161">
        <f>SUMIFS(fact_bowling_summary!G:G, fact_bowling_summary!D:D, A161)</f>
        <v>63</v>
      </c>
    </row>
    <row r="162" spans="1:10" x14ac:dyDescent="0.45">
      <c r="A162" t="s">
        <v>479</v>
      </c>
      <c r="B162" t="s">
        <v>20</v>
      </c>
      <c r="C162" t="s">
        <v>300</v>
      </c>
      <c r="D162" t="s">
        <v>323</v>
      </c>
      <c r="E162" t="s">
        <v>316</v>
      </c>
      <c r="F162">
        <f>COUNTIFS(fact_batting_summary!E:E, A162)</f>
        <v>1</v>
      </c>
      <c r="G162">
        <f>SUMIFS(fact_batting_summary!G:G, fact_batting_summary!E:E, A162)</f>
        <v>11</v>
      </c>
      <c r="H162">
        <f>SUMIFS(fact_batting_summary!H:H, fact_batting_summary!E:E, A162)</f>
        <v>12</v>
      </c>
      <c r="J162">
        <f>SUMIFS(fact_bowling_summary!G:G, fact_bowling_summary!D:D, A162)</f>
        <v>0</v>
      </c>
    </row>
    <row r="163" spans="1:10" x14ac:dyDescent="0.45">
      <c r="A163" t="s">
        <v>480</v>
      </c>
      <c r="B163" t="s">
        <v>20</v>
      </c>
      <c r="C163" t="s">
        <v>291</v>
      </c>
      <c r="D163" t="s">
        <v>292</v>
      </c>
      <c r="E163" t="s">
        <v>319</v>
      </c>
      <c r="F163">
        <f>COUNTIFS(fact_batting_summary!E:E, A163)</f>
        <v>1</v>
      </c>
      <c r="G163">
        <f>SUMIFS(fact_batting_summary!G:G, fact_batting_summary!E:E, A163)</f>
        <v>1</v>
      </c>
      <c r="H163">
        <f>SUMIFS(fact_batting_summary!H:H, fact_batting_summary!E:E, A163)</f>
        <v>1</v>
      </c>
      <c r="J163">
        <f>SUMIFS(fact_bowling_summary!G:G, fact_bowling_summary!D:D, A163)</f>
        <v>29</v>
      </c>
    </row>
    <row r="164" spans="1:10" x14ac:dyDescent="0.45">
      <c r="A164" t="s">
        <v>481</v>
      </c>
      <c r="B164" t="s">
        <v>10</v>
      </c>
      <c r="C164" t="s">
        <v>291</v>
      </c>
      <c r="D164" t="s">
        <v>298</v>
      </c>
      <c r="E164" t="s">
        <v>316</v>
      </c>
      <c r="F164">
        <f>COUNTIFS(fact_batting_summary!E:E, A164)</f>
        <v>19</v>
      </c>
      <c r="G164">
        <f>SUMIFS(fact_batting_summary!G:G, fact_batting_summary!E:E, A164)</f>
        <v>467</v>
      </c>
      <c r="H164">
        <f>SUMIFS(fact_batting_summary!H:H, fact_batting_summary!E:E, A164)</f>
        <v>325</v>
      </c>
      <c r="J164">
        <f>SUMIFS(fact_bowling_summary!G:G, fact_bowling_summary!D:D, A164)</f>
        <v>0</v>
      </c>
    </row>
    <row r="165" spans="1:10" x14ac:dyDescent="0.45">
      <c r="A165" t="s">
        <v>482</v>
      </c>
      <c r="B165" t="s">
        <v>20</v>
      </c>
      <c r="C165" t="s">
        <v>291</v>
      </c>
      <c r="D165" t="s">
        <v>314</v>
      </c>
      <c r="E165" t="s">
        <v>319</v>
      </c>
      <c r="F165">
        <f>COUNTIFS(fact_batting_summary!E:E, A165)</f>
        <v>1</v>
      </c>
      <c r="G165">
        <f>SUMIFS(fact_batting_summary!G:G, fact_batting_summary!E:E, A165)</f>
        <v>0</v>
      </c>
      <c r="H165">
        <f>SUMIFS(fact_batting_summary!H:H, fact_batting_summary!E:E, A165)</f>
        <v>1</v>
      </c>
      <c r="J165">
        <f>SUMIFS(fact_bowling_summary!G:G, fact_bowling_summary!D:D, A165)</f>
        <v>36</v>
      </c>
    </row>
    <row r="166" spans="1:10" x14ac:dyDescent="0.45">
      <c r="A166" t="s">
        <v>483</v>
      </c>
      <c r="B166" t="s">
        <v>20</v>
      </c>
      <c r="C166" t="s">
        <v>300</v>
      </c>
      <c r="D166" t="s">
        <v>393</v>
      </c>
      <c r="E166" t="s">
        <v>319</v>
      </c>
      <c r="F166">
        <f>COUNTIFS(fact_batting_summary!E:E, A166)</f>
        <v>1</v>
      </c>
      <c r="G166">
        <f>SUMIFS(fact_batting_summary!G:G, fact_batting_summary!E:E, A166)</f>
        <v>0</v>
      </c>
      <c r="H166">
        <f>SUMIFS(fact_batting_summary!H:H, fact_batting_summary!E:E, A166)</f>
        <v>0</v>
      </c>
      <c r="J166">
        <f>SUMIFS(fact_bowling_summary!G:G, fact_bowling_summary!D:D, A166)</f>
        <v>885</v>
      </c>
    </row>
    <row r="167" spans="1:10" x14ac:dyDescent="0.45">
      <c r="A167" t="s">
        <v>484</v>
      </c>
      <c r="B167" t="s">
        <v>19</v>
      </c>
      <c r="C167" t="s">
        <v>291</v>
      </c>
      <c r="D167" t="s">
        <v>395</v>
      </c>
      <c r="E167" t="s">
        <v>309</v>
      </c>
      <c r="F167">
        <f>COUNTIFS(fact_batting_summary!E:E, A167)</f>
        <v>11</v>
      </c>
      <c r="G167">
        <f>SUMIFS(fact_batting_summary!G:G, fact_batting_summary!E:E, A167)</f>
        <v>48</v>
      </c>
      <c r="H167">
        <f>SUMIFS(fact_batting_summary!H:H, fact_batting_summary!E:E, A167)</f>
        <v>53</v>
      </c>
      <c r="J167">
        <f>SUMIFS(fact_bowling_summary!G:G, fact_bowling_summary!D:D, A167)</f>
        <v>586</v>
      </c>
    </row>
    <row r="168" spans="1:10" x14ac:dyDescent="0.45">
      <c r="A168" t="s">
        <v>485</v>
      </c>
      <c r="B168" t="s">
        <v>23</v>
      </c>
      <c r="C168" t="s">
        <v>300</v>
      </c>
      <c r="D168" t="s">
        <v>321</v>
      </c>
      <c r="E168" t="s">
        <v>305</v>
      </c>
      <c r="F168">
        <f>COUNTIFS(fact_batting_summary!E:E, A168)</f>
        <v>3</v>
      </c>
      <c r="G168">
        <f>SUMIFS(fact_batting_summary!G:G, fact_batting_summary!E:E, A168)</f>
        <v>15</v>
      </c>
      <c r="H168">
        <f>SUMIFS(fact_batting_summary!H:H, fact_batting_summary!E:E, A168)</f>
        <v>17</v>
      </c>
      <c r="J168">
        <f>SUMIFS(fact_bowling_summary!G:G, fact_bowling_summary!D:D, A168)</f>
        <v>30</v>
      </c>
    </row>
    <row r="169" spans="1:10" x14ac:dyDescent="0.45">
      <c r="A169" t="s">
        <v>486</v>
      </c>
      <c r="B169" t="s">
        <v>19</v>
      </c>
      <c r="C169" t="s">
        <v>291</v>
      </c>
      <c r="D169" t="s">
        <v>314</v>
      </c>
      <c r="E169" t="s">
        <v>293</v>
      </c>
      <c r="F169">
        <f>COUNTIFS(fact_batting_summary!E:E, A169)</f>
        <v>1</v>
      </c>
      <c r="G169">
        <f>SUMIFS(fact_batting_summary!G:G, fact_batting_summary!E:E, A169)</f>
        <v>49</v>
      </c>
      <c r="H169">
        <f>SUMIFS(fact_batting_summary!H:H, fact_batting_summary!E:E, A169)</f>
        <v>35</v>
      </c>
      <c r="J169">
        <f>SUMIFS(fact_bowling_summary!G:G, fact_bowling_summary!D:D, A169)</f>
        <v>0</v>
      </c>
    </row>
    <row r="170" spans="1:10" x14ac:dyDescent="0.45">
      <c r="A170" t="s">
        <v>487</v>
      </c>
      <c r="B170" t="s">
        <v>23</v>
      </c>
      <c r="C170" t="s">
        <v>300</v>
      </c>
      <c r="D170" t="s">
        <v>371</v>
      </c>
      <c r="E170" t="s">
        <v>319</v>
      </c>
      <c r="F170">
        <f>COUNTIFS(fact_batting_summary!E:E, A170)</f>
        <v>1</v>
      </c>
      <c r="G170">
        <f>SUMIFS(fact_batting_summary!G:G, fact_batting_summary!E:E, A170)</f>
        <v>8</v>
      </c>
      <c r="H170">
        <f>SUMIFS(fact_batting_summary!H:H, fact_batting_summary!E:E, A170)</f>
        <v>5</v>
      </c>
      <c r="J170">
        <f>SUMIFS(fact_bowling_summary!G:G, fact_bowling_summary!D:D, A170)</f>
        <v>250</v>
      </c>
    </row>
    <row r="171" spans="1:10" x14ac:dyDescent="0.45">
      <c r="A171" t="s">
        <v>488</v>
      </c>
      <c r="B171" t="s">
        <v>101</v>
      </c>
      <c r="C171" t="s">
        <v>300</v>
      </c>
      <c r="D171" t="s">
        <v>298</v>
      </c>
      <c r="E171" t="s">
        <v>312</v>
      </c>
      <c r="F171">
        <f>COUNTIFS(fact_batting_summary!E:E, A171)</f>
        <v>10</v>
      </c>
      <c r="G171">
        <f>SUMIFS(fact_batting_summary!G:G, fact_batting_summary!E:E, A171)</f>
        <v>157</v>
      </c>
      <c r="H171">
        <f>SUMIFS(fact_batting_summary!H:H, fact_batting_summary!E:E, A171)</f>
        <v>138</v>
      </c>
      <c r="J171">
        <f>SUMIFS(fact_bowling_summary!G:G, fact_bowling_summary!D:D, A171)</f>
        <v>0</v>
      </c>
    </row>
    <row r="172" spans="1:10" x14ac:dyDescent="0.45">
      <c r="A172" t="s">
        <v>489</v>
      </c>
      <c r="B172" t="s">
        <v>101</v>
      </c>
      <c r="C172" t="s">
        <v>291</v>
      </c>
      <c r="D172" t="s">
        <v>395</v>
      </c>
      <c r="E172" t="s">
        <v>319</v>
      </c>
      <c r="F172">
        <f>COUNTIFS(fact_batting_summary!E:E, A172)</f>
        <v>1</v>
      </c>
      <c r="G172">
        <f>SUMIFS(fact_batting_summary!G:G, fact_batting_summary!E:E, A172)</f>
        <v>0</v>
      </c>
      <c r="H172">
        <f>SUMIFS(fact_batting_summary!H:H, fact_batting_summary!E:E, A172)</f>
        <v>1</v>
      </c>
      <c r="J172">
        <f>SUMIFS(fact_bowling_summary!G:G, fact_bowling_summary!D:D, A172)</f>
        <v>461</v>
      </c>
    </row>
    <row r="173" spans="1:10" x14ac:dyDescent="0.45">
      <c r="A173" t="s">
        <v>490</v>
      </c>
      <c r="B173" t="s">
        <v>101</v>
      </c>
      <c r="C173" t="s">
        <v>300</v>
      </c>
      <c r="D173" t="s">
        <v>314</v>
      </c>
      <c r="E173" t="s">
        <v>319</v>
      </c>
      <c r="F173">
        <f>COUNTIFS(fact_batting_summary!E:E, A173)</f>
        <v>0</v>
      </c>
      <c r="G173">
        <f>SUMIFS(fact_batting_summary!G:G, fact_batting_summary!E:E, A173)</f>
        <v>0</v>
      </c>
      <c r="H173">
        <f>SUMIFS(fact_batting_summary!H:H, fact_batting_summary!E:E, A173)</f>
        <v>0</v>
      </c>
      <c r="J173">
        <f>SUMIFS(fact_bowling_summary!G:G, fact_bowling_summary!D:D, A173)</f>
        <v>121</v>
      </c>
    </row>
    <row r="174" spans="1:10" x14ac:dyDescent="0.45">
      <c r="A174" t="s">
        <v>491</v>
      </c>
      <c r="B174" t="s">
        <v>104</v>
      </c>
      <c r="C174" t="s">
        <v>291</v>
      </c>
      <c r="D174" t="s">
        <v>318</v>
      </c>
      <c r="E174" t="s">
        <v>319</v>
      </c>
      <c r="F174">
        <f>COUNTIFS(fact_batting_summary!E:E, A174)</f>
        <v>8</v>
      </c>
      <c r="G174">
        <f>SUMIFS(fact_batting_summary!G:G, fact_batting_summary!E:E, A174)</f>
        <v>43</v>
      </c>
      <c r="H174">
        <f>SUMIFS(fact_batting_summary!H:H, fact_batting_summary!E:E, A174)</f>
        <v>28</v>
      </c>
      <c r="J174">
        <f>SUMIFS(fact_bowling_summary!G:G, fact_bowling_summary!D:D, A174)</f>
        <v>384</v>
      </c>
    </row>
    <row r="175" spans="1:10" x14ac:dyDescent="0.45">
      <c r="A175" t="s">
        <v>492</v>
      </c>
      <c r="B175" t="s">
        <v>104</v>
      </c>
      <c r="C175" t="s">
        <v>300</v>
      </c>
      <c r="D175" t="s">
        <v>395</v>
      </c>
      <c r="E175" t="s">
        <v>319</v>
      </c>
      <c r="F175">
        <f>COUNTIFS(fact_batting_summary!E:E, A175)</f>
        <v>4</v>
      </c>
      <c r="G175">
        <f>SUMIFS(fact_batting_summary!G:G, fact_batting_summary!E:E, A175)</f>
        <v>23</v>
      </c>
      <c r="H175">
        <f>SUMIFS(fact_batting_summary!H:H, fact_batting_summary!E:E, A175)</f>
        <v>23</v>
      </c>
      <c r="J175">
        <f>SUMIFS(fact_bowling_summary!G:G, fact_bowling_summary!D:D, A175)</f>
        <v>304</v>
      </c>
    </row>
    <row r="176" spans="1:10" x14ac:dyDescent="0.45">
      <c r="A176" t="s">
        <v>493</v>
      </c>
      <c r="B176" t="s">
        <v>101</v>
      </c>
      <c r="C176" t="s">
        <v>291</v>
      </c>
      <c r="D176" t="s">
        <v>318</v>
      </c>
      <c r="E176" t="s">
        <v>319</v>
      </c>
      <c r="F176">
        <f>COUNTIFS(fact_batting_summary!E:E, A176)</f>
        <v>5</v>
      </c>
      <c r="G176">
        <f>SUMIFS(fact_batting_summary!G:G, fact_batting_summary!E:E, A176)</f>
        <v>12</v>
      </c>
      <c r="H176">
        <f>SUMIFS(fact_batting_summary!H:H, fact_batting_summary!E:E, A176)</f>
        <v>19</v>
      </c>
      <c r="J176">
        <f>SUMIFS(fact_bowling_summary!G:G, fact_bowling_summary!D:D, A176)</f>
        <v>489</v>
      </c>
    </row>
    <row r="177" spans="1:10" x14ac:dyDescent="0.45">
      <c r="A177" t="s">
        <v>494</v>
      </c>
      <c r="B177" t="s">
        <v>20</v>
      </c>
      <c r="C177" t="s">
        <v>291</v>
      </c>
      <c r="D177" t="s">
        <v>321</v>
      </c>
      <c r="E177" t="s">
        <v>309</v>
      </c>
      <c r="F177">
        <f>COUNTIFS(fact_batting_summary!E:E, A177)</f>
        <v>4</v>
      </c>
      <c r="G177">
        <f>SUMIFS(fact_batting_summary!G:G, fact_batting_summary!E:E, A177)</f>
        <v>58</v>
      </c>
      <c r="H177">
        <f>SUMIFS(fact_batting_summary!H:H, fact_batting_summary!E:E, A177)</f>
        <v>42</v>
      </c>
      <c r="J177">
        <f>SUMIFS(fact_bowling_summary!G:G, fact_bowling_summary!D:D, A177)</f>
        <v>98</v>
      </c>
    </row>
    <row r="178" spans="1:10" x14ac:dyDescent="0.45">
      <c r="A178" t="s">
        <v>495</v>
      </c>
      <c r="B178" t="s">
        <v>26</v>
      </c>
      <c r="C178" t="s">
        <v>291</v>
      </c>
      <c r="D178" t="s">
        <v>335</v>
      </c>
      <c r="E178" t="s">
        <v>312</v>
      </c>
      <c r="F178">
        <f>COUNTIFS(fact_batting_summary!E:E, A178)</f>
        <v>24</v>
      </c>
      <c r="G178">
        <f>SUMIFS(fact_batting_summary!G:G, fact_batting_summary!E:E, A178)</f>
        <v>543</v>
      </c>
      <c r="H178">
        <f>SUMIFS(fact_batting_summary!H:H, fact_batting_summary!E:E, A178)</f>
        <v>341</v>
      </c>
      <c r="J178">
        <f>SUMIFS(fact_bowling_summary!G:G, fact_bowling_summary!D:D, A178)</f>
        <v>0</v>
      </c>
    </row>
    <row r="179" spans="1:10" x14ac:dyDescent="0.45">
      <c r="A179" t="s">
        <v>496</v>
      </c>
      <c r="B179" t="s">
        <v>26</v>
      </c>
      <c r="C179" t="s">
        <v>291</v>
      </c>
      <c r="D179" t="s">
        <v>298</v>
      </c>
      <c r="E179" t="s">
        <v>305</v>
      </c>
      <c r="F179">
        <f>COUNTIFS(fact_batting_summary!E:E, A179)</f>
        <v>6</v>
      </c>
      <c r="G179">
        <f>SUMIFS(fact_batting_summary!G:G, fact_batting_summary!E:E, A179)</f>
        <v>97</v>
      </c>
      <c r="H179">
        <f>SUMIFS(fact_batting_summary!H:H, fact_batting_summary!E:E, A179)</f>
        <v>73</v>
      </c>
      <c r="J179">
        <f>SUMIFS(fact_bowling_summary!G:G, fact_bowling_summary!D:D, A179)</f>
        <v>0</v>
      </c>
    </row>
    <row r="180" spans="1:10" x14ac:dyDescent="0.45">
      <c r="A180" t="s">
        <v>497</v>
      </c>
      <c r="B180" t="s">
        <v>20</v>
      </c>
      <c r="C180" t="s">
        <v>291</v>
      </c>
      <c r="D180" t="s">
        <v>371</v>
      </c>
      <c r="E180" t="s">
        <v>319</v>
      </c>
      <c r="F180">
        <f>COUNTIFS(fact_batting_summary!E:E, A180)</f>
        <v>2</v>
      </c>
      <c r="G180">
        <f>SUMIFS(fact_batting_summary!G:G, fact_batting_summary!E:E, A180)</f>
        <v>3</v>
      </c>
      <c r="H180">
        <f>SUMIFS(fact_batting_summary!H:H, fact_batting_summary!E:E, A180)</f>
        <v>13</v>
      </c>
      <c r="J180">
        <f>SUMIFS(fact_bowling_summary!G:G, fact_bowling_summary!D:D, A180)</f>
        <v>227</v>
      </c>
    </row>
    <row r="181" spans="1:10" x14ac:dyDescent="0.45">
      <c r="A181" t="s">
        <v>498</v>
      </c>
      <c r="B181" t="s">
        <v>10</v>
      </c>
      <c r="C181" t="s">
        <v>291</v>
      </c>
      <c r="D181" t="s">
        <v>298</v>
      </c>
      <c r="E181" t="s">
        <v>305</v>
      </c>
      <c r="F181">
        <f>COUNTIFS(fact_batting_summary!E:E, A181)</f>
        <v>17</v>
      </c>
      <c r="G181">
        <f>SUMIFS(fact_batting_summary!G:G, fact_batting_summary!E:E, A181)</f>
        <v>379</v>
      </c>
      <c r="H181">
        <f>SUMIFS(fact_batting_summary!H:H, fact_batting_summary!E:E, A181)</f>
        <v>286</v>
      </c>
      <c r="J181">
        <f>SUMIFS(fact_bowling_summary!G:G, fact_bowling_summary!D:D, A181)</f>
        <v>272</v>
      </c>
    </row>
    <row r="182" spans="1:10" x14ac:dyDescent="0.45">
      <c r="A182" t="s">
        <v>499</v>
      </c>
      <c r="B182" t="s">
        <v>10</v>
      </c>
      <c r="C182" t="s">
        <v>291</v>
      </c>
      <c r="D182" t="s">
        <v>358</v>
      </c>
      <c r="E182" t="s">
        <v>296</v>
      </c>
      <c r="F182">
        <f>COUNTIFS(fact_batting_summary!E:E, A182)</f>
        <v>15</v>
      </c>
      <c r="G182">
        <f>SUMIFS(fact_batting_summary!G:G, fact_batting_summary!E:E, A182)</f>
        <v>257</v>
      </c>
      <c r="H182">
        <f>SUMIFS(fact_batting_summary!H:H, fact_batting_summary!E:E, A182)</f>
        <v>176</v>
      </c>
      <c r="J182">
        <f>SUMIFS(fact_bowling_summary!G:G, fact_bowling_summary!D:D, A182)</f>
        <v>35</v>
      </c>
    </row>
    <row r="183" spans="1:10" x14ac:dyDescent="0.45">
      <c r="A183" t="s">
        <v>500</v>
      </c>
      <c r="B183" t="s">
        <v>10</v>
      </c>
      <c r="C183" t="s">
        <v>300</v>
      </c>
      <c r="D183" t="s">
        <v>446</v>
      </c>
      <c r="E183" t="s">
        <v>319</v>
      </c>
      <c r="F183">
        <f>COUNTIFS(fact_batting_summary!E:E, A183)</f>
        <v>17</v>
      </c>
      <c r="G183">
        <f>SUMIFS(fact_batting_summary!G:G, fact_batting_summary!E:E, A183)</f>
        <v>79</v>
      </c>
      <c r="H183">
        <f>SUMIFS(fact_batting_summary!H:H, fact_batting_summary!E:E, A183)</f>
        <v>100</v>
      </c>
      <c r="J183">
        <f>SUMIFS(fact_bowling_summary!G:G, fact_bowling_summary!D:D, A183)</f>
        <v>780</v>
      </c>
    </row>
    <row r="184" spans="1:10" x14ac:dyDescent="0.45">
      <c r="A184" t="s">
        <v>501</v>
      </c>
      <c r="B184" t="s">
        <v>19</v>
      </c>
      <c r="C184" t="s">
        <v>291</v>
      </c>
      <c r="D184" t="s">
        <v>295</v>
      </c>
      <c r="E184" t="s">
        <v>301</v>
      </c>
      <c r="F184">
        <f>COUNTIFS(fact_batting_summary!E:E, A184)</f>
        <v>7</v>
      </c>
      <c r="G184">
        <f>SUMIFS(fact_batting_summary!G:G, fact_batting_summary!E:E, A184)</f>
        <v>161</v>
      </c>
      <c r="H184">
        <f>SUMIFS(fact_batting_summary!H:H, fact_batting_summary!E:E, A184)</f>
        <v>113</v>
      </c>
      <c r="J184">
        <f>SUMIFS(fact_bowling_summary!G:G, fact_bowling_summary!D:D, A184)</f>
        <v>8</v>
      </c>
    </row>
    <row r="185" spans="1:10" x14ac:dyDescent="0.45">
      <c r="A185" t="s">
        <v>502</v>
      </c>
      <c r="B185" t="s">
        <v>19</v>
      </c>
      <c r="C185" t="s">
        <v>300</v>
      </c>
      <c r="D185" t="s">
        <v>292</v>
      </c>
      <c r="E185" t="s">
        <v>301</v>
      </c>
      <c r="F185">
        <f>COUNTIFS(fact_batting_summary!E:E, A185)</f>
        <v>25</v>
      </c>
      <c r="G185">
        <f>SUMIFS(fact_batting_summary!G:G, fact_batting_summary!E:E, A185)</f>
        <v>740</v>
      </c>
      <c r="H185">
        <f>SUMIFS(fact_batting_summary!H:H, fact_batting_summary!E:E, A185)</f>
        <v>512</v>
      </c>
      <c r="J185">
        <f>SUMIFS(fact_bowling_summary!G:G, fact_bowling_summary!D:D, A185)</f>
        <v>20</v>
      </c>
    </row>
    <row r="186" spans="1:10" x14ac:dyDescent="0.45">
      <c r="A186" t="s">
        <v>503</v>
      </c>
      <c r="B186" t="s">
        <v>19</v>
      </c>
      <c r="C186" t="s">
        <v>291</v>
      </c>
      <c r="D186" t="s">
        <v>298</v>
      </c>
      <c r="E186" t="s">
        <v>296</v>
      </c>
      <c r="F186">
        <f>COUNTIFS(fact_batting_summary!E:E, A186)</f>
        <v>4</v>
      </c>
      <c r="G186">
        <f>SUMIFS(fact_batting_summary!G:G, fact_batting_summary!E:E, A186)</f>
        <v>45</v>
      </c>
      <c r="H186">
        <f>SUMIFS(fact_batting_summary!H:H, fact_batting_summary!E:E, A186)</f>
        <v>40</v>
      </c>
      <c r="J186">
        <f>SUMIFS(fact_bowling_summary!G:G, fact_bowling_summary!D:D, A186)</f>
        <v>54</v>
      </c>
    </row>
    <row r="187" spans="1:10" x14ac:dyDescent="0.45">
      <c r="A187" t="s">
        <v>504</v>
      </c>
      <c r="B187" t="s">
        <v>19</v>
      </c>
      <c r="C187" t="s">
        <v>291</v>
      </c>
      <c r="D187" t="s">
        <v>292</v>
      </c>
      <c r="E187" t="s">
        <v>319</v>
      </c>
      <c r="F187">
        <f>COUNTIFS(fact_batting_summary!E:E, A187)</f>
        <v>6</v>
      </c>
      <c r="G187">
        <f>SUMIFS(fact_batting_summary!G:G, fact_batting_summary!E:E, A187)</f>
        <v>66</v>
      </c>
      <c r="H187">
        <f>SUMIFS(fact_batting_summary!H:H, fact_batting_summary!E:E, A187)</f>
        <v>65</v>
      </c>
      <c r="J187">
        <f>SUMIFS(fact_bowling_summary!G:G, fact_bowling_summary!D:D, A187)</f>
        <v>314</v>
      </c>
    </row>
    <row r="188" spans="1:10" x14ac:dyDescent="0.45">
      <c r="A188" t="s">
        <v>505</v>
      </c>
      <c r="B188" t="s">
        <v>6</v>
      </c>
      <c r="C188" t="s">
        <v>300</v>
      </c>
      <c r="D188" t="s">
        <v>298</v>
      </c>
      <c r="E188" t="s">
        <v>312</v>
      </c>
      <c r="F188">
        <f>COUNTIFS(fact_batting_summary!E:E, A188)</f>
        <v>22</v>
      </c>
      <c r="G188">
        <f>SUMIFS(fact_batting_summary!G:G, fact_batting_summary!E:E, A188)</f>
        <v>924</v>
      </c>
      <c r="H188">
        <f>SUMIFS(fact_batting_summary!H:H, fact_batting_summary!E:E, A188)</f>
        <v>654</v>
      </c>
      <c r="J188">
        <f>SUMIFS(fact_bowling_summary!G:G, fact_bowling_summary!D:D, A188)</f>
        <v>0</v>
      </c>
    </row>
    <row r="189" spans="1:10" x14ac:dyDescent="0.45">
      <c r="A189" t="s">
        <v>506</v>
      </c>
      <c r="B189" t="s">
        <v>6</v>
      </c>
      <c r="C189" t="s">
        <v>291</v>
      </c>
      <c r="D189" t="s">
        <v>335</v>
      </c>
      <c r="E189" t="s">
        <v>303</v>
      </c>
      <c r="F189">
        <f>COUNTIFS(fact_batting_summary!E:E, A189)</f>
        <v>8</v>
      </c>
      <c r="G189">
        <f>SUMIFS(fact_batting_summary!G:G, fact_batting_summary!E:E, A189)</f>
        <v>129</v>
      </c>
      <c r="H189">
        <f>SUMIFS(fact_batting_summary!H:H, fact_batting_summary!E:E, A189)</f>
        <v>118</v>
      </c>
      <c r="J189">
        <f>SUMIFS(fact_bowling_summary!G:G, fact_bowling_summary!D:D, A189)</f>
        <v>0</v>
      </c>
    </row>
    <row r="190" spans="1:10" x14ac:dyDescent="0.45">
      <c r="A190" t="s">
        <v>507</v>
      </c>
      <c r="B190" t="s">
        <v>6</v>
      </c>
      <c r="C190" t="s">
        <v>300</v>
      </c>
      <c r="D190" t="s">
        <v>314</v>
      </c>
      <c r="E190" t="s">
        <v>309</v>
      </c>
      <c r="F190">
        <f>COUNTIFS(fact_batting_summary!E:E, A190)</f>
        <v>6</v>
      </c>
      <c r="G190">
        <f>SUMIFS(fact_batting_summary!G:G, fact_batting_summary!E:E, A190)</f>
        <v>24</v>
      </c>
      <c r="H190">
        <f>SUMIFS(fact_batting_summary!H:H, fact_batting_summary!E:E, A190)</f>
        <v>31</v>
      </c>
      <c r="J190">
        <f>SUMIFS(fact_bowling_summary!G:G, fact_bowling_summary!D:D, A190)</f>
        <v>211</v>
      </c>
    </row>
    <row r="191" spans="1:10" x14ac:dyDescent="0.45">
      <c r="A191" t="s">
        <v>508</v>
      </c>
      <c r="B191" t="s">
        <v>6</v>
      </c>
      <c r="C191" t="s">
        <v>291</v>
      </c>
      <c r="D191" t="s">
        <v>358</v>
      </c>
      <c r="E191" t="s">
        <v>319</v>
      </c>
      <c r="F191">
        <f>COUNTIFS(fact_batting_summary!E:E, A191)</f>
        <v>3</v>
      </c>
      <c r="G191">
        <f>SUMIFS(fact_batting_summary!G:G, fact_batting_summary!E:E, A191)</f>
        <v>7</v>
      </c>
      <c r="H191">
        <f>SUMIFS(fact_batting_summary!H:H, fact_batting_summary!E:E, A191)</f>
        <v>8</v>
      </c>
      <c r="J191">
        <f>SUMIFS(fact_bowling_summary!G:G, fact_bowling_summary!D:D, A191)</f>
        <v>138</v>
      </c>
    </row>
    <row r="192" spans="1:10" x14ac:dyDescent="0.45">
      <c r="A192" t="s">
        <v>509</v>
      </c>
      <c r="B192" t="s">
        <v>6</v>
      </c>
      <c r="C192" t="s">
        <v>300</v>
      </c>
      <c r="D192" t="s">
        <v>393</v>
      </c>
      <c r="E192" t="s">
        <v>319</v>
      </c>
      <c r="F192">
        <f>COUNTIFS(fact_batting_summary!E:E, A192)</f>
        <v>2</v>
      </c>
      <c r="G192">
        <f>SUMIFS(fact_batting_summary!G:G, fact_batting_summary!E:E, A192)</f>
        <v>6</v>
      </c>
      <c r="H192">
        <f>SUMIFS(fact_batting_summary!H:H, fact_batting_summary!E:E, A192)</f>
        <v>6</v>
      </c>
      <c r="J192">
        <f>SUMIFS(fact_bowling_summary!G:G, fact_bowling_summary!D:D, A192)</f>
        <v>424</v>
      </c>
    </row>
    <row r="193" spans="1:10" x14ac:dyDescent="0.45">
      <c r="A193" t="s">
        <v>510</v>
      </c>
      <c r="B193" t="s">
        <v>6</v>
      </c>
      <c r="C193" t="s">
        <v>291</v>
      </c>
      <c r="D193" t="s">
        <v>318</v>
      </c>
      <c r="E193" t="s">
        <v>319</v>
      </c>
      <c r="F193">
        <f>COUNTIFS(fact_batting_summary!E:E, A193)</f>
        <v>0</v>
      </c>
      <c r="G193">
        <f>SUMIFS(fact_batting_summary!G:G, fact_batting_summary!E:E, A193)</f>
        <v>0</v>
      </c>
      <c r="H193">
        <f>SUMIFS(fact_batting_summary!H:H, fact_batting_summary!E:E, A193)</f>
        <v>0</v>
      </c>
      <c r="J193">
        <f>SUMIFS(fact_bowling_summary!G:G, fact_bowling_summary!D:D, A193)</f>
        <v>401</v>
      </c>
    </row>
    <row r="194" spans="1:10" x14ac:dyDescent="0.45">
      <c r="A194" t="s">
        <v>511</v>
      </c>
      <c r="B194" t="s">
        <v>6</v>
      </c>
      <c r="C194" t="s">
        <v>291</v>
      </c>
      <c r="D194" t="s">
        <v>295</v>
      </c>
      <c r="E194" t="s">
        <v>319</v>
      </c>
      <c r="F194">
        <f>COUNTIFS(fact_batting_summary!E:E, A194)</f>
        <v>0</v>
      </c>
      <c r="G194">
        <f>SUMIFS(fact_batting_summary!G:G, fact_batting_summary!E:E, A194)</f>
        <v>0</v>
      </c>
      <c r="H194">
        <f>SUMIFS(fact_batting_summary!H:H, fact_batting_summary!E:E, A194)</f>
        <v>0</v>
      </c>
      <c r="J194">
        <f>SUMIFS(fact_bowling_summary!G:G, fact_bowling_summary!D:D, A194)</f>
        <v>38</v>
      </c>
    </row>
    <row r="195" spans="1:10" x14ac:dyDescent="0.45">
      <c r="A195" t="s">
        <v>512</v>
      </c>
      <c r="B195" t="s">
        <v>7</v>
      </c>
      <c r="C195" t="s">
        <v>291</v>
      </c>
      <c r="D195" t="s">
        <v>292</v>
      </c>
      <c r="E195" t="s">
        <v>303</v>
      </c>
      <c r="F195">
        <f>COUNTIFS(fact_batting_summary!E:E, A195)</f>
        <v>1</v>
      </c>
      <c r="G195">
        <f>SUMIFS(fact_batting_summary!G:G, fact_batting_summary!E:E, A195)</f>
        <v>4</v>
      </c>
      <c r="H195">
        <f>SUMIFS(fact_batting_summary!H:H, fact_batting_summary!E:E, A195)</f>
        <v>8</v>
      </c>
      <c r="J195">
        <f>SUMIFS(fact_bowling_summary!G:G, fact_bowling_summary!D:D, A195)</f>
        <v>0</v>
      </c>
    </row>
    <row r="196" spans="1:10" x14ac:dyDescent="0.45">
      <c r="A196" t="s">
        <v>513</v>
      </c>
      <c r="B196" t="s">
        <v>7</v>
      </c>
      <c r="C196" t="s">
        <v>291</v>
      </c>
      <c r="D196" t="s">
        <v>335</v>
      </c>
      <c r="E196" t="s">
        <v>312</v>
      </c>
      <c r="F196">
        <f>COUNTIFS(fact_batting_summary!E:E, A196)</f>
        <v>8</v>
      </c>
      <c r="G196">
        <f>SUMIFS(fact_batting_summary!G:G, fact_batting_summary!E:E, A196)</f>
        <v>169</v>
      </c>
      <c r="H196">
        <f>SUMIFS(fact_batting_summary!H:H, fact_batting_summary!E:E, A196)</f>
        <v>138</v>
      </c>
      <c r="J196">
        <f>SUMIFS(fact_bowling_summary!G:G, fact_bowling_summary!D:D, A196)</f>
        <v>0</v>
      </c>
    </row>
    <row r="197" spans="1:10" x14ac:dyDescent="0.45">
      <c r="A197" t="s">
        <v>514</v>
      </c>
      <c r="B197" t="s">
        <v>7</v>
      </c>
      <c r="C197" t="s">
        <v>300</v>
      </c>
      <c r="D197" t="s">
        <v>292</v>
      </c>
      <c r="E197" t="s">
        <v>296</v>
      </c>
      <c r="F197">
        <f>COUNTIFS(fact_batting_summary!E:E, A197)</f>
        <v>21</v>
      </c>
      <c r="G197">
        <f>SUMIFS(fact_batting_summary!G:G, fact_batting_summary!E:E, A197)</f>
        <v>648</v>
      </c>
      <c r="H197">
        <f>SUMIFS(fact_batting_summary!H:H, fact_batting_summary!E:E, A197)</f>
        <v>434</v>
      </c>
      <c r="J197">
        <f>SUMIFS(fact_bowling_summary!G:G, fact_bowling_summary!D:D, A197)</f>
        <v>0</v>
      </c>
    </row>
    <row r="198" spans="1:10" x14ac:dyDescent="0.45">
      <c r="A198" t="s">
        <v>515</v>
      </c>
      <c r="B198" t="s">
        <v>7</v>
      </c>
      <c r="C198" t="s">
        <v>291</v>
      </c>
      <c r="D198" t="s">
        <v>318</v>
      </c>
      <c r="E198" t="s">
        <v>319</v>
      </c>
      <c r="F198">
        <f>COUNTIFS(fact_batting_summary!E:E, A198)</f>
        <v>12</v>
      </c>
      <c r="G198">
        <f>SUMIFS(fact_batting_summary!G:G, fact_batting_summary!E:E, A198)</f>
        <v>74</v>
      </c>
      <c r="H198">
        <f>SUMIFS(fact_batting_summary!H:H, fact_batting_summary!E:E, A198)</f>
        <v>58</v>
      </c>
      <c r="J198">
        <f>SUMIFS(fact_bowling_summary!G:G, fact_bowling_summary!D:D, A198)</f>
        <v>528</v>
      </c>
    </row>
    <row r="199" spans="1:10" x14ac:dyDescent="0.45">
      <c r="A199" t="s">
        <v>516</v>
      </c>
      <c r="B199" t="s">
        <v>104</v>
      </c>
      <c r="C199" t="s">
        <v>291</v>
      </c>
      <c r="D199" t="s">
        <v>292</v>
      </c>
      <c r="E199" t="s">
        <v>309</v>
      </c>
      <c r="F199">
        <f>COUNTIFS(fact_batting_summary!E:E, A199)</f>
        <v>7</v>
      </c>
      <c r="G199">
        <f>SUMIFS(fact_batting_summary!G:G, fact_batting_summary!E:E, A199)</f>
        <v>60</v>
      </c>
      <c r="H199">
        <f>SUMIFS(fact_batting_summary!H:H, fact_batting_summary!E:E, A199)</f>
        <v>35</v>
      </c>
      <c r="J199">
        <f>SUMIFS(fact_bowling_summary!G:G, fact_bowling_summary!D:D, A199)</f>
        <v>217</v>
      </c>
    </row>
    <row r="200" spans="1:10" x14ac:dyDescent="0.45">
      <c r="A200" t="s">
        <v>517</v>
      </c>
      <c r="B200" t="s">
        <v>19</v>
      </c>
      <c r="C200" t="s">
        <v>291</v>
      </c>
      <c r="D200" t="s">
        <v>292</v>
      </c>
      <c r="E200" t="s">
        <v>312</v>
      </c>
      <c r="F200">
        <f>COUNTIFS(fact_batting_summary!E:E, A200)</f>
        <v>4</v>
      </c>
      <c r="G200">
        <f>SUMIFS(fact_batting_summary!G:G, fact_batting_summary!E:E, A200)</f>
        <v>27</v>
      </c>
      <c r="H200">
        <f>SUMIFS(fact_batting_summary!H:H, fact_batting_summary!E:E, A200)</f>
        <v>35</v>
      </c>
      <c r="J200">
        <f>SUMIFS(fact_bowling_summary!G:G, fact_bowling_summary!D:D, A200)</f>
        <v>14</v>
      </c>
    </row>
    <row r="201" spans="1:10" x14ac:dyDescent="0.45">
      <c r="A201" t="s">
        <v>518</v>
      </c>
      <c r="B201" t="s">
        <v>19</v>
      </c>
      <c r="C201" t="s">
        <v>300</v>
      </c>
      <c r="D201" t="s">
        <v>314</v>
      </c>
      <c r="E201" t="s">
        <v>305</v>
      </c>
      <c r="F201">
        <f>COUNTIFS(fact_batting_summary!E:E, A201)</f>
        <v>1</v>
      </c>
      <c r="G201">
        <f>SUMIFS(fact_batting_summary!G:G, fact_batting_summary!E:E, A201)</f>
        <v>0</v>
      </c>
      <c r="H201">
        <f>SUMIFS(fact_batting_summary!H:H, fact_batting_summary!E:E, A201)</f>
        <v>2</v>
      </c>
      <c r="J201">
        <f>SUMIFS(fact_bowling_summary!G:G, fact_bowling_summary!D:D, A201)</f>
        <v>23</v>
      </c>
    </row>
    <row r="202" spans="1:10" x14ac:dyDescent="0.45">
      <c r="A202" t="s">
        <v>519</v>
      </c>
      <c r="B202" t="s">
        <v>26</v>
      </c>
      <c r="C202" t="s">
        <v>300</v>
      </c>
      <c r="D202" t="s">
        <v>298</v>
      </c>
      <c r="E202" t="s">
        <v>316</v>
      </c>
      <c r="F202">
        <f>COUNTIFS(fact_batting_summary!E:E, A202)</f>
        <v>13</v>
      </c>
      <c r="G202">
        <f>SUMIFS(fact_batting_summary!G:G, fact_batting_summary!E:E, A202)</f>
        <v>277</v>
      </c>
      <c r="H202">
        <f>SUMIFS(fact_batting_summary!H:H, fact_batting_summary!E:E, A202)</f>
        <v>191</v>
      </c>
      <c r="J202">
        <f>SUMIFS(fact_bowling_summary!G:G, fact_bowling_summary!D:D, A202)</f>
        <v>0</v>
      </c>
    </row>
    <row r="203" spans="1:10" x14ac:dyDescent="0.45">
      <c r="A203" t="s">
        <v>520</v>
      </c>
      <c r="B203" t="s">
        <v>26</v>
      </c>
      <c r="C203" t="s">
        <v>291</v>
      </c>
      <c r="D203" t="s">
        <v>358</v>
      </c>
      <c r="E203" t="s">
        <v>305</v>
      </c>
      <c r="F203">
        <f>COUNTIFS(fact_batting_summary!E:E, A203)</f>
        <v>7</v>
      </c>
      <c r="G203">
        <f>SUMIFS(fact_batting_summary!G:G, fact_batting_summary!E:E, A203)</f>
        <v>57</v>
      </c>
      <c r="H203">
        <f>SUMIFS(fact_batting_summary!H:H, fact_batting_summary!E:E, A203)</f>
        <v>52</v>
      </c>
      <c r="J203">
        <f>SUMIFS(fact_bowling_summary!G:G, fact_bowling_summary!D:D, A203)</f>
        <v>216</v>
      </c>
    </row>
    <row r="204" spans="1:10" x14ac:dyDescent="0.45">
      <c r="A204" t="s">
        <v>521</v>
      </c>
      <c r="B204" t="s">
        <v>104</v>
      </c>
      <c r="C204" t="s">
        <v>291</v>
      </c>
      <c r="D204" t="s">
        <v>292</v>
      </c>
      <c r="E204" t="s">
        <v>293</v>
      </c>
      <c r="F204">
        <f>COUNTIFS(fact_batting_summary!E:E, A204)</f>
        <v>22</v>
      </c>
      <c r="G204">
        <f>SUMIFS(fact_batting_summary!G:G, fact_batting_summary!E:E, A204)</f>
        <v>340</v>
      </c>
      <c r="H204">
        <f>SUMIFS(fact_batting_summary!H:H, fact_batting_summary!E:E, A204)</f>
        <v>269</v>
      </c>
      <c r="J204">
        <f>SUMIFS(fact_bowling_summary!G:G, fact_bowling_summary!D:D, A204)</f>
        <v>11</v>
      </c>
    </row>
    <row r="205" spans="1:10" x14ac:dyDescent="0.45">
      <c r="A205" t="s">
        <v>522</v>
      </c>
      <c r="B205" t="s">
        <v>20</v>
      </c>
      <c r="C205" t="s">
        <v>291</v>
      </c>
      <c r="D205" t="s">
        <v>364</v>
      </c>
      <c r="E205" t="s">
        <v>301</v>
      </c>
      <c r="F205">
        <f>COUNTIFS(fact_batting_summary!E:E, A205)</f>
        <v>5</v>
      </c>
      <c r="G205">
        <f>SUMIFS(fact_batting_summary!G:G, fact_batting_summary!E:E, A205)</f>
        <v>69</v>
      </c>
      <c r="H205">
        <f>SUMIFS(fact_batting_summary!H:H, fact_batting_summary!E:E, A205)</f>
        <v>47</v>
      </c>
      <c r="J205">
        <f>SUMIFS(fact_bowling_summary!G:G, fact_bowling_summary!D:D, A205)</f>
        <v>20</v>
      </c>
    </row>
    <row r="206" spans="1:10" x14ac:dyDescent="0.45">
      <c r="A206" t="s">
        <v>523</v>
      </c>
      <c r="B206" t="s">
        <v>6</v>
      </c>
      <c r="C206" t="s">
        <v>291</v>
      </c>
      <c r="D206" t="s">
        <v>292</v>
      </c>
      <c r="E206" t="s">
        <v>319</v>
      </c>
      <c r="F206">
        <f>COUNTIFS(fact_batting_summary!E:E, A206)</f>
        <v>2</v>
      </c>
      <c r="G206">
        <f>SUMIFS(fact_batting_summary!G:G, fact_batting_summary!E:E, A206)</f>
        <v>7</v>
      </c>
      <c r="H206">
        <f>SUMIFS(fact_batting_summary!H:H, fact_batting_summary!E:E, A206)</f>
        <v>7</v>
      </c>
      <c r="J206">
        <f>SUMIFS(fact_bowling_summary!G:G, fact_bowling_summary!D:D, A206)</f>
        <v>616</v>
      </c>
    </row>
    <row r="207" spans="1:10" x14ac:dyDescent="0.45">
      <c r="A207" t="s">
        <v>524</v>
      </c>
      <c r="B207" t="s">
        <v>19</v>
      </c>
      <c r="C207" t="s">
        <v>291</v>
      </c>
      <c r="D207" t="s">
        <v>525</v>
      </c>
      <c r="E207" t="s">
        <v>319</v>
      </c>
      <c r="F207">
        <f>COUNTIFS(fact_batting_summary!E:E, A207)</f>
        <v>2</v>
      </c>
      <c r="G207">
        <f>SUMIFS(fact_batting_summary!G:G, fact_batting_summary!E:E, A207)</f>
        <v>9</v>
      </c>
      <c r="H207">
        <f>SUMIFS(fact_batting_summary!H:H, fact_batting_summary!E:E, A207)</f>
        <v>12</v>
      </c>
      <c r="J207">
        <f>SUMIFS(fact_bowling_summary!G:G, fact_bowling_summary!D:D, A207)</f>
        <v>329</v>
      </c>
    </row>
    <row r="208" spans="1:10" x14ac:dyDescent="0.45">
      <c r="A208" t="s">
        <v>526</v>
      </c>
      <c r="B208" t="s">
        <v>23</v>
      </c>
      <c r="C208" t="s">
        <v>291</v>
      </c>
      <c r="D208" t="s">
        <v>295</v>
      </c>
      <c r="E208" t="s">
        <v>316</v>
      </c>
      <c r="F208">
        <f>COUNTIFS(fact_batting_summary!E:E, A208)</f>
        <v>3</v>
      </c>
      <c r="G208">
        <f>SUMIFS(fact_batting_summary!G:G, fact_batting_summary!E:E, A208)</f>
        <v>22</v>
      </c>
      <c r="H208">
        <f>SUMIFS(fact_batting_summary!H:H, fact_batting_summary!E:E, A208)</f>
        <v>24</v>
      </c>
      <c r="J208">
        <f>SUMIFS(fact_bowling_summary!G:G, fact_bowling_summary!D:D, A208)</f>
        <v>0</v>
      </c>
    </row>
    <row r="209" spans="1:10" x14ac:dyDescent="0.45">
      <c r="A209" t="s">
        <v>527</v>
      </c>
      <c r="B209" t="s">
        <v>23</v>
      </c>
      <c r="C209" t="s">
        <v>291</v>
      </c>
      <c r="D209" t="s">
        <v>318</v>
      </c>
      <c r="E209" t="s">
        <v>319</v>
      </c>
      <c r="F209">
        <f>COUNTIFS(fact_batting_summary!E:E, A209)</f>
        <v>1</v>
      </c>
      <c r="G209">
        <f>SUMIFS(fact_batting_summary!G:G, fact_batting_summary!E:E, A209)</f>
        <v>0</v>
      </c>
      <c r="H209">
        <f>SUMIFS(fact_batting_summary!H:H, fact_batting_summary!E:E, A209)</f>
        <v>3</v>
      </c>
      <c r="J209">
        <f>SUMIFS(fact_bowling_summary!G:G, fact_bowling_summary!D:D, A209)</f>
        <v>265</v>
      </c>
    </row>
    <row r="210" spans="1:10" x14ac:dyDescent="0.45">
      <c r="A210" t="s">
        <v>528</v>
      </c>
      <c r="B210" t="s">
        <v>104</v>
      </c>
      <c r="C210" t="s">
        <v>291</v>
      </c>
      <c r="D210" t="s">
        <v>292</v>
      </c>
      <c r="E210" t="s">
        <v>305</v>
      </c>
      <c r="F210">
        <f>COUNTIFS(fact_batting_summary!E:E, A210)</f>
        <v>2</v>
      </c>
      <c r="G210">
        <f>SUMIFS(fact_batting_summary!G:G, fact_batting_summary!E:E, A210)</f>
        <v>7</v>
      </c>
      <c r="H210">
        <f>SUMIFS(fact_batting_summary!H:H, fact_batting_summary!E:E, A210)</f>
        <v>9</v>
      </c>
      <c r="J210">
        <f>SUMIFS(fact_bowling_summary!G:G, fact_bowling_summary!D:D, A210)</f>
        <v>0</v>
      </c>
    </row>
    <row r="211" spans="1:10" x14ac:dyDescent="0.45">
      <c r="A211" t="s">
        <v>529</v>
      </c>
      <c r="B211" t="s">
        <v>7</v>
      </c>
      <c r="C211" t="s">
        <v>291</v>
      </c>
      <c r="D211" t="s">
        <v>335</v>
      </c>
      <c r="E211" t="s">
        <v>312</v>
      </c>
      <c r="F211">
        <f>COUNTIFS(fact_batting_summary!E:E, A211)</f>
        <v>5</v>
      </c>
      <c r="G211">
        <f>SUMIFS(fact_batting_summary!G:G, fact_batting_summary!E:E, A211)</f>
        <v>23</v>
      </c>
      <c r="H211">
        <f>SUMIFS(fact_batting_summary!H:H, fact_batting_summary!E:E, A211)</f>
        <v>26</v>
      </c>
      <c r="J211">
        <f>SUMIFS(fact_bowling_summary!G:G, fact_bowling_summary!D:D, A211)</f>
        <v>0</v>
      </c>
    </row>
    <row r="212" spans="1:10" x14ac:dyDescent="0.45">
      <c r="A212" t="s">
        <v>530</v>
      </c>
      <c r="B212" t="s">
        <v>7</v>
      </c>
      <c r="C212" t="s">
        <v>291</v>
      </c>
      <c r="D212" t="s">
        <v>323</v>
      </c>
      <c r="E212" t="s">
        <v>316</v>
      </c>
      <c r="F212">
        <f>COUNTIFS(fact_batting_summary!E:E, A212)</f>
        <v>3</v>
      </c>
      <c r="G212">
        <f>SUMIFS(fact_batting_summary!G:G, fact_batting_summary!E:E, A212)</f>
        <v>21</v>
      </c>
      <c r="H212">
        <f>SUMIFS(fact_batting_summary!H:H, fact_batting_summary!E:E, A212)</f>
        <v>30</v>
      </c>
      <c r="J212">
        <f>SUMIFS(fact_bowling_summary!G:G, fact_bowling_summary!D:D, A212)</f>
        <v>0</v>
      </c>
    </row>
    <row r="213" spans="1:10" x14ac:dyDescent="0.45">
      <c r="A213" t="s">
        <v>531</v>
      </c>
      <c r="B213" t="s">
        <v>7</v>
      </c>
      <c r="C213" t="s">
        <v>291</v>
      </c>
      <c r="D213" t="s">
        <v>314</v>
      </c>
      <c r="E213" t="s">
        <v>316</v>
      </c>
      <c r="F213">
        <f>COUNTIFS(fact_batting_summary!E:E, A213)</f>
        <v>5</v>
      </c>
      <c r="G213">
        <f>SUMIFS(fact_batting_summary!G:G, fact_batting_summary!E:E, A213)</f>
        <v>86</v>
      </c>
      <c r="H213">
        <f>SUMIFS(fact_batting_summary!H:H, fact_batting_summary!E:E, A213)</f>
        <v>61</v>
      </c>
      <c r="J213">
        <f>SUMIFS(fact_bowling_summary!G:G, fact_bowling_summary!D:D, A213)</f>
        <v>0</v>
      </c>
    </row>
    <row r="214" spans="1:10" x14ac:dyDescent="0.45">
      <c r="A214" t="s">
        <v>532</v>
      </c>
      <c r="B214" t="s">
        <v>7</v>
      </c>
      <c r="C214" t="s">
        <v>300</v>
      </c>
      <c r="D214" t="s">
        <v>314</v>
      </c>
      <c r="E214" t="s">
        <v>305</v>
      </c>
      <c r="F214">
        <f>COUNTIFS(fact_batting_summary!E:E, A214)</f>
        <v>5</v>
      </c>
      <c r="G214">
        <f>SUMIFS(fact_batting_summary!G:G, fact_batting_summary!E:E, A214)</f>
        <v>23</v>
      </c>
      <c r="H214">
        <f>SUMIFS(fact_batting_summary!H:H, fact_batting_summary!E:E, A214)</f>
        <v>21</v>
      </c>
      <c r="J214">
        <f>SUMIFS(fact_bowling_summary!G:G, fact_bowling_summary!D:D, A214)</f>
        <v>120</v>
      </c>
    </row>
    <row r="215" spans="1:10" x14ac:dyDescent="0.45">
      <c r="A215" t="s">
        <v>533</v>
      </c>
      <c r="B215" t="s">
        <v>7</v>
      </c>
      <c r="C215" t="s">
        <v>291</v>
      </c>
      <c r="D215" t="s">
        <v>318</v>
      </c>
      <c r="E215" t="s">
        <v>319</v>
      </c>
      <c r="F215">
        <f>COUNTIFS(fact_batting_summary!E:E, A215)</f>
        <v>3</v>
      </c>
      <c r="G215">
        <f>SUMIFS(fact_batting_summary!G:G, fact_batting_summary!E:E, A215)</f>
        <v>2</v>
      </c>
      <c r="H215">
        <f>SUMIFS(fact_batting_summary!H:H, fact_batting_summary!E:E, A215)</f>
        <v>3</v>
      </c>
      <c r="J215">
        <f>SUMIFS(fact_bowling_summary!G:G, fact_bowling_summary!D:D, A215)</f>
        <v>198</v>
      </c>
    </row>
    <row r="216" spans="1:10" x14ac:dyDescent="0.45">
      <c r="A216" t="s">
        <v>534</v>
      </c>
      <c r="B216" t="s">
        <v>101</v>
      </c>
      <c r="C216" t="s">
        <v>300</v>
      </c>
      <c r="D216" t="s">
        <v>295</v>
      </c>
      <c r="E216" t="s">
        <v>316</v>
      </c>
      <c r="F216">
        <f>COUNTIFS(fact_batting_summary!E:E, A216)</f>
        <v>13</v>
      </c>
      <c r="G216">
        <f>SUMIFS(fact_batting_summary!G:G, fact_batting_summary!E:E, A216)</f>
        <v>507</v>
      </c>
      <c r="H216">
        <f>SUMIFS(fact_batting_summary!H:H, fact_batting_summary!E:E, A216)</f>
        <v>370</v>
      </c>
      <c r="J216">
        <f>SUMIFS(fact_bowling_summary!G:G, fact_bowling_summary!D:D, A216)</f>
        <v>0</v>
      </c>
    </row>
    <row r="217" spans="1:10" x14ac:dyDescent="0.45">
      <c r="A217" t="s">
        <v>535</v>
      </c>
      <c r="B217" t="s">
        <v>101</v>
      </c>
      <c r="C217" t="s">
        <v>291</v>
      </c>
      <c r="D217" t="s">
        <v>393</v>
      </c>
      <c r="E217" t="s">
        <v>319</v>
      </c>
      <c r="F217">
        <f>COUNTIFS(fact_batting_summary!E:E, A217)</f>
        <v>1</v>
      </c>
      <c r="G217">
        <f>SUMIFS(fact_batting_summary!G:G, fact_batting_summary!E:E, A217)</f>
        <v>2</v>
      </c>
      <c r="H217">
        <f>SUMIFS(fact_batting_summary!H:H, fact_batting_summary!E:E, A217)</f>
        <v>5</v>
      </c>
      <c r="J217">
        <f>SUMIFS(fact_bowling_summary!G:G, fact_bowling_summary!D:D, A217)</f>
        <v>65</v>
      </c>
    </row>
    <row r="218" spans="1:10" x14ac:dyDescent="0.45">
      <c r="A218" t="s">
        <v>536</v>
      </c>
      <c r="B218" t="s">
        <v>20</v>
      </c>
      <c r="C218" t="s">
        <v>291</v>
      </c>
      <c r="D218" t="s">
        <v>321</v>
      </c>
      <c r="E218" t="s">
        <v>309</v>
      </c>
      <c r="F218">
        <f>COUNTIFS(fact_batting_summary!E:E, A218)</f>
        <v>1</v>
      </c>
      <c r="G218">
        <f>SUMIFS(fact_batting_summary!G:G, fact_batting_summary!E:E, A218)</f>
        <v>7</v>
      </c>
      <c r="H218">
        <f>SUMIFS(fact_batting_summary!H:H, fact_batting_summary!E:E, A218)</f>
        <v>5</v>
      </c>
      <c r="J218">
        <f>SUMIFS(fact_bowling_summary!G:G, fact_bowling_summary!D:D, A218)</f>
        <v>47</v>
      </c>
    </row>
    <row r="219" spans="1:10" x14ac:dyDescent="0.45">
      <c r="A219" t="s">
        <v>537</v>
      </c>
      <c r="B219" t="s">
        <v>6</v>
      </c>
      <c r="C219" t="s">
        <v>291</v>
      </c>
      <c r="D219" t="s">
        <v>358</v>
      </c>
      <c r="E219" t="s">
        <v>309</v>
      </c>
      <c r="F219">
        <f>COUNTIFS(fact_batting_summary!E:E, A219)</f>
        <v>5</v>
      </c>
      <c r="G219">
        <f>SUMIFS(fact_batting_summary!G:G, fact_batting_summary!E:E, A219)</f>
        <v>44</v>
      </c>
      <c r="H219">
        <f>SUMIFS(fact_batting_summary!H:H, fact_batting_summary!E:E, A219)</f>
        <v>28</v>
      </c>
      <c r="J219">
        <f>SUMIFS(fact_bowling_summary!G:G, fact_bowling_summary!D:D, A219)</f>
        <v>238</v>
      </c>
    </row>
    <row r="220" spans="1:10" x14ac:dyDescent="0.45">
      <c r="A220" t="s">
        <v>538</v>
      </c>
      <c r="B220" t="s">
        <v>23</v>
      </c>
      <c r="C220" t="s">
        <v>291</v>
      </c>
      <c r="D220" t="s">
        <v>292</v>
      </c>
      <c r="E220" t="s">
        <v>316</v>
      </c>
      <c r="F220">
        <f>COUNTIFS(fact_batting_summary!E:E, A220)</f>
        <v>2</v>
      </c>
      <c r="G220">
        <f>SUMIFS(fact_batting_summary!G:G, fact_batting_summary!E:E, A220)</f>
        <v>16</v>
      </c>
      <c r="H220">
        <f>SUMIFS(fact_batting_summary!H:H, fact_batting_summary!E:E, A220)</f>
        <v>18</v>
      </c>
      <c r="J220">
        <f>SUMIFS(fact_bowling_summary!G:G, fact_bowling_summary!D:D, A220)</f>
        <v>0</v>
      </c>
    </row>
    <row r="221" spans="1:10" x14ac:dyDescent="0.45">
      <c r="A221" t="s">
        <v>539</v>
      </c>
      <c r="B221" t="s">
        <v>23</v>
      </c>
      <c r="C221" t="s">
        <v>291</v>
      </c>
      <c r="D221" t="s">
        <v>298</v>
      </c>
      <c r="E221" t="s">
        <v>301</v>
      </c>
      <c r="F221">
        <f>COUNTIFS(fact_batting_summary!E:E, A221)</f>
        <v>2</v>
      </c>
      <c r="G221">
        <f>SUMIFS(fact_batting_summary!G:G, fact_batting_summary!E:E, A221)</f>
        <v>33</v>
      </c>
      <c r="H221">
        <f>SUMIFS(fact_batting_summary!H:H, fact_batting_summary!E:E, A221)</f>
        <v>44</v>
      </c>
      <c r="J221">
        <f>SUMIFS(fact_bowling_summary!G:G, fact_bowling_summary!D:D, A221)</f>
        <v>27</v>
      </c>
    </row>
    <row r="222" spans="1:10" x14ac:dyDescent="0.45">
      <c r="A222" t="s">
        <v>540</v>
      </c>
      <c r="B222" t="s">
        <v>101</v>
      </c>
      <c r="C222" t="s">
        <v>291</v>
      </c>
      <c r="D222" t="s">
        <v>323</v>
      </c>
      <c r="E222" t="s">
        <v>301</v>
      </c>
      <c r="F222">
        <f>COUNTIFS(fact_batting_summary!E:E, A222)</f>
        <v>13</v>
      </c>
      <c r="G222">
        <f>SUMIFS(fact_batting_summary!G:G, fact_batting_summary!E:E, A222)</f>
        <v>222</v>
      </c>
      <c r="H222">
        <f>SUMIFS(fact_batting_summary!H:H, fact_batting_summary!E:E, A222)</f>
        <v>158</v>
      </c>
      <c r="J222">
        <f>SUMIFS(fact_bowling_summary!G:G, fact_bowling_summary!D:D, A222)</f>
        <v>0</v>
      </c>
    </row>
    <row r="223" spans="1:10" x14ac:dyDescent="0.45">
      <c r="A223" t="s">
        <v>541</v>
      </c>
      <c r="B223" t="s">
        <v>13</v>
      </c>
      <c r="C223" t="s">
        <v>291</v>
      </c>
      <c r="D223" t="s">
        <v>298</v>
      </c>
      <c r="E223" t="s">
        <v>301</v>
      </c>
      <c r="F223">
        <f>COUNTIFS(fact_batting_summary!E:E, A223)</f>
        <v>9</v>
      </c>
      <c r="G223">
        <f>SUMIFS(fact_batting_summary!G:G, fact_batting_summary!E:E, A223)</f>
        <v>102</v>
      </c>
      <c r="H223">
        <f>SUMIFS(fact_batting_summary!H:H, fact_batting_summary!E:E, A223)</f>
        <v>88</v>
      </c>
      <c r="J223">
        <f>SUMIFS(fact_bowling_summary!G:G, fact_bowling_summary!D:D, A223)</f>
        <v>0</v>
      </c>
    </row>
    <row r="224" spans="1:10" x14ac:dyDescent="0.45">
      <c r="A224" t="s">
        <v>542</v>
      </c>
      <c r="B224" t="s">
        <v>26</v>
      </c>
      <c r="C224" t="s">
        <v>291</v>
      </c>
      <c r="D224" t="s">
        <v>321</v>
      </c>
      <c r="E224" t="s">
        <v>319</v>
      </c>
      <c r="F224">
        <f>COUNTIFS(fact_batting_summary!E:E, A224)</f>
        <v>6</v>
      </c>
      <c r="G224">
        <f>SUMIFS(fact_batting_summary!G:G, fact_batting_summary!E:E, A224)</f>
        <v>8</v>
      </c>
      <c r="H224">
        <f>SUMIFS(fact_batting_summary!H:H, fact_batting_summary!E:E, A224)</f>
        <v>15</v>
      </c>
      <c r="J224">
        <f>SUMIFS(fact_bowling_summary!G:G, fact_bowling_summary!D:D, A224)</f>
        <v>310</v>
      </c>
    </row>
    <row r="225" spans="1:10" x14ac:dyDescent="0.45">
      <c r="A225" t="s">
        <v>543</v>
      </c>
      <c r="B225" t="s">
        <v>26</v>
      </c>
      <c r="C225" t="s">
        <v>291</v>
      </c>
      <c r="D225" t="s">
        <v>321</v>
      </c>
      <c r="E225" t="s">
        <v>309</v>
      </c>
      <c r="F225">
        <f>COUNTIFS(fact_batting_summary!E:E, A225)</f>
        <v>6</v>
      </c>
      <c r="G225">
        <f>SUMIFS(fact_batting_summary!G:G, fact_batting_summary!E:E, A225)</f>
        <v>51</v>
      </c>
      <c r="H225">
        <f>SUMIFS(fact_batting_summary!H:H, fact_batting_summary!E:E, A225)</f>
        <v>44</v>
      </c>
      <c r="J225">
        <f>SUMIFS(fact_bowling_summary!G:G, fact_bowling_summary!D:D, A225)</f>
        <v>178</v>
      </c>
    </row>
    <row r="226" spans="1:10" x14ac:dyDescent="0.45">
      <c r="A226" t="s">
        <v>544</v>
      </c>
      <c r="B226" t="s">
        <v>19</v>
      </c>
      <c r="C226" t="s">
        <v>291</v>
      </c>
      <c r="D226" t="s">
        <v>351</v>
      </c>
      <c r="E226" t="s">
        <v>319</v>
      </c>
      <c r="F226">
        <f>COUNTIFS(fact_batting_summary!E:E, A226)</f>
        <v>2</v>
      </c>
      <c r="G226">
        <f>SUMIFS(fact_batting_summary!G:G, fact_batting_summary!E:E, A226)</f>
        <v>0</v>
      </c>
      <c r="H226">
        <f>SUMIFS(fact_batting_summary!H:H, fact_batting_summary!E:E, A226)</f>
        <v>3</v>
      </c>
      <c r="J226">
        <f>SUMIFS(fact_bowling_summary!G:G, fact_bowling_summary!D:D, A226)</f>
        <v>190</v>
      </c>
    </row>
    <row r="227" spans="1:10" x14ac:dyDescent="0.45">
      <c r="A227" t="s">
        <v>545</v>
      </c>
      <c r="B227" t="s">
        <v>7</v>
      </c>
      <c r="C227" t="s">
        <v>291</v>
      </c>
      <c r="D227" t="s">
        <v>298</v>
      </c>
      <c r="E227" t="s">
        <v>305</v>
      </c>
      <c r="F227">
        <f>COUNTIFS(fact_batting_summary!E:E, A227)</f>
        <v>10</v>
      </c>
      <c r="G227">
        <f>SUMIFS(fact_batting_summary!G:G, fact_batting_summary!E:E, A227)</f>
        <v>115</v>
      </c>
      <c r="H227">
        <f>SUMIFS(fact_batting_summary!H:H, fact_batting_summary!E:E, A227)</f>
        <v>104</v>
      </c>
      <c r="J227">
        <f>SUMIFS(fact_bowling_summary!G:G, fact_bowling_summary!D:D, A227)</f>
        <v>13</v>
      </c>
    </row>
    <row r="228" spans="1:10" x14ac:dyDescent="0.45">
      <c r="A228" t="s">
        <v>546</v>
      </c>
      <c r="B228" t="s">
        <v>19</v>
      </c>
      <c r="C228" t="s">
        <v>291</v>
      </c>
      <c r="D228" t="s">
        <v>321</v>
      </c>
      <c r="E228" t="s">
        <v>319</v>
      </c>
      <c r="F228">
        <f>COUNTIFS(fact_batting_summary!E:E, A228)</f>
        <v>0</v>
      </c>
      <c r="G228">
        <f>SUMIFS(fact_batting_summary!G:G, fact_batting_summary!E:E, A228)</f>
        <v>0</v>
      </c>
      <c r="H228">
        <f>SUMIFS(fact_batting_summary!H:H, fact_batting_summary!E:E, A228)</f>
        <v>0</v>
      </c>
      <c r="J228">
        <f>SUMIFS(fact_bowling_summary!G:G, fact_bowling_summary!D:D, A228)</f>
        <v>152</v>
      </c>
    </row>
    <row r="229" spans="1:10" x14ac:dyDescent="0.45">
      <c r="A229" t="s">
        <v>547</v>
      </c>
      <c r="B229" t="s">
        <v>13</v>
      </c>
      <c r="C229" t="s">
        <v>291</v>
      </c>
      <c r="D229" t="s">
        <v>321</v>
      </c>
      <c r="E229" t="s">
        <v>309</v>
      </c>
      <c r="F229">
        <f>COUNTIFS(fact_batting_summary!E:E, A229)</f>
        <v>2</v>
      </c>
      <c r="G229">
        <f>SUMIFS(fact_batting_summary!G:G, fact_batting_summary!E:E, A229)</f>
        <v>17</v>
      </c>
      <c r="H229">
        <f>SUMIFS(fact_batting_summary!H:H, fact_batting_summary!E:E, A229)</f>
        <v>10</v>
      </c>
      <c r="J229">
        <f>SUMIFS(fact_bowling_summary!G:G, fact_bowling_summary!D:D, A229)</f>
        <v>264</v>
      </c>
    </row>
    <row r="230" spans="1:10" x14ac:dyDescent="0.45">
      <c r="A230" t="s">
        <v>548</v>
      </c>
      <c r="B230" t="s">
        <v>101</v>
      </c>
      <c r="C230" t="s">
        <v>291</v>
      </c>
      <c r="D230" t="s">
        <v>321</v>
      </c>
      <c r="E230" t="s">
        <v>319</v>
      </c>
      <c r="F230">
        <f>COUNTIFS(fact_batting_summary!E:E, A230)</f>
        <v>1</v>
      </c>
      <c r="G230">
        <f>SUMIFS(fact_batting_summary!G:G, fact_batting_summary!E:E, A230)</f>
        <v>0</v>
      </c>
      <c r="H230">
        <f>SUMIFS(fact_batting_summary!H:H, fact_batting_summary!E:E, A230)</f>
        <v>1</v>
      </c>
      <c r="J230">
        <f>SUMIFS(fact_bowling_summary!G:G, fact_bowling_summary!D:D, A230)</f>
        <v>103</v>
      </c>
    </row>
    <row r="231" spans="1:10" x14ac:dyDescent="0.45">
      <c r="A231" t="s">
        <v>549</v>
      </c>
      <c r="B231" t="s">
        <v>7</v>
      </c>
      <c r="C231" t="s">
        <v>291</v>
      </c>
      <c r="D231" t="s">
        <v>298</v>
      </c>
      <c r="E231" t="s">
        <v>319</v>
      </c>
      <c r="F231">
        <f>COUNTIFS(fact_batting_summary!E:E, A231)</f>
        <v>1</v>
      </c>
      <c r="G231">
        <f>SUMIFS(fact_batting_summary!G:G, fact_batting_summary!E:E, A231)</f>
        <v>7</v>
      </c>
      <c r="H231">
        <f>SUMIFS(fact_batting_summary!H:H, fact_batting_summary!E:E, A231)</f>
        <v>6</v>
      </c>
      <c r="J231">
        <f>SUMIFS(fact_bowling_summary!G:G, fact_bowling_summary!D:D, A231)</f>
        <v>28</v>
      </c>
    </row>
    <row r="232" spans="1:10" x14ac:dyDescent="0.45">
      <c r="A232" t="s">
        <v>550</v>
      </c>
      <c r="B232" t="s">
        <v>13</v>
      </c>
      <c r="C232" t="s">
        <v>300</v>
      </c>
      <c r="D232" t="s">
        <v>371</v>
      </c>
      <c r="E232" t="s">
        <v>309</v>
      </c>
      <c r="F232">
        <f>COUNTIFS(fact_batting_summary!E:E, A232)</f>
        <v>5</v>
      </c>
      <c r="G232">
        <f>SUMIFS(fact_batting_summary!G:G, fact_batting_summary!E:E, A232)</f>
        <v>53</v>
      </c>
      <c r="H232">
        <f>SUMIFS(fact_batting_summary!H:H, fact_batting_summary!E:E, A232)</f>
        <v>62</v>
      </c>
      <c r="J232">
        <f>SUMIFS(fact_bowling_summary!G:G, fact_bowling_summary!D:D, A232)</f>
        <v>177</v>
      </c>
    </row>
    <row r="233" spans="1:10" x14ac:dyDescent="0.45">
      <c r="A233" t="s">
        <v>551</v>
      </c>
      <c r="B233" t="s">
        <v>104</v>
      </c>
      <c r="C233" t="s">
        <v>291</v>
      </c>
      <c r="D233" t="s">
        <v>358</v>
      </c>
      <c r="E233" t="s">
        <v>319</v>
      </c>
      <c r="F233">
        <f>COUNTIFS(fact_batting_summary!E:E, A233)</f>
        <v>0</v>
      </c>
      <c r="G233">
        <f>SUMIFS(fact_batting_summary!G:G, fact_batting_summary!E:E, A233)</f>
        <v>0</v>
      </c>
      <c r="H233">
        <f>SUMIFS(fact_batting_summary!H:H, fact_batting_summary!E:E, A233)</f>
        <v>0</v>
      </c>
      <c r="J233">
        <f>SUMIFS(fact_bowling_summary!G:G, fact_bowling_summary!D:D, A233)</f>
        <v>107</v>
      </c>
    </row>
    <row r="234" spans="1:10" x14ac:dyDescent="0.45">
      <c r="A234" t="s">
        <v>552</v>
      </c>
      <c r="B234" t="s">
        <v>13</v>
      </c>
      <c r="C234" t="s">
        <v>300</v>
      </c>
      <c r="D234" t="s">
        <v>321</v>
      </c>
      <c r="E234" t="s">
        <v>296</v>
      </c>
      <c r="F234">
        <f>COUNTIFS(fact_batting_summary!E:E, A234)</f>
        <v>2</v>
      </c>
      <c r="G234">
        <f>SUMIFS(fact_batting_summary!G:G, fact_batting_summary!E:E, A234)</f>
        <v>33</v>
      </c>
      <c r="H234">
        <f>SUMIFS(fact_batting_summary!H:H, fact_batting_summary!E:E, A234)</f>
        <v>50</v>
      </c>
      <c r="J234">
        <f>SUMIFS(fact_bowling_summary!G:G, fact_bowling_summary!D:D, A234)</f>
        <v>0</v>
      </c>
    </row>
    <row r="235" spans="1:10" x14ac:dyDescent="0.45">
      <c r="A235" t="s">
        <v>553</v>
      </c>
      <c r="B235" t="s">
        <v>101</v>
      </c>
      <c r="C235" t="s">
        <v>291</v>
      </c>
      <c r="D235" t="s">
        <v>318</v>
      </c>
      <c r="E235" t="s">
        <v>319</v>
      </c>
      <c r="F235">
        <f>COUNTIFS(fact_batting_summary!E:E, A235)</f>
        <v>0</v>
      </c>
      <c r="G235">
        <f>SUMIFS(fact_batting_summary!G:G, fact_batting_summary!E:E, A235)</f>
        <v>0</v>
      </c>
      <c r="H235">
        <f>SUMIFS(fact_batting_summary!H:H, fact_batting_summary!E:E, A235)</f>
        <v>0</v>
      </c>
      <c r="J235">
        <f>SUMIFS(fact_bowling_summary!G:G, fact_bowling_summary!D:D, A235)</f>
        <v>52</v>
      </c>
    </row>
    <row r="236" spans="1:10" x14ac:dyDescent="0.45">
      <c r="A236" t="s">
        <v>554</v>
      </c>
      <c r="B236" t="s">
        <v>26</v>
      </c>
      <c r="C236" t="s">
        <v>300</v>
      </c>
      <c r="D236" t="s">
        <v>358</v>
      </c>
      <c r="E236" t="s">
        <v>305</v>
      </c>
      <c r="F236">
        <f>COUNTIFS(fact_batting_summary!E:E, A236)</f>
        <v>2</v>
      </c>
      <c r="G236">
        <f>SUMIFS(fact_batting_summary!G:G, fact_batting_summary!E:E, A236)</f>
        <v>11</v>
      </c>
      <c r="H236">
        <f>SUMIFS(fact_batting_summary!H:H, fact_batting_summary!E:E, A236)</f>
        <v>14</v>
      </c>
      <c r="J236">
        <f>SUMIFS(fact_bowling_summary!G:G, fact_bowling_summary!D:D, A236)</f>
        <v>0</v>
      </c>
    </row>
    <row r="237" spans="1:10" x14ac:dyDescent="0.45">
      <c r="A237" t="s">
        <v>555</v>
      </c>
      <c r="B237" t="s">
        <v>6</v>
      </c>
      <c r="C237" t="s">
        <v>300</v>
      </c>
      <c r="D237" t="s">
        <v>298</v>
      </c>
      <c r="E237" t="s">
        <v>319</v>
      </c>
      <c r="F237">
        <f>COUNTIFS(fact_batting_summary!E:E, A237)</f>
        <v>1</v>
      </c>
      <c r="G237">
        <f>SUMIFS(fact_batting_summary!G:G, fact_batting_summary!E:E, A237)</f>
        <v>0</v>
      </c>
      <c r="H237">
        <f>SUMIFS(fact_batting_summary!H:H, fact_batting_summary!E:E, A237)</f>
        <v>1</v>
      </c>
      <c r="J237">
        <f>SUMIFS(fact_bowling_summary!G:G, fact_bowling_summary!D:D, A237)</f>
        <v>626</v>
      </c>
    </row>
    <row r="238" spans="1:10" x14ac:dyDescent="0.45">
      <c r="A238" t="s">
        <v>556</v>
      </c>
      <c r="B238" t="s">
        <v>101</v>
      </c>
      <c r="C238" t="s">
        <v>291</v>
      </c>
      <c r="D238" t="s">
        <v>446</v>
      </c>
      <c r="E238" t="s">
        <v>319</v>
      </c>
      <c r="F238">
        <f>COUNTIFS(fact_batting_summary!E:E, A238)</f>
        <v>3</v>
      </c>
      <c r="G238">
        <f>SUMIFS(fact_batting_summary!G:G, fact_batting_summary!E:E, A238)</f>
        <v>8</v>
      </c>
      <c r="H238">
        <f>SUMIFS(fact_batting_summary!H:H, fact_batting_summary!E:E, A238)</f>
        <v>9</v>
      </c>
      <c r="J238">
        <f>SUMIFS(fact_bowling_summary!G:G, fact_bowling_summary!D:D, A238)</f>
        <v>369</v>
      </c>
    </row>
    <row r="239" spans="1:10" x14ac:dyDescent="0.45">
      <c r="A239" t="s">
        <v>557</v>
      </c>
      <c r="B239" t="s">
        <v>101</v>
      </c>
      <c r="C239" t="s">
        <v>291</v>
      </c>
      <c r="D239" t="s">
        <v>371</v>
      </c>
      <c r="E239" t="s">
        <v>319</v>
      </c>
      <c r="F239">
        <f>COUNTIFS(fact_batting_summary!E:E, A239)</f>
        <v>0</v>
      </c>
      <c r="G239">
        <f>SUMIFS(fact_batting_summary!G:G, fact_batting_summary!E:E, A239)</f>
        <v>0</v>
      </c>
      <c r="H239">
        <f>SUMIFS(fact_batting_summary!H:H, fact_batting_summary!E:E, A239)</f>
        <v>0</v>
      </c>
      <c r="J239">
        <f>SUMIFS(fact_bowling_summary!G:G, fact_bowling_summary!D:D, A239)</f>
        <v>294</v>
      </c>
    </row>
    <row r="240" spans="1:10" x14ac:dyDescent="0.45">
      <c r="A240" t="s">
        <v>558</v>
      </c>
      <c r="B240" t="s">
        <v>101</v>
      </c>
      <c r="C240" t="s">
        <v>291</v>
      </c>
      <c r="D240" t="s">
        <v>298</v>
      </c>
      <c r="E240" t="s">
        <v>319</v>
      </c>
      <c r="F240">
        <f>COUNTIFS(fact_batting_summary!E:E, A240)</f>
        <v>1</v>
      </c>
      <c r="G240">
        <f>SUMIFS(fact_batting_summary!G:G, fact_batting_summary!E:E, A240)</f>
        <v>0</v>
      </c>
      <c r="H240">
        <f>SUMIFS(fact_batting_summary!H:H, fact_batting_summary!E:E, A240)</f>
        <v>1</v>
      </c>
      <c r="J240">
        <f>SUMIFS(fact_bowling_summary!G:G, fact_bowling_summary!D:D, A240)</f>
        <v>361</v>
      </c>
    </row>
    <row r="241" spans="1:10" x14ac:dyDescent="0.45">
      <c r="A241" t="s">
        <v>559</v>
      </c>
      <c r="B241" t="s">
        <v>19</v>
      </c>
      <c r="C241" t="s">
        <v>300</v>
      </c>
      <c r="D241" t="s">
        <v>295</v>
      </c>
      <c r="E241" t="s">
        <v>316</v>
      </c>
      <c r="F241">
        <f>COUNTIFS(fact_batting_summary!E:E, A241)</f>
        <v>10</v>
      </c>
      <c r="G241">
        <f>SUMIFS(fact_batting_summary!G:G, fact_batting_summary!E:E, A241)</f>
        <v>241</v>
      </c>
      <c r="H241">
        <f>SUMIFS(fact_batting_summary!H:H, fact_batting_summary!E:E, A241)</f>
        <v>166</v>
      </c>
      <c r="J241">
        <f>SUMIFS(fact_bowling_summary!G:G, fact_bowling_summary!D:D, A241)</f>
        <v>0</v>
      </c>
    </row>
    <row r="242" spans="1:10" x14ac:dyDescent="0.45">
      <c r="A242" t="s">
        <v>560</v>
      </c>
      <c r="B242" t="s">
        <v>19</v>
      </c>
      <c r="C242" t="s">
        <v>291</v>
      </c>
      <c r="D242" t="s">
        <v>321</v>
      </c>
      <c r="E242" t="s">
        <v>301</v>
      </c>
      <c r="F242">
        <f>COUNTIFS(fact_batting_summary!E:E, A242)</f>
        <v>16</v>
      </c>
      <c r="G242">
        <f>SUMIFS(fact_batting_summary!G:G, fact_batting_summary!E:E, A242)</f>
        <v>452</v>
      </c>
      <c r="H242">
        <f>SUMIFS(fact_batting_summary!H:H, fact_batting_summary!E:E, A242)</f>
        <v>282</v>
      </c>
      <c r="J242">
        <f>SUMIFS(fact_bowling_summary!G:G, fact_bowling_summary!D:D, A242)</f>
        <v>361</v>
      </c>
    </row>
    <row r="243" spans="1:10" x14ac:dyDescent="0.45">
      <c r="A243" t="s">
        <v>561</v>
      </c>
      <c r="B243" t="s">
        <v>19</v>
      </c>
      <c r="C243" t="s">
        <v>291</v>
      </c>
      <c r="D243" t="s">
        <v>335</v>
      </c>
      <c r="E243" t="s">
        <v>312</v>
      </c>
      <c r="F243">
        <f>COUNTIFS(fact_batting_summary!E:E, A243)</f>
        <v>3</v>
      </c>
      <c r="G243">
        <f>SUMIFS(fact_batting_summary!G:G, fact_batting_summary!E:E, A243)</f>
        <v>37</v>
      </c>
      <c r="H243">
        <f>SUMIFS(fact_batting_summary!H:H, fact_batting_summary!E:E, A243)</f>
        <v>31</v>
      </c>
      <c r="J243">
        <f>SUMIFS(fact_bowling_summary!G:G, fact_bowling_summary!D:D, A243)</f>
        <v>0</v>
      </c>
    </row>
    <row r="244" spans="1:10" x14ac:dyDescent="0.45">
      <c r="A244" t="s">
        <v>562</v>
      </c>
      <c r="B244" t="s">
        <v>19</v>
      </c>
      <c r="C244" t="s">
        <v>291</v>
      </c>
      <c r="D244" t="s">
        <v>371</v>
      </c>
      <c r="E244" t="s">
        <v>319</v>
      </c>
      <c r="F244">
        <f>COUNTIFS(fact_batting_summary!E:E, A244)</f>
        <v>2</v>
      </c>
      <c r="G244">
        <f>SUMIFS(fact_batting_summary!G:G, fact_batting_summary!E:E, A244)</f>
        <v>6</v>
      </c>
      <c r="H244">
        <f>SUMIFS(fact_batting_summary!H:H, fact_batting_summary!E:E, A244)</f>
        <v>9</v>
      </c>
      <c r="J244">
        <f>SUMIFS(fact_bowling_summary!G:G, fact_bowling_summary!D:D, A244)</f>
        <v>387</v>
      </c>
    </row>
    <row r="245" spans="1:10" x14ac:dyDescent="0.45">
      <c r="A245" t="s">
        <v>563</v>
      </c>
      <c r="B245" t="s">
        <v>19</v>
      </c>
      <c r="C245" t="s">
        <v>291</v>
      </c>
      <c r="D245" t="s">
        <v>358</v>
      </c>
      <c r="E245" t="s">
        <v>319</v>
      </c>
      <c r="F245">
        <f>COUNTIFS(fact_batting_summary!E:E, A245)</f>
        <v>0</v>
      </c>
      <c r="G245">
        <f>SUMIFS(fact_batting_summary!G:G, fact_batting_summary!E:E, A245)</f>
        <v>0</v>
      </c>
      <c r="H245">
        <f>SUMIFS(fact_batting_summary!H:H, fact_batting_summary!E:E, A245)</f>
        <v>0</v>
      </c>
      <c r="J245">
        <f>SUMIFS(fact_bowling_summary!G:G, fact_bowling_summary!D:D, A245)</f>
        <v>219</v>
      </c>
    </row>
    <row r="246" spans="1:10" x14ac:dyDescent="0.45">
      <c r="A246" t="s">
        <v>564</v>
      </c>
      <c r="B246" t="s">
        <v>104</v>
      </c>
      <c r="C246" t="s">
        <v>300</v>
      </c>
      <c r="D246" t="s">
        <v>298</v>
      </c>
      <c r="E246" t="s">
        <v>301</v>
      </c>
      <c r="F246">
        <f>COUNTIFS(fact_batting_summary!E:E, A246)</f>
        <v>12</v>
      </c>
      <c r="G246">
        <f>SUMIFS(fact_batting_summary!G:G, fact_batting_summary!E:E, A246)</f>
        <v>365</v>
      </c>
      <c r="H246">
        <f>SUMIFS(fact_batting_summary!H:H, fact_batting_summary!E:E, A246)</f>
        <v>246</v>
      </c>
      <c r="J246">
        <f>SUMIFS(fact_bowling_summary!G:G, fact_bowling_summary!D:D, A246)</f>
        <v>59</v>
      </c>
    </row>
    <row r="247" spans="1:10" x14ac:dyDescent="0.45">
      <c r="A247" t="s">
        <v>565</v>
      </c>
      <c r="B247" t="s">
        <v>104</v>
      </c>
      <c r="C247" t="s">
        <v>291</v>
      </c>
      <c r="D247" t="s">
        <v>358</v>
      </c>
      <c r="E247" t="s">
        <v>319</v>
      </c>
      <c r="F247">
        <f>COUNTIFS(fact_batting_summary!E:E, A247)</f>
        <v>3</v>
      </c>
      <c r="G247">
        <f>SUMIFS(fact_batting_summary!G:G, fact_batting_summary!E:E, A247)</f>
        <v>16</v>
      </c>
      <c r="H247">
        <f>SUMIFS(fact_batting_summary!H:H, fact_batting_summary!E:E, A247)</f>
        <v>21</v>
      </c>
      <c r="J247">
        <f>SUMIFS(fact_bowling_summary!G:G, fact_bowling_summary!D:D, A247)</f>
        <v>219</v>
      </c>
    </row>
    <row r="248" spans="1:10" x14ac:dyDescent="0.45">
      <c r="A248" t="s">
        <v>566</v>
      </c>
      <c r="B248" t="s">
        <v>104</v>
      </c>
      <c r="C248" t="s">
        <v>291</v>
      </c>
      <c r="D248" t="s">
        <v>321</v>
      </c>
      <c r="E248" t="s">
        <v>319</v>
      </c>
      <c r="F248">
        <f>COUNTIFS(fact_batting_summary!E:E, A248)</f>
        <v>0</v>
      </c>
      <c r="G248">
        <f>SUMIFS(fact_batting_summary!G:G, fact_batting_summary!E:E, A248)</f>
        <v>0</v>
      </c>
      <c r="H248">
        <f>SUMIFS(fact_batting_summary!H:H, fact_batting_summary!E:E, A248)</f>
        <v>0</v>
      </c>
      <c r="J248">
        <f>SUMIFS(fact_bowling_summary!G:G, fact_bowling_summary!D:D, A248)</f>
        <v>289</v>
      </c>
    </row>
    <row r="249" spans="1:10" x14ac:dyDescent="0.45">
      <c r="A249" t="s">
        <v>567</v>
      </c>
      <c r="B249" t="s">
        <v>101</v>
      </c>
      <c r="C249" t="s">
        <v>291</v>
      </c>
      <c r="D249" t="s">
        <v>298</v>
      </c>
      <c r="E249" t="s">
        <v>305</v>
      </c>
      <c r="F249">
        <f>COUNTIFS(fact_batting_summary!E:E, A249)</f>
        <v>3</v>
      </c>
      <c r="G249">
        <f>SUMIFS(fact_batting_summary!G:G, fact_batting_summary!E:E, A249)</f>
        <v>26</v>
      </c>
      <c r="H249">
        <f>SUMIFS(fact_batting_summary!H:H, fact_batting_summary!E:E, A249)</f>
        <v>26</v>
      </c>
      <c r="J249">
        <f>SUMIFS(fact_bowling_summary!G:G, fact_bowling_summary!D:D, A249)</f>
        <v>0</v>
      </c>
    </row>
    <row r="250" spans="1:10" x14ac:dyDescent="0.45">
      <c r="A250" t="s">
        <v>568</v>
      </c>
      <c r="B250" t="s">
        <v>13</v>
      </c>
      <c r="C250" t="s">
        <v>300</v>
      </c>
      <c r="D250" t="s">
        <v>292</v>
      </c>
      <c r="E250" t="s">
        <v>301</v>
      </c>
      <c r="F250">
        <f>COUNTIFS(fact_batting_summary!E:E, A250)</f>
        <v>4</v>
      </c>
      <c r="G250">
        <f>SUMIFS(fact_batting_summary!G:G, fact_batting_summary!E:E, A250)</f>
        <v>58</v>
      </c>
      <c r="H250">
        <f>SUMIFS(fact_batting_summary!H:H, fact_batting_summary!E:E, A250)</f>
        <v>47</v>
      </c>
      <c r="J250">
        <f>SUMIFS(fact_bowling_summary!G:G, fact_bowling_summary!D:D, A250)</f>
        <v>95</v>
      </c>
    </row>
    <row r="251" spans="1:10" x14ac:dyDescent="0.45">
      <c r="A251" t="s">
        <v>569</v>
      </c>
      <c r="B251" t="s">
        <v>13</v>
      </c>
      <c r="C251" t="s">
        <v>300</v>
      </c>
      <c r="D251" t="s">
        <v>395</v>
      </c>
      <c r="E251" t="s">
        <v>319</v>
      </c>
      <c r="F251">
        <f>COUNTIFS(fact_batting_summary!E:E, A251)</f>
        <v>1</v>
      </c>
      <c r="G251">
        <f>SUMIFS(fact_batting_summary!G:G, fact_batting_summary!E:E, A251)</f>
        <v>2</v>
      </c>
      <c r="H251">
        <f>SUMIFS(fact_batting_summary!H:H, fact_batting_summary!E:E, A251)</f>
        <v>5</v>
      </c>
      <c r="J251">
        <f>SUMIFS(fact_bowling_summary!G:G, fact_bowling_summary!D:D, A251)</f>
        <v>236</v>
      </c>
    </row>
    <row r="252" spans="1:10" x14ac:dyDescent="0.45">
      <c r="A252" t="s">
        <v>570</v>
      </c>
      <c r="B252" t="s">
        <v>13</v>
      </c>
      <c r="C252" t="s">
        <v>291</v>
      </c>
      <c r="D252" t="s">
        <v>298</v>
      </c>
      <c r="E252" t="s">
        <v>319</v>
      </c>
      <c r="F252">
        <f>COUNTIFS(fact_batting_summary!E:E, A252)</f>
        <v>2</v>
      </c>
      <c r="G252">
        <f>SUMIFS(fact_batting_summary!G:G, fact_batting_summary!E:E, A252)</f>
        <v>13</v>
      </c>
      <c r="H252">
        <f>SUMIFS(fact_batting_summary!H:H, fact_batting_summary!E:E, A252)</f>
        <v>9</v>
      </c>
      <c r="J252">
        <f>SUMIFS(fact_bowling_summary!G:G, fact_bowling_summary!D:D, A252)</f>
        <v>253</v>
      </c>
    </row>
    <row r="253" spans="1:10" x14ac:dyDescent="0.45">
      <c r="A253" t="s">
        <v>571</v>
      </c>
      <c r="B253" t="s">
        <v>13</v>
      </c>
      <c r="C253" t="s">
        <v>291</v>
      </c>
      <c r="D253" t="s">
        <v>295</v>
      </c>
      <c r="E253" t="s">
        <v>319</v>
      </c>
      <c r="F253">
        <f>COUNTIFS(fact_batting_summary!E:E, A253)</f>
        <v>0</v>
      </c>
      <c r="G253">
        <f>SUMIFS(fact_batting_summary!G:G, fact_batting_summary!E:E, A253)</f>
        <v>0</v>
      </c>
      <c r="H253">
        <f>SUMIFS(fact_batting_summary!H:H, fact_batting_summary!E:E, A253)</f>
        <v>0</v>
      </c>
      <c r="J253">
        <f>SUMIFS(fact_bowling_summary!G:G, fact_bowling_summary!D:D, A253)</f>
        <v>28</v>
      </c>
    </row>
    <row r="254" spans="1:10" x14ac:dyDescent="0.45">
      <c r="A254" t="s">
        <v>572</v>
      </c>
      <c r="B254" t="s">
        <v>20</v>
      </c>
      <c r="C254" t="s">
        <v>300</v>
      </c>
      <c r="D254" t="s">
        <v>323</v>
      </c>
      <c r="E254" t="s">
        <v>305</v>
      </c>
      <c r="F254">
        <f>COUNTIFS(fact_batting_summary!E:E, A254)</f>
        <v>1</v>
      </c>
      <c r="G254">
        <f>SUMIFS(fact_batting_summary!G:G, fact_batting_summary!E:E, A254)</f>
        <v>69</v>
      </c>
      <c r="H254">
        <f>SUMIFS(fact_batting_summary!H:H, fact_batting_summary!E:E, A254)</f>
        <v>47</v>
      </c>
      <c r="J254">
        <f>SUMIFS(fact_bowling_summary!G:G, fact_bowling_summary!D:D, A254)</f>
        <v>37</v>
      </c>
    </row>
    <row r="255" spans="1:10" x14ac:dyDescent="0.45">
      <c r="A255" t="s">
        <v>573</v>
      </c>
      <c r="B255" t="s">
        <v>20</v>
      </c>
      <c r="C255" t="s">
        <v>291</v>
      </c>
      <c r="D255" t="s">
        <v>292</v>
      </c>
      <c r="E255" t="s">
        <v>312</v>
      </c>
      <c r="F255">
        <f>COUNTIFS(fact_batting_summary!E:E, A255)</f>
        <v>11</v>
      </c>
      <c r="G255">
        <f>SUMIFS(fact_batting_summary!G:G, fact_batting_summary!E:E, A255)</f>
        <v>448</v>
      </c>
      <c r="H255">
        <f>SUMIFS(fact_batting_summary!H:H, fact_batting_summary!E:E, A255)</f>
        <v>253</v>
      </c>
      <c r="J255">
        <f>SUMIFS(fact_bowling_summary!G:G, fact_bowling_summary!D:D, A255)</f>
        <v>0</v>
      </c>
    </row>
    <row r="256" spans="1:10" x14ac:dyDescent="0.45">
      <c r="A256" t="s">
        <v>574</v>
      </c>
      <c r="B256" t="s">
        <v>20</v>
      </c>
      <c r="C256" t="s">
        <v>291</v>
      </c>
      <c r="D256" t="s">
        <v>298</v>
      </c>
      <c r="E256" t="s">
        <v>293</v>
      </c>
      <c r="F256">
        <f>COUNTIFS(fact_batting_summary!E:E, A256)</f>
        <v>11</v>
      </c>
      <c r="G256">
        <f>SUMIFS(fact_batting_summary!G:G, fact_batting_summary!E:E, A256)</f>
        <v>190</v>
      </c>
      <c r="H256">
        <f>SUMIFS(fact_batting_summary!H:H, fact_batting_summary!E:E, A256)</f>
        <v>154</v>
      </c>
      <c r="J256">
        <f>SUMIFS(fact_bowling_summary!G:G, fact_bowling_summary!D:D, A256)</f>
        <v>0</v>
      </c>
    </row>
    <row r="257" spans="1:10" x14ac:dyDescent="0.45">
      <c r="A257" t="s">
        <v>575</v>
      </c>
      <c r="B257" t="s">
        <v>20</v>
      </c>
      <c r="C257" t="s">
        <v>291</v>
      </c>
      <c r="D257" t="s">
        <v>298</v>
      </c>
      <c r="E257" t="s">
        <v>305</v>
      </c>
      <c r="F257">
        <f>COUNTIFS(fact_batting_summary!E:E, A257)</f>
        <v>2</v>
      </c>
      <c r="G257">
        <f>SUMIFS(fact_batting_summary!G:G, fact_batting_summary!E:E, A257)</f>
        <v>11</v>
      </c>
      <c r="H257">
        <f>SUMIFS(fact_batting_summary!H:H, fact_batting_summary!E:E, A257)</f>
        <v>9</v>
      </c>
      <c r="J257">
        <f>SUMIFS(fact_bowling_summary!G:G, fact_bowling_summary!D:D, A257)</f>
        <v>0</v>
      </c>
    </row>
    <row r="258" spans="1:10" x14ac:dyDescent="0.45">
      <c r="A258" t="s">
        <v>576</v>
      </c>
      <c r="B258" t="s">
        <v>20</v>
      </c>
      <c r="C258" t="s">
        <v>291</v>
      </c>
      <c r="D258" t="s">
        <v>358</v>
      </c>
      <c r="E258" t="s">
        <v>301</v>
      </c>
      <c r="F258">
        <f>COUNTIFS(fact_batting_summary!E:E, A258)</f>
        <v>0</v>
      </c>
      <c r="G258">
        <f>SUMIFS(fact_batting_summary!G:G, fact_batting_summary!E:E, A258)</f>
        <v>0</v>
      </c>
      <c r="H258">
        <f>SUMIFS(fact_batting_summary!H:H, fact_batting_summary!E:E, A258)</f>
        <v>0</v>
      </c>
      <c r="J258">
        <f>SUMIFS(fact_bowling_summary!G:G, fact_bowling_summary!D:D, A258)</f>
        <v>54</v>
      </c>
    </row>
    <row r="259" spans="1:10" x14ac:dyDescent="0.45">
      <c r="A259" t="s">
        <v>577</v>
      </c>
      <c r="B259" t="s">
        <v>20</v>
      </c>
      <c r="C259" t="s">
        <v>291</v>
      </c>
      <c r="D259" t="s">
        <v>314</v>
      </c>
      <c r="E259" t="s">
        <v>319</v>
      </c>
      <c r="F259">
        <f>COUNTIFS(fact_batting_summary!E:E, A259)</f>
        <v>0</v>
      </c>
      <c r="G259">
        <f>SUMIFS(fact_batting_summary!G:G, fact_batting_summary!E:E, A259)</f>
        <v>0</v>
      </c>
      <c r="H259">
        <f>SUMIFS(fact_batting_summary!H:H, fact_batting_summary!E:E, A259)</f>
        <v>0</v>
      </c>
      <c r="J259">
        <f>SUMIFS(fact_bowling_summary!G:G, fact_bowling_summary!D:D, A259)</f>
        <v>83</v>
      </c>
    </row>
    <row r="260" spans="1:10" x14ac:dyDescent="0.45">
      <c r="A260" t="s">
        <v>578</v>
      </c>
      <c r="B260" t="s">
        <v>7</v>
      </c>
      <c r="C260" t="s">
        <v>291</v>
      </c>
      <c r="D260" t="s">
        <v>335</v>
      </c>
      <c r="E260" t="s">
        <v>312</v>
      </c>
      <c r="F260">
        <f>COUNTIFS(fact_batting_summary!E:E, A260)</f>
        <v>11</v>
      </c>
      <c r="G260">
        <f>SUMIFS(fact_batting_summary!G:G, fact_batting_summary!E:E, A260)</f>
        <v>227</v>
      </c>
      <c r="H260">
        <f>SUMIFS(fact_batting_summary!H:H, fact_batting_summary!E:E, A260)</f>
        <v>170</v>
      </c>
      <c r="J260">
        <f>SUMIFS(fact_bowling_summary!G:G, fact_bowling_summary!D:D, A260)</f>
        <v>0</v>
      </c>
    </row>
    <row r="261" spans="1:10" x14ac:dyDescent="0.45">
      <c r="A261" t="s">
        <v>579</v>
      </c>
      <c r="B261" t="s">
        <v>7</v>
      </c>
      <c r="C261" t="s">
        <v>291</v>
      </c>
      <c r="D261" t="s">
        <v>323</v>
      </c>
      <c r="E261" t="s">
        <v>319</v>
      </c>
      <c r="F261">
        <f>COUNTIFS(fact_batting_summary!E:E, A261)</f>
        <v>0</v>
      </c>
      <c r="G261">
        <f>SUMIFS(fact_batting_summary!G:G, fact_batting_summary!E:E, A261)</f>
        <v>0</v>
      </c>
      <c r="H261">
        <f>SUMIFS(fact_batting_summary!H:H, fact_batting_summary!E:E, A261)</f>
        <v>0</v>
      </c>
      <c r="J261">
        <f>SUMIFS(fact_bowling_summary!G:G, fact_bowling_summary!D:D, A261)</f>
        <v>321</v>
      </c>
    </row>
    <row r="262" spans="1:10" x14ac:dyDescent="0.45">
      <c r="A262" t="s">
        <v>580</v>
      </c>
      <c r="B262" t="s">
        <v>10</v>
      </c>
      <c r="C262" t="s">
        <v>291</v>
      </c>
      <c r="D262" t="s">
        <v>292</v>
      </c>
      <c r="E262" t="s">
        <v>312</v>
      </c>
      <c r="F262">
        <f>COUNTIFS(fact_batting_summary!E:E, A262)</f>
        <v>9</v>
      </c>
      <c r="G262">
        <f>SUMIFS(fact_batting_summary!G:G, fact_batting_summary!E:E, A262)</f>
        <v>218</v>
      </c>
      <c r="H262">
        <f>SUMIFS(fact_batting_summary!H:H, fact_batting_summary!E:E, A262)</f>
        <v>133</v>
      </c>
      <c r="J262">
        <f>SUMIFS(fact_bowling_summary!G:G, fact_bowling_summary!D:D, A262)</f>
        <v>0</v>
      </c>
    </row>
    <row r="263" spans="1:10" x14ac:dyDescent="0.45">
      <c r="A263" t="s">
        <v>581</v>
      </c>
      <c r="B263" t="s">
        <v>10</v>
      </c>
      <c r="C263" t="s">
        <v>300</v>
      </c>
      <c r="D263" t="s">
        <v>292</v>
      </c>
      <c r="E263" t="s">
        <v>316</v>
      </c>
      <c r="F263">
        <f>COUNTIFS(fact_batting_summary!E:E, A263)</f>
        <v>9</v>
      </c>
      <c r="G263">
        <f>SUMIFS(fact_batting_summary!G:G, fact_batting_summary!E:E, A263)</f>
        <v>209</v>
      </c>
      <c r="H263">
        <f>SUMIFS(fact_batting_summary!H:H, fact_batting_summary!E:E, A263)</f>
        <v>141</v>
      </c>
      <c r="J263">
        <f>SUMIFS(fact_bowling_summary!G:G, fact_bowling_summary!D:D, A263)</f>
        <v>0</v>
      </c>
    </row>
    <row r="264" spans="1:10" x14ac:dyDescent="0.45">
      <c r="A264" t="s">
        <v>582</v>
      </c>
      <c r="B264" t="s">
        <v>10</v>
      </c>
      <c r="C264" t="s">
        <v>291</v>
      </c>
      <c r="D264" t="s">
        <v>292</v>
      </c>
      <c r="E264" t="s">
        <v>316</v>
      </c>
      <c r="F264">
        <f>COUNTIFS(fact_batting_summary!E:E, A264)</f>
        <v>3</v>
      </c>
      <c r="G264">
        <f>SUMIFS(fact_batting_summary!G:G, fact_batting_summary!E:E, A264)</f>
        <v>16</v>
      </c>
      <c r="H264">
        <f>SUMIFS(fact_batting_summary!H:H, fact_batting_summary!E:E, A264)</f>
        <v>23</v>
      </c>
      <c r="J264">
        <f>SUMIFS(fact_bowling_summary!G:G, fact_bowling_summary!D:D, A264)</f>
        <v>0</v>
      </c>
    </row>
    <row r="265" spans="1:10" x14ac:dyDescent="0.45">
      <c r="A265" t="s">
        <v>583</v>
      </c>
      <c r="B265" t="s">
        <v>26</v>
      </c>
      <c r="C265" t="s">
        <v>300</v>
      </c>
      <c r="D265" t="s">
        <v>314</v>
      </c>
      <c r="E265" t="s">
        <v>301</v>
      </c>
      <c r="F265">
        <f>COUNTIFS(fact_batting_summary!E:E, A265)</f>
        <v>7</v>
      </c>
      <c r="G265">
        <f>SUMIFS(fact_batting_summary!G:G, fact_batting_summary!E:E, A265)</f>
        <v>186</v>
      </c>
      <c r="H265">
        <f>SUMIFS(fact_batting_summary!H:H, fact_batting_summary!E:E, A265)</f>
        <v>129</v>
      </c>
      <c r="J265">
        <f>SUMIFS(fact_bowling_summary!G:G, fact_bowling_summary!D:D, A265)</f>
        <v>0</v>
      </c>
    </row>
    <row r="266" spans="1:10" x14ac:dyDescent="0.45">
      <c r="A266" t="s">
        <v>584</v>
      </c>
      <c r="B266" t="s">
        <v>23</v>
      </c>
      <c r="C266" t="s">
        <v>291</v>
      </c>
      <c r="D266" t="s">
        <v>335</v>
      </c>
      <c r="E266" t="s">
        <v>312</v>
      </c>
      <c r="F266">
        <f>COUNTIFS(fact_batting_summary!E:E, A266)</f>
        <v>11</v>
      </c>
      <c r="G266">
        <f>SUMIFS(fact_batting_summary!G:G, fact_batting_summary!E:E, A266)</f>
        <v>152</v>
      </c>
      <c r="H266">
        <f>SUMIFS(fact_batting_summary!H:H, fact_batting_summary!E:E, A266)</f>
        <v>88</v>
      </c>
      <c r="J266">
        <f>SUMIFS(fact_bowling_summary!G:G, fact_bowling_summary!D:D, A266)</f>
        <v>0</v>
      </c>
    </row>
    <row r="267" spans="1:10" x14ac:dyDescent="0.45">
      <c r="A267" t="s">
        <v>585</v>
      </c>
      <c r="B267" t="s">
        <v>23</v>
      </c>
      <c r="C267" t="s">
        <v>291</v>
      </c>
      <c r="D267" t="s">
        <v>323</v>
      </c>
      <c r="E267" t="s">
        <v>319</v>
      </c>
      <c r="F267">
        <f>COUNTIFS(fact_batting_summary!E:E, A267)</f>
        <v>3</v>
      </c>
      <c r="G267">
        <f>SUMIFS(fact_batting_summary!G:G, fact_batting_summary!E:E, A267)</f>
        <v>10</v>
      </c>
      <c r="H267">
        <f>SUMIFS(fact_batting_summary!H:H, fact_batting_summary!E:E, A267)</f>
        <v>16</v>
      </c>
      <c r="J267">
        <f>SUMIFS(fact_bowling_summary!G:G, fact_bowling_summary!D:D, A267)</f>
        <v>188</v>
      </c>
    </row>
    <row r="268" spans="1:10" x14ac:dyDescent="0.45">
      <c r="A268" t="s">
        <v>586</v>
      </c>
      <c r="B268" t="s">
        <v>13</v>
      </c>
      <c r="C268" t="s">
        <v>300</v>
      </c>
      <c r="D268" t="s">
        <v>323</v>
      </c>
      <c r="E268" t="s">
        <v>319</v>
      </c>
      <c r="F268">
        <f>COUNTIFS(fact_batting_summary!E:E, A268)</f>
        <v>2</v>
      </c>
      <c r="G268">
        <f>SUMIFS(fact_batting_summary!G:G, fact_batting_summary!E:E, A268)</f>
        <v>3</v>
      </c>
      <c r="H268">
        <f>SUMIFS(fact_batting_summary!H:H, fact_batting_summary!E:E, A268)</f>
        <v>5</v>
      </c>
      <c r="J268">
        <f>SUMIFS(fact_bowling_summary!G:G, fact_bowling_summary!D:D, A268)</f>
        <v>223</v>
      </c>
    </row>
    <row r="269" spans="1:10" x14ac:dyDescent="0.45">
      <c r="A269" t="s">
        <v>587</v>
      </c>
      <c r="B269" t="s">
        <v>10</v>
      </c>
      <c r="C269" t="s">
        <v>291</v>
      </c>
      <c r="D269" t="s">
        <v>298</v>
      </c>
      <c r="E269" t="s">
        <v>319</v>
      </c>
      <c r="F269">
        <f>COUNTIFS(fact_batting_summary!E:E, A269)</f>
        <v>3</v>
      </c>
      <c r="G269">
        <f>SUMIFS(fact_batting_summary!G:G, fact_batting_summary!E:E, A269)</f>
        <v>7</v>
      </c>
      <c r="H269">
        <f>SUMIFS(fact_batting_summary!H:H, fact_batting_summary!E:E, A269)</f>
        <v>9</v>
      </c>
      <c r="J269">
        <f>SUMIFS(fact_bowling_summary!G:G, fact_bowling_summary!D:D, A269)</f>
        <v>326</v>
      </c>
    </row>
    <row r="270" spans="1:10" x14ac:dyDescent="0.45">
      <c r="A270" t="s">
        <v>588</v>
      </c>
      <c r="B270" t="s">
        <v>104</v>
      </c>
      <c r="C270" t="s">
        <v>291</v>
      </c>
      <c r="D270" t="s">
        <v>314</v>
      </c>
      <c r="E270" t="s">
        <v>319</v>
      </c>
      <c r="F270">
        <f>COUNTIFS(fact_batting_summary!E:E, A270)</f>
        <v>1</v>
      </c>
      <c r="G270">
        <f>SUMIFS(fact_batting_summary!G:G, fact_batting_summary!E:E, A270)</f>
        <v>2</v>
      </c>
      <c r="H270">
        <f>SUMIFS(fact_batting_summary!H:H, fact_batting_summary!E:E, A270)</f>
        <v>4</v>
      </c>
      <c r="J270">
        <f>SUMIFS(fact_bowling_summary!G:G, fact_bowling_summary!D:D, A270)</f>
        <v>18</v>
      </c>
    </row>
    <row r="271" spans="1:10" x14ac:dyDescent="0.45">
      <c r="A271" t="s">
        <v>589</v>
      </c>
      <c r="B271" t="s">
        <v>23</v>
      </c>
      <c r="C271" t="s">
        <v>291</v>
      </c>
      <c r="D271" t="s">
        <v>385</v>
      </c>
      <c r="E271" t="s">
        <v>316</v>
      </c>
      <c r="F271">
        <f>COUNTIFS(fact_batting_summary!E:E, A271)</f>
        <v>1</v>
      </c>
      <c r="G271">
        <f>SUMIFS(fact_batting_summary!G:G, fact_batting_summary!E:E, A271)</f>
        <v>10</v>
      </c>
      <c r="H271">
        <f>SUMIFS(fact_batting_summary!H:H, fact_batting_summary!E:E, A271)</f>
        <v>15</v>
      </c>
      <c r="J271">
        <f>SUMIFS(fact_bowling_summary!G:G, fact_bowling_summary!D:D, A271)</f>
        <v>14</v>
      </c>
    </row>
    <row r="272" spans="1:10" x14ac:dyDescent="0.45">
      <c r="A272" t="s">
        <v>590</v>
      </c>
      <c r="B272" t="s">
        <v>26</v>
      </c>
      <c r="C272" t="s">
        <v>291</v>
      </c>
      <c r="D272" t="s">
        <v>292</v>
      </c>
      <c r="E272" t="s">
        <v>301</v>
      </c>
      <c r="F272">
        <f>COUNTIFS(fact_batting_summary!E:E, A272)</f>
        <v>7</v>
      </c>
      <c r="G272">
        <f>SUMIFS(fact_batting_summary!G:G, fact_batting_summary!E:E, A272)</f>
        <v>139</v>
      </c>
      <c r="H272">
        <f>SUMIFS(fact_batting_summary!H:H, fact_batting_summary!E:E, A272)</f>
        <v>98</v>
      </c>
      <c r="J272">
        <f>SUMIFS(fact_bowling_summary!G:G, fact_bowling_summary!D:D, A272)</f>
        <v>119</v>
      </c>
    </row>
    <row r="273" spans="1:10" x14ac:dyDescent="0.45">
      <c r="A273" t="s">
        <v>591</v>
      </c>
      <c r="B273" t="s">
        <v>10</v>
      </c>
      <c r="C273" t="s">
        <v>291</v>
      </c>
      <c r="D273" t="s">
        <v>323</v>
      </c>
      <c r="E273" t="s">
        <v>319</v>
      </c>
      <c r="F273">
        <f>COUNTIFS(fact_batting_summary!E:E, A273)</f>
        <v>1</v>
      </c>
      <c r="G273">
        <f>SUMIFS(fact_batting_summary!G:G, fact_batting_summary!E:E, A273)</f>
        <v>16</v>
      </c>
      <c r="H273">
        <f>SUMIFS(fact_batting_summary!H:H, fact_batting_summary!E:E, A273)</f>
        <v>20</v>
      </c>
      <c r="J273">
        <f>SUMIFS(fact_bowling_summary!G:G, fact_bowling_summary!D:D, A273)</f>
        <v>19</v>
      </c>
    </row>
    <row r="274" spans="1:10" x14ac:dyDescent="0.45">
      <c r="A274" t="s">
        <v>592</v>
      </c>
      <c r="B274" t="s">
        <v>104</v>
      </c>
      <c r="C274" t="s">
        <v>291</v>
      </c>
      <c r="D274" t="s">
        <v>358</v>
      </c>
      <c r="E274" t="s">
        <v>319</v>
      </c>
      <c r="F274">
        <f>COUNTIFS(fact_batting_summary!E:E, A274)</f>
        <v>2</v>
      </c>
      <c r="G274">
        <f>SUMIFS(fact_batting_summary!G:G, fact_batting_summary!E:E, A274)</f>
        <v>1</v>
      </c>
      <c r="H274">
        <f>SUMIFS(fact_batting_summary!H:H, fact_batting_summary!E:E, A274)</f>
        <v>2</v>
      </c>
      <c r="J274">
        <f>SUMIFS(fact_bowling_summary!G:G, fact_bowling_summary!D:D, A274)</f>
        <v>70</v>
      </c>
    </row>
    <row r="275" spans="1:10" x14ac:dyDescent="0.45">
      <c r="A275" t="s">
        <v>593</v>
      </c>
      <c r="B275" t="s">
        <v>19</v>
      </c>
      <c r="C275" t="s">
        <v>300</v>
      </c>
      <c r="D275" t="s">
        <v>393</v>
      </c>
      <c r="E275" t="s">
        <v>319</v>
      </c>
      <c r="F275">
        <f>COUNTIFS(fact_batting_summary!E:E, A275)</f>
        <v>3</v>
      </c>
      <c r="G275">
        <f>SUMIFS(fact_batting_summary!G:G, fact_batting_summary!E:E, A275)</f>
        <v>18</v>
      </c>
      <c r="H275">
        <f>SUMIFS(fact_batting_summary!H:H, fact_batting_summary!E:E, A275)</f>
        <v>15</v>
      </c>
      <c r="J275">
        <f>SUMIFS(fact_bowling_summary!G:G, fact_bowling_summary!D:D, A275)</f>
        <v>190</v>
      </c>
    </row>
    <row r="276" spans="1:10" x14ac:dyDescent="0.45">
      <c r="A276" t="s">
        <v>594</v>
      </c>
      <c r="B276" t="s">
        <v>19</v>
      </c>
      <c r="C276" t="s">
        <v>291</v>
      </c>
      <c r="D276" t="s">
        <v>318</v>
      </c>
      <c r="E276" t="s">
        <v>319</v>
      </c>
      <c r="F276">
        <f>COUNTIFS(fact_batting_summary!E:E, A276)</f>
        <v>2</v>
      </c>
      <c r="G276">
        <f>SUMIFS(fact_batting_summary!G:G, fact_batting_summary!E:E, A276)</f>
        <v>4</v>
      </c>
      <c r="H276">
        <f>SUMIFS(fact_batting_summary!H:H, fact_batting_summary!E:E, A276)</f>
        <v>4</v>
      </c>
      <c r="J276">
        <f>SUMIFS(fact_bowling_summary!G:G, fact_bowling_summary!D:D, A276)</f>
        <v>190</v>
      </c>
    </row>
    <row r="277" spans="1:10" x14ac:dyDescent="0.45">
      <c r="A277" t="s">
        <v>595</v>
      </c>
      <c r="B277" t="s">
        <v>19</v>
      </c>
      <c r="C277" t="s">
        <v>300</v>
      </c>
      <c r="D277" t="s">
        <v>446</v>
      </c>
      <c r="E277" t="s">
        <v>319</v>
      </c>
      <c r="F277">
        <f>COUNTIFS(fact_batting_summary!E:E, A277)</f>
        <v>0</v>
      </c>
      <c r="G277">
        <f>SUMIFS(fact_batting_summary!G:G, fact_batting_summary!E:E, A277)</f>
        <v>0</v>
      </c>
      <c r="H277">
        <f>SUMIFS(fact_batting_summary!H:H, fact_batting_summary!E:E, A277)</f>
        <v>0</v>
      </c>
      <c r="J277">
        <f>SUMIFS(fact_bowling_summary!G:G, fact_bowling_summary!D:D, A277)</f>
        <v>33</v>
      </c>
    </row>
    <row r="278" spans="1:10" x14ac:dyDescent="0.45">
      <c r="A278" t="s">
        <v>596</v>
      </c>
      <c r="B278" t="s">
        <v>26</v>
      </c>
      <c r="C278" t="s">
        <v>291</v>
      </c>
      <c r="D278" t="s">
        <v>292</v>
      </c>
      <c r="E278" t="s">
        <v>316</v>
      </c>
      <c r="F278">
        <f>COUNTIFS(fact_batting_summary!E:E, A278)</f>
        <v>6</v>
      </c>
      <c r="G278">
        <f>SUMIFS(fact_batting_summary!G:G, fact_batting_summary!E:E, A278)</f>
        <v>117</v>
      </c>
      <c r="H278">
        <f>SUMIFS(fact_batting_summary!H:H, fact_batting_summary!E:E, A278)</f>
        <v>92</v>
      </c>
      <c r="J278">
        <f>SUMIFS(fact_bowling_summary!G:G, fact_bowling_summary!D:D, A278)</f>
        <v>25</v>
      </c>
    </row>
    <row r="279" spans="1:10" x14ac:dyDescent="0.45">
      <c r="A279" t="s">
        <v>597</v>
      </c>
      <c r="B279" t="s">
        <v>20</v>
      </c>
      <c r="C279" t="s">
        <v>300</v>
      </c>
      <c r="D279" t="s">
        <v>314</v>
      </c>
      <c r="E279" t="s">
        <v>319</v>
      </c>
      <c r="F279">
        <f>COUNTIFS(fact_batting_summary!E:E, A279)</f>
        <v>1</v>
      </c>
      <c r="G279">
        <f>SUMIFS(fact_batting_summary!G:G, fact_batting_summary!E:E, A279)</f>
        <v>16</v>
      </c>
      <c r="H279">
        <f>SUMIFS(fact_batting_summary!H:H, fact_batting_summary!E:E, A279)</f>
        <v>10</v>
      </c>
      <c r="J279">
        <f>SUMIFS(fact_bowling_summary!G:G, fact_bowling_summary!D:D, A279)</f>
        <v>40</v>
      </c>
    </row>
    <row r="280" spans="1:10" x14ac:dyDescent="0.45">
      <c r="A280" t="s">
        <v>598</v>
      </c>
      <c r="B280" t="s">
        <v>7</v>
      </c>
      <c r="C280" t="s">
        <v>291</v>
      </c>
      <c r="D280" t="s">
        <v>358</v>
      </c>
      <c r="E280" t="s">
        <v>305</v>
      </c>
      <c r="F280">
        <f>COUNTIFS(fact_batting_summary!E:E, A280)</f>
        <v>3</v>
      </c>
      <c r="G280">
        <f>SUMIFS(fact_batting_summary!G:G, fact_batting_summary!E:E, A280)</f>
        <v>21</v>
      </c>
      <c r="H280">
        <f>SUMIFS(fact_batting_summary!H:H, fact_batting_summary!E:E, A280)</f>
        <v>11</v>
      </c>
      <c r="J280">
        <f>SUMIFS(fact_bowling_summary!G:G, fact_bowling_summary!D:D, A280)</f>
        <v>38</v>
      </c>
    </row>
    <row r="281" spans="1:10" x14ac:dyDescent="0.45">
      <c r="A281" t="s">
        <v>599</v>
      </c>
      <c r="B281" t="s">
        <v>26</v>
      </c>
      <c r="C281" t="s">
        <v>300</v>
      </c>
      <c r="D281" t="s">
        <v>318</v>
      </c>
      <c r="E281" t="s">
        <v>319</v>
      </c>
      <c r="F281">
        <f>COUNTIFS(fact_batting_summary!E:E, A281)</f>
        <v>0</v>
      </c>
      <c r="G281">
        <f>SUMIFS(fact_batting_summary!G:G, fact_batting_summary!E:E, A281)</f>
        <v>0</v>
      </c>
      <c r="H281">
        <f>SUMIFS(fact_batting_summary!H:H, fact_batting_summary!E:E, A281)</f>
        <v>0</v>
      </c>
      <c r="J281">
        <f>SUMIFS(fact_bowling_summary!G:G, fact_bowling_summary!D:D, A281)</f>
        <v>42</v>
      </c>
    </row>
    <row r="282" spans="1:10" x14ac:dyDescent="0.45">
      <c r="A282" t="s">
        <v>600</v>
      </c>
      <c r="B282" t="s">
        <v>19</v>
      </c>
      <c r="C282" t="s">
        <v>300</v>
      </c>
      <c r="D282" t="s">
        <v>395</v>
      </c>
      <c r="E282" t="s">
        <v>319</v>
      </c>
      <c r="F282">
        <f>COUNTIFS(fact_batting_summary!E:E, A282)</f>
        <v>1</v>
      </c>
      <c r="G282">
        <f>SUMIFS(fact_batting_summary!G:G, fact_batting_summary!E:E, A282)</f>
        <v>13</v>
      </c>
      <c r="H282">
        <f>SUMIFS(fact_batting_summary!H:H, fact_batting_summary!E:E, A282)</f>
        <v>9</v>
      </c>
      <c r="J282">
        <f>SUMIFS(fact_bowling_summary!G:G, fact_bowling_summary!D:D, A282)</f>
        <v>92</v>
      </c>
    </row>
    <row r="283" spans="1:10" x14ac:dyDescent="0.45">
      <c r="A283" t="s">
        <v>601</v>
      </c>
      <c r="B283" t="s">
        <v>7</v>
      </c>
      <c r="C283" t="s">
        <v>300</v>
      </c>
      <c r="D283" t="s">
        <v>395</v>
      </c>
      <c r="E283" t="s">
        <v>319</v>
      </c>
      <c r="F283">
        <f>COUNTIFS(fact_batting_summary!E:E, A283)</f>
        <v>0</v>
      </c>
      <c r="G283">
        <f>SUMIFS(fact_batting_summary!G:G, fact_batting_summary!E:E, A283)</f>
        <v>0</v>
      </c>
      <c r="H283">
        <f>SUMIFS(fact_batting_summary!H:H, fact_batting_summary!E:E, A283)</f>
        <v>0</v>
      </c>
      <c r="J283">
        <f>SUMIFS(fact_bowling_summary!G:G, fact_bowling_summary!D:D, A283)</f>
        <v>64</v>
      </c>
    </row>
    <row r="284" spans="1:10" x14ac:dyDescent="0.45">
      <c r="A284" t="s">
        <v>602</v>
      </c>
      <c r="B284" t="s">
        <v>23</v>
      </c>
      <c r="C284" t="s">
        <v>291</v>
      </c>
      <c r="D284" t="s">
        <v>292</v>
      </c>
      <c r="E284" t="s">
        <v>305</v>
      </c>
      <c r="F284">
        <f>COUNTIFS(fact_batting_summary!E:E, A284)</f>
        <v>1</v>
      </c>
      <c r="G284">
        <f>SUMIFS(fact_batting_summary!G:G, fact_batting_summary!E:E, A284)</f>
        <v>1</v>
      </c>
      <c r="H284">
        <f>SUMIFS(fact_batting_summary!H:H, fact_batting_summary!E:E, A284)</f>
        <v>1</v>
      </c>
      <c r="J284">
        <f>SUMIFS(fact_bowling_summary!G:G, fact_bowling_summary!D:D, A284)</f>
        <v>0</v>
      </c>
    </row>
    <row r="285" spans="1:10" x14ac:dyDescent="0.45">
      <c r="A285" t="s">
        <v>603</v>
      </c>
      <c r="B285" t="s">
        <v>26</v>
      </c>
      <c r="C285" t="s">
        <v>300</v>
      </c>
      <c r="D285" t="s">
        <v>298</v>
      </c>
      <c r="E285" t="s">
        <v>293</v>
      </c>
      <c r="F285">
        <f>COUNTIFS(fact_batting_summary!E:E, A285)</f>
        <v>3</v>
      </c>
      <c r="G285">
        <f>SUMIFS(fact_batting_summary!G:G, fact_batting_summary!E:E, A285)</f>
        <v>76</v>
      </c>
      <c r="H285">
        <f>SUMIFS(fact_batting_summary!H:H, fact_batting_summary!E:E, A285)</f>
        <v>59</v>
      </c>
      <c r="J285">
        <f>SUMIFS(fact_bowling_summary!G:G, fact_bowling_summary!D:D, A285)</f>
        <v>0</v>
      </c>
    </row>
    <row r="286" spans="1:10" x14ac:dyDescent="0.45">
      <c r="A286" t="s">
        <v>604</v>
      </c>
      <c r="B286" t="s">
        <v>7</v>
      </c>
      <c r="C286" t="s">
        <v>291</v>
      </c>
      <c r="D286" t="s">
        <v>292</v>
      </c>
      <c r="E286" t="s">
        <v>312</v>
      </c>
      <c r="F286">
        <f>COUNTIFS(fact_batting_summary!E:E, A286)</f>
        <v>1</v>
      </c>
      <c r="G286">
        <f>SUMIFS(fact_batting_summary!G:G, fact_batting_summary!E:E, A286)</f>
        <v>4</v>
      </c>
      <c r="H286">
        <f>SUMIFS(fact_batting_summary!H:H, fact_batting_summary!E:E, A286)</f>
        <v>4</v>
      </c>
      <c r="J286">
        <f>SUMIFS(fact_bowling_summary!G:G, fact_bowling_summary!D:D, A286)</f>
        <v>0</v>
      </c>
    </row>
    <row r="287" spans="1:10" x14ac:dyDescent="0.45">
      <c r="A287" t="s">
        <v>605</v>
      </c>
      <c r="B287" t="s">
        <v>19</v>
      </c>
      <c r="C287" t="s">
        <v>291</v>
      </c>
      <c r="D287" t="s">
        <v>351</v>
      </c>
      <c r="E287" t="s">
        <v>319</v>
      </c>
      <c r="F287">
        <f>COUNTIFS(fact_batting_summary!E:E, A287)</f>
        <v>0</v>
      </c>
      <c r="G287">
        <f>SUMIFS(fact_batting_summary!G:G, fact_batting_summary!E:E, A287)</f>
        <v>0</v>
      </c>
      <c r="H287">
        <f>SUMIFS(fact_batting_summary!H:H, fact_batting_summary!E:E, A287)</f>
        <v>0</v>
      </c>
      <c r="J287">
        <f>SUMIFS(fact_bowling_summary!G:G, fact_bowling_summary!D:D, A287)</f>
        <v>53</v>
      </c>
    </row>
    <row r="288" spans="1:10" x14ac:dyDescent="0.45">
      <c r="A288" t="s">
        <v>606</v>
      </c>
      <c r="B288" t="s">
        <v>104</v>
      </c>
      <c r="C288" t="s">
        <v>291</v>
      </c>
      <c r="D288" t="s">
        <v>318</v>
      </c>
      <c r="E288" t="s">
        <v>319</v>
      </c>
      <c r="F288">
        <f>COUNTIFS(fact_batting_summary!E:E, A288)</f>
        <v>2</v>
      </c>
      <c r="G288">
        <f>SUMIFS(fact_batting_summary!G:G, fact_batting_summary!E:E, A288)</f>
        <v>11</v>
      </c>
      <c r="H288">
        <f>SUMIFS(fact_batting_summary!H:H, fact_batting_summary!E:E, A288)</f>
        <v>5</v>
      </c>
      <c r="J288">
        <f>SUMIFS(fact_bowling_summary!G:G, fact_bowling_summary!D:D, A288)</f>
        <v>130</v>
      </c>
    </row>
    <row r="289" spans="1:10" x14ac:dyDescent="0.45">
      <c r="A289" t="s">
        <v>607</v>
      </c>
      <c r="B289" t="s">
        <v>10</v>
      </c>
      <c r="C289" t="s">
        <v>300</v>
      </c>
      <c r="D289" t="s">
        <v>335</v>
      </c>
      <c r="E289" t="s">
        <v>312</v>
      </c>
      <c r="F289">
        <f>COUNTIFS(fact_batting_summary!E:E, A289)</f>
        <v>4</v>
      </c>
      <c r="G289">
        <f>SUMIFS(fact_batting_summary!G:G, fact_batting_summary!E:E, A289)</f>
        <v>33</v>
      </c>
      <c r="H289">
        <f>SUMIFS(fact_batting_summary!H:H, fact_batting_summary!E:E, A289)</f>
        <v>31</v>
      </c>
      <c r="J289">
        <f>SUMIFS(fact_bowling_summary!G:G, fact_bowling_summary!D:D, A289)</f>
        <v>0</v>
      </c>
    </row>
    <row r="290" spans="1:10" x14ac:dyDescent="0.45">
      <c r="A290" t="s">
        <v>608</v>
      </c>
      <c r="B290" t="s">
        <v>6</v>
      </c>
      <c r="C290" t="s">
        <v>291</v>
      </c>
      <c r="D290" t="s">
        <v>321</v>
      </c>
      <c r="E290" t="s">
        <v>319</v>
      </c>
      <c r="F290">
        <f>COUNTIFS(fact_batting_summary!E:E, A290)</f>
        <v>0</v>
      </c>
      <c r="G290">
        <f>SUMIFS(fact_batting_summary!G:G, fact_batting_summary!E:E, A290)</f>
        <v>0</v>
      </c>
      <c r="H290">
        <f>SUMIFS(fact_batting_summary!H:H, fact_batting_summary!E:E, A290)</f>
        <v>0</v>
      </c>
      <c r="J290">
        <f>SUMIFS(fact_bowling_summary!G:G, fact_bowling_summary!D:D, A290)</f>
        <v>51</v>
      </c>
    </row>
    <row r="291" spans="1:10" x14ac:dyDescent="0.45">
      <c r="A291" t="s">
        <v>609</v>
      </c>
      <c r="B291" t="s">
        <v>26</v>
      </c>
      <c r="C291" t="s">
        <v>291</v>
      </c>
      <c r="D291" t="s">
        <v>295</v>
      </c>
      <c r="E291" t="s">
        <v>305</v>
      </c>
      <c r="F291">
        <f>COUNTIFS(fact_batting_summary!E:E, A291)</f>
        <v>1</v>
      </c>
      <c r="G291">
        <f>SUMIFS(fact_batting_summary!G:G, fact_batting_summary!E:E, A291)</f>
        <v>1</v>
      </c>
      <c r="H291">
        <f>SUMIFS(fact_batting_summary!H:H, fact_batting_summary!E:E, A291)</f>
        <v>2</v>
      </c>
      <c r="J291">
        <f>SUMIFS(fact_bowling_summary!G:G, fact_bowling_summary!D:D, A291)</f>
        <v>29</v>
      </c>
    </row>
    <row r="292" spans="1:10" x14ac:dyDescent="0.45">
      <c r="A292" t="s">
        <v>610</v>
      </c>
      <c r="B292" t="s">
        <v>6</v>
      </c>
      <c r="C292" t="s">
        <v>291</v>
      </c>
      <c r="D292" t="s">
        <v>321</v>
      </c>
      <c r="E292" t="s">
        <v>309</v>
      </c>
      <c r="F292">
        <f>COUNTIFS(fact_batting_summary!E:E, A292)</f>
        <v>0</v>
      </c>
      <c r="G292">
        <f>SUMIFS(fact_batting_summary!G:G, fact_batting_summary!E:E, A292)</f>
        <v>0</v>
      </c>
      <c r="H292">
        <f>SUMIFS(fact_batting_summary!H:H, fact_batting_summary!E:E, A292)</f>
        <v>0</v>
      </c>
      <c r="J292">
        <f>SUMIFS(fact_bowling_summary!G:G, fact_bowling_summary!D:D, A292)</f>
        <v>60</v>
      </c>
    </row>
    <row r="293" spans="1:10" x14ac:dyDescent="0.45">
      <c r="A293" t="s">
        <v>611</v>
      </c>
      <c r="B293" t="s">
        <v>13</v>
      </c>
      <c r="C293" t="s">
        <v>291</v>
      </c>
      <c r="D293" t="s">
        <v>371</v>
      </c>
      <c r="E293" t="s">
        <v>319</v>
      </c>
      <c r="F293">
        <f>COUNTIFS(fact_batting_summary!E:E, A293)</f>
        <v>0</v>
      </c>
      <c r="G293">
        <f>SUMIFS(fact_batting_summary!G:G, fact_batting_summary!E:E, A293)</f>
        <v>0</v>
      </c>
      <c r="H293">
        <f>SUMIFS(fact_batting_summary!H:H, fact_batting_summary!E:E, A293)</f>
        <v>0</v>
      </c>
      <c r="J293">
        <f>SUMIFS(fact_bowling_summary!G:G, fact_bowling_summary!D:D, A293)</f>
        <v>14</v>
      </c>
    </row>
  </sheetData>
  <autoFilter ref="A1:E293" xr:uid="{A9133EC3-E458-4D97-A8F2-2CC2BFD15B58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B4B34-831D-479A-A1E6-A2720B1B88F1}">
  <dimension ref="A1:K3269"/>
  <sheetViews>
    <sheetView workbookViewId="0">
      <selection activeCell="M3" sqref="M3"/>
    </sheetView>
  </sheetViews>
  <sheetFormatPr defaultRowHeight="14.25" x14ac:dyDescent="0.45"/>
  <cols>
    <col min="1" max="1" width="11.3984375" bestFit="1" customWidth="1"/>
    <col min="2" max="2" width="27" bestFit="1" customWidth="1"/>
    <col min="3" max="3" width="14.265625" bestFit="1" customWidth="1"/>
    <col min="4" max="4" width="15.1328125" customWidth="1"/>
    <col min="5" max="5" width="21.59765625" bestFit="1" customWidth="1"/>
    <col min="6" max="6" width="14.1328125" bestFit="1" customWidth="1"/>
    <col min="7" max="7" width="8.86328125" customWidth="1"/>
    <col min="11" max="11" width="33" bestFit="1" customWidth="1"/>
  </cols>
  <sheetData>
    <row r="1" spans="1:11" x14ac:dyDescent="0.45">
      <c r="A1" s="7" t="s">
        <v>5</v>
      </c>
      <c r="B1" s="7" t="s">
        <v>612</v>
      </c>
      <c r="C1" s="7" t="s">
        <v>613</v>
      </c>
      <c r="D1" s="7" t="s">
        <v>614</v>
      </c>
      <c r="E1" s="7" t="s">
        <v>615</v>
      </c>
      <c r="F1" s="7" t="s">
        <v>616</v>
      </c>
      <c r="G1" s="7" t="s">
        <v>617</v>
      </c>
      <c r="H1" s="7" t="s">
        <v>618</v>
      </c>
      <c r="I1" s="7" t="s">
        <v>619</v>
      </c>
      <c r="J1" s="7" t="s">
        <v>620</v>
      </c>
      <c r="K1" s="7" t="s">
        <v>732</v>
      </c>
    </row>
    <row r="2" spans="1:11" x14ac:dyDescent="0.45">
      <c r="A2" t="s">
        <v>9</v>
      </c>
      <c r="B2" t="s">
        <v>621</v>
      </c>
      <c r="C2" t="s">
        <v>6</v>
      </c>
      <c r="D2">
        <v>1</v>
      </c>
      <c r="E2" t="s">
        <v>290</v>
      </c>
      <c r="F2" t="s">
        <v>622</v>
      </c>
      <c r="G2">
        <v>32</v>
      </c>
      <c r="H2">
        <v>27</v>
      </c>
      <c r="I2">
        <v>3</v>
      </c>
      <c r="J2">
        <v>1</v>
      </c>
      <c r="K2" s="9" cm="1">
        <f t="array" ref="K2:K3269">AVERAGEIF(G2:G3269,H2:H3269,D2:D3269)</f>
        <v>4.25</v>
      </c>
    </row>
    <row r="3" spans="1:11" x14ac:dyDescent="0.45">
      <c r="A3" t="s">
        <v>9</v>
      </c>
      <c r="B3" t="s">
        <v>621</v>
      </c>
      <c r="C3" t="s">
        <v>6</v>
      </c>
      <c r="D3">
        <v>2</v>
      </c>
      <c r="E3" t="s">
        <v>294</v>
      </c>
      <c r="F3" t="s">
        <v>622</v>
      </c>
      <c r="G3">
        <v>86</v>
      </c>
      <c r="H3">
        <v>59</v>
      </c>
      <c r="I3">
        <v>7</v>
      </c>
      <c r="J3">
        <v>3</v>
      </c>
      <c r="K3" s="9">
        <v>2.6666666666666665</v>
      </c>
    </row>
    <row r="4" spans="1:11" x14ac:dyDescent="0.45">
      <c r="A4" t="s">
        <v>9</v>
      </c>
      <c r="B4" t="s">
        <v>621</v>
      </c>
      <c r="C4" t="s">
        <v>6</v>
      </c>
      <c r="D4">
        <v>3</v>
      </c>
      <c r="E4" t="s">
        <v>297</v>
      </c>
      <c r="F4" t="s">
        <v>622</v>
      </c>
      <c r="G4">
        <v>31</v>
      </c>
      <c r="H4">
        <v>15</v>
      </c>
      <c r="I4">
        <v>0</v>
      </c>
      <c r="J4">
        <v>3</v>
      </c>
      <c r="K4" s="9">
        <v>4.7777777777777777</v>
      </c>
    </row>
    <row r="5" spans="1:11" x14ac:dyDescent="0.45">
      <c r="A5" t="s">
        <v>9</v>
      </c>
      <c r="B5" t="s">
        <v>621</v>
      </c>
      <c r="C5" t="s">
        <v>6</v>
      </c>
      <c r="D5">
        <v>4</v>
      </c>
      <c r="E5" t="s">
        <v>299</v>
      </c>
      <c r="F5" t="s">
        <v>623</v>
      </c>
      <c r="G5">
        <v>37</v>
      </c>
      <c r="H5">
        <v>20</v>
      </c>
      <c r="I5">
        <v>2</v>
      </c>
      <c r="J5">
        <v>3</v>
      </c>
      <c r="K5" s="9">
        <v>4.9473684210526319</v>
      </c>
    </row>
    <row r="6" spans="1:11" x14ac:dyDescent="0.45">
      <c r="A6" t="s">
        <v>9</v>
      </c>
      <c r="B6" t="s">
        <v>621</v>
      </c>
      <c r="C6" t="s">
        <v>7</v>
      </c>
      <c r="D6">
        <v>1</v>
      </c>
      <c r="E6" t="s">
        <v>302</v>
      </c>
      <c r="F6" t="s">
        <v>622</v>
      </c>
      <c r="G6">
        <v>51</v>
      </c>
      <c r="H6">
        <v>43</v>
      </c>
      <c r="I6">
        <v>6</v>
      </c>
      <c r="J6">
        <v>0</v>
      </c>
      <c r="K6" s="9">
        <v>2.8888888888888888</v>
      </c>
    </row>
    <row r="7" spans="1:11" x14ac:dyDescent="0.45">
      <c r="A7" t="s">
        <v>9</v>
      </c>
      <c r="B7" t="s">
        <v>621</v>
      </c>
      <c r="C7" t="s">
        <v>7</v>
      </c>
      <c r="D7">
        <v>2</v>
      </c>
      <c r="E7" t="s">
        <v>304</v>
      </c>
      <c r="F7" t="s">
        <v>622</v>
      </c>
      <c r="G7">
        <v>50</v>
      </c>
      <c r="H7">
        <v>32</v>
      </c>
      <c r="I7">
        <v>5</v>
      </c>
      <c r="J7">
        <v>3</v>
      </c>
      <c r="K7" s="9">
        <v>3.9375</v>
      </c>
    </row>
    <row r="8" spans="1:11" x14ac:dyDescent="0.45">
      <c r="A8" t="s">
        <v>9</v>
      </c>
      <c r="B8" t="s">
        <v>621</v>
      </c>
      <c r="C8" t="s">
        <v>7</v>
      </c>
      <c r="D8">
        <v>3</v>
      </c>
      <c r="E8" t="s">
        <v>306</v>
      </c>
      <c r="F8" t="s">
        <v>622</v>
      </c>
      <c r="G8">
        <v>0</v>
      </c>
      <c r="H8">
        <v>1</v>
      </c>
      <c r="I8">
        <v>0</v>
      </c>
      <c r="J8">
        <v>0</v>
      </c>
      <c r="K8" s="9">
        <v>6.5693779904306222</v>
      </c>
    </row>
    <row r="9" spans="1:11" x14ac:dyDescent="0.45">
      <c r="A9" t="s">
        <v>9</v>
      </c>
      <c r="B9" t="s">
        <v>621</v>
      </c>
      <c r="C9" t="s">
        <v>7</v>
      </c>
      <c r="D9">
        <v>4</v>
      </c>
      <c r="E9" t="s">
        <v>308</v>
      </c>
      <c r="F9" t="s">
        <v>622</v>
      </c>
      <c r="G9">
        <v>2</v>
      </c>
      <c r="H9">
        <v>2</v>
      </c>
      <c r="I9">
        <v>0</v>
      </c>
      <c r="J9">
        <v>0</v>
      </c>
      <c r="K9" s="9">
        <v>6.1385542168674698</v>
      </c>
    </row>
    <row r="10" spans="1:11" x14ac:dyDescent="0.45">
      <c r="A10" t="s">
        <v>9</v>
      </c>
      <c r="B10" t="s">
        <v>621</v>
      </c>
      <c r="C10" t="s">
        <v>7</v>
      </c>
      <c r="D10">
        <v>5</v>
      </c>
      <c r="E10" t="s">
        <v>310</v>
      </c>
      <c r="F10" t="s">
        <v>622</v>
      </c>
      <c r="G10">
        <v>4</v>
      </c>
      <c r="H10">
        <v>8</v>
      </c>
      <c r="I10">
        <v>0</v>
      </c>
      <c r="J10">
        <v>0</v>
      </c>
      <c r="K10" s="9">
        <v>4.9029126213592233</v>
      </c>
    </row>
    <row r="11" spans="1:11" x14ac:dyDescent="0.45">
      <c r="A11" t="s">
        <v>9</v>
      </c>
      <c r="B11" t="s">
        <v>621</v>
      </c>
      <c r="C11" t="s">
        <v>7</v>
      </c>
      <c r="D11">
        <v>6</v>
      </c>
      <c r="E11" t="s">
        <v>311</v>
      </c>
      <c r="F11" t="s">
        <v>622</v>
      </c>
      <c r="G11">
        <v>9</v>
      </c>
      <c r="H11">
        <v>7</v>
      </c>
      <c r="I11">
        <v>0</v>
      </c>
      <c r="J11">
        <v>1</v>
      </c>
      <c r="K11" s="9">
        <v>4.927835051546392</v>
      </c>
    </row>
    <row r="12" spans="1:11" x14ac:dyDescent="0.45">
      <c r="A12" t="s">
        <v>9</v>
      </c>
      <c r="B12" t="s">
        <v>621</v>
      </c>
      <c r="C12" t="s">
        <v>7</v>
      </c>
      <c r="D12">
        <v>7</v>
      </c>
      <c r="E12" t="s">
        <v>313</v>
      </c>
      <c r="F12" t="s">
        <v>622</v>
      </c>
      <c r="G12">
        <v>0</v>
      </c>
      <c r="H12">
        <v>1</v>
      </c>
      <c r="I12">
        <v>0</v>
      </c>
      <c r="J12">
        <v>0</v>
      </c>
      <c r="K12" s="9">
        <v>6.5693779904306222</v>
      </c>
    </row>
    <row r="13" spans="1:11" x14ac:dyDescent="0.45">
      <c r="A13" t="s">
        <v>9</v>
      </c>
      <c r="B13" t="s">
        <v>621</v>
      </c>
      <c r="C13" t="s">
        <v>7</v>
      </c>
      <c r="D13">
        <v>8</v>
      </c>
      <c r="E13" t="s">
        <v>315</v>
      </c>
      <c r="F13" t="s">
        <v>622</v>
      </c>
      <c r="G13">
        <v>2</v>
      </c>
      <c r="H13">
        <v>3</v>
      </c>
      <c r="I13">
        <v>0</v>
      </c>
      <c r="J13">
        <v>0</v>
      </c>
      <c r="K13" s="9">
        <v>5.6607142857142856</v>
      </c>
    </row>
    <row r="14" spans="1:11" x14ac:dyDescent="0.45">
      <c r="A14" t="s">
        <v>9</v>
      </c>
      <c r="B14" t="s">
        <v>621</v>
      </c>
      <c r="C14" t="s">
        <v>7</v>
      </c>
      <c r="D14">
        <v>9</v>
      </c>
      <c r="E14" t="s">
        <v>317</v>
      </c>
      <c r="F14" t="s">
        <v>623</v>
      </c>
      <c r="G14">
        <v>18</v>
      </c>
      <c r="H14">
        <v>11</v>
      </c>
      <c r="I14">
        <v>1</v>
      </c>
      <c r="J14">
        <v>1</v>
      </c>
      <c r="K14" s="9">
        <v>4.9649122807017543</v>
      </c>
    </row>
    <row r="15" spans="1:11" x14ac:dyDescent="0.45">
      <c r="A15" t="s">
        <v>9</v>
      </c>
      <c r="B15" t="s">
        <v>621</v>
      </c>
      <c r="C15" t="s">
        <v>7</v>
      </c>
      <c r="D15">
        <v>10</v>
      </c>
      <c r="E15" t="s">
        <v>320</v>
      </c>
      <c r="F15" t="s">
        <v>622</v>
      </c>
      <c r="G15">
        <v>20</v>
      </c>
      <c r="H15">
        <v>13</v>
      </c>
      <c r="I15">
        <v>1</v>
      </c>
      <c r="J15">
        <v>2</v>
      </c>
      <c r="K15" s="9">
        <v>4.8939393939393936</v>
      </c>
    </row>
    <row r="16" spans="1:11" x14ac:dyDescent="0.45">
      <c r="A16" t="s">
        <v>9</v>
      </c>
      <c r="B16" t="s">
        <v>621</v>
      </c>
      <c r="C16" t="s">
        <v>7</v>
      </c>
      <c r="D16">
        <v>11</v>
      </c>
      <c r="E16" t="s">
        <v>322</v>
      </c>
      <c r="F16" t="s">
        <v>623</v>
      </c>
      <c r="G16">
        <v>0</v>
      </c>
      <c r="H16">
        <v>0</v>
      </c>
      <c r="I16">
        <v>0</v>
      </c>
      <c r="J16">
        <v>0</v>
      </c>
      <c r="K16" s="9">
        <v>6.2519685039370083</v>
      </c>
    </row>
    <row r="17" spans="1:11" x14ac:dyDescent="0.45">
      <c r="A17" t="s">
        <v>12</v>
      </c>
      <c r="B17" t="s">
        <v>624</v>
      </c>
      <c r="C17" t="s">
        <v>10</v>
      </c>
      <c r="D17">
        <v>1</v>
      </c>
      <c r="E17" t="s">
        <v>329</v>
      </c>
      <c r="F17" t="s">
        <v>622</v>
      </c>
      <c r="G17">
        <v>18</v>
      </c>
      <c r="H17">
        <v>12</v>
      </c>
      <c r="I17">
        <v>2</v>
      </c>
      <c r="J17">
        <v>1</v>
      </c>
      <c r="K17" s="9">
        <v>4.8024691358024691</v>
      </c>
    </row>
    <row r="18" spans="1:11" x14ac:dyDescent="0.45">
      <c r="A18" t="s">
        <v>12</v>
      </c>
      <c r="B18" t="s">
        <v>624</v>
      </c>
      <c r="C18" t="s">
        <v>10</v>
      </c>
      <c r="D18">
        <v>2</v>
      </c>
      <c r="E18" t="s">
        <v>330</v>
      </c>
      <c r="F18" t="s">
        <v>622</v>
      </c>
      <c r="G18">
        <v>36</v>
      </c>
      <c r="H18">
        <v>39</v>
      </c>
      <c r="I18">
        <v>1</v>
      </c>
      <c r="J18">
        <v>2</v>
      </c>
      <c r="K18" s="9">
        <v>2.7083333333333335</v>
      </c>
    </row>
    <row r="19" spans="1:11" x14ac:dyDescent="0.45">
      <c r="A19" t="s">
        <v>12</v>
      </c>
      <c r="B19" t="s">
        <v>624</v>
      </c>
      <c r="C19" t="s">
        <v>10</v>
      </c>
      <c r="D19">
        <v>3</v>
      </c>
      <c r="E19" t="s">
        <v>331</v>
      </c>
      <c r="F19" t="s">
        <v>622</v>
      </c>
      <c r="G19">
        <v>18</v>
      </c>
      <c r="H19">
        <v>23</v>
      </c>
      <c r="I19">
        <v>1</v>
      </c>
      <c r="J19">
        <v>0</v>
      </c>
      <c r="K19" s="9">
        <v>5.1142857142857139</v>
      </c>
    </row>
    <row r="20" spans="1:11" x14ac:dyDescent="0.45">
      <c r="A20" t="s">
        <v>12</v>
      </c>
      <c r="B20" t="s">
        <v>624</v>
      </c>
      <c r="C20" t="s">
        <v>10</v>
      </c>
      <c r="D20">
        <v>4</v>
      </c>
      <c r="E20" t="s">
        <v>332</v>
      </c>
      <c r="F20" t="s">
        <v>623</v>
      </c>
      <c r="G20">
        <v>30</v>
      </c>
      <c r="H20">
        <v>27</v>
      </c>
      <c r="I20">
        <v>1</v>
      </c>
      <c r="J20">
        <v>1</v>
      </c>
      <c r="K20" s="9">
        <v>4.25</v>
      </c>
    </row>
    <row r="21" spans="1:11" x14ac:dyDescent="0.45">
      <c r="A21" t="s">
        <v>12</v>
      </c>
      <c r="B21" t="s">
        <v>624</v>
      </c>
      <c r="C21" t="s">
        <v>10</v>
      </c>
      <c r="D21">
        <v>5</v>
      </c>
      <c r="E21" t="s">
        <v>334</v>
      </c>
      <c r="F21" t="s">
        <v>622</v>
      </c>
      <c r="G21">
        <v>6</v>
      </c>
      <c r="H21">
        <v>6</v>
      </c>
      <c r="I21">
        <v>1</v>
      </c>
      <c r="J21">
        <v>0</v>
      </c>
      <c r="K21" s="9">
        <v>5.4565217391304346</v>
      </c>
    </row>
    <row r="22" spans="1:11" x14ac:dyDescent="0.45">
      <c r="A22" t="s">
        <v>12</v>
      </c>
      <c r="B22" t="s">
        <v>624</v>
      </c>
      <c r="C22" t="s">
        <v>10</v>
      </c>
      <c r="D22">
        <v>6</v>
      </c>
      <c r="E22" t="s">
        <v>336</v>
      </c>
      <c r="F22" t="s">
        <v>622</v>
      </c>
      <c r="G22">
        <v>17</v>
      </c>
      <c r="H22">
        <v>10</v>
      </c>
      <c r="I22">
        <v>0</v>
      </c>
      <c r="J22">
        <v>2</v>
      </c>
      <c r="K22" s="9">
        <v>4.7179487179487181</v>
      </c>
    </row>
    <row r="23" spans="1:11" x14ac:dyDescent="0.45">
      <c r="A23" t="s">
        <v>12</v>
      </c>
      <c r="B23" t="s">
        <v>624</v>
      </c>
      <c r="C23" t="s">
        <v>10</v>
      </c>
      <c r="D23">
        <v>7</v>
      </c>
      <c r="E23" t="s">
        <v>337</v>
      </c>
      <c r="F23" t="s">
        <v>623</v>
      </c>
      <c r="G23">
        <v>4</v>
      </c>
      <c r="H23">
        <v>4</v>
      </c>
      <c r="I23">
        <v>0</v>
      </c>
      <c r="J23">
        <v>0</v>
      </c>
      <c r="K23" s="9">
        <v>5.352380952380952</v>
      </c>
    </row>
    <row r="24" spans="1:11" x14ac:dyDescent="0.45">
      <c r="A24" t="s">
        <v>12</v>
      </c>
      <c r="B24" t="s">
        <v>624</v>
      </c>
      <c r="C24" t="s">
        <v>7</v>
      </c>
      <c r="D24">
        <v>1</v>
      </c>
      <c r="E24" t="s">
        <v>302</v>
      </c>
      <c r="F24" t="s">
        <v>622</v>
      </c>
      <c r="G24">
        <v>46</v>
      </c>
      <c r="H24">
        <v>46</v>
      </c>
      <c r="I24">
        <v>1</v>
      </c>
      <c r="J24">
        <v>1</v>
      </c>
      <c r="K24" s="9">
        <v>3.4375</v>
      </c>
    </row>
    <row r="25" spans="1:11" x14ac:dyDescent="0.45">
      <c r="A25" t="s">
        <v>12</v>
      </c>
      <c r="B25" t="s">
        <v>624</v>
      </c>
      <c r="C25" t="s">
        <v>7</v>
      </c>
      <c r="D25">
        <v>2</v>
      </c>
      <c r="E25" t="s">
        <v>304</v>
      </c>
      <c r="F25" t="s">
        <v>622</v>
      </c>
      <c r="G25">
        <v>55</v>
      </c>
      <c r="H25">
        <v>41</v>
      </c>
      <c r="I25">
        <v>4</v>
      </c>
      <c r="J25">
        <v>3</v>
      </c>
      <c r="K25" s="9">
        <v>3.0909090909090908</v>
      </c>
    </row>
    <row r="26" spans="1:11" x14ac:dyDescent="0.45">
      <c r="A26" t="s">
        <v>12</v>
      </c>
      <c r="B26" t="s">
        <v>624</v>
      </c>
      <c r="C26" t="s">
        <v>7</v>
      </c>
      <c r="D26">
        <v>3</v>
      </c>
      <c r="E26" t="s">
        <v>306</v>
      </c>
      <c r="F26" t="s">
        <v>622</v>
      </c>
      <c r="G26">
        <v>13</v>
      </c>
      <c r="H26">
        <v>12</v>
      </c>
      <c r="I26">
        <v>0</v>
      </c>
      <c r="J26">
        <v>1</v>
      </c>
      <c r="K26" s="9">
        <v>4.8024691358024691</v>
      </c>
    </row>
    <row r="27" spans="1:11" x14ac:dyDescent="0.45">
      <c r="A27" t="s">
        <v>12</v>
      </c>
      <c r="B27" t="s">
        <v>624</v>
      </c>
      <c r="C27" t="s">
        <v>7</v>
      </c>
      <c r="D27">
        <v>4</v>
      </c>
      <c r="E27" t="s">
        <v>315</v>
      </c>
      <c r="F27" t="s">
        <v>623</v>
      </c>
      <c r="G27">
        <v>12</v>
      </c>
      <c r="H27">
        <v>11</v>
      </c>
      <c r="I27">
        <v>0</v>
      </c>
      <c r="J27">
        <v>1</v>
      </c>
      <c r="K27" s="9">
        <v>4.9649122807017543</v>
      </c>
    </row>
    <row r="28" spans="1:11" x14ac:dyDescent="0.45">
      <c r="A28" t="s">
        <v>12</v>
      </c>
      <c r="B28" t="s">
        <v>624</v>
      </c>
      <c r="C28" t="s">
        <v>7</v>
      </c>
      <c r="D28">
        <v>5</v>
      </c>
      <c r="E28" t="s">
        <v>311</v>
      </c>
      <c r="F28" t="s">
        <v>622</v>
      </c>
      <c r="G28">
        <v>0</v>
      </c>
      <c r="H28">
        <v>3</v>
      </c>
      <c r="I28">
        <v>0</v>
      </c>
      <c r="J28">
        <v>0</v>
      </c>
      <c r="K28" s="9">
        <v>5.6607142857142856</v>
      </c>
    </row>
    <row r="29" spans="1:11" x14ac:dyDescent="0.45">
      <c r="A29" t="s">
        <v>12</v>
      </c>
      <c r="B29" t="s">
        <v>624</v>
      </c>
      <c r="C29" t="s">
        <v>7</v>
      </c>
      <c r="D29">
        <v>6</v>
      </c>
      <c r="E29" t="s">
        <v>310</v>
      </c>
      <c r="F29" t="s">
        <v>622</v>
      </c>
      <c r="G29">
        <v>0</v>
      </c>
      <c r="H29">
        <v>3</v>
      </c>
      <c r="I29">
        <v>0</v>
      </c>
      <c r="J29">
        <v>0</v>
      </c>
      <c r="K29" s="9">
        <v>5.6607142857142856</v>
      </c>
    </row>
    <row r="30" spans="1:11" x14ac:dyDescent="0.45">
      <c r="A30" t="s">
        <v>12</v>
      </c>
      <c r="B30" t="s">
        <v>624</v>
      </c>
      <c r="C30" t="s">
        <v>7</v>
      </c>
      <c r="D30">
        <v>7</v>
      </c>
      <c r="E30" t="s">
        <v>313</v>
      </c>
      <c r="F30" t="s">
        <v>622</v>
      </c>
      <c r="G30">
        <v>0</v>
      </c>
      <c r="H30">
        <v>2</v>
      </c>
      <c r="I30">
        <v>0</v>
      </c>
      <c r="J30">
        <v>0</v>
      </c>
      <c r="K30" s="9">
        <v>6.1385542168674698</v>
      </c>
    </row>
    <row r="31" spans="1:11" x14ac:dyDescent="0.45">
      <c r="A31" t="s">
        <v>12</v>
      </c>
      <c r="B31" t="s">
        <v>624</v>
      </c>
      <c r="C31" t="s">
        <v>7</v>
      </c>
      <c r="D31">
        <v>8</v>
      </c>
      <c r="E31" t="s">
        <v>308</v>
      </c>
      <c r="F31" t="s">
        <v>622</v>
      </c>
      <c r="G31">
        <v>0</v>
      </c>
      <c r="H31">
        <v>1</v>
      </c>
      <c r="I31">
        <v>0</v>
      </c>
      <c r="J31">
        <v>0</v>
      </c>
      <c r="K31" s="9">
        <v>6.5693779904306222</v>
      </c>
    </row>
    <row r="32" spans="1:11" x14ac:dyDescent="0.45">
      <c r="A32" t="s">
        <v>12</v>
      </c>
      <c r="B32" t="s">
        <v>624</v>
      </c>
      <c r="C32" t="s">
        <v>7</v>
      </c>
      <c r="D32">
        <v>9</v>
      </c>
      <c r="E32" t="s">
        <v>317</v>
      </c>
      <c r="F32" t="s">
        <v>623</v>
      </c>
      <c r="G32">
        <v>0</v>
      </c>
      <c r="H32">
        <v>0</v>
      </c>
      <c r="I32">
        <v>0</v>
      </c>
      <c r="J32">
        <v>0</v>
      </c>
      <c r="K32" s="9">
        <v>6.2519685039370083</v>
      </c>
    </row>
    <row r="33" spans="1:11" x14ac:dyDescent="0.45">
      <c r="A33" t="s">
        <v>15</v>
      </c>
      <c r="B33" t="s">
        <v>625</v>
      </c>
      <c r="C33" t="s">
        <v>13</v>
      </c>
      <c r="D33">
        <v>1</v>
      </c>
      <c r="E33" t="s">
        <v>342</v>
      </c>
      <c r="F33" t="s">
        <v>622</v>
      </c>
      <c r="G33">
        <v>21</v>
      </c>
      <c r="H33">
        <v>18</v>
      </c>
      <c r="I33">
        <v>2</v>
      </c>
      <c r="J33">
        <v>0</v>
      </c>
      <c r="K33" s="9">
        <v>4.375</v>
      </c>
    </row>
    <row r="34" spans="1:11" x14ac:dyDescent="0.45">
      <c r="A34" t="s">
        <v>15</v>
      </c>
      <c r="B34" t="s">
        <v>625</v>
      </c>
      <c r="C34" t="s">
        <v>13</v>
      </c>
      <c r="D34">
        <v>2</v>
      </c>
      <c r="E34" t="s">
        <v>343</v>
      </c>
      <c r="F34" t="s">
        <v>622</v>
      </c>
      <c r="G34">
        <v>39</v>
      </c>
      <c r="H34">
        <v>33</v>
      </c>
      <c r="I34">
        <v>5</v>
      </c>
      <c r="J34">
        <v>0</v>
      </c>
      <c r="K34" s="9">
        <v>2.8421052631578947</v>
      </c>
    </row>
    <row r="35" spans="1:11" x14ac:dyDescent="0.45">
      <c r="A35" t="s">
        <v>15</v>
      </c>
      <c r="B35" t="s">
        <v>625</v>
      </c>
      <c r="C35" t="s">
        <v>13</v>
      </c>
      <c r="D35">
        <v>3</v>
      </c>
      <c r="E35" t="s">
        <v>344</v>
      </c>
      <c r="F35" t="s">
        <v>622</v>
      </c>
      <c r="G35">
        <v>9</v>
      </c>
      <c r="H35">
        <v>16</v>
      </c>
      <c r="I35">
        <v>0</v>
      </c>
      <c r="J35">
        <v>0</v>
      </c>
      <c r="K35" s="9">
        <v>4.7608695652173916</v>
      </c>
    </row>
    <row r="36" spans="1:11" x14ac:dyDescent="0.45">
      <c r="A36" t="s">
        <v>15</v>
      </c>
      <c r="B36" t="s">
        <v>625</v>
      </c>
      <c r="C36" t="s">
        <v>13</v>
      </c>
      <c r="D36">
        <v>4</v>
      </c>
      <c r="E36" t="s">
        <v>345</v>
      </c>
      <c r="F36" t="s">
        <v>622</v>
      </c>
      <c r="G36">
        <v>15</v>
      </c>
      <c r="H36">
        <v>18</v>
      </c>
      <c r="I36">
        <v>1</v>
      </c>
      <c r="J36">
        <v>0</v>
      </c>
      <c r="K36" s="9">
        <v>4.375</v>
      </c>
    </row>
    <row r="37" spans="1:11" x14ac:dyDescent="0.45">
      <c r="A37" t="s">
        <v>15</v>
      </c>
      <c r="B37" t="s">
        <v>625</v>
      </c>
      <c r="C37" t="s">
        <v>13</v>
      </c>
      <c r="D37">
        <v>5</v>
      </c>
      <c r="E37" t="s">
        <v>346</v>
      </c>
      <c r="F37" t="s">
        <v>622</v>
      </c>
      <c r="G37">
        <v>11</v>
      </c>
      <c r="H37">
        <v>9</v>
      </c>
      <c r="I37">
        <v>1</v>
      </c>
      <c r="J37">
        <v>0</v>
      </c>
      <c r="K37" s="9">
        <v>4.924050632911392</v>
      </c>
    </row>
    <row r="38" spans="1:11" x14ac:dyDescent="0.45">
      <c r="A38" t="s">
        <v>15</v>
      </c>
      <c r="B38" t="s">
        <v>625</v>
      </c>
      <c r="C38" t="s">
        <v>13</v>
      </c>
      <c r="D38">
        <v>6</v>
      </c>
      <c r="E38" t="s">
        <v>347</v>
      </c>
      <c r="F38" t="s">
        <v>622</v>
      </c>
      <c r="G38">
        <v>13</v>
      </c>
      <c r="H38">
        <v>14</v>
      </c>
      <c r="I38">
        <v>1</v>
      </c>
      <c r="J38">
        <v>0</v>
      </c>
      <c r="K38" s="9">
        <v>4.8461538461538458</v>
      </c>
    </row>
    <row r="39" spans="1:11" x14ac:dyDescent="0.45">
      <c r="A39" t="s">
        <v>15</v>
      </c>
      <c r="B39" t="s">
        <v>625</v>
      </c>
      <c r="C39" t="s">
        <v>13</v>
      </c>
      <c r="D39">
        <v>7</v>
      </c>
      <c r="E39" t="s">
        <v>348</v>
      </c>
      <c r="F39" t="s">
        <v>622</v>
      </c>
      <c r="G39">
        <v>9</v>
      </c>
      <c r="H39">
        <v>8</v>
      </c>
      <c r="I39">
        <v>1</v>
      </c>
      <c r="J39">
        <v>0</v>
      </c>
      <c r="K39" s="9">
        <v>4.9029126213592233</v>
      </c>
    </row>
    <row r="40" spans="1:11" x14ac:dyDescent="0.45">
      <c r="A40" t="s">
        <v>15</v>
      </c>
      <c r="B40" t="s">
        <v>625</v>
      </c>
      <c r="C40" t="s">
        <v>13</v>
      </c>
      <c r="D40">
        <v>8</v>
      </c>
      <c r="E40" t="s">
        <v>349</v>
      </c>
      <c r="F40" t="s">
        <v>623</v>
      </c>
      <c r="G40">
        <v>8</v>
      </c>
      <c r="H40">
        <v>6</v>
      </c>
      <c r="I40">
        <v>1</v>
      </c>
      <c r="J40">
        <v>0</v>
      </c>
      <c r="K40" s="9">
        <v>5.4565217391304346</v>
      </c>
    </row>
    <row r="41" spans="1:11" x14ac:dyDescent="0.45">
      <c r="A41" t="s">
        <v>15</v>
      </c>
      <c r="B41" t="s">
        <v>625</v>
      </c>
      <c r="C41" t="s">
        <v>13</v>
      </c>
      <c r="D41">
        <v>9</v>
      </c>
      <c r="E41" t="s">
        <v>350</v>
      </c>
      <c r="F41" t="s">
        <v>623</v>
      </c>
      <c r="G41">
        <v>0</v>
      </c>
      <c r="H41">
        <v>0</v>
      </c>
      <c r="I41">
        <v>0</v>
      </c>
      <c r="J41">
        <v>0</v>
      </c>
      <c r="K41" s="9">
        <v>6.2519685039370083</v>
      </c>
    </row>
    <row r="42" spans="1:11" x14ac:dyDescent="0.45">
      <c r="A42" t="s">
        <v>15</v>
      </c>
      <c r="B42" t="s">
        <v>625</v>
      </c>
      <c r="C42" t="s">
        <v>7</v>
      </c>
      <c r="D42">
        <v>1</v>
      </c>
      <c r="E42" t="s">
        <v>302</v>
      </c>
      <c r="F42" t="s">
        <v>622</v>
      </c>
      <c r="G42">
        <v>29</v>
      </c>
      <c r="H42">
        <v>18</v>
      </c>
      <c r="I42">
        <v>4</v>
      </c>
      <c r="J42">
        <v>0</v>
      </c>
      <c r="K42" s="9">
        <v>4.375</v>
      </c>
    </row>
    <row r="43" spans="1:11" x14ac:dyDescent="0.45">
      <c r="A43" t="s">
        <v>15</v>
      </c>
      <c r="B43" t="s">
        <v>625</v>
      </c>
      <c r="C43" t="s">
        <v>7</v>
      </c>
      <c r="D43">
        <v>2</v>
      </c>
      <c r="E43" t="s">
        <v>304</v>
      </c>
      <c r="F43" t="s">
        <v>622</v>
      </c>
      <c r="G43">
        <v>26</v>
      </c>
      <c r="H43">
        <v>30</v>
      </c>
      <c r="I43">
        <v>0</v>
      </c>
      <c r="J43">
        <v>1</v>
      </c>
      <c r="K43" s="9">
        <v>3.6774193548387095</v>
      </c>
    </row>
    <row r="44" spans="1:11" x14ac:dyDescent="0.45">
      <c r="A44" t="s">
        <v>15</v>
      </c>
      <c r="B44" t="s">
        <v>625</v>
      </c>
      <c r="C44" t="s">
        <v>7</v>
      </c>
      <c r="D44">
        <v>3</v>
      </c>
      <c r="E44" t="s">
        <v>315</v>
      </c>
      <c r="F44" t="s">
        <v>622</v>
      </c>
      <c r="G44">
        <v>6</v>
      </c>
      <c r="H44">
        <v>5</v>
      </c>
      <c r="I44">
        <v>1</v>
      </c>
      <c r="J44">
        <v>0</v>
      </c>
      <c r="K44" s="9">
        <v>5.132075471698113</v>
      </c>
    </row>
    <row r="45" spans="1:11" x14ac:dyDescent="0.45">
      <c r="A45" t="s">
        <v>15</v>
      </c>
      <c r="B45" t="s">
        <v>625</v>
      </c>
      <c r="C45" t="s">
        <v>7</v>
      </c>
      <c r="D45">
        <v>4</v>
      </c>
      <c r="E45" t="s">
        <v>306</v>
      </c>
      <c r="F45" t="s">
        <v>622</v>
      </c>
      <c r="G45">
        <v>23</v>
      </c>
      <c r="H45">
        <v>25</v>
      </c>
      <c r="I45">
        <v>1</v>
      </c>
      <c r="J45">
        <v>1</v>
      </c>
      <c r="K45" s="9">
        <v>4.4782608695652177</v>
      </c>
    </row>
    <row r="46" spans="1:11" x14ac:dyDescent="0.45">
      <c r="A46" t="s">
        <v>15</v>
      </c>
      <c r="B46" t="s">
        <v>625</v>
      </c>
      <c r="C46" t="s">
        <v>7</v>
      </c>
      <c r="D46">
        <v>5</v>
      </c>
      <c r="E46" t="s">
        <v>308</v>
      </c>
      <c r="F46" t="s">
        <v>622</v>
      </c>
      <c r="G46">
        <v>26</v>
      </c>
      <c r="H46">
        <v>15</v>
      </c>
      <c r="I46">
        <v>0</v>
      </c>
      <c r="J46">
        <v>3</v>
      </c>
      <c r="K46" s="9">
        <v>4.7777777777777777</v>
      </c>
    </row>
    <row r="47" spans="1:11" x14ac:dyDescent="0.45">
      <c r="A47" t="s">
        <v>15</v>
      </c>
      <c r="B47" t="s">
        <v>625</v>
      </c>
      <c r="C47" t="s">
        <v>7</v>
      </c>
      <c r="D47">
        <v>6</v>
      </c>
      <c r="E47" t="s">
        <v>311</v>
      </c>
      <c r="F47" t="s">
        <v>622</v>
      </c>
      <c r="G47">
        <v>10</v>
      </c>
      <c r="H47">
        <v>12</v>
      </c>
      <c r="I47">
        <v>1</v>
      </c>
      <c r="J47">
        <v>0</v>
      </c>
      <c r="K47" s="9">
        <v>4.8024691358024691</v>
      </c>
    </row>
    <row r="48" spans="1:11" x14ac:dyDescent="0.45">
      <c r="A48" t="s">
        <v>15</v>
      </c>
      <c r="B48" t="s">
        <v>625</v>
      </c>
      <c r="C48" t="s">
        <v>7</v>
      </c>
      <c r="D48">
        <v>7</v>
      </c>
      <c r="E48" t="s">
        <v>310</v>
      </c>
      <c r="F48" t="s">
        <v>623</v>
      </c>
      <c r="G48">
        <v>5</v>
      </c>
      <c r="H48">
        <v>7</v>
      </c>
      <c r="I48">
        <v>0</v>
      </c>
      <c r="J48">
        <v>0</v>
      </c>
      <c r="K48" s="9">
        <v>4.927835051546392</v>
      </c>
    </row>
    <row r="49" spans="1:11" x14ac:dyDescent="0.45">
      <c r="A49" t="s">
        <v>15</v>
      </c>
      <c r="B49" t="s">
        <v>625</v>
      </c>
      <c r="C49" t="s">
        <v>7</v>
      </c>
      <c r="D49">
        <v>8</v>
      </c>
      <c r="E49" t="s">
        <v>313</v>
      </c>
      <c r="F49" t="s">
        <v>623</v>
      </c>
      <c r="G49">
        <v>9</v>
      </c>
      <c r="H49">
        <v>6</v>
      </c>
      <c r="I49">
        <v>1</v>
      </c>
      <c r="J49">
        <v>0</v>
      </c>
      <c r="K49" s="9">
        <v>5.4565217391304346</v>
      </c>
    </row>
    <row r="50" spans="1:11" x14ac:dyDescent="0.45">
      <c r="A50" t="s">
        <v>16</v>
      </c>
      <c r="B50" t="s">
        <v>626</v>
      </c>
      <c r="C50" t="s">
        <v>10</v>
      </c>
      <c r="D50">
        <v>1</v>
      </c>
      <c r="E50" t="s">
        <v>329</v>
      </c>
      <c r="F50" t="s">
        <v>622</v>
      </c>
      <c r="G50">
        <v>60</v>
      </c>
      <c r="H50">
        <v>34</v>
      </c>
      <c r="I50">
        <v>7</v>
      </c>
      <c r="J50">
        <v>3</v>
      </c>
      <c r="K50" s="9">
        <v>4.4137931034482758</v>
      </c>
    </row>
    <row r="51" spans="1:11" x14ac:dyDescent="0.45">
      <c r="A51" t="s">
        <v>16</v>
      </c>
      <c r="B51" t="s">
        <v>626</v>
      </c>
      <c r="C51" t="s">
        <v>10</v>
      </c>
      <c r="D51">
        <v>2</v>
      </c>
      <c r="E51" t="s">
        <v>330</v>
      </c>
      <c r="F51" t="s">
        <v>622</v>
      </c>
      <c r="G51">
        <v>7</v>
      </c>
      <c r="H51">
        <v>7</v>
      </c>
      <c r="I51">
        <v>1</v>
      </c>
      <c r="J51">
        <v>0</v>
      </c>
      <c r="K51" s="9">
        <v>4.927835051546392</v>
      </c>
    </row>
    <row r="52" spans="1:11" x14ac:dyDescent="0.45">
      <c r="A52" t="s">
        <v>16</v>
      </c>
      <c r="B52" t="s">
        <v>626</v>
      </c>
      <c r="C52" t="s">
        <v>10</v>
      </c>
      <c r="D52">
        <v>3</v>
      </c>
      <c r="E52" t="s">
        <v>332</v>
      </c>
      <c r="F52" t="s">
        <v>622</v>
      </c>
      <c r="G52">
        <v>1</v>
      </c>
      <c r="H52">
        <v>8</v>
      </c>
      <c r="I52">
        <v>0</v>
      </c>
      <c r="J52">
        <v>0</v>
      </c>
      <c r="K52" s="9">
        <v>4.9029126213592233</v>
      </c>
    </row>
    <row r="53" spans="1:11" x14ac:dyDescent="0.45">
      <c r="A53" t="s">
        <v>16</v>
      </c>
      <c r="B53" t="s">
        <v>626</v>
      </c>
      <c r="C53" t="s">
        <v>10</v>
      </c>
      <c r="D53">
        <v>4</v>
      </c>
      <c r="E53" t="s">
        <v>337</v>
      </c>
      <c r="F53" t="s">
        <v>622</v>
      </c>
      <c r="G53">
        <v>10</v>
      </c>
      <c r="H53">
        <v>11</v>
      </c>
      <c r="I53">
        <v>1</v>
      </c>
      <c r="J53">
        <v>0</v>
      </c>
      <c r="K53" s="9">
        <v>4.9649122807017543</v>
      </c>
    </row>
    <row r="54" spans="1:11" x14ac:dyDescent="0.45">
      <c r="A54" t="s">
        <v>16</v>
      </c>
      <c r="B54" t="s">
        <v>626</v>
      </c>
      <c r="C54" t="s">
        <v>10</v>
      </c>
      <c r="D54">
        <v>5</v>
      </c>
      <c r="E54" t="s">
        <v>334</v>
      </c>
      <c r="F54" t="s">
        <v>623</v>
      </c>
      <c r="G54">
        <v>51</v>
      </c>
      <c r="H54">
        <v>35</v>
      </c>
      <c r="I54">
        <v>3</v>
      </c>
      <c r="J54">
        <v>2</v>
      </c>
      <c r="K54" s="9">
        <v>3.5769230769230771</v>
      </c>
    </row>
    <row r="55" spans="1:11" x14ac:dyDescent="0.45">
      <c r="A55" t="s">
        <v>16</v>
      </c>
      <c r="B55" t="s">
        <v>626</v>
      </c>
      <c r="C55" t="s">
        <v>10</v>
      </c>
      <c r="D55">
        <v>6</v>
      </c>
      <c r="E55" t="s">
        <v>336</v>
      </c>
      <c r="F55" t="s">
        <v>622</v>
      </c>
      <c r="G55">
        <v>37</v>
      </c>
      <c r="H55">
        <v>24</v>
      </c>
      <c r="I55">
        <v>3</v>
      </c>
      <c r="J55">
        <v>1</v>
      </c>
      <c r="K55" s="9">
        <v>4.0606060606060606</v>
      </c>
    </row>
    <row r="56" spans="1:11" x14ac:dyDescent="0.45">
      <c r="A56" t="s">
        <v>16</v>
      </c>
      <c r="B56" t="s">
        <v>626</v>
      </c>
      <c r="C56" t="s">
        <v>10</v>
      </c>
      <c r="D56">
        <v>7</v>
      </c>
      <c r="E56" t="s">
        <v>354</v>
      </c>
      <c r="F56" t="s">
        <v>623</v>
      </c>
      <c r="G56">
        <v>0</v>
      </c>
      <c r="H56">
        <v>1</v>
      </c>
      <c r="I56">
        <v>0</v>
      </c>
      <c r="J56">
        <v>0</v>
      </c>
      <c r="K56" s="9">
        <v>6.5693779904306222</v>
      </c>
    </row>
    <row r="57" spans="1:11" x14ac:dyDescent="0.45">
      <c r="A57" t="s">
        <v>16</v>
      </c>
      <c r="B57" t="s">
        <v>626</v>
      </c>
      <c r="C57" t="s">
        <v>6</v>
      </c>
      <c r="D57">
        <v>1</v>
      </c>
      <c r="E57" t="s">
        <v>290</v>
      </c>
      <c r="F57" t="s">
        <v>622</v>
      </c>
      <c r="G57">
        <v>70</v>
      </c>
      <c r="H57">
        <v>50</v>
      </c>
      <c r="I57">
        <v>5</v>
      </c>
      <c r="J57">
        <v>2</v>
      </c>
      <c r="K57" s="9">
        <v>2.9047619047619047</v>
      </c>
    </row>
    <row r="58" spans="1:11" x14ac:dyDescent="0.45">
      <c r="A58" t="s">
        <v>16</v>
      </c>
      <c r="B58" t="s">
        <v>626</v>
      </c>
      <c r="C58" t="s">
        <v>6</v>
      </c>
      <c r="D58">
        <v>2</v>
      </c>
      <c r="E58" t="s">
        <v>294</v>
      </c>
      <c r="F58" t="s">
        <v>622</v>
      </c>
      <c r="G58">
        <v>1</v>
      </c>
      <c r="H58">
        <v>2</v>
      </c>
      <c r="I58">
        <v>0</v>
      </c>
      <c r="J58">
        <v>0</v>
      </c>
      <c r="K58" s="9">
        <v>6.1385542168674698</v>
      </c>
    </row>
    <row r="59" spans="1:11" x14ac:dyDescent="0.45">
      <c r="A59" t="s">
        <v>16</v>
      </c>
      <c r="B59" t="s">
        <v>626</v>
      </c>
      <c r="C59" t="s">
        <v>6</v>
      </c>
      <c r="D59">
        <v>3</v>
      </c>
      <c r="E59" t="s">
        <v>297</v>
      </c>
      <c r="F59" t="s">
        <v>622</v>
      </c>
      <c r="G59">
        <v>63</v>
      </c>
      <c r="H59">
        <v>44</v>
      </c>
      <c r="I59">
        <v>7</v>
      </c>
      <c r="J59">
        <v>2</v>
      </c>
      <c r="K59" s="9">
        <v>3.35</v>
      </c>
    </row>
    <row r="60" spans="1:11" x14ac:dyDescent="0.45">
      <c r="A60" t="s">
        <v>16</v>
      </c>
      <c r="B60" t="s">
        <v>626</v>
      </c>
      <c r="C60" t="s">
        <v>6</v>
      </c>
      <c r="D60">
        <v>4</v>
      </c>
      <c r="E60" t="s">
        <v>326</v>
      </c>
      <c r="F60" t="s">
        <v>622</v>
      </c>
      <c r="G60">
        <v>0</v>
      </c>
      <c r="H60">
        <v>1</v>
      </c>
      <c r="I60">
        <v>0</v>
      </c>
      <c r="J60">
        <v>0</v>
      </c>
      <c r="K60" s="9">
        <v>6.5693779904306222</v>
      </c>
    </row>
    <row r="61" spans="1:11" x14ac:dyDescent="0.45">
      <c r="A61" t="s">
        <v>16</v>
      </c>
      <c r="B61" t="s">
        <v>626</v>
      </c>
      <c r="C61" t="s">
        <v>6</v>
      </c>
      <c r="D61">
        <v>5</v>
      </c>
      <c r="E61" t="s">
        <v>355</v>
      </c>
      <c r="F61" t="s">
        <v>622</v>
      </c>
      <c r="G61">
        <v>1</v>
      </c>
      <c r="H61">
        <v>3</v>
      </c>
      <c r="I61">
        <v>0</v>
      </c>
      <c r="J61">
        <v>0</v>
      </c>
      <c r="K61" s="9">
        <v>5.6607142857142856</v>
      </c>
    </row>
    <row r="62" spans="1:11" x14ac:dyDescent="0.45">
      <c r="A62" t="s">
        <v>16</v>
      </c>
      <c r="B62" t="s">
        <v>626</v>
      </c>
      <c r="C62" t="s">
        <v>6</v>
      </c>
      <c r="D62">
        <v>6</v>
      </c>
      <c r="E62" t="s">
        <v>299</v>
      </c>
      <c r="F62" t="s">
        <v>622</v>
      </c>
      <c r="G62">
        <v>16</v>
      </c>
      <c r="H62">
        <v>12</v>
      </c>
      <c r="I62">
        <v>2</v>
      </c>
      <c r="J62">
        <v>0</v>
      </c>
      <c r="K62" s="9">
        <v>4.8024691358024691</v>
      </c>
    </row>
    <row r="63" spans="1:11" x14ac:dyDescent="0.45">
      <c r="A63" t="s">
        <v>16</v>
      </c>
      <c r="B63" t="s">
        <v>626</v>
      </c>
      <c r="C63" t="s">
        <v>6</v>
      </c>
      <c r="D63">
        <v>7</v>
      </c>
      <c r="E63" t="s">
        <v>356</v>
      </c>
      <c r="F63" t="s">
        <v>623</v>
      </c>
      <c r="G63">
        <v>18</v>
      </c>
      <c r="H63">
        <v>6</v>
      </c>
      <c r="I63">
        <v>3</v>
      </c>
      <c r="J63">
        <v>1</v>
      </c>
      <c r="K63" s="9">
        <v>5.4565217391304346</v>
      </c>
    </row>
    <row r="64" spans="1:11" x14ac:dyDescent="0.45">
      <c r="A64" t="s">
        <v>16</v>
      </c>
      <c r="B64" t="s">
        <v>626</v>
      </c>
      <c r="C64" t="s">
        <v>6</v>
      </c>
      <c r="D64">
        <v>8</v>
      </c>
      <c r="E64" t="s">
        <v>328</v>
      </c>
      <c r="F64" t="s">
        <v>623</v>
      </c>
      <c r="G64">
        <v>0</v>
      </c>
      <c r="H64">
        <v>0</v>
      </c>
      <c r="I64">
        <v>0</v>
      </c>
      <c r="J64">
        <v>0</v>
      </c>
      <c r="K64" s="9">
        <v>6.2519685039370083</v>
      </c>
    </row>
    <row r="65" spans="1:11" x14ac:dyDescent="0.45">
      <c r="A65" t="s">
        <v>18</v>
      </c>
      <c r="B65" t="s">
        <v>627</v>
      </c>
      <c r="C65" t="s">
        <v>10</v>
      </c>
      <c r="D65">
        <v>1</v>
      </c>
      <c r="E65" t="s">
        <v>329</v>
      </c>
      <c r="F65" t="s">
        <v>622</v>
      </c>
      <c r="G65">
        <v>48</v>
      </c>
      <c r="H65">
        <v>31</v>
      </c>
      <c r="I65">
        <v>4</v>
      </c>
      <c r="J65">
        <v>2</v>
      </c>
      <c r="K65" s="9">
        <v>3.4375</v>
      </c>
    </row>
    <row r="66" spans="1:11" x14ac:dyDescent="0.45">
      <c r="A66" t="s">
        <v>18</v>
      </c>
      <c r="B66" t="s">
        <v>627</v>
      </c>
      <c r="C66" t="s">
        <v>10</v>
      </c>
      <c r="D66">
        <v>2</v>
      </c>
      <c r="E66" t="s">
        <v>330</v>
      </c>
      <c r="F66" t="s">
        <v>622</v>
      </c>
      <c r="G66">
        <v>43</v>
      </c>
      <c r="H66">
        <v>35</v>
      </c>
      <c r="I66">
        <v>3</v>
      </c>
      <c r="J66">
        <v>2</v>
      </c>
      <c r="K66" s="9">
        <v>3.5769230769230771</v>
      </c>
    </row>
    <row r="67" spans="1:11" x14ac:dyDescent="0.45">
      <c r="A67" t="s">
        <v>18</v>
      </c>
      <c r="B67" t="s">
        <v>627</v>
      </c>
      <c r="C67" t="s">
        <v>10</v>
      </c>
      <c r="D67">
        <v>3</v>
      </c>
      <c r="E67" t="s">
        <v>334</v>
      </c>
      <c r="F67" t="s">
        <v>622</v>
      </c>
      <c r="G67">
        <v>10</v>
      </c>
      <c r="H67">
        <v>8</v>
      </c>
      <c r="I67">
        <v>1</v>
      </c>
      <c r="J67">
        <v>0</v>
      </c>
      <c r="K67" s="9">
        <v>4.9029126213592233</v>
      </c>
    </row>
    <row r="68" spans="1:11" x14ac:dyDescent="0.45">
      <c r="A68" t="s">
        <v>18</v>
      </c>
      <c r="B68" t="s">
        <v>627</v>
      </c>
      <c r="C68" t="s">
        <v>10</v>
      </c>
      <c r="D68">
        <v>4</v>
      </c>
      <c r="E68" t="s">
        <v>332</v>
      </c>
      <c r="F68" t="s">
        <v>622</v>
      </c>
      <c r="G68">
        <v>18</v>
      </c>
      <c r="H68">
        <v>18</v>
      </c>
      <c r="I68">
        <v>1</v>
      </c>
      <c r="J68">
        <v>0</v>
      </c>
      <c r="K68" s="9">
        <v>4.375</v>
      </c>
    </row>
    <row r="69" spans="1:11" x14ac:dyDescent="0.45">
      <c r="A69" t="s">
        <v>18</v>
      </c>
      <c r="B69" t="s">
        <v>627</v>
      </c>
      <c r="C69" t="s">
        <v>10</v>
      </c>
      <c r="D69">
        <v>5</v>
      </c>
      <c r="E69" t="s">
        <v>336</v>
      </c>
      <c r="F69" t="s">
        <v>622</v>
      </c>
      <c r="G69">
        <v>29</v>
      </c>
      <c r="H69">
        <v>22</v>
      </c>
      <c r="I69">
        <v>2</v>
      </c>
      <c r="J69">
        <v>2</v>
      </c>
      <c r="K69" s="9">
        <v>4.4423076923076925</v>
      </c>
    </row>
    <row r="70" spans="1:11" x14ac:dyDescent="0.45">
      <c r="A70" t="s">
        <v>18</v>
      </c>
      <c r="B70" t="s">
        <v>627</v>
      </c>
      <c r="C70" t="s">
        <v>10</v>
      </c>
      <c r="D70">
        <v>6</v>
      </c>
      <c r="E70" t="s">
        <v>357</v>
      </c>
      <c r="F70" t="s">
        <v>623</v>
      </c>
      <c r="G70">
        <v>7</v>
      </c>
      <c r="H70">
        <v>7</v>
      </c>
      <c r="I70">
        <v>1</v>
      </c>
      <c r="J70">
        <v>0</v>
      </c>
      <c r="K70" s="9">
        <v>4.927835051546392</v>
      </c>
    </row>
    <row r="71" spans="1:11" x14ac:dyDescent="0.45">
      <c r="A71" t="s">
        <v>18</v>
      </c>
      <c r="B71" t="s">
        <v>627</v>
      </c>
      <c r="C71" t="s">
        <v>13</v>
      </c>
      <c r="D71">
        <v>1</v>
      </c>
      <c r="E71" t="s">
        <v>343</v>
      </c>
      <c r="F71" t="s">
        <v>622</v>
      </c>
      <c r="G71">
        <v>4</v>
      </c>
      <c r="H71">
        <v>8</v>
      </c>
      <c r="I71">
        <v>0</v>
      </c>
      <c r="J71">
        <v>0</v>
      </c>
      <c r="K71" s="9">
        <v>4.9029126213592233</v>
      </c>
    </row>
    <row r="72" spans="1:11" x14ac:dyDescent="0.45">
      <c r="A72" t="s">
        <v>18</v>
      </c>
      <c r="B72" t="s">
        <v>627</v>
      </c>
      <c r="C72" t="s">
        <v>13</v>
      </c>
      <c r="D72">
        <v>2</v>
      </c>
      <c r="E72" t="s">
        <v>342</v>
      </c>
      <c r="F72" t="s">
        <v>622</v>
      </c>
      <c r="G72">
        <v>0</v>
      </c>
      <c r="H72">
        <v>1</v>
      </c>
      <c r="I72">
        <v>0</v>
      </c>
      <c r="J72">
        <v>0</v>
      </c>
      <c r="K72" s="9">
        <v>6.5693779904306222</v>
      </c>
    </row>
    <row r="73" spans="1:11" x14ac:dyDescent="0.45">
      <c r="A73" t="s">
        <v>18</v>
      </c>
      <c r="B73" t="s">
        <v>627</v>
      </c>
      <c r="C73" t="s">
        <v>13</v>
      </c>
      <c r="D73">
        <v>3</v>
      </c>
      <c r="E73" t="s">
        <v>344</v>
      </c>
      <c r="F73" t="s">
        <v>623</v>
      </c>
      <c r="G73">
        <v>78</v>
      </c>
      <c r="H73">
        <v>52</v>
      </c>
      <c r="I73">
        <v>3</v>
      </c>
      <c r="J73">
        <v>4</v>
      </c>
      <c r="K73" s="9">
        <v>2.9090909090909092</v>
      </c>
    </row>
    <row r="74" spans="1:11" x14ac:dyDescent="0.45">
      <c r="A74" t="s">
        <v>18</v>
      </c>
      <c r="B74" t="s">
        <v>627</v>
      </c>
      <c r="C74" t="s">
        <v>13</v>
      </c>
      <c r="D74">
        <v>4</v>
      </c>
      <c r="E74" t="s">
        <v>346</v>
      </c>
      <c r="F74" t="s">
        <v>622</v>
      </c>
      <c r="G74">
        <v>26</v>
      </c>
      <c r="H74">
        <v>26</v>
      </c>
      <c r="I74">
        <v>2</v>
      </c>
      <c r="J74">
        <v>1</v>
      </c>
      <c r="K74" s="9">
        <v>4.1568627450980395</v>
      </c>
    </row>
    <row r="75" spans="1:11" x14ac:dyDescent="0.45">
      <c r="A75" t="s">
        <v>18</v>
      </c>
      <c r="B75" t="s">
        <v>627</v>
      </c>
      <c r="C75" t="s">
        <v>13</v>
      </c>
      <c r="D75">
        <v>5</v>
      </c>
      <c r="E75" t="s">
        <v>345</v>
      </c>
      <c r="F75" t="s">
        <v>623</v>
      </c>
      <c r="G75">
        <v>51</v>
      </c>
      <c r="H75">
        <v>33</v>
      </c>
      <c r="I75">
        <v>8</v>
      </c>
      <c r="J75">
        <v>0</v>
      </c>
      <c r="K75" s="9">
        <v>2.8421052631578947</v>
      </c>
    </row>
    <row r="76" spans="1:11" x14ac:dyDescent="0.45">
      <c r="A76" t="s">
        <v>22</v>
      </c>
      <c r="B76" t="s">
        <v>628</v>
      </c>
      <c r="C76" t="s">
        <v>19</v>
      </c>
      <c r="D76">
        <v>1</v>
      </c>
      <c r="E76" t="s">
        <v>359</v>
      </c>
      <c r="F76" t="s">
        <v>622</v>
      </c>
      <c r="G76">
        <v>18</v>
      </c>
      <c r="H76">
        <v>13</v>
      </c>
      <c r="I76">
        <v>3</v>
      </c>
      <c r="J76">
        <v>0</v>
      </c>
      <c r="K76" s="9">
        <v>4.8939393939393936</v>
      </c>
    </row>
    <row r="77" spans="1:11" x14ac:dyDescent="0.45">
      <c r="A77" t="s">
        <v>22</v>
      </c>
      <c r="B77" t="s">
        <v>628</v>
      </c>
      <c r="C77" t="s">
        <v>19</v>
      </c>
      <c r="D77">
        <v>2</v>
      </c>
      <c r="E77" t="s">
        <v>360</v>
      </c>
      <c r="F77" t="s">
        <v>622</v>
      </c>
      <c r="G77">
        <v>84</v>
      </c>
      <c r="H77">
        <v>32</v>
      </c>
      <c r="I77">
        <v>11</v>
      </c>
      <c r="J77">
        <v>4</v>
      </c>
      <c r="K77" s="9">
        <v>3.9375</v>
      </c>
    </row>
    <row r="78" spans="1:11" x14ac:dyDescent="0.45">
      <c r="A78" t="s">
        <v>22</v>
      </c>
      <c r="B78" t="s">
        <v>628</v>
      </c>
      <c r="C78" t="s">
        <v>19</v>
      </c>
      <c r="D78">
        <v>3</v>
      </c>
      <c r="E78" t="s">
        <v>361</v>
      </c>
      <c r="F78" t="s">
        <v>622</v>
      </c>
      <c r="G78">
        <v>10</v>
      </c>
      <c r="H78">
        <v>8</v>
      </c>
      <c r="I78">
        <v>0</v>
      </c>
      <c r="J78">
        <v>1</v>
      </c>
      <c r="K78" s="9">
        <v>4.9029126213592233</v>
      </c>
    </row>
    <row r="79" spans="1:11" x14ac:dyDescent="0.45">
      <c r="A79" t="s">
        <v>22</v>
      </c>
      <c r="B79" t="s">
        <v>628</v>
      </c>
      <c r="C79" t="s">
        <v>19</v>
      </c>
      <c r="D79">
        <v>4</v>
      </c>
      <c r="E79" t="s">
        <v>362</v>
      </c>
      <c r="F79" t="s">
        <v>622</v>
      </c>
      <c r="G79">
        <v>13</v>
      </c>
      <c r="H79">
        <v>12</v>
      </c>
      <c r="I79">
        <v>1</v>
      </c>
      <c r="J79">
        <v>0</v>
      </c>
      <c r="K79" s="9">
        <v>4.8024691358024691</v>
      </c>
    </row>
    <row r="80" spans="1:11" x14ac:dyDescent="0.45">
      <c r="A80" t="s">
        <v>22</v>
      </c>
      <c r="B80" t="s">
        <v>628</v>
      </c>
      <c r="C80" t="s">
        <v>19</v>
      </c>
      <c r="D80">
        <v>5</v>
      </c>
      <c r="E80" t="s">
        <v>363</v>
      </c>
      <c r="F80" t="s">
        <v>622</v>
      </c>
      <c r="G80">
        <v>82</v>
      </c>
      <c r="H80">
        <v>40</v>
      </c>
      <c r="I80">
        <v>13</v>
      </c>
      <c r="J80">
        <v>3</v>
      </c>
      <c r="K80" s="9">
        <v>4</v>
      </c>
    </row>
    <row r="81" spans="1:11" x14ac:dyDescent="0.45">
      <c r="A81" t="s">
        <v>22</v>
      </c>
      <c r="B81" t="s">
        <v>628</v>
      </c>
      <c r="C81" t="s">
        <v>19</v>
      </c>
      <c r="D81">
        <v>6</v>
      </c>
      <c r="E81" t="s">
        <v>365</v>
      </c>
      <c r="F81" t="s">
        <v>622</v>
      </c>
      <c r="G81">
        <v>0</v>
      </c>
      <c r="H81">
        <v>1</v>
      </c>
      <c r="I81">
        <v>0</v>
      </c>
      <c r="J81">
        <v>0</v>
      </c>
      <c r="K81" s="9">
        <v>6.5693779904306222</v>
      </c>
    </row>
    <row r="82" spans="1:11" x14ac:dyDescent="0.45">
      <c r="A82" t="s">
        <v>22</v>
      </c>
      <c r="B82" t="s">
        <v>628</v>
      </c>
      <c r="C82" t="s">
        <v>19</v>
      </c>
      <c r="D82">
        <v>7</v>
      </c>
      <c r="E82" t="s">
        <v>366</v>
      </c>
      <c r="F82" t="s">
        <v>622</v>
      </c>
      <c r="G82">
        <v>9</v>
      </c>
      <c r="H82">
        <v>7</v>
      </c>
      <c r="I82">
        <v>1</v>
      </c>
      <c r="J82">
        <v>0</v>
      </c>
      <c r="K82" s="9">
        <v>4.927835051546392</v>
      </c>
    </row>
    <row r="83" spans="1:11" x14ac:dyDescent="0.45">
      <c r="A83" t="s">
        <v>22</v>
      </c>
      <c r="B83" t="s">
        <v>628</v>
      </c>
      <c r="C83" t="s">
        <v>19</v>
      </c>
      <c r="D83">
        <v>8</v>
      </c>
      <c r="E83" t="s">
        <v>367</v>
      </c>
      <c r="F83" t="s">
        <v>622</v>
      </c>
      <c r="G83">
        <v>3</v>
      </c>
      <c r="H83">
        <v>3</v>
      </c>
      <c r="I83">
        <v>0</v>
      </c>
      <c r="J83">
        <v>0</v>
      </c>
      <c r="K83" s="9">
        <v>5.6607142857142856</v>
      </c>
    </row>
    <row r="84" spans="1:11" x14ac:dyDescent="0.45">
      <c r="A84" t="s">
        <v>22</v>
      </c>
      <c r="B84" t="s">
        <v>628</v>
      </c>
      <c r="C84" t="s">
        <v>19</v>
      </c>
      <c r="D84">
        <v>9</v>
      </c>
      <c r="E84" t="s">
        <v>368</v>
      </c>
      <c r="F84" t="s">
        <v>622</v>
      </c>
      <c r="G84">
        <v>0</v>
      </c>
      <c r="H84">
        <v>2</v>
      </c>
      <c r="I84">
        <v>0</v>
      </c>
      <c r="J84">
        <v>0</v>
      </c>
      <c r="K84" s="9">
        <v>6.1385542168674698</v>
      </c>
    </row>
    <row r="85" spans="1:11" x14ac:dyDescent="0.45">
      <c r="A85" t="s">
        <v>22</v>
      </c>
      <c r="B85" t="s">
        <v>628</v>
      </c>
      <c r="C85" t="s">
        <v>19</v>
      </c>
      <c r="D85">
        <v>10</v>
      </c>
      <c r="E85" t="s">
        <v>369</v>
      </c>
      <c r="F85" t="s">
        <v>623</v>
      </c>
      <c r="G85">
        <v>5</v>
      </c>
      <c r="H85">
        <v>2</v>
      </c>
      <c r="I85">
        <v>1</v>
      </c>
      <c r="J85">
        <v>0</v>
      </c>
      <c r="K85" s="9">
        <v>6.1385542168674698</v>
      </c>
    </row>
    <row r="86" spans="1:11" x14ac:dyDescent="0.45">
      <c r="A86" t="s">
        <v>22</v>
      </c>
      <c r="B86" t="s">
        <v>628</v>
      </c>
      <c r="C86" t="s">
        <v>19</v>
      </c>
      <c r="D86">
        <v>11</v>
      </c>
      <c r="E86" t="s">
        <v>370</v>
      </c>
      <c r="F86" t="s">
        <v>623</v>
      </c>
      <c r="G86">
        <v>0</v>
      </c>
      <c r="H86">
        <v>0</v>
      </c>
      <c r="I86">
        <v>0</v>
      </c>
      <c r="J86">
        <v>0</v>
      </c>
      <c r="K86" s="9">
        <v>6.2519685039370083</v>
      </c>
    </row>
    <row r="87" spans="1:11" x14ac:dyDescent="0.45">
      <c r="A87" t="s">
        <v>22</v>
      </c>
      <c r="B87" t="s">
        <v>628</v>
      </c>
      <c r="C87" t="s">
        <v>20</v>
      </c>
      <c r="D87">
        <v>1</v>
      </c>
      <c r="E87" t="s">
        <v>372</v>
      </c>
      <c r="F87" t="s">
        <v>622</v>
      </c>
      <c r="G87">
        <v>34</v>
      </c>
      <c r="H87">
        <v>21</v>
      </c>
      <c r="I87">
        <v>6</v>
      </c>
      <c r="J87">
        <v>0</v>
      </c>
      <c r="K87" s="9">
        <v>4.3770491803278686</v>
      </c>
    </row>
    <row r="88" spans="1:11" x14ac:dyDescent="0.45">
      <c r="A88" t="s">
        <v>22</v>
      </c>
      <c r="B88" t="s">
        <v>628</v>
      </c>
      <c r="C88" t="s">
        <v>20</v>
      </c>
      <c r="D88">
        <v>2</v>
      </c>
      <c r="E88" t="s">
        <v>373</v>
      </c>
      <c r="F88" t="s">
        <v>622</v>
      </c>
      <c r="G88">
        <v>33</v>
      </c>
      <c r="H88">
        <v>16</v>
      </c>
      <c r="I88">
        <v>4</v>
      </c>
      <c r="J88">
        <v>1</v>
      </c>
      <c r="K88" s="9">
        <v>4.7608695652173916</v>
      </c>
    </row>
    <row r="89" spans="1:11" x14ac:dyDescent="0.45">
      <c r="A89" t="s">
        <v>22</v>
      </c>
      <c r="B89" t="s">
        <v>628</v>
      </c>
      <c r="C89" t="s">
        <v>20</v>
      </c>
      <c r="D89">
        <v>3</v>
      </c>
      <c r="E89" t="s">
        <v>374</v>
      </c>
      <c r="F89" t="s">
        <v>623</v>
      </c>
      <c r="G89">
        <v>69</v>
      </c>
      <c r="H89">
        <v>41</v>
      </c>
      <c r="I89">
        <v>7</v>
      </c>
      <c r="J89">
        <v>2</v>
      </c>
      <c r="K89" s="9">
        <v>3.0909090909090908</v>
      </c>
    </row>
    <row r="90" spans="1:11" x14ac:dyDescent="0.45">
      <c r="A90" t="s">
        <v>22</v>
      </c>
      <c r="B90" t="s">
        <v>628</v>
      </c>
      <c r="C90" t="s">
        <v>20</v>
      </c>
      <c r="D90">
        <v>4</v>
      </c>
      <c r="E90" t="s">
        <v>375</v>
      </c>
      <c r="F90" t="s">
        <v>622</v>
      </c>
      <c r="G90">
        <v>3</v>
      </c>
      <c r="H90">
        <v>4</v>
      </c>
      <c r="I90">
        <v>0</v>
      </c>
      <c r="J90">
        <v>0</v>
      </c>
      <c r="K90" s="9">
        <v>5.352380952380952</v>
      </c>
    </row>
    <row r="91" spans="1:11" x14ac:dyDescent="0.45">
      <c r="A91" t="s">
        <v>22</v>
      </c>
      <c r="B91" t="s">
        <v>628</v>
      </c>
      <c r="C91" t="s">
        <v>20</v>
      </c>
      <c r="D91">
        <v>5</v>
      </c>
      <c r="E91" t="s">
        <v>376</v>
      </c>
      <c r="F91" t="s">
        <v>622</v>
      </c>
      <c r="G91">
        <v>2</v>
      </c>
      <c r="H91">
        <v>3</v>
      </c>
      <c r="I91">
        <v>0</v>
      </c>
      <c r="J91">
        <v>0</v>
      </c>
      <c r="K91" s="9">
        <v>5.6607142857142856</v>
      </c>
    </row>
    <row r="92" spans="1:11" x14ac:dyDescent="0.45">
      <c r="A92" t="s">
        <v>22</v>
      </c>
      <c r="B92" t="s">
        <v>628</v>
      </c>
      <c r="C92" t="s">
        <v>20</v>
      </c>
      <c r="D92">
        <v>6</v>
      </c>
      <c r="E92" t="s">
        <v>377</v>
      </c>
      <c r="F92" t="s">
        <v>622</v>
      </c>
      <c r="G92">
        <v>29</v>
      </c>
      <c r="H92">
        <v>21</v>
      </c>
      <c r="I92">
        <v>2</v>
      </c>
      <c r="J92">
        <v>1</v>
      </c>
      <c r="K92" s="9">
        <v>4.3770491803278686</v>
      </c>
    </row>
    <row r="93" spans="1:11" x14ac:dyDescent="0.45">
      <c r="A93" t="s">
        <v>22</v>
      </c>
      <c r="B93" t="s">
        <v>628</v>
      </c>
      <c r="C93" t="s">
        <v>20</v>
      </c>
      <c r="D93">
        <v>7</v>
      </c>
      <c r="E93" t="s">
        <v>378</v>
      </c>
      <c r="F93" t="s">
        <v>622</v>
      </c>
      <c r="G93">
        <v>1</v>
      </c>
      <c r="H93">
        <v>2</v>
      </c>
      <c r="I93">
        <v>0</v>
      </c>
      <c r="J93">
        <v>0</v>
      </c>
      <c r="K93" s="9">
        <v>6.1385542168674698</v>
      </c>
    </row>
    <row r="94" spans="1:11" x14ac:dyDescent="0.45">
      <c r="A94" t="s">
        <v>22</v>
      </c>
      <c r="B94" t="s">
        <v>628</v>
      </c>
      <c r="C94" t="s">
        <v>20</v>
      </c>
      <c r="D94">
        <v>8</v>
      </c>
      <c r="E94" t="s">
        <v>379</v>
      </c>
      <c r="F94" t="s">
        <v>622</v>
      </c>
      <c r="G94">
        <v>9</v>
      </c>
      <c r="H94">
        <v>5</v>
      </c>
      <c r="I94">
        <v>2</v>
      </c>
      <c r="J94">
        <v>0</v>
      </c>
      <c r="K94" s="9">
        <v>5.132075471698113</v>
      </c>
    </row>
    <row r="95" spans="1:11" x14ac:dyDescent="0.45">
      <c r="A95" t="s">
        <v>22</v>
      </c>
      <c r="B95" t="s">
        <v>628</v>
      </c>
      <c r="C95" t="s">
        <v>20</v>
      </c>
      <c r="D95">
        <v>9</v>
      </c>
      <c r="E95" t="s">
        <v>380</v>
      </c>
      <c r="F95" t="s">
        <v>622</v>
      </c>
      <c r="G95">
        <v>2</v>
      </c>
      <c r="H95">
        <v>5</v>
      </c>
      <c r="I95">
        <v>0</v>
      </c>
      <c r="J95">
        <v>0</v>
      </c>
      <c r="K95" s="9">
        <v>5.132075471698113</v>
      </c>
    </row>
    <row r="96" spans="1:11" x14ac:dyDescent="0.45">
      <c r="A96" t="s">
        <v>22</v>
      </c>
      <c r="B96" t="s">
        <v>628</v>
      </c>
      <c r="C96" t="s">
        <v>20</v>
      </c>
      <c r="D96">
        <v>10</v>
      </c>
      <c r="E96" t="s">
        <v>381</v>
      </c>
      <c r="F96" t="s">
        <v>623</v>
      </c>
      <c r="G96">
        <v>1</v>
      </c>
      <c r="H96">
        <v>3</v>
      </c>
      <c r="I96">
        <v>0</v>
      </c>
      <c r="J96">
        <v>0</v>
      </c>
      <c r="K96" s="9">
        <v>5.6607142857142856</v>
      </c>
    </row>
    <row r="97" spans="1:11" x14ac:dyDescent="0.45">
      <c r="A97" t="s">
        <v>25</v>
      </c>
      <c r="B97" t="s">
        <v>629</v>
      </c>
      <c r="C97" t="s">
        <v>7</v>
      </c>
      <c r="D97">
        <v>1</v>
      </c>
      <c r="E97" t="s">
        <v>302</v>
      </c>
      <c r="F97" t="s">
        <v>622</v>
      </c>
      <c r="G97">
        <v>56</v>
      </c>
      <c r="H97">
        <v>44</v>
      </c>
      <c r="I97">
        <v>4</v>
      </c>
      <c r="J97">
        <v>2</v>
      </c>
      <c r="K97" s="9">
        <v>3.35</v>
      </c>
    </row>
    <row r="98" spans="1:11" x14ac:dyDescent="0.45">
      <c r="A98" t="s">
        <v>25</v>
      </c>
      <c r="B98" t="s">
        <v>629</v>
      </c>
      <c r="C98" t="s">
        <v>7</v>
      </c>
      <c r="D98">
        <v>2</v>
      </c>
      <c r="E98" t="s">
        <v>304</v>
      </c>
      <c r="F98" t="s">
        <v>622</v>
      </c>
      <c r="G98">
        <v>38</v>
      </c>
      <c r="H98">
        <v>35</v>
      </c>
      <c r="I98">
        <v>3</v>
      </c>
      <c r="J98">
        <v>2</v>
      </c>
      <c r="K98" s="9">
        <v>3.5769230769230771</v>
      </c>
    </row>
    <row r="99" spans="1:11" x14ac:dyDescent="0.45">
      <c r="A99" t="s">
        <v>25</v>
      </c>
      <c r="B99" t="s">
        <v>629</v>
      </c>
      <c r="C99" t="s">
        <v>7</v>
      </c>
      <c r="D99">
        <v>3</v>
      </c>
      <c r="E99" t="s">
        <v>306</v>
      </c>
      <c r="F99" t="s">
        <v>622</v>
      </c>
      <c r="G99">
        <v>12</v>
      </c>
      <c r="H99">
        <v>5</v>
      </c>
      <c r="I99">
        <v>1</v>
      </c>
      <c r="J99">
        <v>1</v>
      </c>
      <c r="K99" s="9">
        <v>5.132075471698113</v>
      </c>
    </row>
    <row r="100" spans="1:11" x14ac:dyDescent="0.45">
      <c r="A100" t="s">
        <v>25</v>
      </c>
      <c r="B100" t="s">
        <v>629</v>
      </c>
      <c r="C100" t="s">
        <v>7</v>
      </c>
      <c r="D100">
        <v>4</v>
      </c>
      <c r="E100" t="s">
        <v>315</v>
      </c>
      <c r="F100" t="s">
        <v>622</v>
      </c>
      <c r="G100">
        <v>21</v>
      </c>
      <c r="H100">
        <v>14</v>
      </c>
      <c r="I100">
        <v>3</v>
      </c>
      <c r="J100">
        <v>0</v>
      </c>
      <c r="K100" s="9">
        <v>4.8461538461538458</v>
      </c>
    </row>
    <row r="101" spans="1:11" x14ac:dyDescent="0.45">
      <c r="A101" t="s">
        <v>25</v>
      </c>
      <c r="B101" t="s">
        <v>629</v>
      </c>
      <c r="C101" t="s">
        <v>7</v>
      </c>
      <c r="D101">
        <v>5</v>
      </c>
      <c r="E101" t="s">
        <v>311</v>
      </c>
      <c r="F101" t="s">
        <v>623</v>
      </c>
      <c r="G101">
        <v>14</v>
      </c>
      <c r="H101">
        <v>11</v>
      </c>
      <c r="I101">
        <v>0</v>
      </c>
      <c r="J101">
        <v>1</v>
      </c>
      <c r="K101" s="9">
        <v>4.9649122807017543</v>
      </c>
    </row>
    <row r="102" spans="1:11" x14ac:dyDescent="0.45">
      <c r="A102" t="s">
        <v>25</v>
      </c>
      <c r="B102" t="s">
        <v>629</v>
      </c>
      <c r="C102" t="s">
        <v>7</v>
      </c>
      <c r="D102">
        <v>6</v>
      </c>
      <c r="E102" t="s">
        <v>310</v>
      </c>
      <c r="F102" t="s">
        <v>623</v>
      </c>
      <c r="G102">
        <v>13</v>
      </c>
      <c r="H102">
        <v>11</v>
      </c>
      <c r="I102">
        <v>1</v>
      </c>
      <c r="J102">
        <v>1</v>
      </c>
      <c r="K102" s="9">
        <v>4.9649122807017543</v>
      </c>
    </row>
    <row r="103" spans="1:11" x14ac:dyDescent="0.45">
      <c r="A103" t="s">
        <v>25</v>
      </c>
      <c r="B103" t="s">
        <v>629</v>
      </c>
      <c r="C103" t="s">
        <v>23</v>
      </c>
      <c r="D103">
        <v>1</v>
      </c>
      <c r="E103" t="s">
        <v>383</v>
      </c>
      <c r="F103" t="s">
        <v>622</v>
      </c>
      <c r="G103">
        <v>0</v>
      </c>
      <c r="H103">
        <v>3</v>
      </c>
      <c r="I103">
        <v>0</v>
      </c>
      <c r="J103">
        <v>0</v>
      </c>
      <c r="K103" s="9">
        <v>5.6607142857142856</v>
      </c>
    </row>
    <row r="104" spans="1:11" x14ac:dyDescent="0.45">
      <c r="A104" t="s">
        <v>25</v>
      </c>
      <c r="B104" t="s">
        <v>629</v>
      </c>
      <c r="C104" t="s">
        <v>23</v>
      </c>
      <c r="D104">
        <v>2</v>
      </c>
      <c r="E104" t="s">
        <v>384</v>
      </c>
      <c r="F104" t="s">
        <v>622</v>
      </c>
      <c r="G104">
        <v>6</v>
      </c>
      <c r="H104">
        <v>6</v>
      </c>
      <c r="I104">
        <v>1</v>
      </c>
      <c r="J104">
        <v>0</v>
      </c>
      <c r="K104" s="9">
        <v>5.4565217391304346</v>
      </c>
    </row>
    <row r="105" spans="1:11" x14ac:dyDescent="0.45">
      <c r="A105" t="s">
        <v>25</v>
      </c>
      <c r="B105" t="s">
        <v>629</v>
      </c>
      <c r="C105" t="s">
        <v>23</v>
      </c>
      <c r="D105">
        <v>3</v>
      </c>
      <c r="E105" t="s">
        <v>386</v>
      </c>
      <c r="F105" t="s">
        <v>622</v>
      </c>
      <c r="G105">
        <v>1</v>
      </c>
      <c r="H105">
        <v>4</v>
      </c>
      <c r="I105">
        <v>0</v>
      </c>
      <c r="J105">
        <v>0</v>
      </c>
      <c r="K105" s="9">
        <v>5.352380952380952</v>
      </c>
    </row>
    <row r="106" spans="1:11" x14ac:dyDescent="0.45">
      <c r="A106" t="s">
        <v>25</v>
      </c>
      <c r="B106" t="s">
        <v>629</v>
      </c>
      <c r="C106" t="s">
        <v>23</v>
      </c>
      <c r="D106">
        <v>4</v>
      </c>
      <c r="E106" t="s">
        <v>387</v>
      </c>
      <c r="F106" t="s">
        <v>622</v>
      </c>
      <c r="G106">
        <v>18</v>
      </c>
      <c r="H106">
        <v>20</v>
      </c>
      <c r="I106">
        <v>0</v>
      </c>
      <c r="J106">
        <v>1</v>
      </c>
      <c r="K106" s="9">
        <v>4.9473684210526319</v>
      </c>
    </row>
    <row r="107" spans="1:11" x14ac:dyDescent="0.45">
      <c r="A107" t="s">
        <v>25</v>
      </c>
      <c r="B107" t="s">
        <v>629</v>
      </c>
      <c r="C107" t="s">
        <v>23</v>
      </c>
      <c r="D107">
        <v>5</v>
      </c>
      <c r="E107" t="s">
        <v>388</v>
      </c>
      <c r="F107" t="s">
        <v>622</v>
      </c>
      <c r="G107">
        <v>0</v>
      </c>
      <c r="H107">
        <v>1</v>
      </c>
      <c r="I107">
        <v>0</v>
      </c>
      <c r="J107">
        <v>0</v>
      </c>
      <c r="K107" s="9">
        <v>6.5693779904306222</v>
      </c>
    </row>
    <row r="108" spans="1:11" x14ac:dyDescent="0.45">
      <c r="A108" t="s">
        <v>25</v>
      </c>
      <c r="B108" t="s">
        <v>629</v>
      </c>
      <c r="C108" t="s">
        <v>23</v>
      </c>
      <c r="D108">
        <v>6</v>
      </c>
      <c r="E108" t="s">
        <v>389</v>
      </c>
      <c r="F108" t="s">
        <v>622</v>
      </c>
      <c r="G108">
        <v>8</v>
      </c>
      <c r="H108">
        <v>12</v>
      </c>
      <c r="I108">
        <v>0</v>
      </c>
      <c r="J108">
        <v>1</v>
      </c>
      <c r="K108" s="9">
        <v>4.8024691358024691</v>
      </c>
    </row>
    <row r="109" spans="1:11" x14ac:dyDescent="0.45">
      <c r="A109" t="s">
        <v>25</v>
      </c>
      <c r="B109" t="s">
        <v>629</v>
      </c>
      <c r="C109" t="s">
        <v>23</v>
      </c>
      <c r="D109">
        <v>7</v>
      </c>
      <c r="E109" t="s">
        <v>390</v>
      </c>
      <c r="F109" t="s">
        <v>622</v>
      </c>
      <c r="G109">
        <v>44</v>
      </c>
      <c r="H109">
        <v>36</v>
      </c>
      <c r="I109">
        <v>5</v>
      </c>
      <c r="J109">
        <v>2</v>
      </c>
      <c r="K109" s="9">
        <v>4.083333333333333</v>
      </c>
    </row>
    <row r="110" spans="1:11" x14ac:dyDescent="0.45">
      <c r="A110" t="s">
        <v>25</v>
      </c>
      <c r="B110" t="s">
        <v>629</v>
      </c>
      <c r="C110" t="s">
        <v>23</v>
      </c>
      <c r="D110">
        <v>8</v>
      </c>
      <c r="E110" t="s">
        <v>391</v>
      </c>
      <c r="F110" t="s">
        <v>622</v>
      </c>
      <c r="G110">
        <v>0</v>
      </c>
      <c r="H110">
        <v>2</v>
      </c>
      <c r="I110">
        <v>0</v>
      </c>
      <c r="J110">
        <v>0</v>
      </c>
      <c r="K110" s="9">
        <v>6.1385542168674698</v>
      </c>
    </row>
    <row r="111" spans="1:11" x14ac:dyDescent="0.45">
      <c r="A111" t="s">
        <v>25</v>
      </c>
      <c r="B111" t="s">
        <v>629</v>
      </c>
      <c r="C111" t="s">
        <v>23</v>
      </c>
      <c r="D111">
        <v>9</v>
      </c>
      <c r="E111" t="s">
        <v>392</v>
      </c>
      <c r="F111" t="s">
        <v>622</v>
      </c>
      <c r="G111">
        <v>6</v>
      </c>
      <c r="H111">
        <v>5</v>
      </c>
      <c r="I111">
        <v>1</v>
      </c>
      <c r="J111">
        <v>0</v>
      </c>
      <c r="K111" s="9">
        <v>5.132075471698113</v>
      </c>
    </row>
    <row r="112" spans="1:11" x14ac:dyDescent="0.45">
      <c r="A112" t="s">
        <v>25</v>
      </c>
      <c r="B112" t="s">
        <v>629</v>
      </c>
      <c r="C112" t="s">
        <v>23</v>
      </c>
      <c r="D112">
        <v>10</v>
      </c>
      <c r="E112" t="s">
        <v>394</v>
      </c>
      <c r="F112" t="s">
        <v>622</v>
      </c>
      <c r="G112">
        <v>1</v>
      </c>
      <c r="H112">
        <v>5</v>
      </c>
      <c r="I112">
        <v>0</v>
      </c>
      <c r="J112">
        <v>0</v>
      </c>
      <c r="K112" s="9">
        <v>5.132075471698113</v>
      </c>
    </row>
    <row r="113" spans="1:11" x14ac:dyDescent="0.45">
      <c r="A113" t="s">
        <v>25</v>
      </c>
      <c r="B113" t="s">
        <v>629</v>
      </c>
      <c r="C113" t="s">
        <v>23</v>
      </c>
      <c r="D113">
        <v>11</v>
      </c>
      <c r="E113" t="s">
        <v>396</v>
      </c>
      <c r="F113" t="s">
        <v>623</v>
      </c>
      <c r="G113">
        <v>0</v>
      </c>
      <c r="H113">
        <v>3</v>
      </c>
      <c r="I113">
        <v>0</v>
      </c>
      <c r="J113">
        <v>0</v>
      </c>
      <c r="K113" s="9">
        <v>5.6607142857142856</v>
      </c>
    </row>
    <row r="114" spans="1:11" x14ac:dyDescent="0.45">
      <c r="A114" t="s">
        <v>28</v>
      </c>
      <c r="B114" t="s">
        <v>630</v>
      </c>
      <c r="C114" t="s">
        <v>6</v>
      </c>
      <c r="D114">
        <v>1</v>
      </c>
      <c r="E114" t="s">
        <v>290</v>
      </c>
      <c r="F114" t="s">
        <v>622</v>
      </c>
      <c r="G114">
        <v>12</v>
      </c>
      <c r="H114">
        <v>14</v>
      </c>
      <c r="I114">
        <v>1</v>
      </c>
      <c r="J114">
        <v>0</v>
      </c>
      <c r="K114" s="9">
        <v>4.8461538461538458</v>
      </c>
    </row>
    <row r="115" spans="1:11" x14ac:dyDescent="0.45">
      <c r="A115" t="s">
        <v>28</v>
      </c>
      <c r="B115" t="s">
        <v>630</v>
      </c>
      <c r="C115" t="s">
        <v>6</v>
      </c>
      <c r="D115">
        <v>2</v>
      </c>
      <c r="E115" t="s">
        <v>294</v>
      </c>
      <c r="F115" t="s">
        <v>622</v>
      </c>
      <c r="G115">
        <v>76</v>
      </c>
      <c r="H115">
        <v>55</v>
      </c>
      <c r="I115">
        <v>8</v>
      </c>
      <c r="J115">
        <v>2</v>
      </c>
      <c r="K115" s="9">
        <v>3.1875</v>
      </c>
    </row>
    <row r="116" spans="1:11" x14ac:dyDescent="0.45">
      <c r="A116" t="s">
        <v>28</v>
      </c>
      <c r="B116" t="s">
        <v>630</v>
      </c>
      <c r="C116" t="s">
        <v>6</v>
      </c>
      <c r="D116">
        <v>3</v>
      </c>
      <c r="E116" t="s">
        <v>299</v>
      </c>
      <c r="F116" t="s">
        <v>622</v>
      </c>
      <c r="G116">
        <v>0</v>
      </c>
      <c r="H116">
        <v>6</v>
      </c>
      <c r="I116">
        <v>0</v>
      </c>
      <c r="J116">
        <v>0</v>
      </c>
      <c r="K116" s="9">
        <v>5.4565217391304346</v>
      </c>
    </row>
    <row r="117" spans="1:11" x14ac:dyDescent="0.45">
      <c r="A117" t="s">
        <v>28</v>
      </c>
      <c r="B117" t="s">
        <v>630</v>
      </c>
      <c r="C117" t="s">
        <v>6</v>
      </c>
      <c r="D117">
        <v>4</v>
      </c>
      <c r="E117" t="s">
        <v>297</v>
      </c>
      <c r="F117" t="s">
        <v>622</v>
      </c>
      <c r="G117">
        <v>2</v>
      </c>
      <c r="H117">
        <v>6</v>
      </c>
      <c r="I117">
        <v>0</v>
      </c>
      <c r="J117">
        <v>0</v>
      </c>
      <c r="K117" s="9">
        <v>5.4565217391304346</v>
      </c>
    </row>
    <row r="118" spans="1:11" x14ac:dyDescent="0.45">
      <c r="A118" t="s">
        <v>28</v>
      </c>
      <c r="B118" t="s">
        <v>630</v>
      </c>
      <c r="C118" t="s">
        <v>6</v>
      </c>
      <c r="D118">
        <v>5</v>
      </c>
      <c r="E118" t="s">
        <v>355</v>
      </c>
      <c r="F118" t="s">
        <v>622</v>
      </c>
      <c r="G118">
        <v>4</v>
      </c>
      <c r="H118">
        <v>5</v>
      </c>
      <c r="I118">
        <v>0</v>
      </c>
      <c r="J118">
        <v>0</v>
      </c>
      <c r="K118" s="9">
        <v>5.132075471698113</v>
      </c>
    </row>
    <row r="119" spans="1:11" x14ac:dyDescent="0.45">
      <c r="A119" t="s">
        <v>28</v>
      </c>
      <c r="B119" t="s">
        <v>630</v>
      </c>
      <c r="C119" t="s">
        <v>6</v>
      </c>
      <c r="D119">
        <v>6</v>
      </c>
      <c r="E119" t="s">
        <v>356</v>
      </c>
      <c r="F119" t="s">
        <v>622</v>
      </c>
      <c r="G119">
        <v>12</v>
      </c>
      <c r="H119">
        <v>15</v>
      </c>
      <c r="I119">
        <v>2</v>
      </c>
      <c r="J119">
        <v>0</v>
      </c>
      <c r="K119" s="9">
        <v>4.7777777777777777</v>
      </c>
    </row>
    <row r="120" spans="1:11" x14ac:dyDescent="0.45">
      <c r="A120" t="s">
        <v>28</v>
      </c>
      <c r="B120" t="s">
        <v>630</v>
      </c>
      <c r="C120" t="s">
        <v>6</v>
      </c>
      <c r="D120">
        <v>7</v>
      </c>
      <c r="E120" t="s">
        <v>328</v>
      </c>
      <c r="F120" t="s">
        <v>623</v>
      </c>
      <c r="G120">
        <v>15</v>
      </c>
      <c r="H120">
        <v>17</v>
      </c>
      <c r="I120">
        <v>1</v>
      </c>
      <c r="J120">
        <v>0</v>
      </c>
      <c r="K120" s="9">
        <v>4.82</v>
      </c>
    </row>
    <row r="121" spans="1:11" x14ac:dyDescent="0.45">
      <c r="A121" t="s">
        <v>28</v>
      </c>
      <c r="B121" t="s">
        <v>630</v>
      </c>
      <c r="C121" t="s">
        <v>6</v>
      </c>
      <c r="D121">
        <v>8</v>
      </c>
      <c r="E121" t="s">
        <v>327</v>
      </c>
      <c r="F121" t="s">
        <v>623</v>
      </c>
      <c r="G121">
        <v>4</v>
      </c>
      <c r="H121">
        <v>2</v>
      </c>
      <c r="I121">
        <v>1</v>
      </c>
      <c r="J121">
        <v>0</v>
      </c>
      <c r="K121" s="9">
        <v>6.1385542168674698</v>
      </c>
    </row>
    <row r="122" spans="1:11" x14ac:dyDescent="0.45">
      <c r="A122" t="s">
        <v>28</v>
      </c>
      <c r="B122" t="s">
        <v>630</v>
      </c>
      <c r="C122" t="s">
        <v>26</v>
      </c>
      <c r="D122">
        <v>1</v>
      </c>
      <c r="E122" t="s">
        <v>397</v>
      </c>
      <c r="F122" t="s">
        <v>623</v>
      </c>
      <c r="G122">
        <v>98</v>
      </c>
      <c r="H122">
        <v>42</v>
      </c>
      <c r="I122">
        <v>7</v>
      </c>
      <c r="J122">
        <v>8</v>
      </c>
      <c r="K122" s="9">
        <v>3.3913043478260869</v>
      </c>
    </row>
    <row r="123" spans="1:11" x14ac:dyDescent="0.45">
      <c r="A123" t="s">
        <v>28</v>
      </c>
      <c r="B123" t="s">
        <v>630</v>
      </c>
      <c r="C123" t="s">
        <v>26</v>
      </c>
      <c r="D123">
        <v>2</v>
      </c>
      <c r="E123" t="s">
        <v>398</v>
      </c>
      <c r="F123" t="s">
        <v>622</v>
      </c>
      <c r="G123">
        <v>12</v>
      </c>
      <c r="H123">
        <v>12</v>
      </c>
      <c r="I123">
        <v>2</v>
      </c>
      <c r="J123">
        <v>0</v>
      </c>
      <c r="K123" s="9">
        <v>4.8024691358024691</v>
      </c>
    </row>
    <row r="124" spans="1:11" x14ac:dyDescent="0.45">
      <c r="A124" t="s">
        <v>28</v>
      </c>
      <c r="B124" t="s">
        <v>630</v>
      </c>
      <c r="C124" t="s">
        <v>26</v>
      </c>
      <c r="D124">
        <v>3</v>
      </c>
      <c r="E124" t="s">
        <v>399</v>
      </c>
      <c r="F124" t="s">
        <v>622</v>
      </c>
      <c r="G124">
        <v>0</v>
      </c>
      <c r="H124">
        <v>3</v>
      </c>
      <c r="I124">
        <v>0</v>
      </c>
      <c r="J124">
        <v>0</v>
      </c>
      <c r="K124" s="9">
        <v>5.6607142857142856</v>
      </c>
    </row>
    <row r="125" spans="1:11" x14ac:dyDescent="0.45">
      <c r="A125" t="s">
        <v>28</v>
      </c>
      <c r="B125" t="s">
        <v>630</v>
      </c>
      <c r="C125" t="s">
        <v>26</v>
      </c>
      <c r="D125">
        <v>4</v>
      </c>
      <c r="E125" t="s">
        <v>400</v>
      </c>
      <c r="F125" t="s">
        <v>622</v>
      </c>
      <c r="G125">
        <v>8</v>
      </c>
      <c r="H125">
        <v>10</v>
      </c>
      <c r="I125">
        <v>0</v>
      </c>
      <c r="J125">
        <v>1</v>
      </c>
      <c r="K125" s="9">
        <v>4.7179487179487181</v>
      </c>
    </row>
    <row r="126" spans="1:11" x14ac:dyDescent="0.45">
      <c r="A126" t="s">
        <v>28</v>
      </c>
      <c r="B126" t="s">
        <v>630</v>
      </c>
      <c r="C126" t="s">
        <v>26</v>
      </c>
      <c r="D126">
        <v>5</v>
      </c>
      <c r="E126" t="s">
        <v>401</v>
      </c>
      <c r="F126" t="s">
        <v>622</v>
      </c>
      <c r="G126">
        <v>13</v>
      </c>
      <c r="H126">
        <v>8</v>
      </c>
      <c r="I126">
        <v>0</v>
      </c>
      <c r="J126">
        <v>1</v>
      </c>
      <c r="K126" s="9">
        <v>4.9029126213592233</v>
      </c>
    </row>
    <row r="127" spans="1:11" x14ac:dyDescent="0.45">
      <c r="A127" t="s">
        <v>28</v>
      </c>
      <c r="B127" t="s">
        <v>630</v>
      </c>
      <c r="C127" t="s">
        <v>26</v>
      </c>
      <c r="D127">
        <v>6</v>
      </c>
      <c r="E127" t="s">
        <v>402</v>
      </c>
      <c r="F127" t="s">
        <v>623</v>
      </c>
      <c r="G127">
        <v>3</v>
      </c>
      <c r="H127">
        <v>3</v>
      </c>
      <c r="I127">
        <v>0</v>
      </c>
      <c r="J127">
        <v>0</v>
      </c>
      <c r="K127" s="9">
        <v>5.6607142857142856</v>
      </c>
    </row>
    <row r="128" spans="1:11" x14ac:dyDescent="0.45">
      <c r="A128" t="s">
        <v>30</v>
      </c>
      <c r="B128" t="s">
        <v>631</v>
      </c>
      <c r="C128" t="s">
        <v>20</v>
      </c>
      <c r="D128">
        <v>1</v>
      </c>
      <c r="E128" t="s">
        <v>372</v>
      </c>
      <c r="F128" t="s">
        <v>622</v>
      </c>
      <c r="G128">
        <v>44</v>
      </c>
      <c r="H128">
        <v>38</v>
      </c>
      <c r="I128">
        <v>5</v>
      </c>
      <c r="J128">
        <v>0</v>
      </c>
      <c r="K128" s="9">
        <v>3.6842105263157894</v>
      </c>
    </row>
    <row r="129" spans="1:11" x14ac:dyDescent="0.45">
      <c r="A129" t="s">
        <v>30</v>
      </c>
      <c r="B129" t="s">
        <v>631</v>
      </c>
      <c r="C129" t="s">
        <v>20</v>
      </c>
      <c r="D129">
        <v>2</v>
      </c>
      <c r="E129" t="s">
        <v>373</v>
      </c>
      <c r="F129" t="s">
        <v>622</v>
      </c>
      <c r="G129">
        <v>13</v>
      </c>
      <c r="H129">
        <v>10</v>
      </c>
      <c r="I129">
        <v>1</v>
      </c>
      <c r="J129">
        <v>1</v>
      </c>
      <c r="K129" s="9">
        <v>4.7179487179487181</v>
      </c>
    </row>
    <row r="130" spans="1:11" x14ac:dyDescent="0.45">
      <c r="A130" t="s">
        <v>30</v>
      </c>
      <c r="B130" t="s">
        <v>631</v>
      </c>
      <c r="C130" t="s">
        <v>20</v>
      </c>
      <c r="D130">
        <v>3</v>
      </c>
      <c r="E130" t="s">
        <v>408</v>
      </c>
      <c r="F130" t="s">
        <v>622</v>
      </c>
      <c r="G130">
        <v>31</v>
      </c>
      <c r="H130">
        <v>29</v>
      </c>
      <c r="I130">
        <v>4</v>
      </c>
      <c r="J130">
        <v>0</v>
      </c>
      <c r="K130" s="9">
        <v>4.0454545454545459</v>
      </c>
    </row>
    <row r="131" spans="1:11" x14ac:dyDescent="0.45">
      <c r="A131" t="s">
        <v>30</v>
      </c>
      <c r="B131" t="s">
        <v>631</v>
      </c>
      <c r="C131" t="s">
        <v>20</v>
      </c>
      <c r="D131">
        <v>4</v>
      </c>
      <c r="E131" t="s">
        <v>377</v>
      </c>
      <c r="F131" t="s">
        <v>622</v>
      </c>
      <c r="G131">
        <v>15</v>
      </c>
      <c r="H131">
        <v>11</v>
      </c>
      <c r="I131">
        <v>0</v>
      </c>
      <c r="J131">
        <v>1</v>
      </c>
      <c r="K131" s="9">
        <v>4.9649122807017543</v>
      </c>
    </row>
    <row r="132" spans="1:11" x14ac:dyDescent="0.45">
      <c r="A132" t="s">
        <v>30</v>
      </c>
      <c r="B132" t="s">
        <v>631</v>
      </c>
      <c r="C132" t="s">
        <v>20</v>
      </c>
      <c r="D132">
        <v>5</v>
      </c>
      <c r="E132" t="s">
        <v>376</v>
      </c>
      <c r="F132" t="s">
        <v>622</v>
      </c>
      <c r="G132">
        <v>1</v>
      </c>
      <c r="H132">
        <v>3</v>
      </c>
      <c r="I132">
        <v>0</v>
      </c>
      <c r="J132">
        <v>0</v>
      </c>
      <c r="K132" s="9">
        <v>5.6607142857142856</v>
      </c>
    </row>
    <row r="133" spans="1:11" x14ac:dyDescent="0.45">
      <c r="A133" t="s">
        <v>30</v>
      </c>
      <c r="B133" t="s">
        <v>631</v>
      </c>
      <c r="C133" t="s">
        <v>20</v>
      </c>
      <c r="D133">
        <v>6</v>
      </c>
      <c r="E133" t="s">
        <v>380</v>
      </c>
      <c r="F133" t="s">
        <v>622</v>
      </c>
      <c r="G133">
        <v>10</v>
      </c>
      <c r="H133">
        <v>8</v>
      </c>
      <c r="I133">
        <v>1</v>
      </c>
      <c r="J133">
        <v>0</v>
      </c>
      <c r="K133" s="9">
        <v>4.9029126213592233</v>
      </c>
    </row>
    <row r="134" spans="1:11" x14ac:dyDescent="0.45">
      <c r="A134" t="s">
        <v>30</v>
      </c>
      <c r="B134" t="s">
        <v>631</v>
      </c>
      <c r="C134" t="s">
        <v>20</v>
      </c>
      <c r="D134">
        <v>7</v>
      </c>
      <c r="E134" t="s">
        <v>378</v>
      </c>
      <c r="F134" t="s">
        <v>622</v>
      </c>
      <c r="G134">
        <v>16</v>
      </c>
      <c r="H134">
        <v>13</v>
      </c>
      <c r="I134">
        <v>2</v>
      </c>
      <c r="J134">
        <v>0</v>
      </c>
      <c r="K134" s="9">
        <v>4.8939393939393936</v>
      </c>
    </row>
    <row r="135" spans="1:11" x14ac:dyDescent="0.45">
      <c r="A135" t="s">
        <v>30</v>
      </c>
      <c r="B135" t="s">
        <v>631</v>
      </c>
      <c r="C135" t="s">
        <v>20</v>
      </c>
      <c r="D135">
        <v>8</v>
      </c>
      <c r="E135" t="s">
        <v>379</v>
      </c>
      <c r="F135" t="s">
        <v>623</v>
      </c>
      <c r="G135">
        <v>7</v>
      </c>
      <c r="H135">
        <v>9</v>
      </c>
      <c r="I135">
        <v>1</v>
      </c>
      <c r="J135">
        <v>0</v>
      </c>
      <c r="K135" s="9">
        <v>4.924050632911392</v>
      </c>
    </row>
    <row r="136" spans="1:11" x14ac:dyDescent="0.45">
      <c r="A136" t="s">
        <v>30</v>
      </c>
      <c r="B136" t="s">
        <v>631</v>
      </c>
      <c r="C136" t="s">
        <v>13</v>
      </c>
      <c r="D136">
        <v>1</v>
      </c>
      <c r="E136" t="s">
        <v>343</v>
      </c>
      <c r="F136" t="s">
        <v>622</v>
      </c>
      <c r="G136">
        <v>5</v>
      </c>
      <c r="H136">
        <v>4</v>
      </c>
      <c r="I136">
        <v>1</v>
      </c>
      <c r="J136">
        <v>0</v>
      </c>
      <c r="K136" s="9">
        <v>5.352380952380952</v>
      </c>
    </row>
    <row r="137" spans="1:11" x14ac:dyDescent="0.45">
      <c r="A137" t="s">
        <v>30</v>
      </c>
      <c r="B137" t="s">
        <v>631</v>
      </c>
      <c r="C137" t="s">
        <v>13</v>
      </c>
      <c r="D137">
        <v>2</v>
      </c>
      <c r="E137" t="s">
        <v>342</v>
      </c>
      <c r="F137" t="s">
        <v>622</v>
      </c>
      <c r="G137">
        <v>41</v>
      </c>
      <c r="H137">
        <v>52</v>
      </c>
      <c r="I137">
        <v>4</v>
      </c>
      <c r="J137">
        <v>0</v>
      </c>
      <c r="K137" s="9">
        <v>2.9090909090909092</v>
      </c>
    </row>
    <row r="138" spans="1:11" x14ac:dyDescent="0.45">
      <c r="A138" t="s">
        <v>30</v>
      </c>
      <c r="B138" t="s">
        <v>631</v>
      </c>
      <c r="C138" t="s">
        <v>13</v>
      </c>
      <c r="D138">
        <v>3</v>
      </c>
      <c r="E138" t="s">
        <v>348</v>
      </c>
      <c r="F138" t="s">
        <v>622</v>
      </c>
      <c r="G138">
        <v>1</v>
      </c>
      <c r="H138">
        <v>4</v>
      </c>
      <c r="I138">
        <v>0</v>
      </c>
      <c r="J138">
        <v>0</v>
      </c>
      <c r="K138" s="9">
        <v>5.352380952380952</v>
      </c>
    </row>
    <row r="139" spans="1:11" x14ac:dyDescent="0.45">
      <c r="A139" t="s">
        <v>30</v>
      </c>
      <c r="B139" t="s">
        <v>631</v>
      </c>
      <c r="C139" t="s">
        <v>13</v>
      </c>
      <c r="D139">
        <v>4</v>
      </c>
      <c r="E139" t="s">
        <v>344</v>
      </c>
      <c r="F139" t="s">
        <v>622</v>
      </c>
      <c r="G139">
        <v>12</v>
      </c>
      <c r="H139">
        <v>10</v>
      </c>
      <c r="I139">
        <v>1</v>
      </c>
      <c r="J139">
        <v>1</v>
      </c>
      <c r="K139" s="9">
        <v>4.7179487179487181</v>
      </c>
    </row>
    <row r="140" spans="1:11" x14ac:dyDescent="0.45">
      <c r="A140" t="s">
        <v>30</v>
      </c>
      <c r="B140" t="s">
        <v>631</v>
      </c>
      <c r="C140" t="s">
        <v>13</v>
      </c>
      <c r="D140">
        <v>5</v>
      </c>
      <c r="E140" t="s">
        <v>345</v>
      </c>
      <c r="F140" t="s">
        <v>622</v>
      </c>
      <c r="G140">
        <v>40</v>
      </c>
      <c r="H140">
        <v>25</v>
      </c>
      <c r="I140">
        <v>3</v>
      </c>
      <c r="J140">
        <v>2</v>
      </c>
      <c r="K140" s="9">
        <v>4.4782608695652177</v>
      </c>
    </row>
    <row r="141" spans="1:11" x14ac:dyDescent="0.45">
      <c r="A141" t="s">
        <v>30</v>
      </c>
      <c r="B141" t="s">
        <v>631</v>
      </c>
      <c r="C141" t="s">
        <v>13</v>
      </c>
      <c r="D141">
        <v>6</v>
      </c>
      <c r="E141" t="s">
        <v>346</v>
      </c>
      <c r="F141" t="s">
        <v>623</v>
      </c>
      <c r="G141">
        <v>19</v>
      </c>
      <c r="H141">
        <v>13</v>
      </c>
      <c r="I141">
        <v>1</v>
      </c>
      <c r="J141">
        <v>1</v>
      </c>
      <c r="K141" s="9">
        <v>4.8939393939393936</v>
      </c>
    </row>
    <row r="142" spans="1:11" x14ac:dyDescent="0.45">
      <c r="A142" t="s">
        <v>30</v>
      </c>
      <c r="B142" t="s">
        <v>631</v>
      </c>
      <c r="C142" t="s">
        <v>13</v>
      </c>
      <c r="D142">
        <v>7</v>
      </c>
      <c r="E142" t="s">
        <v>347</v>
      </c>
      <c r="F142" t="s">
        <v>622</v>
      </c>
      <c r="G142">
        <v>14</v>
      </c>
      <c r="H142">
        <v>9</v>
      </c>
      <c r="I142">
        <v>2</v>
      </c>
      <c r="J142">
        <v>0</v>
      </c>
      <c r="K142" s="9">
        <v>4.924050632911392</v>
      </c>
    </row>
    <row r="143" spans="1:11" x14ac:dyDescent="0.45">
      <c r="A143" t="s">
        <v>30</v>
      </c>
      <c r="B143" t="s">
        <v>631</v>
      </c>
      <c r="C143" t="s">
        <v>13</v>
      </c>
      <c r="D143">
        <v>8</v>
      </c>
      <c r="E143" t="s">
        <v>350</v>
      </c>
      <c r="F143" t="s">
        <v>623</v>
      </c>
      <c r="G143">
        <v>2</v>
      </c>
      <c r="H143">
        <v>3</v>
      </c>
      <c r="I143">
        <v>0</v>
      </c>
      <c r="J143">
        <v>0</v>
      </c>
      <c r="K143" s="9">
        <v>5.6607142857142856</v>
      </c>
    </row>
    <row r="144" spans="1:11" x14ac:dyDescent="0.45">
      <c r="A144" t="s">
        <v>32</v>
      </c>
      <c r="B144" t="s">
        <v>632</v>
      </c>
      <c r="C144" t="s">
        <v>23</v>
      </c>
      <c r="D144">
        <v>1</v>
      </c>
      <c r="E144" t="s">
        <v>410</v>
      </c>
      <c r="F144" t="s">
        <v>622</v>
      </c>
      <c r="G144">
        <v>24</v>
      </c>
      <c r="H144">
        <v>19</v>
      </c>
      <c r="I144">
        <v>3</v>
      </c>
      <c r="J144">
        <v>1</v>
      </c>
      <c r="K144" s="9">
        <v>4.5660377358490569</v>
      </c>
    </row>
    <row r="145" spans="1:11" x14ac:dyDescent="0.45">
      <c r="A145" t="s">
        <v>32</v>
      </c>
      <c r="B145" t="s">
        <v>632</v>
      </c>
      <c r="C145" t="s">
        <v>23</v>
      </c>
      <c r="D145">
        <v>2</v>
      </c>
      <c r="E145" t="s">
        <v>383</v>
      </c>
      <c r="F145" t="s">
        <v>622</v>
      </c>
      <c r="G145">
        <v>12</v>
      </c>
      <c r="H145">
        <v>9</v>
      </c>
      <c r="I145">
        <v>3</v>
      </c>
      <c r="J145">
        <v>0</v>
      </c>
      <c r="K145" s="9">
        <v>4.924050632911392</v>
      </c>
    </row>
    <row r="146" spans="1:11" x14ac:dyDescent="0.45">
      <c r="A146" t="s">
        <v>32</v>
      </c>
      <c r="B146" t="s">
        <v>632</v>
      </c>
      <c r="C146" t="s">
        <v>23</v>
      </c>
      <c r="D146">
        <v>3</v>
      </c>
      <c r="E146" t="s">
        <v>386</v>
      </c>
      <c r="F146" t="s">
        <v>622</v>
      </c>
      <c r="G146">
        <v>3</v>
      </c>
      <c r="H146">
        <v>6</v>
      </c>
      <c r="I146">
        <v>0</v>
      </c>
      <c r="J146">
        <v>0</v>
      </c>
      <c r="K146" s="9">
        <v>5.4565217391304346</v>
      </c>
    </row>
    <row r="147" spans="1:11" x14ac:dyDescent="0.45">
      <c r="A147" t="s">
        <v>32</v>
      </c>
      <c r="B147" t="s">
        <v>632</v>
      </c>
      <c r="C147" t="s">
        <v>23</v>
      </c>
      <c r="D147">
        <v>4</v>
      </c>
      <c r="E147" t="s">
        <v>387</v>
      </c>
      <c r="F147" t="s">
        <v>622</v>
      </c>
      <c r="G147">
        <v>3</v>
      </c>
      <c r="H147">
        <v>8</v>
      </c>
      <c r="I147">
        <v>0</v>
      </c>
      <c r="J147">
        <v>0</v>
      </c>
      <c r="K147" s="9">
        <v>4.9029126213592233</v>
      </c>
    </row>
    <row r="148" spans="1:11" x14ac:dyDescent="0.45">
      <c r="A148" t="s">
        <v>32</v>
      </c>
      <c r="B148" t="s">
        <v>632</v>
      </c>
      <c r="C148" t="s">
        <v>23</v>
      </c>
      <c r="D148">
        <v>5</v>
      </c>
      <c r="E148" t="s">
        <v>389</v>
      </c>
      <c r="F148" t="s">
        <v>622</v>
      </c>
      <c r="G148">
        <v>4</v>
      </c>
      <c r="H148">
        <v>13</v>
      </c>
      <c r="I148">
        <v>0</v>
      </c>
      <c r="J148">
        <v>0</v>
      </c>
      <c r="K148" s="9">
        <v>4.8939393939393936</v>
      </c>
    </row>
    <row r="149" spans="1:11" x14ac:dyDescent="0.45">
      <c r="A149" t="s">
        <v>32</v>
      </c>
      <c r="B149" t="s">
        <v>632</v>
      </c>
      <c r="C149" t="s">
        <v>23</v>
      </c>
      <c r="D149">
        <v>6</v>
      </c>
      <c r="E149" t="s">
        <v>411</v>
      </c>
      <c r="F149" t="s">
        <v>622</v>
      </c>
      <c r="G149">
        <v>15</v>
      </c>
      <c r="H149">
        <v>23</v>
      </c>
      <c r="I149">
        <v>0</v>
      </c>
      <c r="J149">
        <v>0</v>
      </c>
      <c r="K149" s="9">
        <v>5.1142857142857139</v>
      </c>
    </row>
    <row r="150" spans="1:11" x14ac:dyDescent="0.45">
      <c r="A150" t="s">
        <v>32</v>
      </c>
      <c r="B150" t="s">
        <v>632</v>
      </c>
      <c r="C150" t="s">
        <v>23</v>
      </c>
      <c r="D150">
        <v>7</v>
      </c>
      <c r="E150" t="s">
        <v>390</v>
      </c>
      <c r="F150" t="s">
        <v>622</v>
      </c>
      <c r="G150">
        <v>12</v>
      </c>
      <c r="H150">
        <v>20</v>
      </c>
      <c r="I150">
        <v>0</v>
      </c>
      <c r="J150">
        <v>0</v>
      </c>
      <c r="K150" s="9">
        <v>4.9473684210526319</v>
      </c>
    </row>
    <row r="151" spans="1:11" x14ac:dyDescent="0.45">
      <c r="A151" t="s">
        <v>32</v>
      </c>
      <c r="B151" t="s">
        <v>632</v>
      </c>
      <c r="C151" t="s">
        <v>23</v>
      </c>
      <c r="D151">
        <v>8</v>
      </c>
      <c r="E151" t="s">
        <v>412</v>
      </c>
      <c r="F151" t="s">
        <v>622</v>
      </c>
      <c r="G151">
        <v>0</v>
      </c>
      <c r="H151">
        <v>1</v>
      </c>
      <c r="I151">
        <v>0</v>
      </c>
      <c r="J151">
        <v>0</v>
      </c>
      <c r="K151" s="9">
        <v>6.5693779904306222</v>
      </c>
    </row>
    <row r="152" spans="1:11" x14ac:dyDescent="0.45">
      <c r="A152" t="s">
        <v>32</v>
      </c>
      <c r="B152" t="s">
        <v>632</v>
      </c>
      <c r="C152" t="s">
        <v>23</v>
      </c>
      <c r="D152">
        <v>9</v>
      </c>
      <c r="E152" t="s">
        <v>394</v>
      </c>
      <c r="F152" t="s">
        <v>622</v>
      </c>
      <c r="G152">
        <v>6</v>
      </c>
      <c r="H152">
        <v>11</v>
      </c>
      <c r="I152">
        <v>1</v>
      </c>
      <c r="J152">
        <v>0</v>
      </c>
      <c r="K152" s="9">
        <v>4.9649122807017543</v>
      </c>
    </row>
    <row r="153" spans="1:11" x14ac:dyDescent="0.45">
      <c r="A153" t="s">
        <v>32</v>
      </c>
      <c r="B153" t="s">
        <v>632</v>
      </c>
      <c r="C153" t="s">
        <v>23</v>
      </c>
      <c r="D153">
        <v>10</v>
      </c>
      <c r="E153" t="s">
        <v>413</v>
      </c>
      <c r="F153" t="s">
        <v>623</v>
      </c>
      <c r="G153">
        <v>0</v>
      </c>
      <c r="H153">
        <v>4</v>
      </c>
      <c r="I153">
        <v>0</v>
      </c>
      <c r="J153">
        <v>0</v>
      </c>
      <c r="K153" s="9">
        <v>5.352380952380952</v>
      </c>
    </row>
    <row r="154" spans="1:11" x14ac:dyDescent="0.45">
      <c r="A154" t="s">
        <v>32</v>
      </c>
      <c r="B154" t="s">
        <v>632</v>
      </c>
      <c r="C154" t="s">
        <v>23</v>
      </c>
      <c r="D154">
        <v>11</v>
      </c>
      <c r="E154" t="s">
        <v>396</v>
      </c>
      <c r="F154" t="s">
        <v>623</v>
      </c>
      <c r="G154">
        <v>8</v>
      </c>
      <c r="H154">
        <v>7</v>
      </c>
      <c r="I154">
        <v>0</v>
      </c>
      <c r="J154">
        <v>1</v>
      </c>
      <c r="K154" s="9">
        <v>4.927835051546392</v>
      </c>
    </row>
    <row r="155" spans="1:11" x14ac:dyDescent="0.45">
      <c r="A155" t="s">
        <v>32</v>
      </c>
      <c r="B155" t="s">
        <v>632</v>
      </c>
      <c r="C155" t="s">
        <v>19</v>
      </c>
      <c r="D155">
        <v>1</v>
      </c>
      <c r="E155" t="s">
        <v>359</v>
      </c>
      <c r="F155" t="s">
        <v>622</v>
      </c>
      <c r="G155">
        <v>22</v>
      </c>
      <c r="H155">
        <v>13</v>
      </c>
      <c r="I155">
        <v>1</v>
      </c>
      <c r="J155">
        <v>2</v>
      </c>
      <c r="K155" s="9">
        <v>4.8939393939393936</v>
      </c>
    </row>
    <row r="156" spans="1:11" x14ac:dyDescent="0.45">
      <c r="A156" t="s">
        <v>32</v>
      </c>
      <c r="B156" t="s">
        <v>632</v>
      </c>
      <c r="C156" t="s">
        <v>19</v>
      </c>
      <c r="D156">
        <v>2</v>
      </c>
      <c r="E156" t="s">
        <v>360</v>
      </c>
      <c r="F156" t="s">
        <v>623</v>
      </c>
      <c r="G156">
        <v>50</v>
      </c>
      <c r="H156">
        <v>25</v>
      </c>
      <c r="I156">
        <v>5</v>
      </c>
      <c r="J156">
        <v>3</v>
      </c>
      <c r="K156" s="9">
        <v>4.4782608695652177</v>
      </c>
    </row>
    <row r="157" spans="1:11" x14ac:dyDescent="0.45">
      <c r="A157" t="s">
        <v>32</v>
      </c>
      <c r="B157" t="s">
        <v>632</v>
      </c>
      <c r="C157" t="s">
        <v>19</v>
      </c>
      <c r="D157">
        <v>3</v>
      </c>
      <c r="E157" t="s">
        <v>363</v>
      </c>
      <c r="F157" t="s">
        <v>622</v>
      </c>
      <c r="G157">
        <v>13</v>
      </c>
      <c r="H157">
        <v>8</v>
      </c>
      <c r="I157">
        <v>3</v>
      </c>
      <c r="J157">
        <v>0</v>
      </c>
      <c r="K157" s="9">
        <v>4.9029126213592233</v>
      </c>
    </row>
    <row r="158" spans="1:11" x14ac:dyDescent="0.45">
      <c r="A158" t="s">
        <v>32</v>
      </c>
      <c r="B158" t="s">
        <v>632</v>
      </c>
      <c r="C158" t="s">
        <v>19</v>
      </c>
      <c r="D158">
        <v>4</v>
      </c>
      <c r="E158" t="s">
        <v>361</v>
      </c>
      <c r="F158" t="s">
        <v>623</v>
      </c>
      <c r="G158">
        <v>5</v>
      </c>
      <c r="H158">
        <v>6</v>
      </c>
      <c r="I158">
        <v>0</v>
      </c>
      <c r="J158">
        <v>0</v>
      </c>
      <c r="K158" s="9">
        <v>5.4565217391304346</v>
      </c>
    </row>
    <row r="159" spans="1:11" x14ac:dyDescent="0.45">
      <c r="A159" t="s">
        <v>33</v>
      </c>
      <c r="B159" t="s">
        <v>633</v>
      </c>
      <c r="C159" t="s">
        <v>6</v>
      </c>
      <c r="D159">
        <v>1</v>
      </c>
      <c r="E159" t="s">
        <v>290</v>
      </c>
      <c r="F159" t="s">
        <v>622</v>
      </c>
      <c r="G159">
        <v>13</v>
      </c>
      <c r="H159">
        <v>13</v>
      </c>
      <c r="I159">
        <v>2</v>
      </c>
      <c r="J159">
        <v>0</v>
      </c>
      <c r="K159" s="9">
        <v>4.8939393939393936</v>
      </c>
    </row>
    <row r="160" spans="1:11" x14ac:dyDescent="0.45">
      <c r="A160" t="s">
        <v>33</v>
      </c>
      <c r="B160" t="s">
        <v>633</v>
      </c>
      <c r="C160" t="s">
        <v>6</v>
      </c>
      <c r="D160">
        <v>2</v>
      </c>
      <c r="E160" t="s">
        <v>294</v>
      </c>
      <c r="F160" t="s">
        <v>622</v>
      </c>
      <c r="G160">
        <v>10</v>
      </c>
      <c r="H160">
        <v>8</v>
      </c>
      <c r="I160">
        <v>2</v>
      </c>
      <c r="J160">
        <v>0</v>
      </c>
      <c r="K160" s="9">
        <v>4.9029126213592233</v>
      </c>
    </row>
    <row r="161" spans="1:11" x14ac:dyDescent="0.45">
      <c r="A161" t="s">
        <v>33</v>
      </c>
      <c r="B161" t="s">
        <v>633</v>
      </c>
      <c r="C161" t="s">
        <v>6</v>
      </c>
      <c r="D161">
        <v>3</v>
      </c>
      <c r="E161" t="s">
        <v>297</v>
      </c>
      <c r="F161" t="s">
        <v>622</v>
      </c>
      <c r="G161">
        <v>19</v>
      </c>
      <c r="H161">
        <v>19</v>
      </c>
      <c r="I161">
        <v>1</v>
      </c>
      <c r="J161">
        <v>0</v>
      </c>
      <c r="K161" s="9">
        <v>4.5660377358490569</v>
      </c>
    </row>
    <row r="162" spans="1:11" x14ac:dyDescent="0.45">
      <c r="A162" t="s">
        <v>33</v>
      </c>
      <c r="B162" t="s">
        <v>633</v>
      </c>
      <c r="C162" t="s">
        <v>6</v>
      </c>
      <c r="D162">
        <v>4</v>
      </c>
      <c r="E162" t="s">
        <v>299</v>
      </c>
      <c r="F162" t="s">
        <v>622</v>
      </c>
      <c r="G162">
        <v>5</v>
      </c>
      <c r="H162">
        <v>8</v>
      </c>
      <c r="I162">
        <v>0</v>
      </c>
      <c r="J162">
        <v>0</v>
      </c>
      <c r="K162" s="9">
        <v>4.9029126213592233</v>
      </c>
    </row>
    <row r="163" spans="1:11" x14ac:dyDescent="0.45">
      <c r="A163" t="s">
        <v>33</v>
      </c>
      <c r="B163" t="s">
        <v>633</v>
      </c>
      <c r="C163" t="s">
        <v>6</v>
      </c>
      <c r="D163">
        <v>5</v>
      </c>
      <c r="E163" t="s">
        <v>355</v>
      </c>
      <c r="F163" t="s">
        <v>623</v>
      </c>
      <c r="G163">
        <v>55</v>
      </c>
      <c r="H163">
        <v>43</v>
      </c>
      <c r="I163">
        <v>5</v>
      </c>
      <c r="J163">
        <v>2</v>
      </c>
      <c r="K163" s="9">
        <v>2.8888888888888888</v>
      </c>
    </row>
    <row r="164" spans="1:11" x14ac:dyDescent="0.45">
      <c r="A164" t="s">
        <v>33</v>
      </c>
      <c r="B164" t="s">
        <v>633</v>
      </c>
      <c r="C164" t="s">
        <v>6</v>
      </c>
      <c r="D164">
        <v>6</v>
      </c>
      <c r="E164" t="s">
        <v>356</v>
      </c>
      <c r="F164" t="s">
        <v>622</v>
      </c>
      <c r="G164">
        <v>18</v>
      </c>
      <c r="H164">
        <v>27</v>
      </c>
      <c r="I164">
        <v>0</v>
      </c>
      <c r="J164">
        <v>0</v>
      </c>
      <c r="K164" s="9">
        <v>4.25</v>
      </c>
    </row>
    <row r="165" spans="1:11" x14ac:dyDescent="0.45">
      <c r="A165" t="s">
        <v>33</v>
      </c>
      <c r="B165" t="s">
        <v>633</v>
      </c>
      <c r="C165" t="s">
        <v>6</v>
      </c>
      <c r="D165">
        <v>7</v>
      </c>
      <c r="E165" t="s">
        <v>328</v>
      </c>
      <c r="F165" t="s">
        <v>623</v>
      </c>
      <c r="G165">
        <v>1</v>
      </c>
      <c r="H165">
        <v>2</v>
      </c>
      <c r="I165">
        <v>0</v>
      </c>
      <c r="J165">
        <v>0</v>
      </c>
      <c r="K165" s="9">
        <v>6.1385542168674698</v>
      </c>
    </row>
    <row r="166" spans="1:11" x14ac:dyDescent="0.45">
      <c r="A166" t="s">
        <v>33</v>
      </c>
      <c r="B166" t="s">
        <v>633</v>
      </c>
      <c r="C166" t="s">
        <v>10</v>
      </c>
      <c r="D166">
        <v>1</v>
      </c>
      <c r="E166" t="s">
        <v>329</v>
      </c>
      <c r="F166" t="s">
        <v>622</v>
      </c>
      <c r="G166">
        <v>18</v>
      </c>
      <c r="H166">
        <v>12</v>
      </c>
      <c r="I166">
        <v>3</v>
      </c>
      <c r="J166">
        <v>0</v>
      </c>
      <c r="K166" s="9">
        <v>4.8024691358024691</v>
      </c>
    </row>
    <row r="167" spans="1:11" x14ac:dyDescent="0.45">
      <c r="A167" t="s">
        <v>33</v>
      </c>
      <c r="B167" t="s">
        <v>633</v>
      </c>
      <c r="C167" t="s">
        <v>10</v>
      </c>
      <c r="D167">
        <v>2</v>
      </c>
      <c r="E167" t="s">
        <v>330</v>
      </c>
      <c r="F167" t="s">
        <v>622</v>
      </c>
      <c r="G167">
        <v>39</v>
      </c>
      <c r="H167">
        <v>35</v>
      </c>
      <c r="I167">
        <v>3</v>
      </c>
      <c r="J167">
        <v>2</v>
      </c>
      <c r="K167" s="9">
        <v>3.5769230769230771</v>
      </c>
    </row>
    <row r="168" spans="1:11" x14ac:dyDescent="0.45">
      <c r="A168" t="s">
        <v>33</v>
      </c>
      <c r="B168" t="s">
        <v>633</v>
      </c>
      <c r="C168" t="s">
        <v>10</v>
      </c>
      <c r="D168">
        <v>3</v>
      </c>
      <c r="E168" t="s">
        <v>332</v>
      </c>
      <c r="F168" t="s">
        <v>622</v>
      </c>
      <c r="G168">
        <v>2</v>
      </c>
      <c r="H168">
        <v>7</v>
      </c>
      <c r="I168">
        <v>0</v>
      </c>
      <c r="J168">
        <v>0</v>
      </c>
      <c r="K168" s="9">
        <v>4.927835051546392</v>
      </c>
    </row>
    <row r="169" spans="1:11" x14ac:dyDescent="0.45">
      <c r="A169" t="s">
        <v>33</v>
      </c>
      <c r="B169" t="s">
        <v>633</v>
      </c>
      <c r="C169" t="s">
        <v>10</v>
      </c>
      <c r="D169">
        <v>4</v>
      </c>
      <c r="E169" t="s">
        <v>334</v>
      </c>
      <c r="F169" t="s">
        <v>622</v>
      </c>
      <c r="G169">
        <v>15</v>
      </c>
      <c r="H169">
        <v>12</v>
      </c>
      <c r="I169">
        <v>1</v>
      </c>
      <c r="J169">
        <v>1</v>
      </c>
      <c r="K169" s="9">
        <v>4.8024691358024691</v>
      </c>
    </row>
    <row r="170" spans="1:11" x14ac:dyDescent="0.45">
      <c r="A170" t="s">
        <v>33</v>
      </c>
      <c r="B170" t="s">
        <v>633</v>
      </c>
      <c r="C170" t="s">
        <v>10</v>
      </c>
      <c r="D170">
        <v>5</v>
      </c>
      <c r="E170" t="s">
        <v>357</v>
      </c>
      <c r="F170" t="s">
        <v>622</v>
      </c>
      <c r="G170">
        <v>18</v>
      </c>
      <c r="H170">
        <v>20</v>
      </c>
      <c r="I170">
        <v>2</v>
      </c>
      <c r="J170">
        <v>0</v>
      </c>
      <c r="K170" s="9">
        <v>4.9473684210526319</v>
      </c>
    </row>
    <row r="171" spans="1:11" x14ac:dyDescent="0.45">
      <c r="A171" t="s">
        <v>33</v>
      </c>
      <c r="B171" t="s">
        <v>633</v>
      </c>
      <c r="C171" t="s">
        <v>10</v>
      </c>
      <c r="D171">
        <v>6</v>
      </c>
      <c r="E171" t="s">
        <v>339</v>
      </c>
      <c r="F171" t="s">
        <v>622</v>
      </c>
      <c r="G171">
        <v>2</v>
      </c>
      <c r="H171">
        <v>3</v>
      </c>
      <c r="I171">
        <v>0</v>
      </c>
      <c r="J171">
        <v>0</v>
      </c>
      <c r="K171" s="9">
        <v>5.6607142857142856</v>
      </c>
    </row>
    <row r="172" spans="1:11" x14ac:dyDescent="0.45">
      <c r="A172" t="s">
        <v>33</v>
      </c>
      <c r="B172" t="s">
        <v>633</v>
      </c>
      <c r="C172" t="s">
        <v>10</v>
      </c>
      <c r="D172">
        <v>7</v>
      </c>
      <c r="E172" t="s">
        <v>336</v>
      </c>
      <c r="F172" t="s">
        <v>623</v>
      </c>
      <c r="G172">
        <v>28</v>
      </c>
      <c r="H172">
        <v>18</v>
      </c>
      <c r="I172">
        <v>2</v>
      </c>
      <c r="J172">
        <v>1</v>
      </c>
      <c r="K172" s="9">
        <v>4.375</v>
      </c>
    </row>
    <row r="173" spans="1:11" x14ac:dyDescent="0.45">
      <c r="A173" t="s">
        <v>33</v>
      </c>
      <c r="B173" t="s">
        <v>633</v>
      </c>
      <c r="C173" t="s">
        <v>10</v>
      </c>
      <c r="D173">
        <v>8</v>
      </c>
      <c r="E173" t="s">
        <v>337</v>
      </c>
      <c r="F173" t="s">
        <v>622</v>
      </c>
      <c r="G173">
        <v>5</v>
      </c>
      <c r="H173">
        <v>10</v>
      </c>
      <c r="I173">
        <v>0</v>
      </c>
      <c r="J173">
        <v>0</v>
      </c>
      <c r="K173" s="9">
        <v>4.7179487179487181</v>
      </c>
    </row>
    <row r="174" spans="1:11" x14ac:dyDescent="0.45">
      <c r="A174" t="s">
        <v>33</v>
      </c>
      <c r="B174" t="s">
        <v>633</v>
      </c>
      <c r="C174" t="s">
        <v>10</v>
      </c>
      <c r="D174">
        <v>9</v>
      </c>
      <c r="E174" t="s">
        <v>341</v>
      </c>
      <c r="F174" t="s">
        <v>623</v>
      </c>
      <c r="G174">
        <v>4</v>
      </c>
      <c r="H174">
        <v>1</v>
      </c>
      <c r="I174">
        <v>1</v>
      </c>
      <c r="J174">
        <v>0</v>
      </c>
      <c r="K174" s="9">
        <v>6.5693779904306222</v>
      </c>
    </row>
    <row r="175" spans="1:11" x14ac:dyDescent="0.45">
      <c r="A175" t="s">
        <v>34</v>
      </c>
      <c r="B175" t="s">
        <v>634</v>
      </c>
      <c r="C175" t="s">
        <v>20</v>
      </c>
      <c r="D175">
        <v>1</v>
      </c>
      <c r="E175" t="s">
        <v>372</v>
      </c>
      <c r="F175" t="s">
        <v>622</v>
      </c>
      <c r="G175">
        <v>10</v>
      </c>
      <c r="H175">
        <v>13</v>
      </c>
      <c r="I175">
        <v>2</v>
      </c>
      <c r="J175">
        <v>0</v>
      </c>
      <c r="K175" s="9">
        <v>4.8939393939393936</v>
      </c>
    </row>
    <row r="176" spans="1:11" x14ac:dyDescent="0.45">
      <c r="A176" t="s">
        <v>34</v>
      </c>
      <c r="B176" t="s">
        <v>634</v>
      </c>
      <c r="C176" t="s">
        <v>20</v>
      </c>
      <c r="D176">
        <v>2</v>
      </c>
      <c r="E176" t="s">
        <v>380</v>
      </c>
      <c r="F176" t="s">
        <v>622</v>
      </c>
      <c r="G176">
        <v>0</v>
      </c>
      <c r="H176">
        <v>1</v>
      </c>
      <c r="I176">
        <v>0</v>
      </c>
      <c r="J176">
        <v>0</v>
      </c>
      <c r="K176" s="9">
        <v>6.5693779904306222</v>
      </c>
    </row>
    <row r="177" spans="1:11" x14ac:dyDescent="0.45">
      <c r="A177" t="s">
        <v>34</v>
      </c>
      <c r="B177" t="s">
        <v>634</v>
      </c>
      <c r="C177" t="s">
        <v>20</v>
      </c>
      <c r="D177">
        <v>3</v>
      </c>
      <c r="E177" t="s">
        <v>408</v>
      </c>
      <c r="F177" t="s">
        <v>622</v>
      </c>
      <c r="G177">
        <v>26</v>
      </c>
      <c r="H177">
        <v>21</v>
      </c>
      <c r="I177">
        <v>4</v>
      </c>
      <c r="J177">
        <v>0</v>
      </c>
      <c r="K177" s="9">
        <v>4.3770491803278686</v>
      </c>
    </row>
    <row r="178" spans="1:11" x14ac:dyDescent="0.45">
      <c r="A178" t="s">
        <v>34</v>
      </c>
      <c r="B178" t="s">
        <v>634</v>
      </c>
      <c r="C178" t="s">
        <v>20</v>
      </c>
      <c r="D178">
        <v>4</v>
      </c>
      <c r="E178" t="s">
        <v>377</v>
      </c>
      <c r="F178" t="s">
        <v>622</v>
      </c>
      <c r="G178">
        <v>21</v>
      </c>
      <c r="H178">
        <v>31</v>
      </c>
      <c r="I178">
        <v>0</v>
      </c>
      <c r="J178">
        <v>1</v>
      </c>
      <c r="K178" s="9">
        <v>3.4375</v>
      </c>
    </row>
    <row r="179" spans="1:11" x14ac:dyDescent="0.45">
      <c r="A179" t="s">
        <v>34</v>
      </c>
      <c r="B179" t="s">
        <v>634</v>
      </c>
      <c r="C179" t="s">
        <v>20</v>
      </c>
      <c r="D179">
        <v>5</v>
      </c>
      <c r="E179" t="s">
        <v>373</v>
      </c>
      <c r="F179" t="s">
        <v>622</v>
      </c>
      <c r="G179">
        <v>6</v>
      </c>
      <c r="H179">
        <v>10</v>
      </c>
      <c r="I179">
        <v>0</v>
      </c>
      <c r="J179">
        <v>0</v>
      </c>
      <c r="K179" s="9">
        <v>4.7179487179487181</v>
      </c>
    </row>
    <row r="180" spans="1:11" x14ac:dyDescent="0.45">
      <c r="A180" t="s">
        <v>34</v>
      </c>
      <c r="B180" t="s">
        <v>634</v>
      </c>
      <c r="C180" t="s">
        <v>20</v>
      </c>
      <c r="D180">
        <v>6</v>
      </c>
      <c r="E180" t="s">
        <v>376</v>
      </c>
      <c r="F180" t="s">
        <v>622</v>
      </c>
      <c r="G180">
        <v>25</v>
      </c>
      <c r="H180">
        <v>18</v>
      </c>
      <c r="I180">
        <v>0</v>
      </c>
      <c r="J180">
        <v>3</v>
      </c>
      <c r="K180" s="9">
        <v>4.375</v>
      </c>
    </row>
    <row r="181" spans="1:11" x14ac:dyDescent="0.45">
      <c r="A181" t="s">
        <v>34</v>
      </c>
      <c r="B181" t="s">
        <v>634</v>
      </c>
      <c r="C181" t="s">
        <v>20</v>
      </c>
      <c r="D181">
        <v>7</v>
      </c>
      <c r="E181" t="s">
        <v>378</v>
      </c>
      <c r="F181" t="s">
        <v>622</v>
      </c>
      <c r="G181">
        <v>2</v>
      </c>
      <c r="H181">
        <v>9</v>
      </c>
      <c r="I181">
        <v>0</v>
      </c>
      <c r="J181">
        <v>0</v>
      </c>
      <c r="K181" s="9">
        <v>4.924050632911392</v>
      </c>
    </row>
    <row r="182" spans="1:11" x14ac:dyDescent="0.45">
      <c r="A182" t="s">
        <v>34</v>
      </c>
      <c r="B182" t="s">
        <v>634</v>
      </c>
      <c r="C182" t="s">
        <v>20</v>
      </c>
      <c r="D182">
        <v>8</v>
      </c>
      <c r="E182" t="s">
        <v>379</v>
      </c>
      <c r="F182" t="s">
        <v>622</v>
      </c>
      <c r="G182">
        <v>8</v>
      </c>
      <c r="H182">
        <v>6</v>
      </c>
      <c r="I182">
        <v>1</v>
      </c>
      <c r="J182">
        <v>0</v>
      </c>
      <c r="K182" s="9">
        <v>5.4565217391304346</v>
      </c>
    </row>
    <row r="183" spans="1:11" x14ac:dyDescent="0.45">
      <c r="A183" t="s">
        <v>34</v>
      </c>
      <c r="B183" t="s">
        <v>634</v>
      </c>
      <c r="C183" t="s">
        <v>20</v>
      </c>
      <c r="D183">
        <v>9</v>
      </c>
      <c r="E183" t="s">
        <v>409</v>
      </c>
      <c r="F183" t="s">
        <v>623</v>
      </c>
      <c r="G183">
        <v>7</v>
      </c>
      <c r="H183">
        <v>7</v>
      </c>
      <c r="I183">
        <v>0</v>
      </c>
      <c r="J183">
        <v>0</v>
      </c>
      <c r="K183" s="9">
        <v>4.927835051546392</v>
      </c>
    </row>
    <row r="184" spans="1:11" x14ac:dyDescent="0.45">
      <c r="A184" t="s">
        <v>34</v>
      </c>
      <c r="B184" t="s">
        <v>634</v>
      </c>
      <c r="C184" t="s">
        <v>20</v>
      </c>
      <c r="D184">
        <v>10</v>
      </c>
      <c r="E184" t="s">
        <v>381</v>
      </c>
      <c r="F184" t="s">
        <v>623</v>
      </c>
      <c r="G184">
        <v>7</v>
      </c>
      <c r="H184">
        <v>5</v>
      </c>
      <c r="I184">
        <v>1</v>
      </c>
      <c r="J184">
        <v>0</v>
      </c>
      <c r="K184" s="9">
        <v>5.132075471698113</v>
      </c>
    </row>
    <row r="185" spans="1:11" x14ac:dyDescent="0.45">
      <c r="A185" t="s">
        <v>34</v>
      </c>
      <c r="B185" t="s">
        <v>634</v>
      </c>
      <c r="C185" t="s">
        <v>7</v>
      </c>
      <c r="D185">
        <v>1</v>
      </c>
      <c r="E185" t="s">
        <v>302</v>
      </c>
      <c r="F185" t="s">
        <v>622</v>
      </c>
      <c r="G185">
        <v>57</v>
      </c>
      <c r="H185">
        <v>51</v>
      </c>
      <c r="I185">
        <v>10</v>
      </c>
      <c r="J185">
        <v>0</v>
      </c>
      <c r="K185" s="9">
        <v>3.2352941176470589</v>
      </c>
    </row>
    <row r="186" spans="1:11" x14ac:dyDescent="0.45">
      <c r="A186" t="s">
        <v>34</v>
      </c>
      <c r="B186" t="s">
        <v>634</v>
      </c>
      <c r="C186" t="s">
        <v>7</v>
      </c>
      <c r="D186">
        <v>2</v>
      </c>
      <c r="E186" t="s">
        <v>304</v>
      </c>
      <c r="F186" t="s">
        <v>622</v>
      </c>
      <c r="G186">
        <v>8</v>
      </c>
      <c r="H186">
        <v>14</v>
      </c>
      <c r="I186">
        <v>0</v>
      </c>
      <c r="J186">
        <v>0</v>
      </c>
      <c r="K186" s="9">
        <v>4.8461538461538458</v>
      </c>
    </row>
    <row r="187" spans="1:11" x14ac:dyDescent="0.45">
      <c r="A187" t="s">
        <v>34</v>
      </c>
      <c r="B187" t="s">
        <v>634</v>
      </c>
      <c r="C187" t="s">
        <v>7</v>
      </c>
      <c r="D187">
        <v>3</v>
      </c>
      <c r="E187" t="s">
        <v>315</v>
      </c>
      <c r="F187" t="s">
        <v>622</v>
      </c>
      <c r="G187">
        <v>7</v>
      </c>
      <c r="H187">
        <v>6</v>
      </c>
      <c r="I187">
        <v>1</v>
      </c>
      <c r="J187">
        <v>0</v>
      </c>
      <c r="K187" s="9">
        <v>5.4565217391304346</v>
      </c>
    </row>
    <row r="188" spans="1:11" x14ac:dyDescent="0.45">
      <c r="A188" t="s">
        <v>34</v>
      </c>
      <c r="B188" t="s">
        <v>634</v>
      </c>
      <c r="C188" t="s">
        <v>7</v>
      </c>
      <c r="D188">
        <v>4</v>
      </c>
      <c r="E188" t="s">
        <v>306</v>
      </c>
      <c r="F188" t="s">
        <v>622</v>
      </c>
      <c r="G188">
        <v>25</v>
      </c>
      <c r="H188">
        <v>33</v>
      </c>
      <c r="I188">
        <v>3</v>
      </c>
      <c r="J188">
        <v>0</v>
      </c>
      <c r="K188" s="9">
        <v>2.8421052631578947</v>
      </c>
    </row>
    <row r="189" spans="1:11" x14ac:dyDescent="0.45">
      <c r="A189" t="s">
        <v>34</v>
      </c>
      <c r="B189" t="s">
        <v>634</v>
      </c>
      <c r="C189" t="s">
        <v>7</v>
      </c>
      <c r="D189">
        <v>5</v>
      </c>
      <c r="E189" t="s">
        <v>311</v>
      </c>
      <c r="F189" t="s">
        <v>623</v>
      </c>
      <c r="G189">
        <v>18</v>
      </c>
      <c r="H189">
        <v>12</v>
      </c>
      <c r="I189">
        <v>3</v>
      </c>
      <c r="J189">
        <v>0</v>
      </c>
      <c r="K189" s="9">
        <v>4.8024691358024691</v>
      </c>
    </row>
    <row r="190" spans="1:11" x14ac:dyDescent="0.45">
      <c r="A190" t="s">
        <v>34</v>
      </c>
      <c r="B190" t="s">
        <v>634</v>
      </c>
      <c r="C190" t="s">
        <v>7</v>
      </c>
      <c r="D190">
        <v>6</v>
      </c>
      <c r="E190" t="s">
        <v>310</v>
      </c>
      <c r="F190" t="s">
        <v>623</v>
      </c>
      <c r="G190">
        <v>2</v>
      </c>
      <c r="H190">
        <v>2</v>
      </c>
      <c r="I190">
        <v>0</v>
      </c>
      <c r="J190">
        <v>0</v>
      </c>
      <c r="K190" s="9">
        <v>6.1385542168674698</v>
      </c>
    </row>
    <row r="191" spans="1:11" x14ac:dyDescent="0.45">
      <c r="A191" t="s">
        <v>36</v>
      </c>
      <c r="B191" t="s">
        <v>635</v>
      </c>
      <c r="C191" t="s">
        <v>13</v>
      </c>
      <c r="D191">
        <v>1</v>
      </c>
      <c r="E191" t="s">
        <v>343</v>
      </c>
      <c r="F191" t="s">
        <v>622</v>
      </c>
      <c r="G191">
        <v>25</v>
      </c>
      <c r="H191">
        <v>24</v>
      </c>
      <c r="I191">
        <v>2</v>
      </c>
      <c r="J191">
        <v>1</v>
      </c>
      <c r="K191" s="9">
        <v>4.0606060606060606</v>
      </c>
    </row>
    <row r="192" spans="1:11" x14ac:dyDescent="0.45">
      <c r="A192" t="s">
        <v>36</v>
      </c>
      <c r="B192" t="s">
        <v>635</v>
      </c>
      <c r="C192" t="s">
        <v>13</v>
      </c>
      <c r="D192">
        <v>2</v>
      </c>
      <c r="E192" t="s">
        <v>342</v>
      </c>
      <c r="F192" t="s">
        <v>622</v>
      </c>
      <c r="G192">
        <v>40</v>
      </c>
      <c r="H192">
        <v>38</v>
      </c>
      <c r="I192">
        <v>4</v>
      </c>
      <c r="J192">
        <v>2</v>
      </c>
      <c r="K192" s="9">
        <v>3.6842105263157894</v>
      </c>
    </row>
    <row r="193" spans="1:11" x14ac:dyDescent="0.45">
      <c r="A193" t="s">
        <v>36</v>
      </c>
      <c r="B193" t="s">
        <v>635</v>
      </c>
      <c r="C193" t="s">
        <v>13</v>
      </c>
      <c r="D193">
        <v>3</v>
      </c>
      <c r="E193" t="s">
        <v>348</v>
      </c>
      <c r="F193" t="s">
        <v>622</v>
      </c>
      <c r="G193">
        <v>0</v>
      </c>
      <c r="H193">
        <v>1</v>
      </c>
      <c r="I193">
        <v>0</v>
      </c>
      <c r="J193">
        <v>0</v>
      </c>
      <c r="K193" s="9">
        <v>6.5693779904306222</v>
      </c>
    </row>
    <row r="194" spans="1:11" x14ac:dyDescent="0.45">
      <c r="A194" t="s">
        <v>36</v>
      </c>
      <c r="B194" t="s">
        <v>635</v>
      </c>
      <c r="C194" t="s">
        <v>13</v>
      </c>
      <c r="D194">
        <v>4</v>
      </c>
      <c r="E194" t="s">
        <v>345</v>
      </c>
      <c r="F194" t="s">
        <v>622</v>
      </c>
      <c r="G194">
        <v>57</v>
      </c>
      <c r="H194">
        <v>33</v>
      </c>
      <c r="I194">
        <v>3</v>
      </c>
      <c r="J194">
        <v>4</v>
      </c>
      <c r="K194" s="9">
        <v>2.8421052631578947</v>
      </c>
    </row>
    <row r="195" spans="1:11" x14ac:dyDescent="0.45">
      <c r="A195" t="s">
        <v>36</v>
      </c>
      <c r="B195" t="s">
        <v>635</v>
      </c>
      <c r="C195" t="s">
        <v>13</v>
      </c>
      <c r="D195">
        <v>5</v>
      </c>
      <c r="E195" t="s">
        <v>346</v>
      </c>
      <c r="F195" t="s">
        <v>622</v>
      </c>
      <c r="G195">
        <v>23</v>
      </c>
      <c r="H195">
        <v>18</v>
      </c>
      <c r="I195">
        <v>1</v>
      </c>
      <c r="J195">
        <v>2</v>
      </c>
      <c r="K195" s="9">
        <v>4.375</v>
      </c>
    </row>
    <row r="196" spans="1:11" x14ac:dyDescent="0.45">
      <c r="A196" t="s">
        <v>36</v>
      </c>
      <c r="B196" t="s">
        <v>635</v>
      </c>
      <c r="C196" t="s">
        <v>13</v>
      </c>
      <c r="D196">
        <v>6</v>
      </c>
      <c r="E196" t="s">
        <v>347</v>
      </c>
      <c r="F196" t="s">
        <v>622</v>
      </c>
      <c r="G196">
        <v>8</v>
      </c>
      <c r="H196">
        <v>4</v>
      </c>
      <c r="I196">
        <v>0</v>
      </c>
      <c r="J196">
        <v>1</v>
      </c>
      <c r="K196" s="9">
        <v>5.352380952380952</v>
      </c>
    </row>
    <row r="197" spans="1:11" x14ac:dyDescent="0.45">
      <c r="A197" t="s">
        <v>36</v>
      </c>
      <c r="B197" t="s">
        <v>635</v>
      </c>
      <c r="C197" t="s">
        <v>13</v>
      </c>
      <c r="D197">
        <v>7</v>
      </c>
      <c r="E197" t="s">
        <v>344</v>
      </c>
      <c r="F197" t="s">
        <v>623</v>
      </c>
      <c r="G197">
        <v>0</v>
      </c>
      <c r="H197">
        <v>0</v>
      </c>
      <c r="I197">
        <v>0</v>
      </c>
      <c r="J197">
        <v>0</v>
      </c>
      <c r="K197" s="9">
        <v>6.2519685039370083</v>
      </c>
    </row>
    <row r="198" spans="1:11" x14ac:dyDescent="0.45">
      <c r="A198" t="s">
        <v>36</v>
      </c>
      <c r="B198" t="s">
        <v>635</v>
      </c>
      <c r="C198" t="s">
        <v>13</v>
      </c>
      <c r="D198">
        <v>8</v>
      </c>
      <c r="E198" t="s">
        <v>350</v>
      </c>
      <c r="F198" t="s">
        <v>622</v>
      </c>
      <c r="G198">
        <v>0</v>
      </c>
      <c r="H198">
        <v>1</v>
      </c>
      <c r="I198">
        <v>0</v>
      </c>
      <c r="J198">
        <v>0</v>
      </c>
      <c r="K198" s="9">
        <v>6.5693779904306222</v>
      </c>
    </row>
    <row r="199" spans="1:11" x14ac:dyDescent="0.45">
      <c r="A199" t="s">
        <v>36</v>
      </c>
      <c r="B199" t="s">
        <v>635</v>
      </c>
      <c r="C199" t="s">
        <v>13</v>
      </c>
      <c r="D199">
        <v>9</v>
      </c>
      <c r="E199" t="s">
        <v>349</v>
      </c>
      <c r="F199" t="s">
        <v>623</v>
      </c>
      <c r="G199">
        <v>1</v>
      </c>
      <c r="H199">
        <v>1</v>
      </c>
      <c r="I199">
        <v>0</v>
      </c>
      <c r="J199">
        <v>0</v>
      </c>
      <c r="K199" s="9">
        <v>6.5693779904306222</v>
      </c>
    </row>
    <row r="200" spans="1:11" x14ac:dyDescent="0.45">
      <c r="A200" t="s">
        <v>36</v>
      </c>
      <c r="B200" t="s">
        <v>635</v>
      </c>
      <c r="C200" t="s">
        <v>26</v>
      </c>
      <c r="D200">
        <v>1</v>
      </c>
      <c r="E200" t="s">
        <v>397</v>
      </c>
      <c r="F200" t="s">
        <v>622</v>
      </c>
      <c r="G200">
        <v>39</v>
      </c>
      <c r="H200">
        <v>35</v>
      </c>
      <c r="I200">
        <v>1</v>
      </c>
      <c r="J200">
        <v>2</v>
      </c>
      <c r="K200" s="9">
        <v>3.5769230769230771</v>
      </c>
    </row>
    <row r="201" spans="1:11" x14ac:dyDescent="0.45">
      <c r="A201" t="s">
        <v>36</v>
      </c>
      <c r="B201" t="s">
        <v>635</v>
      </c>
      <c r="C201" t="s">
        <v>26</v>
      </c>
      <c r="D201">
        <v>2</v>
      </c>
      <c r="E201" t="s">
        <v>398</v>
      </c>
      <c r="F201" t="s">
        <v>622</v>
      </c>
      <c r="G201">
        <v>57</v>
      </c>
      <c r="H201">
        <v>42</v>
      </c>
      <c r="I201">
        <v>6</v>
      </c>
      <c r="J201">
        <v>2</v>
      </c>
      <c r="K201" s="9">
        <v>3.3913043478260869</v>
      </c>
    </row>
    <row r="202" spans="1:11" x14ac:dyDescent="0.45">
      <c r="A202" t="s">
        <v>36</v>
      </c>
      <c r="B202" t="s">
        <v>635</v>
      </c>
      <c r="C202" t="s">
        <v>26</v>
      </c>
      <c r="D202">
        <v>3</v>
      </c>
      <c r="E202" t="s">
        <v>416</v>
      </c>
      <c r="F202" t="s">
        <v>622</v>
      </c>
      <c r="G202">
        <v>3</v>
      </c>
      <c r="H202">
        <v>7</v>
      </c>
      <c r="I202">
        <v>0</v>
      </c>
      <c r="J202">
        <v>0</v>
      </c>
      <c r="K202" s="9">
        <v>4.927835051546392</v>
      </c>
    </row>
    <row r="203" spans="1:11" x14ac:dyDescent="0.45">
      <c r="A203" t="s">
        <v>36</v>
      </c>
      <c r="B203" t="s">
        <v>635</v>
      </c>
      <c r="C203" t="s">
        <v>26</v>
      </c>
      <c r="D203">
        <v>4</v>
      </c>
      <c r="E203" t="s">
        <v>401</v>
      </c>
      <c r="F203" t="s">
        <v>622</v>
      </c>
      <c r="G203">
        <v>20</v>
      </c>
      <c r="H203">
        <v>14</v>
      </c>
      <c r="I203">
        <v>2</v>
      </c>
      <c r="J203">
        <v>1</v>
      </c>
      <c r="K203" s="9">
        <v>4.8461538461538458</v>
      </c>
    </row>
    <row r="204" spans="1:11" x14ac:dyDescent="0.45">
      <c r="A204" t="s">
        <v>36</v>
      </c>
      <c r="B204" t="s">
        <v>635</v>
      </c>
      <c r="C204" t="s">
        <v>26</v>
      </c>
      <c r="D204">
        <v>5</v>
      </c>
      <c r="E204" t="s">
        <v>399</v>
      </c>
      <c r="F204" t="s">
        <v>622</v>
      </c>
      <c r="G204">
        <v>0</v>
      </c>
      <c r="H204">
        <v>1</v>
      </c>
      <c r="I204">
        <v>0</v>
      </c>
      <c r="J204">
        <v>0</v>
      </c>
      <c r="K204" s="9">
        <v>6.5693779904306222</v>
      </c>
    </row>
    <row r="205" spans="1:11" x14ac:dyDescent="0.45">
      <c r="A205" t="s">
        <v>36</v>
      </c>
      <c r="B205" t="s">
        <v>635</v>
      </c>
      <c r="C205" t="s">
        <v>26</v>
      </c>
      <c r="D205">
        <v>6</v>
      </c>
      <c r="E205" t="s">
        <v>400</v>
      </c>
      <c r="F205" t="s">
        <v>622</v>
      </c>
      <c r="G205">
        <v>16</v>
      </c>
      <c r="H205">
        <v>11</v>
      </c>
      <c r="I205">
        <v>1</v>
      </c>
      <c r="J205">
        <v>1</v>
      </c>
      <c r="K205" s="9">
        <v>4.9649122807017543</v>
      </c>
    </row>
    <row r="206" spans="1:11" x14ac:dyDescent="0.45">
      <c r="A206" t="s">
        <v>36</v>
      </c>
      <c r="B206" t="s">
        <v>635</v>
      </c>
      <c r="C206" t="s">
        <v>26</v>
      </c>
      <c r="D206">
        <v>7</v>
      </c>
      <c r="E206" t="s">
        <v>402</v>
      </c>
      <c r="F206" t="s">
        <v>623</v>
      </c>
      <c r="G206">
        <v>12</v>
      </c>
      <c r="H206">
        <v>9</v>
      </c>
      <c r="I206">
        <v>0</v>
      </c>
      <c r="J206">
        <v>1</v>
      </c>
      <c r="K206" s="9">
        <v>4.924050632911392</v>
      </c>
    </row>
    <row r="207" spans="1:11" x14ac:dyDescent="0.45">
      <c r="A207" t="s">
        <v>36</v>
      </c>
      <c r="B207" t="s">
        <v>635</v>
      </c>
      <c r="C207" t="s">
        <v>26</v>
      </c>
      <c r="D207">
        <v>8</v>
      </c>
      <c r="E207" t="s">
        <v>404</v>
      </c>
      <c r="F207" t="s">
        <v>623</v>
      </c>
      <c r="G207">
        <v>3</v>
      </c>
      <c r="H207">
        <v>2</v>
      </c>
      <c r="I207">
        <v>0</v>
      </c>
      <c r="J207">
        <v>0</v>
      </c>
      <c r="K207" s="9">
        <v>6.1385542168674698</v>
      </c>
    </row>
    <row r="208" spans="1:11" x14ac:dyDescent="0.45">
      <c r="A208" t="s">
        <v>37</v>
      </c>
      <c r="B208" t="s">
        <v>636</v>
      </c>
      <c r="C208" t="s">
        <v>6</v>
      </c>
      <c r="D208">
        <v>1</v>
      </c>
      <c r="E208" t="s">
        <v>290</v>
      </c>
      <c r="F208" t="s">
        <v>623</v>
      </c>
      <c r="G208">
        <v>101</v>
      </c>
      <c r="H208">
        <v>60</v>
      </c>
      <c r="I208">
        <v>9</v>
      </c>
      <c r="J208">
        <v>5</v>
      </c>
      <c r="K208" s="9">
        <v>2</v>
      </c>
    </row>
    <row r="209" spans="1:11" x14ac:dyDescent="0.45">
      <c r="A209" t="s">
        <v>37</v>
      </c>
      <c r="B209" t="s">
        <v>636</v>
      </c>
      <c r="C209" t="s">
        <v>6</v>
      </c>
      <c r="D209">
        <v>2</v>
      </c>
      <c r="E209" t="s">
        <v>294</v>
      </c>
      <c r="F209" t="s">
        <v>622</v>
      </c>
      <c r="G209">
        <v>25</v>
      </c>
      <c r="H209">
        <v>19</v>
      </c>
      <c r="I209">
        <v>2</v>
      </c>
      <c r="J209">
        <v>1</v>
      </c>
      <c r="K209" s="9">
        <v>4.5660377358490569</v>
      </c>
    </row>
    <row r="210" spans="1:11" x14ac:dyDescent="0.45">
      <c r="A210" t="s">
        <v>37</v>
      </c>
      <c r="B210" t="s">
        <v>636</v>
      </c>
      <c r="C210" t="s">
        <v>6</v>
      </c>
      <c r="D210">
        <v>3</v>
      </c>
      <c r="E210" t="s">
        <v>417</v>
      </c>
      <c r="F210" t="s">
        <v>622</v>
      </c>
      <c r="G210">
        <v>3</v>
      </c>
      <c r="H210">
        <v>5</v>
      </c>
      <c r="I210">
        <v>0</v>
      </c>
      <c r="J210">
        <v>0</v>
      </c>
      <c r="K210" s="9">
        <v>5.132075471698113</v>
      </c>
    </row>
    <row r="211" spans="1:11" x14ac:dyDescent="0.45">
      <c r="A211" t="s">
        <v>37</v>
      </c>
      <c r="B211" t="s">
        <v>636</v>
      </c>
      <c r="C211" t="s">
        <v>6</v>
      </c>
      <c r="D211">
        <v>4</v>
      </c>
      <c r="E211" t="s">
        <v>299</v>
      </c>
      <c r="F211" t="s">
        <v>622</v>
      </c>
      <c r="G211">
        <v>21</v>
      </c>
      <c r="H211">
        <v>17</v>
      </c>
      <c r="I211">
        <v>1</v>
      </c>
      <c r="J211">
        <v>1</v>
      </c>
      <c r="K211" s="9">
        <v>4.82</v>
      </c>
    </row>
    <row r="212" spans="1:11" x14ac:dyDescent="0.45">
      <c r="A212" t="s">
        <v>37</v>
      </c>
      <c r="B212" t="s">
        <v>636</v>
      </c>
      <c r="C212" t="s">
        <v>6</v>
      </c>
      <c r="D212">
        <v>5</v>
      </c>
      <c r="E212" t="s">
        <v>355</v>
      </c>
      <c r="F212" t="s">
        <v>622</v>
      </c>
      <c r="G212">
        <v>2</v>
      </c>
      <c r="H212">
        <v>4</v>
      </c>
      <c r="I212">
        <v>0</v>
      </c>
      <c r="J212">
        <v>0</v>
      </c>
      <c r="K212" s="9">
        <v>5.352380952380952</v>
      </c>
    </row>
    <row r="213" spans="1:11" x14ac:dyDescent="0.45">
      <c r="A213" t="s">
        <v>37</v>
      </c>
      <c r="B213" t="s">
        <v>636</v>
      </c>
      <c r="C213" t="s">
        <v>6</v>
      </c>
      <c r="D213">
        <v>6</v>
      </c>
      <c r="E213" t="s">
        <v>328</v>
      </c>
      <c r="F213" t="s">
        <v>623</v>
      </c>
      <c r="G213">
        <v>32</v>
      </c>
      <c r="H213">
        <v>15</v>
      </c>
      <c r="I213">
        <v>4</v>
      </c>
      <c r="J213">
        <v>1</v>
      </c>
      <c r="K213" s="9">
        <v>4.7777777777777777</v>
      </c>
    </row>
    <row r="214" spans="1:11" x14ac:dyDescent="0.45">
      <c r="A214" t="s">
        <v>37</v>
      </c>
      <c r="B214" t="s">
        <v>636</v>
      </c>
      <c r="C214" t="s">
        <v>23</v>
      </c>
      <c r="D214">
        <v>1</v>
      </c>
      <c r="E214" t="s">
        <v>410</v>
      </c>
      <c r="F214" t="s">
        <v>622</v>
      </c>
      <c r="G214">
        <v>27</v>
      </c>
      <c r="H214">
        <v>12</v>
      </c>
      <c r="I214">
        <v>2</v>
      </c>
      <c r="J214">
        <v>2</v>
      </c>
      <c r="K214" s="9">
        <v>4.8024691358024691</v>
      </c>
    </row>
    <row r="215" spans="1:11" x14ac:dyDescent="0.45">
      <c r="A215" t="s">
        <v>37</v>
      </c>
      <c r="B215" t="s">
        <v>636</v>
      </c>
      <c r="C215" t="s">
        <v>23</v>
      </c>
      <c r="D215">
        <v>2</v>
      </c>
      <c r="E215" t="s">
        <v>383</v>
      </c>
      <c r="F215" t="s">
        <v>622</v>
      </c>
      <c r="G215">
        <v>50</v>
      </c>
      <c r="H215">
        <v>21</v>
      </c>
      <c r="I215">
        <v>6</v>
      </c>
      <c r="J215">
        <v>3</v>
      </c>
      <c r="K215" s="9">
        <v>4.3770491803278686</v>
      </c>
    </row>
    <row r="216" spans="1:11" x14ac:dyDescent="0.45">
      <c r="A216" t="s">
        <v>37</v>
      </c>
      <c r="B216" t="s">
        <v>636</v>
      </c>
      <c r="C216" t="s">
        <v>23</v>
      </c>
      <c r="D216">
        <v>3</v>
      </c>
      <c r="E216" t="s">
        <v>386</v>
      </c>
      <c r="F216" t="s">
        <v>622</v>
      </c>
      <c r="G216">
        <v>28</v>
      </c>
      <c r="H216">
        <v>24</v>
      </c>
      <c r="I216">
        <v>4</v>
      </c>
      <c r="J216">
        <v>0</v>
      </c>
      <c r="K216" s="9">
        <v>4.0606060606060606</v>
      </c>
    </row>
    <row r="217" spans="1:11" x14ac:dyDescent="0.45">
      <c r="A217" t="s">
        <v>37</v>
      </c>
      <c r="B217" t="s">
        <v>636</v>
      </c>
      <c r="C217" t="s">
        <v>23</v>
      </c>
      <c r="D217">
        <v>4</v>
      </c>
      <c r="E217" t="s">
        <v>387</v>
      </c>
      <c r="F217" t="s">
        <v>623</v>
      </c>
      <c r="G217">
        <v>64</v>
      </c>
      <c r="H217">
        <v>42</v>
      </c>
      <c r="I217">
        <v>4</v>
      </c>
      <c r="J217">
        <v>4</v>
      </c>
      <c r="K217" s="9">
        <v>3.3913043478260869</v>
      </c>
    </row>
    <row r="218" spans="1:11" x14ac:dyDescent="0.45">
      <c r="A218" t="s">
        <v>37</v>
      </c>
      <c r="B218" t="s">
        <v>636</v>
      </c>
      <c r="C218" t="s">
        <v>23</v>
      </c>
      <c r="D218">
        <v>5</v>
      </c>
      <c r="E218" t="s">
        <v>389</v>
      </c>
      <c r="F218" t="s">
        <v>623</v>
      </c>
      <c r="G218">
        <v>14</v>
      </c>
      <c r="H218">
        <v>8</v>
      </c>
      <c r="I218">
        <v>1</v>
      </c>
      <c r="J218">
        <v>1</v>
      </c>
      <c r="K218" s="9">
        <v>4.9029126213592233</v>
      </c>
    </row>
    <row r="219" spans="1:11" x14ac:dyDescent="0.45">
      <c r="A219" t="s">
        <v>38</v>
      </c>
      <c r="B219" t="s">
        <v>637</v>
      </c>
      <c r="C219" t="s">
        <v>19</v>
      </c>
      <c r="D219">
        <v>1</v>
      </c>
      <c r="E219" t="s">
        <v>359</v>
      </c>
      <c r="F219" t="s">
        <v>622</v>
      </c>
      <c r="G219">
        <v>7</v>
      </c>
      <c r="H219">
        <v>10</v>
      </c>
      <c r="I219">
        <v>1</v>
      </c>
      <c r="J219">
        <v>0</v>
      </c>
      <c r="K219" s="9">
        <v>4.7179487179487181</v>
      </c>
    </row>
    <row r="220" spans="1:11" x14ac:dyDescent="0.45">
      <c r="A220" t="s">
        <v>38</v>
      </c>
      <c r="B220" t="s">
        <v>637</v>
      </c>
      <c r="C220" t="s">
        <v>19</v>
      </c>
      <c r="D220">
        <v>2</v>
      </c>
      <c r="E220" t="s">
        <v>422</v>
      </c>
      <c r="F220" t="s">
        <v>622</v>
      </c>
      <c r="G220">
        <v>19</v>
      </c>
      <c r="H220">
        <v>18</v>
      </c>
      <c r="I220">
        <v>1</v>
      </c>
      <c r="J220">
        <v>1</v>
      </c>
      <c r="K220" s="9">
        <v>4.375</v>
      </c>
    </row>
    <row r="221" spans="1:11" x14ac:dyDescent="0.45">
      <c r="A221" t="s">
        <v>38</v>
      </c>
      <c r="B221" t="s">
        <v>637</v>
      </c>
      <c r="C221" t="s">
        <v>19</v>
      </c>
      <c r="D221">
        <v>3</v>
      </c>
      <c r="E221" t="s">
        <v>363</v>
      </c>
      <c r="F221" t="s">
        <v>622</v>
      </c>
      <c r="G221">
        <v>33</v>
      </c>
      <c r="H221">
        <v>26</v>
      </c>
      <c r="I221">
        <v>2</v>
      </c>
      <c r="J221">
        <v>2</v>
      </c>
      <c r="K221" s="9">
        <v>4.1568627450980395</v>
      </c>
    </row>
    <row r="222" spans="1:11" x14ac:dyDescent="0.45">
      <c r="A222" t="s">
        <v>38</v>
      </c>
      <c r="B222" t="s">
        <v>637</v>
      </c>
      <c r="C222" t="s">
        <v>19</v>
      </c>
      <c r="D222">
        <v>4</v>
      </c>
      <c r="E222" t="s">
        <v>423</v>
      </c>
      <c r="F222" t="s">
        <v>622</v>
      </c>
      <c r="G222">
        <v>15</v>
      </c>
      <c r="H222">
        <v>18</v>
      </c>
      <c r="I222">
        <v>1</v>
      </c>
      <c r="J222">
        <v>0</v>
      </c>
      <c r="K222" s="9">
        <v>4.375</v>
      </c>
    </row>
    <row r="223" spans="1:11" x14ac:dyDescent="0.45">
      <c r="A223" t="s">
        <v>38</v>
      </c>
      <c r="B223" t="s">
        <v>637</v>
      </c>
      <c r="C223" t="s">
        <v>19</v>
      </c>
      <c r="D223">
        <v>5</v>
      </c>
      <c r="E223" t="s">
        <v>362</v>
      </c>
      <c r="F223" t="s">
        <v>622</v>
      </c>
      <c r="G223">
        <v>6</v>
      </c>
      <c r="H223">
        <v>9</v>
      </c>
      <c r="I223">
        <v>0</v>
      </c>
      <c r="J223">
        <v>0</v>
      </c>
      <c r="K223" s="9">
        <v>4.924050632911392</v>
      </c>
    </row>
    <row r="224" spans="1:11" x14ac:dyDescent="0.45">
      <c r="A224" t="s">
        <v>38</v>
      </c>
      <c r="B224" t="s">
        <v>637</v>
      </c>
      <c r="C224" t="s">
        <v>19</v>
      </c>
      <c r="D224">
        <v>6</v>
      </c>
      <c r="E224" t="s">
        <v>361</v>
      </c>
      <c r="F224" t="s">
        <v>622</v>
      </c>
      <c r="G224">
        <v>17</v>
      </c>
      <c r="H224">
        <v>18</v>
      </c>
      <c r="I224">
        <v>2</v>
      </c>
      <c r="J224">
        <v>0</v>
      </c>
      <c r="K224" s="9">
        <v>4.375</v>
      </c>
    </row>
    <row r="225" spans="1:11" x14ac:dyDescent="0.45">
      <c r="A225" t="s">
        <v>38</v>
      </c>
      <c r="B225" t="s">
        <v>637</v>
      </c>
      <c r="C225" t="s">
        <v>19</v>
      </c>
      <c r="D225">
        <v>7</v>
      </c>
      <c r="E225" t="s">
        <v>366</v>
      </c>
      <c r="F225" t="s">
        <v>623</v>
      </c>
      <c r="G225">
        <v>13</v>
      </c>
      <c r="H225">
        <v>15</v>
      </c>
      <c r="I225">
        <v>1</v>
      </c>
      <c r="J225">
        <v>1</v>
      </c>
      <c r="K225" s="9">
        <v>4.7777777777777777</v>
      </c>
    </row>
    <row r="226" spans="1:11" x14ac:dyDescent="0.45">
      <c r="A226" t="s">
        <v>38</v>
      </c>
      <c r="B226" t="s">
        <v>637</v>
      </c>
      <c r="C226" t="s">
        <v>19</v>
      </c>
      <c r="D226">
        <v>8</v>
      </c>
      <c r="E226" t="s">
        <v>367</v>
      </c>
      <c r="F226" t="s">
        <v>622</v>
      </c>
      <c r="G226">
        <v>1</v>
      </c>
      <c r="H226">
        <v>2</v>
      </c>
      <c r="I226">
        <v>0</v>
      </c>
      <c r="J226">
        <v>0</v>
      </c>
      <c r="K226" s="9">
        <v>6.1385542168674698</v>
      </c>
    </row>
    <row r="227" spans="1:11" x14ac:dyDescent="0.45">
      <c r="A227" t="s">
        <v>38</v>
      </c>
      <c r="B227" t="s">
        <v>637</v>
      </c>
      <c r="C227" t="s">
        <v>19</v>
      </c>
      <c r="D227">
        <v>9</v>
      </c>
      <c r="E227" t="s">
        <v>414</v>
      </c>
      <c r="F227" t="s">
        <v>622</v>
      </c>
      <c r="G227">
        <v>11</v>
      </c>
      <c r="H227">
        <v>4</v>
      </c>
      <c r="I227">
        <v>1</v>
      </c>
      <c r="J227">
        <v>1</v>
      </c>
      <c r="K227" s="9">
        <v>5.352380952380952</v>
      </c>
    </row>
    <row r="228" spans="1:11" x14ac:dyDescent="0.45">
      <c r="A228" t="s">
        <v>38</v>
      </c>
      <c r="B228" t="s">
        <v>637</v>
      </c>
      <c r="C228" t="s">
        <v>19</v>
      </c>
      <c r="D228">
        <v>10</v>
      </c>
      <c r="E228" t="s">
        <v>369</v>
      </c>
      <c r="F228" t="s">
        <v>623</v>
      </c>
      <c r="G228">
        <v>1</v>
      </c>
      <c r="H228">
        <v>1</v>
      </c>
      <c r="I228">
        <v>0</v>
      </c>
      <c r="J228">
        <v>0</v>
      </c>
      <c r="K228" s="9">
        <v>6.5693779904306222</v>
      </c>
    </row>
    <row r="229" spans="1:11" x14ac:dyDescent="0.45">
      <c r="A229" t="s">
        <v>38</v>
      </c>
      <c r="B229" t="s">
        <v>637</v>
      </c>
      <c r="C229" t="s">
        <v>10</v>
      </c>
      <c r="D229">
        <v>1</v>
      </c>
      <c r="E229" t="s">
        <v>329</v>
      </c>
      <c r="F229" t="s">
        <v>622</v>
      </c>
      <c r="G229">
        <v>6</v>
      </c>
      <c r="H229">
        <v>7</v>
      </c>
      <c r="I229">
        <v>1</v>
      </c>
      <c r="J229">
        <v>0</v>
      </c>
      <c r="K229" s="9">
        <v>4.927835051546392</v>
      </c>
    </row>
    <row r="230" spans="1:11" x14ac:dyDescent="0.45">
      <c r="A230" t="s">
        <v>38</v>
      </c>
      <c r="B230" t="s">
        <v>637</v>
      </c>
      <c r="C230" t="s">
        <v>10</v>
      </c>
      <c r="D230">
        <v>2</v>
      </c>
      <c r="E230" t="s">
        <v>330</v>
      </c>
      <c r="F230" t="s">
        <v>622</v>
      </c>
      <c r="G230">
        <v>8</v>
      </c>
      <c r="H230">
        <v>7</v>
      </c>
      <c r="I230">
        <v>0</v>
      </c>
      <c r="J230">
        <v>1</v>
      </c>
      <c r="K230" s="9">
        <v>4.927835051546392</v>
      </c>
    </row>
    <row r="231" spans="1:11" x14ac:dyDescent="0.45">
      <c r="A231" t="s">
        <v>38</v>
      </c>
      <c r="B231" t="s">
        <v>637</v>
      </c>
      <c r="C231" t="s">
        <v>10</v>
      </c>
      <c r="D231">
        <v>3</v>
      </c>
      <c r="E231" t="s">
        <v>424</v>
      </c>
      <c r="F231" t="s">
        <v>622</v>
      </c>
      <c r="G231">
        <v>9</v>
      </c>
      <c r="H231">
        <v>8</v>
      </c>
      <c r="I231">
        <v>0</v>
      </c>
      <c r="J231">
        <v>1</v>
      </c>
      <c r="K231" s="9">
        <v>4.9029126213592233</v>
      </c>
    </row>
    <row r="232" spans="1:11" x14ac:dyDescent="0.45">
      <c r="A232" t="s">
        <v>38</v>
      </c>
      <c r="B232" t="s">
        <v>637</v>
      </c>
      <c r="C232" t="s">
        <v>10</v>
      </c>
      <c r="D232">
        <v>4</v>
      </c>
      <c r="E232" t="s">
        <v>334</v>
      </c>
      <c r="F232" t="s">
        <v>622</v>
      </c>
      <c r="G232">
        <v>26</v>
      </c>
      <c r="H232">
        <v>22</v>
      </c>
      <c r="I232">
        <v>3</v>
      </c>
      <c r="J232">
        <v>1</v>
      </c>
      <c r="K232" s="9">
        <v>4.4423076923076925</v>
      </c>
    </row>
    <row r="233" spans="1:11" x14ac:dyDescent="0.45">
      <c r="A233" t="s">
        <v>38</v>
      </c>
      <c r="B233" t="s">
        <v>637</v>
      </c>
      <c r="C233" t="s">
        <v>10</v>
      </c>
      <c r="D233">
        <v>5</v>
      </c>
      <c r="E233" t="s">
        <v>332</v>
      </c>
      <c r="F233" t="s">
        <v>623</v>
      </c>
      <c r="G233">
        <v>33</v>
      </c>
      <c r="H233">
        <v>33</v>
      </c>
      <c r="I233">
        <v>2</v>
      </c>
      <c r="J233">
        <v>0</v>
      </c>
      <c r="K233" s="9">
        <v>2.8421052631578947</v>
      </c>
    </row>
    <row r="234" spans="1:11" x14ac:dyDescent="0.45">
      <c r="A234" t="s">
        <v>38</v>
      </c>
      <c r="B234" t="s">
        <v>637</v>
      </c>
      <c r="C234" t="s">
        <v>10</v>
      </c>
      <c r="D234">
        <v>6</v>
      </c>
      <c r="E234" t="s">
        <v>337</v>
      </c>
      <c r="F234" t="s">
        <v>622</v>
      </c>
      <c r="G234">
        <v>9</v>
      </c>
      <c r="H234">
        <v>9</v>
      </c>
      <c r="I234">
        <v>1</v>
      </c>
      <c r="J234">
        <v>0</v>
      </c>
      <c r="K234" s="9">
        <v>4.924050632911392</v>
      </c>
    </row>
    <row r="235" spans="1:11" x14ac:dyDescent="0.45">
      <c r="A235" t="s">
        <v>38</v>
      </c>
      <c r="B235" t="s">
        <v>637</v>
      </c>
      <c r="C235" t="s">
        <v>10</v>
      </c>
      <c r="D235">
        <v>7</v>
      </c>
      <c r="E235" t="s">
        <v>336</v>
      </c>
      <c r="F235" t="s">
        <v>622</v>
      </c>
      <c r="G235">
        <v>15</v>
      </c>
      <c r="H235">
        <v>8</v>
      </c>
      <c r="I235">
        <v>2</v>
      </c>
      <c r="J235">
        <v>0</v>
      </c>
      <c r="K235" s="9">
        <v>4.9029126213592233</v>
      </c>
    </row>
    <row r="236" spans="1:11" x14ac:dyDescent="0.45">
      <c r="A236" t="s">
        <v>38</v>
      </c>
      <c r="B236" t="s">
        <v>637</v>
      </c>
      <c r="C236" t="s">
        <v>10</v>
      </c>
      <c r="D236">
        <v>8</v>
      </c>
      <c r="E236" t="s">
        <v>339</v>
      </c>
      <c r="F236" t="s">
        <v>623</v>
      </c>
      <c r="G236">
        <v>20</v>
      </c>
      <c r="H236">
        <v>21</v>
      </c>
      <c r="I236">
        <v>0</v>
      </c>
      <c r="J236">
        <v>1</v>
      </c>
      <c r="K236" s="9">
        <v>4.3770491803278686</v>
      </c>
    </row>
    <row r="237" spans="1:11" x14ac:dyDescent="0.45">
      <c r="A237" t="s">
        <v>40</v>
      </c>
      <c r="B237" t="s">
        <v>638</v>
      </c>
      <c r="C237" t="s">
        <v>7</v>
      </c>
      <c r="D237">
        <v>1</v>
      </c>
      <c r="E237" t="s">
        <v>304</v>
      </c>
      <c r="F237" t="s">
        <v>622</v>
      </c>
      <c r="G237">
        <v>67</v>
      </c>
      <c r="H237">
        <v>49</v>
      </c>
      <c r="I237">
        <v>9</v>
      </c>
      <c r="J237">
        <v>1</v>
      </c>
      <c r="K237" s="9">
        <v>3.5714285714285716</v>
      </c>
    </row>
    <row r="238" spans="1:11" x14ac:dyDescent="0.45">
      <c r="A238" t="s">
        <v>40</v>
      </c>
      <c r="B238" t="s">
        <v>638</v>
      </c>
      <c r="C238" t="s">
        <v>7</v>
      </c>
      <c r="D238">
        <v>2</v>
      </c>
      <c r="E238" t="s">
        <v>302</v>
      </c>
      <c r="F238" t="s">
        <v>622</v>
      </c>
      <c r="G238">
        <v>7</v>
      </c>
      <c r="H238">
        <v>7</v>
      </c>
      <c r="I238">
        <v>1</v>
      </c>
      <c r="J238">
        <v>0</v>
      </c>
      <c r="K238" s="9">
        <v>4.927835051546392</v>
      </c>
    </row>
    <row r="239" spans="1:11" x14ac:dyDescent="0.45">
      <c r="A239" t="s">
        <v>40</v>
      </c>
      <c r="B239" t="s">
        <v>638</v>
      </c>
      <c r="C239" t="s">
        <v>7</v>
      </c>
      <c r="D239">
        <v>3</v>
      </c>
      <c r="E239" t="s">
        <v>315</v>
      </c>
      <c r="F239" t="s">
        <v>622</v>
      </c>
      <c r="G239">
        <v>34</v>
      </c>
      <c r="H239">
        <v>26</v>
      </c>
      <c r="I239">
        <v>3</v>
      </c>
      <c r="J239">
        <v>1</v>
      </c>
      <c r="K239" s="9">
        <v>4.1568627450980395</v>
      </c>
    </row>
    <row r="240" spans="1:11" x14ac:dyDescent="0.45">
      <c r="A240" t="s">
        <v>40</v>
      </c>
      <c r="B240" t="s">
        <v>638</v>
      </c>
      <c r="C240" t="s">
        <v>7</v>
      </c>
      <c r="D240">
        <v>4</v>
      </c>
      <c r="E240" t="s">
        <v>306</v>
      </c>
      <c r="F240" t="s">
        <v>622</v>
      </c>
      <c r="G240">
        <v>31</v>
      </c>
      <c r="H240">
        <v>18</v>
      </c>
      <c r="I240">
        <v>2</v>
      </c>
      <c r="J240">
        <v>2</v>
      </c>
      <c r="K240" s="9">
        <v>4.375</v>
      </c>
    </row>
    <row r="241" spans="1:11" x14ac:dyDescent="0.45">
      <c r="A241" t="s">
        <v>40</v>
      </c>
      <c r="B241" t="s">
        <v>638</v>
      </c>
      <c r="C241" t="s">
        <v>7</v>
      </c>
      <c r="D241">
        <v>5</v>
      </c>
      <c r="E241" t="s">
        <v>310</v>
      </c>
      <c r="F241" t="s">
        <v>622</v>
      </c>
      <c r="G241">
        <v>2</v>
      </c>
      <c r="H241">
        <v>2</v>
      </c>
      <c r="I241">
        <v>0</v>
      </c>
      <c r="J241">
        <v>0</v>
      </c>
      <c r="K241" s="9">
        <v>6.1385542168674698</v>
      </c>
    </row>
    <row r="242" spans="1:11" x14ac:dyDescent="0.45">
      <c r="A242" t="s">
        <v>40</v>
      </c>
      <c r="B242" t="s">
        <v>638</v>
      </c>
      <c r="C242" t="s">
        <v>7</v>
      </c>
      <c r="D242">
        <v>6</v>
      </c>
      <c r="E242" t="s">
        <v>311</v>
      </c>
      <c r="F242" t="s">
        <v>622</v>
      </c>
      <c r="G242">
        <v>11</v>
      </c>
      <c r="H242">
        <v>11</v>
      </c>
      <c r="I242">
        <v>0</v>
      </c>
      <c r="J242">
        <v>0</v>
      </c>
      <c r="K242" s="9">
        <v>4.9649122807017543</v>
      </c>
    </row>
    <row r="243" spans="1:11" x14ac:dyDescent="0.45">
      <c r="A243" t="s">
        <v>40</v>
      </c>
      <c r="B243" t="s">
        <v>638</v>
      </c>
      <c r="C243" t="s">
        <v>7</v>
      </c>
      <c r="D243">
        <v>7</v>
      </c>
      <c r="E243" t="s">
        <v>425</v>
      </c>
      <c r="F243" t="s">
        <v>622</v>
      </c>
      <c r="G243">
        <v>2</v>
      </c>
      <c r="H243">
        <v>4</v>
      </c>
      <c r="I243">
        <v>0</v>
      </c>
      <c r="J243">
        <v>0</v>
      </c>
      <c r="K243" s="9">
        <v>5.352380952380952</v>
      </c>
    </row>
    <row r="244" spans="1:11" x14ac:dyDescent="0.45">
      <c r="A244" t="s">
        <v>40</v>
      </c>
      <c r="B244" t="s">
        <v>638</v>
      </c>
      <c r="C244" t="s">
        <v>7</v>
      </c>
      <c r="D244">
        <v>8</v>
      </c>
      <c r="E244" t="s">
        <v>308</v>
      </c>
      <c r="F244" t="s">
        <v>623</v>
      </c>
      <c r="G244">
        <v>3</v>
      </c>
      <c r="H244">
        <v>3</v>
      </c>
      <c r="I244">
        <v>0</v>
      </c>
      <c r="J244">
        <v>0</v>
      </c>
      <c r="K244" s="9">
        <v>5.6607142857142856</v>
      </c>
    </row>
    <row r="245" spans="1:11" x14ac:dyDescent="0.45">
      <c r="A245" t="s">
        <v>40</v>
      </c>
      <c r="B245" t="s">
        <v>638</v>
      </c>
      <c r="C245" t="s">
        <v>26</v>
      </c>
      <c r="D245">
        <v>1</v>
      </c>
      <c r="E245" t="s">
        <v>397</v>
      </c>
      <c r="F245" t="s">
        <v>622</v>
      </c>
      <c r="G245">
        <v>67</v>
      </c>
      <c r="H245">
        <v>55</v>
      </c>
      <c r="I245">
        <v>4</v>
      </c>
      <c r="J245">
        <v>2</v>
      </c>
      <c r="K245" s="9">
        <v>3.1875</v>
      </c>
    </row>
    <row r="246" spans="1:11" x14ac:dyDescent="0.45">
      <c r="A246" t="s">
        <v>40</v>
      </c>
      <c r="B246" t="s">
        <v>638</v>
      </c>
      <c r="C246" t="s">
        <v>26</v>
      </c>
      <c r="D246">
        <v>2</v>
      </c>
      <c r="E246" t="s">
        <v>398</v>
      </c>
      <c r="F246" t="s">
        <v>622</v>
      </c>
      <c r="G246">
        <v>40</v>
      </c>
      <c r="H246">
        <v>27</v>
      </c>
      <c r="I246">
        <v>3</v>
      </c>
      <c r="J246">
        <v>3</v>
      </c>
      <c r="K246" s="9">
        <v>4.25</v>
      </c>
    </row>
    <row r="247" spans="1:11" x14ac:dyDescent="0.45">
      <c r="A247" t="s">
        <v>40</v>
      </c>
      <c r="B247" t="s">
        <v>638</v>
      </c>
      <c r="C247" t="s">
        <v>26</v>
      </c>
      <c r="D247">
        <v>3</v>
      </c>
      <c r="E247" t="s">
        <v>416</v>
      </c>
      <c r="F247" t="s">
        <v>622</v>
      </c>
      <c r="G247">
        <v>12</v>
      </c>
      <c r="H247">
        <v>7</v>
      </c>
      <c r="I247">
        <v>0</v>
      </c>
      <c r="J247">
        <v>1</v>
      </c>
      <c r="K247" s="9">
        <v>4.927835051546392</v>
      </c>
    </row>
    <row r="248" spans="1:11" x14ac:dyDescent="0.45">
      <c r="A248" t="s">
        <v>40</v>
      </c>
      <c r="B248" t="s">
        <v>638</v>
      </c>
      <c r="C248" t="s">
        <v>26</v>
      </c>
      <c r="D248">
        <v>4</v>
      </c>
      <c r="E248" t="s">
        <v>401</v>
      </c>
      <c r="F248" t="s">
        <v>622</v>
      </c>
      <c r="G248">
        <v>18</v>
      </c>
      <c r="H248">
        <v>16</v>
      </c>
      <c r="I248">
        <v>0</v>
      </c>
      <c r="J248">
        <v>1</v>
      </c>
      <c r="K248" s="9">
        <v>4.7608695652173916</v>
      </c>
    </row>
    <row r="249" spans="1:11" x14ac:dyDescent="0.45">
      <c r="A249" t="s">
        <v>40</v>
      </c>
      <c r="B249" t="s">
        <v>638</v>
      </c>
      <c r="C249" t="s">
        <v>26</v>
      </c>
      <c r="D249">
        <v>5</v>
      </c>
      <c r="E249" t="s">
        <v>426</v>
      </c>
      <c r="F249" t="s">
        <v>622</v>
      </c>
      <c r="G249">
        <v>3</v>
      </c>
      <c r="H249">
        <v>4</v>
      </c>
      <c r="I249">
        <v>0</v>
      </c>
      <c r="J249">
        <v>0</v>
      </c>
      <c r="K249" s="9">
        <v>5.352380952380952</v>
      </c>
    </row>
    <row r="250" spans="1:11" x14ac:dyDescent="0.45">
      <c r="A250" t="s">
        <v>40</v>
      </c>
      <c r="B250" t="s">
        <v>638</v>
      </c>
      <c r="C250" t="s">
        <v>26</v>
      </c>
      <c r="D250">
        <v>6</v>
      </c>
      <c r="E250" t="s">
        <v>400</v>
      </c>
      <c r="F250" t="s">
        <v>623</v>
      </c>
      <c r="G250">
        <v>22</v>
      </c>
      <c r="H250">
        <v>9</v>
      </c>
      <c r="I250">
        <v>1</v>
      </c>
      <c r="J250">
        <v>2</v>
      </c>
      <c r="K250" s="9">
        <v>4.924050632911392</v>
      </c>
    </row>
    <row r="251" spans="1:11" x14ac:dyDescent="0.45">
      <c r="A251" t="s">
        <v>40</v>
      </c>
      <c r="B251" t="s">
        <v>638</v>
      </c>
      <c r="C251" t="s">
        <v>26</v>
      </c>
      <c r="D251">
        <v>7</v>
      </c>
      <c r="E251" t="s">
        <v>427</v>
      </c>
      <c r="F251" t="s">
        <v>623</v>
      </c>
      <c r="G251">
        <v>0</v>
      </c>
      <c r="H251">
        <v>0</v>
      </c>
      <c r="I251">
        <v>0</v>
      </c>
      <c r="J251">
        <v>0</v>
      </c>
      <c r="K251" s="9">
        <v>6.2519685039370083</v>
      </c>
    </row>
    <row r="252" spans="1:11" x14ac:dyDescent="0.45">
      <c r="A252" t="s">
        <v>41</v>
      </c>
      <c r="B252" t="s">
        <v>639</v>
      </c>
      <c r="C252" t="s">
        <v>20</v>
      </c>
      <c r="D252">
        <v>1</v>
      </c>
      <c r="E252" t="s">
        <v>372</v>
      </c>
      <c r="F252" t="s">
        <v>622</v>
      </c>
      <c r="G252">
        <v>2</v>
      </c>
      <c r="H252">
        <v>7</v>
      </c>
      <c r="I252">
        <v>0</v>
      </c>
      <c r="J252">
        <v>0</v>
      </c>
      <c r="K252" s="9">
        <v>4.927835051546392</v>
      </c>
    </row>
    <row r="253" spans="1:11" x14ac:dyDescent="0.45">
      <c r="A253" t="s">
        <v>41</v>
      </c>
      <c r="B253" t="s">
        <v>639</v>
      </c>
      <c r="C253" t="s">
        <v>20</v>
      </c>
      <c r="D253">
        <v>2</v>
      </c>
      <c r="E253" t="s">
        <v>380</v>
      </c>
      <c r="F253" t="s">
        <v>622</v>
      </c>
      <c r="G253">
        <v>44</v>
      </c>
      <c r="H253">
        <v>46</v>
      </c>
      <c r="I253">
        <v>1</v>
      </c>
      <c r="J253">
        <v>2</v>
      </c>
      <c r="K253" s="9">
        <v>3.4375</v>
      </c>
    </row>
    <row r="254" spans="1:11" x14ac:dyDescent="0.45">
      <c r="A254" t="s">
        <v>41</v>
      </c>
      <c r="B254" t="s">
        <v>639</v>
      </c>
      <c r="C254" t="s">
        <v>20</v>
      </c>
      <c r="D254">
        <v>3</v>
      </c>
      <c r="E254" t="s">
        <v>408</v>
      </c>
      <c r="F254" t="s">
        <v>622</v>
      </c>
      <c r="G254">
        <v>11</v>
      </c>
      <c r="H254">
        <v>11</v>
      </c>
      <c r="I254">
        <v>2</v>
      </c>
      <c r="J254">
        <v>0</v>
      </c>
      <c r="K254" s="9">
        <v>4.9649122807017543</v>
      </c>
    </row>
    <row r="255" spans="1:11" x14ac:dyDescent="0.45">
      <c r="A255" t="s">
        <v>41</v>
      </c>
      <c r="B255" t="s">
        <v>639</v>
      </c>
      <c r="C255" t="s">
        <v>20</v>
      </c>
      <c r="D255">
        <v>4</v>
      </c>
      <c r="E255" t="s">
        <v>377</v>
      </c>
      <c r="F255" t="s">
        <v>622</v>
      </c>
      <c r="G255">
        <v>7</v>
      </c>
      <c r="H255">
        <v>10</v>
      </c>
      <c r="I255">
        <v>0</v>
      </c>
      <c r="J255">
        <v>0</v>
      </c>
      <c r="K255" s="9">
        <v>4.7179487179487181</v>
      </c>
    </row>
    <row r="256" spans="1:11" x14ac:dyDescent="0.45">
      <c r="A256" t="s">
        <v>41</v>
      </c>
      <c r="B256" t="s">
        <v>639</v>
      </c>
      <c r="C256" t="s">
        <v>20</v>
      </c>
      <c r="D256">
        <v>5</v>
      </c>
      <c r="E256" t="s">
        <v>373</v>
      </c>
      <c r="F256" t="s">
        <v>622</v>
      </c>
      <c r="G256">
        <v>18</v>
      </c>
      <c r="H256">
        <v>13</v>
      </c>
      <c r="I256">
        <v>1</v>
      </c>
      <c r="J256">
        <v>1</v>
      </c>
      <c r="K256" s="9">
        <v>4.8939393939393936</v>
      </c>
    </row>
    <row r="257" spans="1:11" x14ac:dyDescent="0.45">
      <c r="A257" t="s">
        <v>41</v>
      </c>
      <c r="B257" t="s">
        <v>639</v>
      </c>
      <c r="C257" t="s">
        <v>20</v>
      </c>
      <c r="D257">
        <v>6</v>
      </c>
      <c r="E257" t="s">
        <v>376</v>
      </c>
      <c r="F257" t="s">
        <v>622</v>
      </c>
      <c r="G257">
        <v>18</v>
      </c>
      <c r="H257">
        <v>14</v>
      </c>
      <c r="I257">
        <v>1</v>
      </c>
      <c r="J257">
        <v>1</v>
      </c>
      <c r="K257" s="9">
        <v>4.8461538461538458</v>
      </c>
    </row>
    <row r="258" spans="1:11" x14ac:dyDescent="0.45">
      <c r="A258" t="s">
        <v>41</v>
      </c>
      <c r="B258" t="s">
        <v>639</v>
      </c>
      <c r="C258" t="s">
        <v>20</v>
      </c>
      <c r="D258">
        <v>7</v>
      </c>
      <c r="E258" t="s">
        <v>378</v>
      </c>
      <c r="F258" t="s">
        <v>622</v>
      </c>
      <c r="G258">
        <v>5</v>
      </c>
      <c r="H258">
        <v>5</v>
      </c>
      <c r="I258">
        <v>0</v>
      </c>
      <c r="J258">
        <v>0</v>
      </c>
      <c r="K258" s="9">
        <v>5.132075471698113</v>
      </c>
    </row>
    <row r="259" spans="1:11" x14ac:dyDescent="0.45">
      <c r="A259" t="s">
        <v>41</v>
      </c>
      <c r="B259" t="s">
        <v>639</v>
      </c>
      <c r="C259" t="s">
        <v>20</v>
      </c>
      <c r="D259">
        <v>8</v>
      </c>
      <c r="E259" t="s">
        <v>379</v>
      </c>
      <c r="F259" t="s">
        <v>623</v>
      </c>
      <c r="G259">
        <v>17</v>
      </c>
      <c r="H259">
        <v>13</v>
      </c>
      <c r="I259">
        <v>2</v>
      </c>
      <c r="J259">
        <v>0</v>
      </c>
      <c r="K259" s="9">
        <v>4.8939393939393936</v>
      </c>
    </row>
    <row r="260" spans="1:11" x14ac:dyDescent="0.45">
      <c r="A260" t="s">
        <v>41</v>
      </c>
      <c r="B260" t="s">
        <v>639</v>
      </c>
      <c r="C260" t="s">
        <v>20</v>
      </c>
      <c r="D260">
        <v>9</v>
      </c>
      <c r="E260" t="s">
        <v>409</v>
      </c>
      <c r="F260" t="s">
        <v>623</v>
      </c>
      <c r="G260">
        <v>2</v>
      </c>
      <c r="H260">
        <v>2</v>
      </c>
      <c r="I260">
        <v>0</v>
      </c>
      <c r="J260">
        <v>0</v>
      </c>
      <c r="K260" s="9">
        <v>6.1385542168674698</v>
      </c>
    </row>
    <row r="261" spans="1:11" x14ac:dyDescent="0.45">
      <c r="A261" t="s">
        <v>41</v>
      </c>
      <c r="B261" t="s">
        <v>639</v>
      </c>
      <c r="C261" t="s">
        <v>6</v>
      </c>
      <c r="D261">
        <v>1</v>
      </c>
      <c r="E261" t="s">
        <v>290</v>
      </c>
      <c r="F261" t="s">
        <v>622</v>
      </c>
      <c r="G261">
        <v>45</v>
      </c>
      <c r="H261">
        <v>38</v>
      </c>
      <c r="I261">
        <v>4</v>
      </c>
      <c r="J261">
        <v>2</v>
      </c>
      <c r="K261" s="9">
        <v>3.6842105263157894</v>
      </c>
    </row>
    <row r="262" spans="1:11" x14ac:dyDescent="0.45">
      <c r="A262" t="s">
        <v>41</v>
      </c>
      <c r="B262" t="s">
        <v>639</v>
      </c>
      <c r="C262" t="s">
        <v>6</v>
      </c>
      <c r="D262">
        <v>2</v>
      </c>
      <c r="E262" t="s">
        <v>294</v>
      </c>
      <c r="F262" t="s">
        <v>622</v>
      </c>
      <c r="G262">
        <v>41</v>
      </c>
      <c r="H262">
        <v>36</v>
      </c>
      <c r="I262">
        <v>3</v>
      </c>
      <c r="J262">
        <v>2</v>
      </c>
      <c r="K262" s="9">
        <v>4.083333333333333</v>
      </c>
    </row>
    <row r="263" spans="1:11" x14ac:dyDescent="0.45">
      <c r="A263" t="s">
        <v>41</v>
      </c>
      <c r="B263" t="s">
        <v>639</v>
      </c>
      <c r="C263" t="s">
        <v>6</v>
      </c>
      <c r="D263">
        <v>3</v>
      </c>
      <c r="E263" t="s">
        <v>299</v>
      </c>
      <c r="F263" t="s">
        <v>622</v>
      </c>
      <c r="G263">
        <v>17</v>
      </c>
      <c r="H263">
        <v>17</v>
      </c>
      <c r="I263">
        <v>2</v>
      </c>
      <c r="J263">
        <v>0</v>
      </c>
      <c r="K263" s="9">
        <v>4.82</v>
      </c>
    </row>
    <row r="264" spans="1:11" x14ac:dyDescent="0.45">
      <c r="A264" t="s">
        <v>41</v>
      </c>
      <c r="B264" t="s">
        <v>639</v>
      </c>
      <c r="C264" t="s">
        <v>6</v>
      </c>
      <c r="D264">
        <v>4</v>
      </c>
      <c r="E264" t="s">
        <v>417</v>
      </c>
      <c r="F264" t="s">
        <v>622</v>
      </c>
      <c r="G264">
        <v>2</v>
      </c>
      <c r="H264">
        <v>3</v>
      </c>
      <c r="I264">
        <v>0</v>
      </c>
      <c r="J264">
        <v>0</v>
      </c>
      <c r="K264" s="9">
        <v>5.6607142857142856</v>
      </c>
    </row>
    <row r="265" spans="1:11" x14ac:dyDescent="0.45">
      <c r="A265" t="s">
        <v>41</v>
      </c>
      <c r="B265" t="s">
        <v>639</v>
      </c>
      <c r="C265" t="s">
        <v>6</v>
      </c>
      <c r="D265">
        <v>5</v>
      </c>
      <c r="E265" t="s">
        <v>355</v>
      </c>
      <c r="F265" t="s">
        <v>623</v>
      </c>
      <c r="G265">
        <v>17</v>
      </c>
      <c r="H265">
        <v>13</v>
      </c>
      <c r="I265">
        <v>1</v>
      </c>
      <c r="J265">
        <v>1</v>
      </c>
      <c r="K265" s="9">
        <v>4.8939393939393936</v>
      </c>
    </row>
    <row r="266" spans="1:11" x14ac:dyDescent="0.45">
      <c r="A266" t="s">
        <v>41</v>
      </c>
      <c r="B266" t="s">
        <v>639</v>
      </c>
      <c r="C266" t="s">
        <v>6</v>
      </c>
      <c r="D266">
        <v>6</v>
      </c>
      <c r="E266" t="s">
        <v>356</v>
      </c>
      <c r="F266" t="s">
        <v>623</v>
      </c>
      <c r="G266">
        <v>14</v>
      </c>
      <c r="H266">
        <v>11</v>
      </c>
      <c r="I266">
        <v>1</v>
      </c>
      <c r="J266">
        <v>1</v>
      </c>
      <c r="K266" s="9">
        <v>4.9649122807017543</v>
      </c>
    </row>
    <row r="267" spans="1:11" x14ac:dyDescent="0.45">
      <c r="A267" t="s">
        <v>42</v>
      </c>
      <c r="B267" t="s">
        <v>640</v>
      </c>
      <c r="C267" t="s">
        <v>23</v>
      </c>
      <c r="D267">
        <v>1</v>
      </c>
      <c r="E267" t="s">
        <v>410</v>
      </c>
      <c r="F267" t="s">
        <v>622</v>
      </c>
      <c r="G267">
        <v>58</v>
      </c>
      <c r="H267">
        <v>37</v>
      </c>
      <c r="I267">
        <v>5</v>
      </c>
      <c r="J267">
        <v>3</v>
      </c>
      <c r="K267" s="9">
        <v>3.5555555555555554</v>
      </c>
    </row>
    <row r="268" spans="1:11" x14ac:dyDescent="0.45">
      <c r="A268" t="s">
        <v>42</v>
      </c>
      <c r="B268" t="s">
        <v>640</v>
      </c>
      <c r="C268" t="s">
        <v>23</v>
      </c>
      <c r="D268">
        <v>2</v>
      </c>
      <c r="E268" t="s">
        <v>383</v>
      </c>
      <c r="F268" t="s">
        <v>622</v>
      </c>
      <c r="G268">
        <v>31</v>
      </c>
      <c r="H268">
        <v>22</v>
      </c>
      <c r="I268">
        <v>3</v>
      </c>
      <c r="J268">
        <v>2</v>
      </c>
      <c r="K268" s="9">
        <v>4.4423076923076925</v>
      </c>
    </row>
    <row r="269" spans="1:11" x14ac:dyDescent="0.45">
      <c r="A269" t="s">
        <v>42</v>
      </c>
      <c r="B269" t="s">
        <v>640</v>
      </c>
      <c r="C269" t="s">
        <v>23</v>
      </c>
      <c r="D269">
        <v>3</v>
      </c>
      <c r="E269" t="s">
        <v>386</v>
      </c>
      <c r="F269" t="s">
        <v>622</v>
      </c>
      <c r="G269">
        <v>19</v>
      </c>
      <c r="H269">
        <v>15</v>
      </c>
      <c r="I269">
        <v>0</v>
      </c>
      <c r="J269">
        <v>2</v>
      </c>
      <c r="K269" s="9">
        <v>4.7777777777777777</v>
      </c>
    </row>
    <row r="270" spans="1:11" x14ac:dyDescent="0.45">
      <c r="A270" t="s">
        <v>42</v>
      </c>
      <c r="B270" t="s">
        <v>640</v>
      </c>
      <c r="C270" t="s">
        <v>23</v>
      </c>
      <c r="D270">
        <v>4</v>
      </c>
      <c r="E270" t="s">
        <v>430</v>
      </c>
      <c r="F270" t="s">
        <v>622</v>
      </c>
      <c r="G270">
        <v>3</v>
      </c>
      <c r="H270">
        <v>4</v>
      </c>
      <c r="I270">
        <v>0</v>
      </c>
      <c r="J270">
        <v>0</v>
      </c>
      <c r="K270" s="9">
        <v>5.352380952380952</v>
      </c>
    </row>
    <row r="271" spans="1:11" x14ac:dyDescent="0.45">
      <c r="A271" t="s">
        <v>42</v>
      </c>
      <c r="B271" t="s">
        <v>640</v>
      </c>
      <c r="C271" t="s">
        <v>23</v>
      </c>
      <c r="D271">
        <v>5</v>
      </c>
      <c r="E271" t="s">
        <v>384</v>
      </c>
      <c r="F271" t="s">
        <v>622</v>
      </c>
      <c r="G271">
        <v>6</v>
      </c>
      <c r="H271">
        <v>9</v>
      </c>
      <c r="I271">
        <v>0</v>
      </c>
      <c r="J271">
        <v>0</v>
      </c>
      <c r="K271" s="9">
        <v>4.924050632911392</v>
      </c>
    </row>
    <row r="272" spans="1:11" x14ac:dyDescent="0.45">
      <c r="A272" t="s">
        <v>42</v>
      </c>
      <c r="B272" t="s">
        <v>640</v>
      </c>
      <c r="C272" t="s">
        <v>23</v>
      </c>
      <c r="D272">
        <v>6</v>
      </c>
      <c r="E272" t="s">
        <v>390</v>
      </c>
      <c r="F272" t="s">
        <v>622</v>
      </c>
      <c r="G272">
        <v>2</v>
      </c>
      <c r="H272">
        <v>3</v>
      </c>
      <c r="I272">
        <v>0</v>
      </c>
      <c r="J272">
        <v>0</v>
      </c>
      <c r="K272" s="9">
        <v>5.6607142857142856</v>
      </c>
    </row>
    <row r="273" spans="1:11" x14ac:dyDescent="0.45">
      <c r="A273" t="s">
        <v>42</v>
      </c>
      <c r="B273" t="s">
        <v>640</v>
      </c>
      <c r="C273" t="s">
        <v>23</v>
      </c>
      <c r="D273">
        <v>7</v>
      </c>
      <c r="E273" t="s">
        <v>431</v>
      </c>
      <c r="F273" t="s">
        <v>622</v>
      </c>
      <c r="G273">
        <v>9</v>
      </c>
      <c r="H273">
        <v>16</v>
      </c>
      <c r="I273">
        <v>0</v>
      </c>
      <c r="J273">
        <v>0</v>
      </c>
      <c r="K273" s="9">
        <v>4.7608695652173916</v>
      </c>
    </row>
    <row r="274" spans="1:11" x14ac:dyDescent="0.45">
      <c r="A274" t="s">
        <v>42</v>
      </c>
      <c r="B274" t="s">
        <v>640</v>
      </c>
      <c r="C274" t="s">
        <v>23</v>
      </c>
      <c r="D274">
        <v>8</v>
      </c>
      <c r="E274" t="s">
        <v>391</v>
      </c>
      <c r="F274" t="s">
        <v>622</v>
      </c>
      <c r="G274">
        <v>14</v>
      </c>
      <c r="H274">
        <v>11</v>
      </c>
      <c r="I274">
        <v>2</v>
      </c>
      <c r="J274">
        <v>0</v>
      </c>
      <c r="K274" s="9">
        <v>4.9649122807017543</v>
      </c>
    </row>
    <row r="275" spans="1:11" x14ac:dyDescent="0.45">
      <c r="A275" t="s">
        <v>42</v>
      </c>
      <c r="B275" t="s">
        <v>640</v>
      </c>
      <c r="C275" t="s">
        <v>23</v>
      </c>
      <c r="D275">
        <v>9</v>
      </c>
      <c r="E275" t="s">
        <v>394</v>
      </c>
      <c r="F275" t="s">
        <v>622</v>
      </c>
      <c r="G275">
        <v>2</v>
      </c>
      <c r="H275">
        <v>2</v>
      </c>
      <c r="I275">
        <v>0</v>
      </c>
      <c r="J275">
        <v>0</v>
      </c>
      <c r="K275" s="9">
        <v>6.1385542168674698</v>
      </c>
    </row>
    <row r="276" spans="1:11" x14ac:dyDescent="0.45">
      <c r="A276" t="s">
        <v>42</v>
      </c>
      <c r="B276" t="s">
        <v>640</v>
      </c>
      <c r="C276" t="s">
        <v>23</v>
      </c>
      <c r="D276">
        <v>10</v>
      </c>
      <c r="E276" t="s">
        <v>432</v>
      </c>
      <c r="F276" t="s">
        <v>623</v>
      </c>
      <c r="G276">
        <v>1</v>
      </c>
      <c r="H276">
        <v>1</v>
      </c>
      <c r="I276">
        <v>0</v>
      </c>
      <c r="J276">
        <v>0</v>
      </c>
      <c r="K276" s="9">
        <v>6.5693779904306222</v>
      </c>
    </row>
    <row r="277" spans="1:11" x14ac:dyDescent="0.45">
      <c r="A277" t="s">
        <v>42</v>
      </c>
      <c r="B277" t="s">
        <v>640</v>
      </c>
      <c r="C277" t="s">
        <v>13</v>
      </c>
      <c r="D277">
        <v>1</v>
      </c>
      <c r="E277" t="s">
        <v>343</v>
      </c>
      <c r="F277" t="s">
        <v>622</v>
      </c>
      <c r="G277">
        <v>25</v>
      </c>
      <c r="H277">
        <v>20</v>
      </c>
      <c r="I277">
        <v>4</v>
      </c>
      <c r="J277">
        <v>0</v>
      </c>
      <c r="K277" s="9">
        <v>4.9473684210526319</v>
      </c>
    </row>
    <row r="278" spans="1:11" x14ac:dyDescent="0.45">
      <c r="A278" t="s">
        <v>42</v>
      </c>
      <c r="B278" t="s">
        <v>640</v>
      </c>
      <c r="C278" t="s">
        <v>13</v>
      </c>
      <c r="D278">
        <v>2</v>
      </c>
      <c r="E278" t="s">
        <v>342</v>
      </c>
      <c r="F278" t="s">
        <v>622</v>
      </c>
      <c r="G278">
        <v>22</v>
      </c>
      <c r="H278">
        <v>17</v>
      </c>
      <c r="I278">
        <v>4</v>
      </c>
      <c r="J278">
        <v>0</v>
      </c>
      <c r="K278" s="9">
        <v>4.82</v>
      </c>
    </row>
    <row r="279" spans="1:11" x14ac:dyDescent="0.45">
      <c r="A279" t="s">
        <v>42</v>
      </c>
      <c r="B279" t="s">
        <v>640</v>
      </c>
      <c r="C279" t="s">
        <v>13</v>
      </c>
      <c r="D279">
        <v>3</v>
      </c>
      <c r="E279" t="s">
        <v>344</v>
      </c>
      <c r="F279" t="s">
        <v>622</v>
      </c>
      <c r="G279">
        <v>44</v>
      </c>
      <c r="H279">
        <v>35</v>
      </c>
      <c r="I279">
        <v>3</v>
      </c>
      <c r="J279">
        <v>1</v>
      </c>
      <c r="K279" s="9">
        <v>3.5769230769230771</v>
      </c>
    </row>
    <row r="280" spans="1:11" x14ac:dyDescent="0.45">
      <c r="A280" t="s">
        <v>42</v>
      </c>
      <c r="B280" t="s">
        <v>640</v>
      </c>
      <c r="C280" t="s">
        <v>13</v>
      </c>
      <c r="D280">
        <v>4</v>
      </c>
      <c r="E280" t="s">
        <v>345</v>
      </c>
      <c r="F280" t="s">
        <v>623</v>
      </c>
      <c r="G280">
        <v>50</v>
      </c>
      <c r="H280">
        <v>30</v>
      </c>
      <c r="I280">
        <v>6</v>
      </c>
      <c r="J280">
        <v>1</v>
      </c>
      <c r="K280" s="9">
        <v>3.6774193548387095</v>
      </c>
    </row>
    <row r="281" spans="1:11" x14ac:dyDescent="0.45">
      <c r="A281" t="s">
        <v>42</v>
      </c>
      <c r="B281" t="s">
        <v>640</v>
      </c>
      <c r="C281" t="s">
        <v>13</v>
      </c>
      <c r="D281">
        <v>5</v>
      </c>
      <c r="E281" t="s">
        <v>346</v>
      </c>
      <c r="F281" t="s">
        <v>623</v>
      </c>
      <c r="G281">
        <v>4</v>
      </c>
      <c r="H281">
        <v>1</v>
      </c>
      <c r="I281">
        <v>1</v>
      </c>
      <c r="J281">
        <v>0</v>
      </c>
      <c r="K281" s="9">
        <v>6.5693779904306222</v>
      </c>
    </row>
    <row r="282" spans="1:11" x14ac:dyDescent="0.45">
      <c r="A282" t="s">
        <v>43</v>
      </c>
      <c r="B282" t="s">
        <v>641</v>
      </c>
      <c r="C282" t="s">
        <v>26</v>
      </c>
      <c r="D282">
        <v>1</v>
      </c>
      <c r="E282" t="s">
        <v>397</v>
      </c>
      <c r="F282" t="s">
        <v>622</v>
      </c>
      <c r="G282">
        <v>21</v>
      </c>
      <c r="H282">
        <v>22</v>
      </c>
      <c r="I282">
        <v>2</v>
      </c>
      <c r="J282">
        <v>0</v>
      </c>
      <c r="K282" s="9">
        <v>4.4423076923076925</v>
      </c>
    </row>
    <row r="283" spans="1:11" x14ac:dyDescent="0.45">
      <c r="A283" t="s">
        <v>43</v>
      </c>
      <c r="B283" t="s">
        <v>641</v>
      </c>
      <c r="C283" t="s">
        <v>26</v>
      </c>
      <c r="D283">
        <v>2</v>
      </c>
      <c r="E283" t="s">
        <v>433</v>
      </c>
      <c r="F283" t="s">
        <v>622</v>
      </c>
      <c r="G283">
        <v>15</v>
      </c>
      <c r="H283">
        <v>14</v>
      </c>
      <c r="I283">
        <v>2</v>
      </c>
      <c r="J283">
        <v>0</v>
      </c>
      <c r="K283" s="9">
        <v>4.8461538461538458</v>
      </c>
    </row>
    <row r="284" spans="1:11" x14ac:dyDescent="0.45">
      <c r="A284" t="s">
        <v>43</v>
      </c>
      <c r="B284" t="s">
        <v>641</v>
      </c>
      <c r="C284" t="s">
        <v>26</v>
      </c>
      <c r="D284">
        <v>3</v>
      </c>
      <c r="E284" t="s">
        <v>434</v>
      </c>
      <c r="F284" t="s">
        <v>622</v>
      </c>
      <c r="G284">
        <v>1</v>
      </c>
      <c r="H284">
        <v>4</v>
      </c>
      <c r="I284">
        <v>0</v>
      </c>
      <c r="J284">
        <v>0</v>
      </c>
      <c r="K284" s="9">
        <v>5.352380952380952</v>
      </c>
    </row>
    <row r="285" spans="1:11" x14ac:dyDescent="0.45">
      <c r="A285" t="s">
        <v>43</v>
      </c>
      <c r="B285" t="s">
        <v>641</v>
      </c>
      <c r="C285" t="s">
        <v>26</v>
      </c>
      <c r="D285">
        <v>4</v>
      </c>
      <c r="E285" t="s">
        <v>401</v>
      </c>
      <c r="F285" t="s">
        <v>622</v>
      </c>
      <c r="G285">
        <v>42</v>
      </c>
      <c r="H285">
        <v>29</v>
      </c>
      <c r="I285">
        <v>6</v>
      </c>
      <c r="J285">
        <v>0</v>
      </c>
      <c r="K285" s="9">
        <v>4.0454545454545459</v>
      </c>
    </row>
    <row r="286" spans="1:11" x14ac:dyDescent="0.45">
      <c r="A286" t="s">
        <v>43</v>
      </c>
      <c r="B286" t="s">
        <v>641</v>
      </c>
      <c r="C286" t="s">
        <v>26</v>
      </c>
      <c r="D286">
        <v>5</v>
      </c>
      <c r="E286" t="s">
        <v>416</v>
      </c>
      <c r="F286" t="s">
        <v>622</v>
      </c>
      <c r="G286">
        <v>2</v>
      </c>
      <c r="H286">
        <v>3</v>
      </c>
      <c r="I286">
        <v>0</v>
      </c>
      <c r="J286">
        <v>0</v>
      </c>
      <c r="K286" s="9">
        <v>5.6607142857142856</v>
      </c>
    </row>
    <row r="287" spans="1:11" x14ac:dyDescent="0.45">
      <c r="A287" t="s">
        <v>43</v>
      </c>
      <c r="B287" t="s">
        <v>641</v>
      </c>
      <c r="C287" t="s">
        <v>26</v>
      </c>
      <c r="D287">
        <v>6</v>
      </c>
      <c r="E287" t="s">
        <v>426</v>
      </c>
      <c r="F287" t="s">
        <v>622</v>
      </c>
      <c r="G287">
        <v>28</v>
      </c>
      <c r="H287">
        <v>26</v>
      </c>
      <c r="I287">
        <v>1</v>
      </c>
      <c r="J287">
        <v>1</v>
      </c>
      <c r="K287" s="9">
        <v>4.1568627450980395</v>
      </c>
    </row>
    <row r="288" spans="1:11" x14ac:dyDescent="0.45">
      <c r="A288" t="s">
        <v>43</v>
      </c>
      <c r="B288" t="s">
        <v>641</v>
      </c>
      <c r="C288" t="s">
        <v>26</v>
      </c>
      <c r="D288">
        <v>7</v>
      </c>
      <c r="E288" t="s">
        <v>404</v>
      </c>
      <c r="F288" t="s">
        <v>623</v>
      </c>
      <c r="G288">
        <v>14</v>
      </c>
      <c r="H288">
        <v>19</v>
      </c>
      <c r="I288">
        <v>0</v>
      </c>
      <c r="J288">
        <v>0</v>
      </c>
      <c r="K288" s="9">
        <v>4.5660377358490569</v>
      </c>
    </row>
    <row r="289" spans="1:11" x14ac:dyDescent="0.45">
      <c r="A289" t="s">
        <v>43</v>
      </c>
      <c r="B289" t="s">
        <v>641</v>
      </c>
      <c r="C289" t="s">
        <v>26</v>
      </c>
      <c r="D289">
        <v>8</v>
      </c>
      <c r="E289" t="s">
        <v>428</v>
      </c>
      <c r="F289" t="s">
        <v>623</v>
      </c>
      <c r="G289">
        <v>6</v>
      </c>
      <c r="H289">
        <v>4</v>
      </c>
      <c r="I289">
        <v>0</v>
      </c>
      <c r="J289">
        <v>0</v>
      </c>
      <c r="K289" s="9">
        <v>5.352380952380952</v>
      </c>
    </row>
    <row r="290" spans="1:11" x14ac:dyDescent="0.45">
      <c r="A290" t="s">
        <v>43</v>
      </c>
      <c r="B290" t="s">
        <v>641</v>
      </c>
      <c r="C290" t="s">
        <v>19</v>
      </c>
      <c r="D290">
        <v>1</v>
      </c>
      <c r="E290" t="s">
        <v>359</v>
      </c>
      <c r="F290" t="s">
        <v>622</v>
      </c>
      <c r="G290">
        <v>8</v>
      </c>
      <c r="H290">
        <v>10</v>
      </c>
      <c r="I290">
        <v>1</v>
      </c>
      <c r="J290">
        <v>0</v>
      </c>
      <c r="K290" s="9">
        <v>4.7179487179487181</v>
      </c>
    </row>
    <row r="291" spans="1:11" x14ac:dyDescent="0.45">
      <c r="A291" t="s">
        <v>43</v>
      </c>
      <c r="B291" t="s">
        <v>641</v>
      </c>
      <c r="C291" t="s">
        <v>19</v>
      </c>
      <c r="D291">
        <v>2</v>
      </c>
      <c r="E291" t="s">
        <v>422</v>
      </c>
      <c r="F291" t="s">
        <v>622</v>
      </c>
      <c r="G291">
        <v>27</v>
      </c>
      <c r="H291">
        <v>29</v>
      </c>
      <c r="I291">
        <v>2</v>
      </c>
      <c r="J291">
        <v>0</v>
      </c>
      <c r="K291" s="9">
        <v>4.0454545454545459</v>
      </c>
    </row>
    <row r="292" spans="1:11" x14ac:dyDescent="0.45">
      <c r="A292" t="s">
        <v>43</v>
      </c>
      <c r="B292" t="s">
        <v>641</v>
      </c>
      <c r="C292" t="s">
        <v>19</v>
      </c>
      <c r="D292">
        <v>3</v>
      </c>
      <c r="E292" t="s">
        <v>363</v>
      </c>
      <c r="F292" t="s">
        <v>622</v>
      </c>
      <c r="G292">
        <v>0</v>
      </c>
      <c r="H292">
        <v>1</v>
      </c>
      <c r="I292">
        <v>0</v>
      </c>
      <c r="J292">
        <v>0</v>
      </c>
      <c r="K292" s="9">
        <v>6.5693779904306222</v>
      </c>
    </row>
    <row r="293" spans="1:11" x14ac:dyDescent="0.45">
      <c r="A293" t="s">
        <v>43</v>
      </c>
      <c r="B293" t="s">
        <v>641</v>
      </c>
      <c r="C293" t="s">
        <v>19</v>
      </c>
      <c r="D293">
        <v>4</v>
      </c>
      <c r="E293" t="s">
        <v>423</v>
      </c>
      <c r="F293" t="s">
        <v>622</v>
      </c>
      <c r="G293">
        <v>45</v>
      </c>
      <c r="H293">
        <v>37</v>
      </c>
      <c r="I293">
        <v>3</v>
      </c>
      <c r="J293">
        <v>2</v>
      </c>
      <c r="K293" s="9">
        <v>3.5555555555555554</v>
      </c>
    </row>
    <row r="294" spans="1:11" x14ac:dyDescent="0.45">
      <c r="A294" t="s">
        <v>43</v>
      </c>
      <c r="B294" t="s">
        <v>641</v>
      </c>
      <c r="C294" t="s">
        <v>19</v>
      </c>
      <c r="D294">
        <v>5</v>
      </c>
      <c r="E294" t="s">
        <v>361</v>
      </c>
      <c r="F294" t="s">
        <v>623</v>
      </c>
      <c r="G294">
        <v>40</v>
      </c>
      <c r="H294">
        <v>30</v>
      </c>
      <c r="I294">
        <v>4</v>
      </c>
      <c r="J294">
        <v>2</v>
      </c>
      <c r="K294" s="9">
        <v>3.6774193548387095</v>
      </c>
    </row>
    <row r="295" spans="1:11" x14ac:dyDescent="0.45">
      <c r="A295" t="s">
        <v>43</v>
      </c>
      <c r="B295" t="s">
        <v>641</v>
      </c>
      <c r="C295" t="s">
        <v>19</v>
      </c>
      <c r="D295">
        <v>6</v>
      </c>
      <c r="E295" t="s">
        <v>362</v>
      </c>
      <c r="F295" t="s">
        <v>623</v>
      </c>
      <c r="G295">
        <v>15</v>
      </c>
      <c r="H295">
        <v>7</v>
      </c>
      <c r="I295">
        <v>1</v>
      </c>
      <c r="J295">
        <v>1</v>
      </c>
      <c r="K295" s="9">
        <v>4.927835051546392</v>
      </c>
    </row>
    <row r="296" spans="1:11" x14ac:dyDescent="0.45">
      <c r="A296" t="s">
        <v>44</v>
      </c>
      <c r="B296" t="s">
        <v>624</v>
      </c>
      <c r="C296" t="s">
        <v>10</v>
      </c>
      <c r="D296">
        <v>1</v>
      </c>
      <c r="E296" t="s">
        <v>424</v>
      </c>
      <c r="F296" t="s">
        <v>622</v>
      </c>
      <c r="G296">
        <v>39</v>
      </c>
      <c r="H296">
        <v>34</v>
      </c>
      <c r="I296">
        <v>4</v>
      </c>
      <c r="J296">
        <v>0</v>
      </c>
      <c r="K296" s="9">
        <v>4.4137931034482758</v>
      </c>
    </row>
    <row r="297" spans="1:11" x14ac:dyDescent="0.45">
      <c r="A297" t="s">
        <v>44</v>
      </c>
      <c r="B297" t="s">
        <v>624</v>
      </c>
      <c r="C297" t="s">
        <v>10</v>
      </c>
      <c r="D297">
        <v>2</v>
      </c>
      <c r="E297" t="s">
        <v>330</v>
      </c>
      <c r="F297" t="s">
        <v>622</v>
      </c>
      <c r="G297">
        <v>24</v>
      </c>
      <c r="H297">
        <v>20</v>
      </c>
      <c r="I297">
        <v>5</v>
      </c>
      <c r="J297">
        <v>0</v>
      </c>
      <c r="K297" s="9">
        <v>4.9473684210526319</v>
      </c>
    </row>
    <row r="298" spans="1:11" x14ac:dyDescent="0.45">
      <c r="A298" t="s">
        <v>44</v>
      </c>
      <c r="B298" t="s">
        <v>624</v>
      </c>
      <c r="C298" t="s">
        <v>10</v>
      </c>
      <c r="D298">
        <v>3</v>
      </c>
      <c r="E298" t="s">
        <v>332</v>
      </c>
      <c r="F298" t="s">
        <v>622</v>
      </c>
      <c r="G298">
        <v>1</v>
      </c>
      <c r="H298">
        <v>5</v>
      </c>
      <c r="I298">
        <v>0</v>
      </c>
      <c r="J298">
        <v>0</v>
      </c>
      <c r="K298" s="9">
        <v>5.132075471698113</v>
      </c>
    </row>
    <row r="299" spans="1:11" x14ac:dyDescent="0.45">
      <c r="A299" t="s">
        <v>44</v>
      </c>
      <c r="B299" t="s">
        <v>624</v>
      </c>
      <c r="C299" t="s">
        <v>10</v>
      </c>
      <c r="D299">
        <v>4</v>
      </c>
      <c r="E299" t="s">
        <v>334</v>
      </c>
      <c r="F299" t="s">
        <v>622</v>
      </c>
      <c r="G299">
        <v>39</v>
      </c>
      <c r="H299">
        <v>36</v>
      </c>
      <c r="I299">
        <v>3</v>
      </c>
      <c r="J299">
        <v>0</v>
      </c>
      <c r="K299" s="9">
        <v>4.083333333333333</v>
      </c>
    </row>
    <row r="300" spans="1:11" x14ac:dyDescent="0.45">
      <c r="A300" t="s">
        <v>44</v>
      </c>
      <c r="B300" t="s">
        <v>624</v>
      </c>
      <c r="C300" t="s">
        <v>10</v>
      </c>
      <c r="D300">
        <v>5</v>
      </c>
      <c r="E300" t="s">
        <v>336</v>
      </c>
      <c r="F300" t="s">
        <v>622</v>
      </c>
      <c r="G300">
        <v>4</v>
      </c>
      <c r="H300">
        <v>5</v>
      </c>
      <c r="I300">
        <v>0</v>
      </c>
      <c r="J300">
        <v>0</v>
      </c>
      <c r="K300" s="9">
        <v>5.132075471698113</v>
      </c>
    </row>
    <row r="301" spans="1:11" x14ac:dyDescent="0.45">
      <c r="A301" t="s">
        <v>44</v>
      </c>
      <c r="B301" t="s">
        <v>624</v>
      </c>
      <c r="C301" t="s">
        <v>10</v>
      </c>
      <c r="D301">
        <v>6</v>
      </c>
      <c r="E301" t="s">
        <v>436</v>
      </c>
      <c r="F301" t="s">
        <v>622</v>
      </c>
      <c r="G301">
        <v>0</v>
      </c>
      <c r="H301">
        <v>3</v>
      </c>
      <c r="I301">
        <v>0</v>
      </c>
      <c r="J301">
        <v>0</v>
      </c>
      <c r="K301" s="9">
        <v>5.6607142857142856</v>
      </c>
    </row>
    <row r="302" spans="1:11" x14ac:dyDescent="0.45">
      <c r="A302" t="s">
        <v>44</v>
      </c>
      <c r="B302" t="s">
        <v>624</v>
      </c>
      <c r="C302" t="s">
        <v>10</v>
      </c>
      <c r="D302">
        <v>7</v>
      </c>
      <c r="E302" t="s">
        <v>337</v>
      </c>
      <c r="F302" t="s">
        <v>622</v>
      </c>
      <c r="G302">
        <v>0</v>
      </c>
      <c r="H302">
        <v>5</v>
      </c>
      <c r="I302">
        <v>0</v>
      </c>
      <c r="J302">
        <v>0</v>
      </c>
      <c r="K302" s="9">
        <v>5.132075471698113</v>
      </c>
    </row>
    <row r="303" spans="1:11" x14ac:dyDescent="0.45">
      <c r="A303" t="s">
        <v>44</v>
      </c>
      <c r="B303" t="s">
        <v>624</v>
      </c>
      <c r="C303" t="s">
        <v>10</v>
      </c>
      <c r="D303">
        <v>8</v>
      </c>
      <c r="E303" t="s">
        <v>339</v>
      </c>
      <c r="F303" t="s">
        <v>622</v>
      </c>
      <c r="G303">
        <v>9</v>
      </c>
      <c r="H303">
        <v>8</v>
      </c>
      <c r="I303">
        <v>1</v>
      </c>
      <c r="J303">
        <v>0</v>
      </c>
      <c r="K303" s="9">
        <v>4.9029126213592233</v>
      </c>
    </row>
    <row r="304" spans="1:11" x14ac:dyDescent="0.45">
      <c r="A304" t="s">
        <v>44</v>
      </c>
      <c r="B304" t="s">
        <v>624</v>
      </c>
      <c r="C304" t="s">
        <v>10</v>
      </c>
      <c r="D304">
        <v>9</v>
      </c>
      <c r="E304" t="s">
        <v>341</v>
      </c>
      <c r="F304" t="s">
        <v>623</v>
      </c>
      <c r="G304">
        <v>0</v>
      </c>
      <c r="H304">
        <v>1</v>
      </c>
      <c r="I304">
        <v>0</v>
      </c>
      <c r="J304">
        <v>0</v>
      </c>
      <c r="K304" s="9">
        <v>6.5693779904306222</v>
      </c>
    </row>
    <row r="305" spans="1:11" x14ac:dyDescent="0.45">
      <c r="A305" t="s">
        <v>44</v>
      </c>
      <c r="B305" t="s">
        <v>624</v>
      </c>
      <c r="C305" t="s">
        <v>10</v>
      </c>
      <c r="D305">
        <v>10</v>
      </c>
      <c r="E305" t="s">
        <v>340</v>
      </c>
      <c r="F305" t="s">
        <v>622</v>
      </c>
      <c r="G305">
        <v>5</v>
      </c>
      <c r="H305">
        <v>3</v>
      </c>
      <c r="I305">
        <v>1</v>
      </c>
      <c r="J305">
        <v>0</v>
      </c>
      <c r="K305" s="9">
        <v>5.6607142857142856</v>
      </c>
    </row>
    <row r="306" spans="1:11" x14ac:dyDescent="0.45">
      <c r="A306" t="s">
        <v>44</v>
      </c>
      <c r="B306" t="s">
        <v>624</v>
      </c>
      <c r="C306" t="s">
        <v>7</v>
      </c>
      <c r="D306">
        <v>1</v>
      </c>
      <c r="E306" t="s">
        <v>302</v>
      </c>
      <c r="F306" t="s">
        <v>622</v>
      </c>
      <c r="G306">
        <v>30</v>
      </c>
      <c r="H306">
        <v>33</v>
      </c>
      <c r="I306">
        <v>1</v>
      </c>
      <c r="J306">
        <v>2</v>
      </c>
      <c r="K306" s="9">
        <v>2.8421052631578947</v>
      </c>
    </row>
    <row r="307" spans="1:11" x14ac:dyDescent="0.45">
      <c r="A307" t="s">
        <v>44</v>
      </c>
      <c r="B307" t="s">
        <v>624</v>
      </c>
      <c r="C307" t="s">
        <v>7</v>
      </c>
      <c r="D307">
        <v>2</v>
      </c>
      <c r="E307" t="s">
        <v>304</v>
      </c>
      <c r="F307" t="s">
        <v>622</v>
      </c>
      <c r="G307">
        <v>14</v>
      </c>
      <c r="H307">
        <v>15</v>
      </c>
      <c r="I307">
        <v>2</v>
      </c>
      <c r="J307">
        <v>0</v>
      </c>
      <c r="K307" s="9">
        <v>4.7777777777777777</v>
      </c>
    </row>
    <row r="308" spans="1:11" x14ac:dyDescent="0.45">
      <c r="A308" t="s">
        <v>44</v>
      </c>
      <c r="B308" t="s">
        <v>624</v>
      </c>
      <c r="C308" t="s">
        <v>7</v>
      </c>
      <c r="D308">
        <v>3</v>
      </c>
      <c r="E308" t="s">
        <v>315</v>
      </c>
      <c r="F308" t="s">
        <v>622</v>
      </c>
      <c r="G308">
        <v>9</v>
      </c>
      <c r="H308">
        <v>5</v>
      </c>
      <c r="I308">
        <v>0</v>
      </c>
      <c r="J308">
        <v>1</v>
      </c>
      <c r="K308" s="9">
        <v>5.132075471698113</v>
      </c>
    </row>
    <row r="309" spans="1:11" x14ac:dyDescent="0.45">
      <c r="A309" t="s">
        <v>44</v>
      </c>
      <c r="B309" t="s">
        <v>624</v>
      </c>
      <c r="C309" t="s">
        <v>7</v>
      </c>
      <c r="D309">
        <v>4</v>
      </c>
      <c r="E309" t="s">
        <v>306</v>
      </c>
      <c r="F309" t="s">
        <v>623</v>
      </c>
      <c r="G309">
        <v>36</v>
      </c>
      <c r="H309">
        <v>27</v>
      </c>
      <c r="I309">
        <v>2</v>
      </c>
      <c r="J309">
        <v>2</v>
      </c>
      <c r="K309" s="9">
        <v>4.25</v>
      </c>
    </row>
    <row r="310" spans="1:11" x14ac:dyDescent="0.45">
      <c r="A310" t="s">
        <v>44</v>
      </c>
      <c r="B310" t="s">
        <v>624</v>
      </c>
      <c r="C310" t="s">
        <v>7</v>
      </c>
      <c r="D310">
        <v>5</v>
      </c>
      <c r="E310" t="s">
        <v>310</v>
      </c>
      <c r="F310" t="s">
        <v>622</v>
      </c>
      <c r="G310">
        <v>0</v>
      </c>
      <c r="H310">
        <v>2</v>
      </c>
      <c r="I310">
        <v>0</v>
      </c>
      <c r="J310">
        <v>0</v>
      </c>
      <c r="K310" s="9">
        <v>6.1385542168674698</v>
      </c>
    </row>
    <row r="311" spans="1:11" x14ac:dyDescent="0.45">
      <c r="A311" t="s">
        <v>44</v>
      </c>
      <c r="B311" t="s">
        <v>624</v>
      </c>
      <c r="C311" t="s">
        <v>7</v>
      </c>
      <c r="D311">
        <v>6</v>
      </c>
      <c r="E311" t="s">
        <v>311</v>
      </c>
      <c r="F311" t="s">
        <v>622</v>
      </c>
      <c r="G311">
        <v>12</v>
      </c>
      <c r="H311">
        <v>14</v>
      </c>
      <c r="I311">
        <v>2</v>
      </c>
      <c r="J311">
        <v>0</v>
      </c>
      <c r="K311" s="9">
        <v>4.8461538461538458</v>
      </c>
    </row>
    <row r="312" spans="1:11" x14ac:dyDescent="0.45">
      <c r="A312" t="s">
        <v>44</v>
      </c>
      <c r="B312" t="s">
        <v>624</v>
      </c>
      <c r="C312" t="s">
        <v>7</v>
      </c>
      <c r="D312">
        <v>7</v>
      </c>
      <c r="E312" t="s">
        <v>308</v>
      </c>
      <c r="F312" t="s">
        <v>622</v>
      </c>
      <c r="G312">
        <v>21</v>
      </c>
      <c r="H312">
        <v>10</v>
      </c>
      <c r="I312">
        <v>1</v>
      </c>
      <c r="J312">
        <v>2</v>
      </c>
      <c r="K312" s="9">
        <v>4.7179487179487181</v>
      </c>
    </row>
    <row r="313" spans="1:11" x14ac:dyDescent="0.45">
      <c r="A313" t="s">
        <v>44</v>
      </c>
      <c r="B313" t="s">
        <v>624</v>
      </c>
      <c r="C313" t="s">
        <v>7</v>
      </c>
      <c r="D313">
        <v>8</v>
      </c>
      <c r="E313" t="s">
        <v>415</v>
      </c>
      <c r="F313" t="s">
        <v>622</v>
      </c>
      <c r="G313">
        <v>3</v>
      </c>
      <c r="H313">
        <v>5</v>
      </c>
      <c r="I313">
        <v>0</v>
      </c>
      <c r="J313">
        <v>0</v>
      </c>
      <c r="K313" s="9">
        <v>5.132075471698113</v>
      </c>
    </row>
    <row r="314" spans="1:11" x14ac:dyDescent="0.45">
      <c r="A314" t="s">
        <v>44</v>
      </c>
      <c r="B314" t="s">
        <v>624</v>
      </c>
      <c r="C314" t="s">
        <v>7</v>
      </c>
      <c r="D314">
        <v>9</v>
      </c>
      <c r="E314" t="s">
        <v>317</v>
      </c>
      <c r="F314" t="s">
        <v>623</v>
      </c>
      <c r="G314">
        <v>0</v>
      </c>
      <c r="H314">
        <v>0</v>
      </c>
      <c r="I314">
        <v>0</v>
      </c>
      <c r="J314">
        <v>0</v>
      </c>
      <c r="K314" s="9">
        <v>6.2519685039370083</v>
      </c>
    </row>
    <row r="315" spans="1:11" x14ac:dyDescent="0.45">
      <c r="A315" t="s">
        <v>45</v>
      </c>
      <c r="B315" t="s">
        <v>642</v>
      </c>
      <c r="C315" t="s">
        <v>23</v>
      </c>
      <c r="D315">
        <v>1</v>
      </c>
      <c r="E315" t="s">
        <v>410</v>
      </c>
      <c r="F315" t="s">
        <v>622</v>
      </c>
      <c r="G315">
        <v>6</v>
      </c>
      <c r="H315">
        <v>4</v>
      </c>
      <c r="I315">
        <v>1</v>
      </c>
      <c r="J315">
        <v>0</v>
      </c>
      <c r="K315" s="9">
        <v>5.352380952380952</v>
      </c>
    </row>
    <row r="316" spans="1:11" x14ac:dyDescent="0.45">
      <c r="A316" t="s">
        <v>45</v>
      </c>
      <c r="B316" t="s">
        <v>642</v>
      </c>
      <c r="C316" t="s">
        <v>23</v>
      </c>
      <c r="D316">
        <v>2</v>
      </c>
      <c r="E316" t="s">
        <v>383</v>
      </c>
      <c r="F316" t="s">
        <v>622</v>
      </c>
      <c r="G316">
        <v>36</v>
      </c>
      <c r="H316">
        <v>23</v>
      </c>
      <c r="I316">
        <v>5</v>
      </c>
      <c r="J316">
        <v>1</v>
      </c>
      <c r="K316" s="9">
        <v>5.1142857142857139</v>
      </c>
    </row>
    <row r="317" spans="1:11" x14ac:dyDescent="0.45">
      <c r="A317" t="s">
        <v>45</v>
      </c>
      <c r="B317" t="s">
        <v>642</v>
      </c>
      <c r="C317" t="s">
        <v>23</v>
      </c>
      <c r="D317">
        <v>3</v>
      </c>
      <c r="E317" t="s">
        <v>386</v>
      </c>
      <c r="F317" t="s">
        <v>622</v>
      </c>
      <c r="G317">
        <v>82</v>
      </c>
      <c r="H317">
        <v>57</v>
      </c>
      <c r="I317">
        <v>7</v>
      </c>
      <c r="J317">
        <v>3</v>
      </c>
      <c r="K317" s="9">
        <v>2.8823529411764706</v>
      </c>
    </row>
    <row r="318" spans="1:11" x14ac:dyDescent="0.45">
      <c r="A318" t="s">
        <v>45</v>
      </c>
      <c r="B318" t="s">
        <v>642</v>
      </c>
      <c r="C318" t="s">
        <v>23</v>
      </c>
      <c r="D318">
        <v>4</v>
      </c>
      <c r="E318" t="s">
        <v>384</v>
      </c>
      <c r="F318" t="s">
        <v>622</v>
      </c>
      <c r="G318">
        <v>4</v>
      </c>
      <c r="H318">
        <v>6</v>
      </c>
      <c r="I318">
        <v>0</v>
      </c>
      <c r="J318">
        <v>0</v>
      </c>
      <c r="K318" s="9">
        <v>5.4565217391304346</v>
      </c>
    </row>
    <row r="319" spans="1:11" x14ac:dyDescent="0.45">
      <c r="A319" t="s">
        <v>45</v>
      </c>
      <c r="B319" t="s">
        <v>642</v>
      </c>
      <c r="C319" t="s">
        <v>23</v>
      </c>
      <c r="D319">
        <v>5</v>
      </c>
      <c r="E319" t="s">
        <v>430</v>
      </c>
      <c r="F319" t="s">
        <v>623</v>
      </c>
      <c r="G319">
        <v>29</v>
      </c>
      <c r="H319">
        <v>28</v>
      </c>
      <c r="I319">
        <v>1</v>
      </c>
      <c r="J319">
        <v>1</v>
      </c>
      <c r="K319" s="9">
        <v>3.806451612903226</v>
      </c>
    </row>
    <row r="320" spans="1:11" x14ac:dyDescent="0.45">
      <c r="A320" t="s">
        <v>45</v>
      </c>
      <c r="B320" t="s">
        <v>642</v>
      </c>
      <c r="C320" t="s">
        <v>23</v>
      </c>
      <c r="D320">
        <v>6</v>
      </c>
      <c r="E320" t="s">
        <v>431</v>
      </c>
      <c r="F320" t="s">
        <v>622</v>
      </c>
      <c r="G320">
        <v>0</v>
      </c>
      <c r="H320">
        <v>1</v>
      </c>
      <c r="I320">
        <v>0</v>
      </c>
      <c r="J320">
        <v>0</v>
      </c>
      <c r="K320" s="9">
        <v>6.5693779904306222</v>
      </c>
    </row>
    <row r="321" spans="1:11" x14ac:dyDescent="0.45">
      <c r="A321" t="s">
        <v>45</v>
      </c>
      <c r="B321" t="s">
        <v>642</v>
      </c>
      <c r="C321" t="s">
        <v>23</v>
      </c>
      <c r="D321">
        <v>7</v>
      </c>
      <c r="E321" t="s">
        <v>390</v>
      </c>
      <c r="F321" t="s">
        <v>623</v>
      </c>
      <c r="G321">
        <v>0</v>
      </c>
      <c r="H321">
        <v>1</v>
      </c>
      <c r="I321">
        <v>0</v>
      </c>
      <c r="J321">
        <v>0</v>
      </c>
      <c r="K321" s="9">
        <v>6.5693779904306222</v>
      </c>
    </row>
    <row r="322" spans="1:11" x14ac:dyDescent="0.45">
      <c r="A322" t="s">
        <v>45</v>
      </c>
      <c r="B322" t="s">
        <v>642</v>
      </c>
      <c r="C322" t="s">
        <v>20</v>
      </c>
      <c r="D322">
        <v>1</v>
      </c>
      <c r="E322" t="s">
        <v>372</v>
      </c>
      <c r="F322" t="s">
        <v>622</v>
      </c>
      <c r="G322">
        <v>60</v>
      </c>
      <c r="H322">
        <v>42</v>
      </c>
      <c r="I322">
        <v>8</v>
      </c>
      <c r="J322">
        <v>1</v>
      </c>
      <c r="K322" s="9">
        <v>3.3913043478260869</v>
      </c>
    </row>
    <row r="323" spans="1:11" x14ac:dyDescent="0.45">
      <c r="A323" t="s">
        <v>45</v>
      </c>
      <c r="B323" t="s">
        <v>642</v>
      </c>
      <c r="C323" t="s">
        <v>20</v>
      </c>
      <c r="D323">
        <v>2</v>
      </c>
      <c r="E323" t="s">
        <v>380</v>
      </c>
      <c r="F323" t="s">
        <v>622</v>
      </c>
      <c r="G323">
        <v>18</v>
      </c>
      <c r="H323">
        <v>11</v>
      </c>
      <c r="I323">
        <v>2</v>
      </c>
      <c r="J323">
        <v>1</v>
      </c>
      <c r="K323" s="9">
        <v>4.9649122807017543</v>
      </c>
    </row>
    <row r="324" spans="1:11" x14ac:dyDescent="0.45">
      <c r="A324" t="s">
        <v>45</v>
      </c>
      <c r="B324" t="s">
        <v>642</v>
      </c>
      <c r="C324" t="s">
        <v>20</v>
      </c>
      <c r="D324">
        <v>3</v>
      </c>
      <c r="E324" t="s">
        <v>408</v>
      </c>
      <c r="F324" t="s">
        <v>623</v>
      </c>
      <c r="G324">
        <v>51</v>
      </c>
      <c r="H324">
        <v>41</v>
      </c>
      <c r="I324">
        <v>5</v>
      </c>
      <c r="J324">
        <v>1</v>
      </c>
      <c r="K324" s="9">
        <v>3.0909090909090908</v>
      </c>
    </row>
    <row r="325" spans="1:11" x14ac:dyDescent="0.45">
      <c r="A325" t="s">
        <v>45</v>
      </c>
      <c r="B325" t="s">
        <v>642</v>
      </c>
      <c r="C325" t="s">
        <v>20</v>
      </c>
      <c r="D325">
        <v>4</v>
      </c>
      <c r="E325" t="s">
        <v>377</v>
      </c>
      <c r="F325" t="s">
        <v>622</v>
      </c>
      <c r="G325">
        <v>0</v>
      </c>
      <c r="H325">
        <v>1</v>
      </c>
      <c r="I325">
        <v>0</v>
      </c>
      <c r="J325">
        <v>0</v>
      </c>
      <c r="K325" s="9">
        <v>6.5693779904306222</v>
      </c>
    </row>
    <row r="326" spans="1:11" x14ac:dyDescent="0.45">
      <c r="A326" t="s">
        <v>45</v>
      </c>
      <c r="B326" t="s">
        <v>642</v>
      </c>
      <c r="C326" t="s">
        <v>20</v>
      </c>
      <c r="D326">
        <v>5</v>
      </c>
      <c r="E326" t="s">
        <v>373</v>
      </c>
      <c r="F326" t="s">
        <v>623</v>
      </c>
      <c r="G326">
        <v>21</v>
      </c>
      <c r="H326">
        <v>16</v>
      </c>
      <c r="I326">
        <v>1</v>
      </c>
      <c r="J326">
        <v>1</v>
      </c>
      <c r="K326" s="9">
        <v>4.7608695652173916</v>
      </c>
    </row>
    <row r="327" spans="1:11" x14ac:dyDescent="0.45">
      <c r="A327" t="s">
        <v>47</v>
      </c>
      <c r="B327" t="s">
        <v>643</v>
      </c>
      <c r="C327" t="s">
        <v>13</v>
      </c>
      <c r="D327">
        <v>1</v>
      </c>
      <c r="E327" t="s">
        <v>343</v>
      </c>
      <c r="F327" t="s">
        <v>622</v>
      </c>
      <c r="G327">
        <v>51</v>
      </c>
      <c r="H327">
        <v>42</v>
      </c>
      <c r="I327">
        <v>3</v>
      </c>
      <c r="J327">
        <v>3</v>
      </c>
      <c r="K327" s="9">
        <v>3.3913043478260869</v>
      </c>
    </row>
    <row r="328" spans="1:11" x14ac:dyDescent="0.45">
      <c r="A328" t="s">
        <v>47</v>
      </c>
      <c r="B328" t="s">
        <v>643</v>
      </c>
      <c r="C328" t="s">
        <v>13</v>
      </c>
      <c r="D328">
        <v>2</v>
      </c>
      <c r="E328" t="s">
        <v>342</v>
      </c>
      <c r="F328" t="s">
        <v>622</v>
      </c>
      <c r="G328">
        <v>0</v>
      </c>
      <c r="H328">
        <v>4</v>
      </c>
      <c r="I328">
        <v>0</v>
      </c>
      <c r="J328">
        <v>0</v>
      </c>
      <c r="K328" s="9">
        <v>5.352380952380952</v>
      </c>
    </row>
    <row r="329" spans="1:11" x14ac:dyDescent="0.45">
      <c r="A329" t="s">
        <v>47</v>
      </c>
      <c r="B329" t="s">
        <v>643</v>
      </c>
      <c r="C329" t="s">
        <v>13</v>
      </c>
      <c r="D329">
        <v>3</v>
      </c>
      <c r="E329" t="s">
        <v>344</v>
      </c>
      <c r="F329" t="s">
        <v>622</v>
      </c>
      <c r="G329">
        <v>32</v>
      </c>
      <c r="H329">
        <v>24</v>
      </c>
      <c r="I329">
        <v>2</v>
      </c>
      <c r="J329">
        <v>2</v>
      </c>
      <c r="K329" s="9">
        <v>4.0606060606060606</v>
      </c>
    </row>
    <row r="330" spans="1:11" x14ac:dyDescent="0.45">
      <c r="A330" t="s">
        <v>47</v>
      </c>
      <c r="B330" t="s">
        <v>643</v>
      </c>
      <c r="C330" t="s">
        <v>13</v>
      </c>
      <c r="D330">
        <v>4</v>
      </c>
      <c r="E330" t="s">
        <v>345</v>
      </c>
      <c r="F330" t="s">
        <v>622</v>
      </c>
      <c r="G330">
        <v>56</v>
      </c>
      <c r="H330">
        <v>37</v>
      </c>
      <c r="I330">
        <v>6</v>
      </c>
      <c r="J330">
        <v>3</v>
      </c>
      <c r="K330" s="9">
        <v>3.5555555555555554</v>
      </c>
    </row>
    <row r="331" spans="1:11" x14ac:dyDescent="0.45">
      <c r="A331" t="s">
        <v>47</v>
      </c>
      <c r="B331" t="s">
        <v>643</v>
      </c>
      <c r="C331" t="s">
        <v>13</v>
      </c>
      <c r="D331">
        <v>5</v>
      </c>
      <c r="E331" t="s">
        <v>346</v>
      </c>
      <c r="F331" t="s">
        <v>622</v>
      </c>
      <c r="G331">
        <v>11</v>
      </c>
      <c r="H331">
        <v>6</v>
      </c>
      <c r="I331">
        <v>1</v>
      </c>
      <c r="J331">
        <v>1</v>
      </c>
      <c r="K331" s="9">
        <v>5.4565217391304346</v>
      </c>
    </row>
    <row r="332" spans="1:11" x14ac:dyDescent="0.45">
      <c r="A332" t="s">
        <v>47</v>
      </c>
      <c r="B332" t="s">
        <v>643</v>
      </c>
      <c r="C332" t="s">
        <v>13</v>
      </c>
      <c r="D332">
        <v>6</v>
      </c>
      <c r="E332" t="s">
        <v>348</v>
      </c>
      <c r="F332" t="s">
        <v>623</v>
      </c>
      <c r="G332">
        <v>1</v>
      </c>
      <c r="H332">
        <v>3</v>
      </c>
      <c r="I332">
        <v>0</v>
      </c>
      <c r="J332">
        <v>0</v>
      </c>
      <c r="K332" s="9">
        <v>5.6607142857142856</v>
      </c>
    </row>
    <row r="333" spans="1:11" x14ac:dyDescent="0.45">
      <c r="A333" t="s">
        <v>47</v>
      </c>
      <c r="B333" t="s">
        <v>643</v>
      </c>
      <c r="C333" t="s">
        <v>13</v>
      </c>
      <c r="D333">
        <v>7</v>
      </c>
      <c r="E333" t="s">
        <v>347</v>
      </c>
      <c r="F333" t="s">
        <v>622</v>
      </c>
      <c r="G333">
        <v>1</v>
      </c>
      <c r="H333">
        <v>3</v>
      </c>
      <c r="I333">
        <v>0</v>
      </c>
      <c r="J333">
        <v>0</v>
      </c>
      <c r="K333" s="9">
        <v>5.6607142857142856</v>
      </c>
    </row>
    <row r="334" spans="1:11" x14ac:dyDescent="0.45">
      <c r="A334" t="s">
        <v>47</v>
      </c>
      <c r="B334" t="s">
        <v>643</v>
      </c>
      <c r="C334" t="s">
        <v>13</v>
      </c>
      <c r="D334">
        <v>8</v>
      </c>
      <c r="E334" t="s">
        <v>438</v>
      </c>
      <c r="F334" t="s">
        <v>623</v>
      </c>
      <c r="G334">
        <v>2</v>
      </c>
      <c r="H334">
        <v>2</v>
      </c>
      <c r="I334">
        <v>0</v>
      </c>
      <c r="J334">
        <v>0</v>
      </c>
      <c r="K334" s="9">
        <v>6.1385542168674698</v>
      </c>
    </row>
    <row r="335" spans="1:11" x14ac:dyDescent="0.45">
      <c r="A335" t="s">
        <v>47</v>
      </c>
      <c r="B335" t="s">
        <v>643</v>
      </c>
      <c r="C335" t="s">
        <v>19</v>
      </c>
      <c r="D335">
        <v>1</v>
      </c>
      <c r="E335" t="s">
        <v>359</v>
      </c>
      <c r="F335" t="s">
        <v>622</v>
      </c>
      <c r="G335">
        <v>43</v>
      </c>
      <c r="H335">
        <v>28</v>
      </c>
      <c r="I335">
        <v>5</v>
      </c>
      <c r="J335">
        <v>1</v>
      </c>
      <c r="K335" s="9">
        <v>3.806451612903226</v>
      </c>
    </row>
    <row r="336" spans="1:11" x14ac:dyDescent="0.45">
      <c r="A336" t="s">
        <v>47</v>
      </c>
      <c r="B336" t="s">
        <v>643</v>
      </c>
      <c r="C336" t="s">
        <v>19</v>
      </c>
      <c r="D336">
        <v>2</v>
      </c>
      <c r="E336" t="s">
        <v>422</v>
      </c>
      <c r="F336" t="s">
        <v>622</v>
      </c>
      <c r="G336">
        <v>24</v>
      </c>
      <c r="H336">
        <v>23</v>
      </c>
      <c r="I336">
        <v>4</v>
      </c>
      <c r="J336">
        <v>0</v>
      </c>
      <c r="K336" s="9">
        <v>5.1142857142857139</v>
      </c>
    </row>
    <row r="337" spans="1:11" x14ac:dyDescent="0.45">
      <c r="A337" t="s">
        <v>47</v>
      </c>
      <c r="B337" t="s">
        <v>643</v>
      </c>
      <c r="C337" t="s">
        <v>19</v>
      </c>
      <c r="D337">
        <v>3</v>
      </c>
      <c r="E337" t="s">
        <v>360</v>
      </c>
      <c r="F337" t="s">
        <v>622</v>
      </c>
      <c r="G337">
        <v>9</v>
      </c>
      <c r="H337">
        <v>12</v>
      </c>
      <c r="I337">
        <v>1</v>
      </c>
      <c r="J337">
        <v>0</v>
      </c>
      <c r="K337" s="9">
        <v>4.8024691358024691</v>
      </c>
    </row>
    <row r="338" spans="1:11" x14ac:dyDescent="0.45">
      <c r="A338" t="s">
        <v>47</v>
      </c>
      <c r="B338" t="s">
        <v>643</v>
      </c>
      <c r="C338" t="s">
        <v>19</v>
      </c>
      <c r="D338">
        <v>4</v>
      </c>
      <c r="E338" t="s">
        <v>363</v>
      </c>
      <c r="F338" t="s">
        <v>622</v>
      </c>
      <c r="G338">
        <v>8</v>
      </c>
      <c r="H338">
        <v>9</v>
      </c>
      <c r="I338">
        <v>0</v>
      </c>
      <c r="J338">
        <v>0</v>
      </c>
      <c r="K338" s="9">
        <v>4.924050632911392</v>
      </c>
    </row>
    <row r="339" spans="1:11" x14ac:dyDescent="0.45">
      <c r="A339" t="s">
        <v>47</v>
      </c>
      <c r="B339" t="s">
        <v>643</v>
      </c>
      <c r="C339" t="s">
        <v>19</v>
      </c>
      <c r="D339">
        <v>5</v>
      </c>
      <c r="E339" t="s">
        <v>366</v>
      </c>
      <c r="F339" t="s">
        <v>622</v>
      </c>
      <c r="G339">
        <v>5</v>
      </c>
      <c r="H339">
        <v>11</v>
      </c>
      <c r="I339">
        <v>0</v>
      </c>
      <c r="J339">
        <v>0</v>
      </c>
      <c r="K339" s="9">
        <v>4.9649122807017543</v>
      </c>
    </row>
    <row r="340" spans="1:11" x14ac:dyDescent="0.45">
      <c r="A340" t="s">
        <v>47</v>
      </c>
      <c r="B340" t="s">
        <v>643</v>
      </c>
      <c r="C340" t="s">
        <v>19</v>
      </c>
      <c r="D340">
        <v>6</v>
      </c>
      <c r="E340" t="s">
        <v>362</v>
      </c>
      <c r="F340" t="s">
        <v>622</v>
      </c>
      <c r="G340">
        <v>7</v>
      </c>
      <c r="H340">
        <v>10</v>
      </c>
      <c r="I340">
        <v>0</v>
      </c>
      <c r="J340">
        <v>0</v>
      </c>
      <c r="K340" s="9">
        <v>4.7179487179487181</v>
      </c>
    </row>
    <row r="341" spans="1:11" x14ac:dyDescent="0.45">
      <c r="A341" t="s">
        <v>47</v>
      </c>
      <c r="B341" t="s">
        <v>643</v>
      </c>
      <c r="C341" t="s">
        <v>19</v>
      </c>
      <c r="D341">
        <v>7</v>
      </c>
      <c r="E341" t="s">
        <v>361</v>
      </c>
      <c r="F341" t="s">
        <v>622</v>
      </c>
      <c r="G341">
        <v>3</v>
      </c>
      <c r="H341">
        <v>6</v>
      </c>
      <c r="I341">
        <v>0</v>
      </c>
      <c r="J341">
        <v>0</v>
      </c>
      <c r="K341" s="9">
        <v>5.4565217391304346</v>
      </c>
    </row>
    <row r="342" spans="1:11" x14ac:dyDescent="0.45">
      <c r="A342" t="s">
        <v>47</v>
      </c>
      <c r="B342" t="s">
        <v>643</v>
      </c>
      <c r="C342" t="s">
        <v>19</v>
      </c>
      <c r="D342">
        <v>8</v>
      </c>
      <c r="E342" t="s">
        <v>439</v>
      </c>
      <c r="F342" t="s">
        <v>622</v>
      </c>
      <c r="G342">
        <v>0</v>
      </c>
      <c r="H342">
        <v>1</v>
      </c>
      <c r="I342">
        <v>0</v>
      </c>
      <c r="J342">
        <v>0</v>
      </c>
      <c r="K342" s="9">
        <v>6.5693779904306222</v>
      </c>
    </row>
    <row r="343" spans="1:11" x14ac:dyDescent="0.45">
      <c r="A343" t="s">
        <v>47</v>
      </c>
      <c r="B343" t="s">
        <v>643</v>
      </c>
      <c r="C343" t="s">
        <v>19</v>
      </c>
      <c r="D343">
        <v>9</v>
      </c>
      <c r="E343" t="s">
        <v>435</v>
      </c>
      <c r="F343" t="s">
        <v>622</v>
      </c>
      <c r="G343">
        <v>0</v>
      </c>
      <c r="H343">
        <v>1</v>
      </c>
      <c r="I343">
        <v>0</v>
      </c>
      <c r="J343">
        <v>0</v>
      </c>
      <c r="K343" s="9">
        <v>6.5693779904306222</v>
      </c>
    </row>
    <row r="344" spans="1:11" x14ac:dyDescent="0.45">
      <c r="A344" t="s">
        <v>47</v>
      </c>
      <c r="B344" t="s">
        <v>643</v>
      </c>
      <c r="C344" t="s">
        <v>19</v>
      </c>
      <c r="D344">
        <v>10</v>
      </c>
      <c r="E344" t="s">
        <v>369</v>
      </c>
      <c r="F344" t="s">
        <v>622</v>
      </c>
      <c r="G344">
        <v>5</v>
      </c>
      <c r="H344">
        <v>6</v>
      </c>
      <c r="I344">
        <v>1</v>
      </c>
      <c r="J344">
        <v>0</v>
      </c>
      <c r="K344" s="9">
        <v>5.4565217391304346</v>
      </c>
    </row>
    <row r="345" spans="1:11" x14ac:dyDescent="0.45">
      <c r="A345" t="s">
        <v>47</v>
      </c>
      <c r="B345" t="s">
        <v>643</v>
      </c>
      <c r="C345" t="s">
        <v>19</v>
      </c>
      <c r="D345">
        <v>11</v>
      </c>
      <c r="E345" t="s">
        <v>370</v>
      </c>
      <c r="F345" t="s">
        <v>623</v>
      </c>
      <c r="G345">
        <v>0</v>
      </c>
      <c r="H345">
        <v>3</v>
      </c>
      <c r="I345">
        <v>0</v>
      </c>
      <c r="J345">
        <v>0</v>
      </c>
      <c r="K345" s="9">
        <v>5.6607142857142856</v>
      </c>
    </row>
    <row r="346" spans="1:11" x14ac:dyDescent="0.45">
      <c r="A346" t="s">
        <v>49</v>
      </c>
      <c r="B346" t="s">
        <v>644</v>
      </c>
      <c r="C346" t="s">
        <v>7</v>
      </c>
      <c r="D346">
        <v>1</v>
      </c>
      <c r="E346" t="s">
        <v>302</v>
      </c>
      <c r="F346" t="s">
        <v>622</v>
      </c>
      <c r="G346">
        <v>9</v>
      </c>
      <c r="H346">
        <v>5</v>
      </c>
      <c r="I346">
        <v>2</v>
      </c>
      <c r="J346">
        <v>0</v>
      </c>
      <c r="K346" s="9">
        <v>5.132075471698113</v>
      </c>
    </row>
    <row r="347" spans="1:11" x14ac:dyDescent="0.45">
      <c r="A347" t="s">
        <v>49</v>
      </c>
      <c r="B347" t="s">
        <v>644</v>
      </c>
      <c r="C347" t="s">
        <v>7</v>
      </c>
      <c r="D347">
        <v>2</v>
      </c>
      <c r="E347" t="s">
        <v>304</v>
      </c>
      <c r="F347" t="s">
        <v>622</v>
      </c>
      <c r="G347">
        <v>18</v>
      </c>
      <c r="H347">
        <v>15</v>
      </c>
      <c r="I347">
        <v>3</v>
      </c>
      <c r="J347">
        <v>0</v>
      </c>
      <c r="K347" s="9">
        <v>4.7777777777777777</v>
      </c>
    </row>
    <row r="348" spans="1:11" x14ac:dyDescent="0.45">
      <c r="A348" t="s">
        <v>49</v>
      </c>
      <c r="B348" t="s">
        <v>644</v>
      </c>
      <c r="C348" t="s">
        <v>7</v>
      </c>
      <c r="D348">
        <v>3</v>
      </c>
      <c r="E348" t="s">
        <v>315</v>
      </c>
      <c r="F348" t="s">
        <v>622</v>
      </c>
      <c r="G348">
        <v>45</v>
      </c>
      <c r="H348">
        <v>33</v>
      </c>
      <c r="I348">
        <v>4</v>
      </c>
      <c r="J348">
        <v>1</v>
      </c>
      <c r="K348" s="9">
        <v>2.8421052631578947</v>
      </c>
    </row>
    <row r="349" spans="1:11" x14ac:dyDescent="0.45">
      <c r="A349" t="s">
        <v>49</v>
      </c>
      <c r="B349" t="s">
        <v>644</v>
      </c>
      <c r="C349" t="s">
        <v>7</v>
      </c>
      <c r="D349">
        <v>4</v>
      </c>
      <c r="E349" t="s">
        <v>310</v>
      </c>
      <c r="F349" t="s">
        <v>622</v>
      </c>
      <c r="G349">
        <v>8</v>
      </c>
      <c r="H349">
        <v>14</v>
      </c>
      <c r="I349">
        <v>0</v>
      </c>
      <c r="J349">
        <v>0</v>
      </c>
      <c r="K349" s="9">
        <v>4.8461538461538458</v>
      </c>
    </row>
    <row r="350" spans="1:11" x14ac:dyDescent="0.45">
      <c r="A350" t="s">
        <v>49</v>
      </c>
      <c r="B350" t="s">
        <v>644</v>
      </c>
      <c r="C350" t="s">
        <v>7</v>
      </c>
      <c r="D350">
        <v>5</v>
      </c>
      <c r="E350" t="s">
        <v>306</v>
      </c>
      <c r="F350" t="s">
        <v>623</v>
      </c>
      <c r="G350">
        <v>37</v>
      </c>
      <c r="H350">
        <v>27</v>
      </c>
      <c r="I350">
        <v>3</v>
      </c>
      <c r="J350">
        <v>1</v>
      </c>
      <c r="K350" s="9">
        <v>4.25</v>
      </c>
    </row>
    <row r="351" spans="1:11" x14ac:dyDescent="0.45">
      <c r="A351" t="s">
        <v>49</v>
      </c>
      <c r="B351" t="s">
        <v>644</v>
      </c>
      <c r="C351" t="s">
        <v>7</v>
      </c>
      <c r="D351">
        <v>6</v>
      </c>
      <c r="E351" t="s">
        <v>440</v>
      </c>
      <c r="F351" t="s">
        <v>622</v>
      </c>
      <c r="G351">
        <v>20</v>
      </c>
      <c r="H351">
        <v>15</v>
      </c>
      <c r="I351">
        <v>2</v>
      </c>
      <c r="J351">
        <v>1</v>
      </c>
      <c r="K351" s="9">
        <v>4.7777777777777777</v>
      </c>
    </row>
    <row r="352" spans="1:11" x14ac:dyDescent="0.45">
      <c r="A352" t="s">
        <v>49</v>
      </c>
      <c r="B352" t="s">
        <v>644</v>
      </c>
      <c r="C352" t="s">
        <v>7</v>
      </c>
      <c r="D352">
        <v>7</v>
      </c>
      <c r="E352" t="s">
        <v>311</v>
      </c>
      <c r="F352" t="s">
        <v>622</v>
      </c>
      <c r="G352">
        <v>26</v>
      </c>
      <c r="H352">
        <v>11</v>
      </c>
      <c r="I352">
        <v>3</v>
      </c>
      <c r="J352">
        <v>1</v>
      </c>
      <c r="K352" s="9">
        <v>4.9649122807017543</v>
      </c>
    </row>
    <row r="353" spans="1:11" x14ac:dyDescent="0.45">
      <c r="A353" t="s">
        <v>49</v>
      </c>
      <c r="B353" t="s">
        <v>644</v>
      </c>
      <c r="C353" t="s">
        <v>7</v>
      </c>
      <c r="D353">
        <v>8</v>
      </c>
      <c r="E353" t="s">
        <v>308</v>
      </c>
      <c r="F353" t="s">
        <v>623</v>
      </c>
      <c r="G353">
        <v>0</v>
      </c>
      <c r="H353">
        <v>1</v>
      </c>
      <c r="I353">
        <v>0</v>
      </c>
      <c r="J353">
        <v>0</v>
      </c>
      <c r="K353" s="9">
        <v>6.5693779904306222</v>
      </c>
    </row>
    <row r="354" spans="1:11" x14ac:dyDescent="0.45">
      <c r="A354" t="s">
        <v>49</v>
      </c>
      <c r="B354" t="s">
        <v>644</v>
      </c>
      <c r="C354" t="s">
        <v>6</v>
      </c>
      <c r="D354">
        <v>1</v>
      </c>
      <c r="E354" t="s">
        <v>290</v>
      </c>
      <c r="F354" t="s">
        <v>622</v>
      </c>
      <c r="G354">
        <v>40</v>
      </c>
      <c r="H354">
        <v>28</v>
      </c>
      <c r="I354">
        <v>2</v>
      </c>
      <c r="J354">
        <v>3</v>
      </c>
      <c r="K354" s="9">
        <v>3.806451612903226</v>
      </c>
    </row>
    <row r="355" spans="1:11" x14ac:dyDescent="0.45">
      <c r="A355" t="s">
        <v>49</v>
      </c>
      <c r="B355" t="s">
        <v>644</v>
      </c>
      <c r="C355" t="s">
        <v>6</v>
      </c>
      <c r="D355">
        <v>2</v>
      </c>
      <c r="E355" t="s">
        <v>294</v>
      </c>
      <c r="F355" t="s">
        <v>622</v>
      </c>
      <c r="G355">
        <v>43</v>
      </c>
      <c r="H355">
        <v>30</v>
      </c>
      <c r="I355">
        <v>7</v>
      </c>
      <c r="J355">
        <v>0</v>
      </c>
      <c r="K355" s="9">
        <v>3.6774193548387095</v>
      </c>
    </row>
    <row r="356" spans="1:11" x14ac:dyDescent="0.45">
      <c r="A356" t="s">
        <v>49</v>
      </c>
      <c r="B356" t="s">
        <v>644</v>
      </c>
      <c r="C356" t="s">
        <v>6</v>
      </c>
      <c r="D356">
        <v>3</v>
      </c>
      <c r="E356" t="s">
        <v>299</v>
      </c>
      <c r="F356" t="s">
        <v>622</v>
      </c>
      <c r="G356">
        <v>32</v>
      </c>
      <c r="H356">
        <v>28</v>
      </c>
      <c r="I356">
        <v>2</v>
      </c>
      <c r="J356">
        <v>1</v>
      </c>
      <c r="K356" s="9">
        <v>3.806451612903226</v>
      </c>
    </row>
    <row r="357" spans="1:11" x14ac:dyDescent="0.45">
      <c r="A357" t="s">
        <v>49</v>
      </c>
      <c r="B357" t="s">
        <v>644</v>
      </c>
      <c r="C357" t="s">
        <v>6</v>
      </c>
      <c r="D357">
        <v>4</v>
      </c>
      <c r="E357" t="s">
        <v>355</v>
      </c>
      <c r="F357" t="s">
        <v>622</v>
      </c>
      <c r="G357">
        <v>10</v>
      </c>
      <c r="H357">
        <v>9</v>
      </c>
      <c r="I357">
        <v>1</v>
      </c>
      <c r="J357">
        <v>0</v>
      </c>
      <c r="K357" s="9">
        <v>4.924050632911392</v>
      </c>
    </row>
    <row r="358" spans="1:11" x14ac:dyDescent="0.45">
      <c r="A358" t="s">
        <v>49</v>
      </c>
      <c r="B358" t="s">
        <v>644</v>
      </c>
      <c r="C358" t="s">
        <v>6</v>
      </c>
      <c r="D358">
        <v>5</v>
      </c>
      <c r="E358" t="s">
        <v>417</v>
      </c>
      <c r="F358" t="s">
        <v>622</v>
      </c>
      <c r="G358">
        <v>11</v>
      </c>
      <c r="H358">
        <v>7</v>
      </c>
      <c r="I358">
        <v>1</v>
      </c>
      <c r="J358">
        <v>0</v>
      </c>
      <c r="K358" s="9">
        <v>4.927835051546392</v>
      </c>
    </row>
    <row r="359" spans="1:11" x14ac:dyDescent="0.45">
      <c r="A359" t="s">
        <v>49</v>
      </c>
      <c r="B359" t="s">
        <v>644</v>
      </c>
      <c r="C359" t="s">
        <v>6</v>
      </c>
      <c r="D359">
        <v>6</v>
      </c>
      <c r="E359" t="s">
        <v>356</v>
      </c>
      <c r="F359" t="s">
        <v>622</v>
      </c>
      <c r="G359">
        <v>1</v>
      </c>
      <c r="H359">
        <v>4</v>
      </c>
      <c r="I359">
        <v>0</v>
      </c>
      <c r="J359">
        <v>0</v>
      </c>
      <c r="K359" s="9">
        <v>5.352380952380952</v>
      </c>
    </row>
    <row r="360" spans="1:11" x14ac:dyDescent="0.45">
      <c r="A360" t="s">
        <v>49</v>
      </c>
      <c r="B360" t="s">
        <v>644</v>
      </c>
      <c r="C360" t="s">
        <v>6</v>
      </c>
      <c r="D360">
        <v>7</v>
      </c>
      <c r="E360" t="s">
        <v>328</v>
      </c>
      <c r="F360" t="s">
        <v>622</v>
      </c>
      <c r="G360">
        <v>22</v>
      </c>
      <c r="H360">
        <v>8</v>
      </c>
      <c r="I360">
        <v>2</v>
      </c>
      <c r="J360">
        <v>2</v>
      </c>
      <c r="K360" s="9">
        <v>4.9029126213592233</v>
      </c>
    </row>
    <row r="361" spans="1:11" x14ac:dyDescent="0.45">
      <c r="A361" t="s">
        <v>49</v>
      </c>
      <c r="B361" t="s">
        <v>644</v>
      </c>
      <c r="C361" t="s">
        <v>6</v>
      </c>
      <c r="D361">
        <v>8</v>
      </c>
      <c r="E361" t="s">
        <v>420</v>
      </c>
      <c r="F361" t="s">
        <v>622</v>
      </c>
      <c r="G361">
        <v>4</v>
      </c>
      <c r="H361">
        <v>4</v>
      </c>
      <c r="I361">
        <v>0</v>
      </c>
      <c r="J361">
        <v>0</v>
      </c>
      <c r="K361" s="9">
        <v>5.352380952380952</v>
      </c>
    </row>
    <row r="362" spans="1:11" x14ac:dyDescent="0.45">
      <c r="A362" t="s">
        <v>49</v>
      </c>
      <c r="B362" t="s">
        <v>644</v>
      </c>
      <c r="C362" t="s">
        <v>6</v>
      </c>
      <c r="D362">
        <v>9</v>
      </c>
      <c r="E362" t="s">
        <v>326</v>
      </c>
      <c r="F362" t="s">
        <v>623</v>
      </c>
      <c r="G362">
        <v>3</v>
      </c>
      <c r="H362">
        <v>2</v>
      </c>
      <c r="I362">
        <v>0</v>
      </c>
      <c r="J362">
        <v>0</v>
      </c>
      <c r="K362" s="9">
        <v>6.1385542168674698</v>
      </c>
    </row>
    <row r="363" spans="1:11" x14ac:dyDescent="0.45">
      <c r="A363" t="s">
        <v>49</v>
      </c>
      <c r="B363" t="s">
        <v>644</v>
      </c>
      <c r="C363" t="s">
        <v>6</v>
      </c>
      <c r="D363">
        <v>10</v>
      </c>
      <c r="E363" t="s">
        <v>324</v>
      </c>
      <c r="F363" t="s">
        <v>623</v>
      </c>
      <c r="G363">
        <v>1</v>
      </c>
      <c r="H363">
        <v>1</v>
      </c>
      <c r="I363">
        <v>0</v>
      </c>
      <c r="J363">
        <v>0</v>
      </c>
      <c r="K363" s="9">
        <v>6.5693779904306222</v>
      </c>
    </row>
    <row r="364" spans="1:11" x14ac:dyDescent="0.45">
      <c r="A364" t="s">
        <v>51</v>
      </c>
      <c r="B364" t="s">
        <v>645</v>
      </c>
      <c r="C364" t="s">
        <v>26</v>
      </c>
      <c r="D364">
        <v>1</v>
      </c>
      <c r="E364" t="s">
        <v>397</v>
      </c>
      <c r="F364" t="s">
        <v>622</v>
      </c>
      <c r="G364">
        <v>21</v>
      </c>
      <c r="H364">
        <v>21</v>
      </c>
      <c r="I364">
        <v>3</v>
      </c>
      <c r="J364">
        <v>0</v>
      </c>
      <c r="K364" s="9">
        <v>4.3770491803278686</v>
      </c>
    </row>
    <row r="365" spans="1:11" x14ac:dyDescent="0.45">
      <c r="A365" t="s">
        <v>51</v>
      </c>
      <c r="B365" t="s">
        <v>645</v>
      </c>
      <c r="C365" t="s">
        <v>26</v>
      </c>
      <c r="D365">
        <v>2</v>
      </c>
      <c r="E365" t="s">
        <v>398</v>
      </c>
      <c r="F365" t="s">
        <v>622</v>
      </c>
      <c r="G365">
        <v>5</v>
      </c>
      <c r="H365">
        <v>6</v>
      </c>
      <c r="I365">
        <v>0</v>
      </c>
      <c r="J365">
        <v>0</v>
      </c>
      <c r="K365" s="9">
        <v>5.4565217391304346</v>
      </c>
    </row>
    <row r="366" spans="1:11" x14ac:dyDescent="0.45">
      <c r="A366" t="s">
        <v>51</v>
      </c>
      <c r="B366" t="s">
        <v>645</v>
      </c>
      <c r="C366" t="s">
        <v>26</v>
      </c>
      <c r="D366">
        <v>3</v>
      </c>
      <c r="E366" t="s">
        <v>434</v>
      </c>
      <c r="F366" t="s">
        <v>622</v>
      </c>
      <c r="G366">
        <v>14</v>
      </c>
      <c r="H366">
        <v>17</v>
      </c>
      <c r="I366">
        <v>1</v>
      </c>
      <c r="J366">
        <v>0</v>
      </c>
      <c r="K366" s="9">
        <v>4.82</v>
      </c>
    </row>
    <row r="367" spans="1:11" x14ac:dyDescent="0.45">
      <c r="A367" t="s">
        <v>51</v>
      </c>
      <c r="B367" t="s">
        <v>645</v>
      </c>
      <c r="C367" t="s">
        <v>26</v>
      </c>
      <c r="D367">
        <v>4</v>
      </c>
      <c r="E367" t="s">
        <v>401</v>
      </c>
      <c r="F367" t="s">
        <v>622</v>
      </c>
      <c r="G367">
        <v>27</v>
      </c>
      <c r="H367">
        <v>32</v>
      </c>
      <c r="I367">
        <v>2</v>
      </c>
      <c r="J367">
        <v>0</v>
      </c>
      <c r="K367" s="9">
        <v>3.9375</v>
      </c>
    </row>
    <row r="368" spans="1:11" x14ac:dyDescent="0.45">
      <c r="A368" t="s">
        <v>51</v>
      </c>
      <c r="B368" t="s">
        <v>645</v>
      </c>
      <c r="C368" t="s">
        <v>26</v>
      </c>
      <c r="D368">
        <v>5</v>
      </c>
      <c r="E368" t="s">
        <v>416</v>
      </c>
      <c r="F368" t="s">
        <v>622</v>
      </c>
      <c r="G368">
        <v>8</v>
      </c>
      <c r="H368">
        <v>4</v>
      </c>
      <c r="I368">
        <v>0</v>
      </c>
      <c r="J368">
        <v>1</v>
      </c>
      <c r="K368" s="9">
        <v>5.352380952380952</v>
      </c>
    </row>
    <row r="369" spans="1:11" x14ac:dyDescent="0.45">
      <c r="A369" t="s">
        <v>51</v>
      </c>
      <c r="B369" t="s">
        <v>645</v>
      </c>
      <c r="C369" t="s">
        <v>26</v>
      </c>
      <c r="D369">
        <v>6</v>
      </c>
      <c r="E369" t="s">
        <v>426</v>
      </c>
      <c r="F369" t="s">
        <v>622</v>
      </c>
      <c r="G369">
        <v>13</v>
      </c>
      <c r="H369">
        <v>10</v>
      </c>
      <c r="I369">
        <v>1</v>
      </c>
      <c r="J369">
        <v>0</v>
      </c>
      <c r="K369" s="9">
        <v>4.7179487179487181</v>
      </c>
    </row>
    <row r="370" spans="1:11" x14ac:dyDescent="0.45">
      <c r="A370" t="s">
        <v>51</v>
      </c>
      <c r="B370" t="s">
        <v>645</v>
      </c>
      <c r="C370" t="s">
        <v>26</v>
      </c>
      <c r="D370">
        <v>7</v>
      </c>
      <c r="E370" t="s">
        <v>404</v>
      </c>
      <c r="F370" t="s">
        <v>623</v>
      </c>
      <c r="G370">
        <v>18</v>
      </c>
      <c r="H370">
        <v>18</v>
      </c>
      <c r="I370">
        <v>1</v>
      </c>
      <c r="J370">
        <v>0</v>
      </c>
      <c r="K370" s="9">
        <v>4.375</v>
      </c>
    </row>
    <row r="371" spans="1:11" x14ac:dyDescent="0.45">
      <c r="A371" t="s">
        <v>51</v>
      </c>
      <c r="B371" t="s">
        <v>645</v>
      </c>
      <c r="C371" t="s">
        <v>26</v>
      </c>
      <c r="D371">
        <v>8</v>
      </c>
      <c r="E371" t="s">
        <v>428</v>
      </c>
      <c r="F371" t="s">
        <v>622</v>
      </c>
      <c r="G371">
        <v>12</v>
      </c>
      <c r="H371">
        <v>12</v>
      </c>
      <c r="I371">
        <v>0</v>
      </c>
      <c r="J371">
        <v>1</v>
      </c>
      <c r="K371" s="9">
        <v>4.8024691358024691</v>
      </c>
    </row>
    <row r="372" spans="1:11" x14ac:dyDescent="0.45">
      <c r="A372" t="s">
        <v>51</v>
      </c>
      <c r="B372" t="s">
        <v>645</v>
      </c>
      <c r="C372" t="s">
        <v>26</v>
      </c>
      <c r="D372">
        <v>9</v>
      </c>
      <c r="E372" t="s">
        <v>403</v>
      </c>
      <c r="F372" t="s">
        <v>623</v>
      </c>
      <c r="G372">
        <v>0</v>
      </c>
      <c r="H372">
        <v>0</v>
      </c>
      <c r="I372">
        <v>0</v>
      </c>
      <c r="J372">
        <v>0</v>
      </c>
      <c r="K372" s="9">
        <v>6.2519685039370083</v>
      </c>
    </row>
    <row r="373" spans="1:11" x14ac:dyDescent="0.45">
      <c r="A373" t="s">
        <v>51</v>
      </c>
      <c r="B373" t="s">
        <v>645</v>
      </c>
      <c r="C373" t="s">
        <v>20</v>
      </c>
      <c r="D373">
        <v>1</v>
      </c>
      <c r="E373" t="s">
        <v>442</v>
      </c>
      <c r="F373" t="s">
        <v>622</v>
      </c>
      <c r="G373">
        <v>2</v>
      </c>
      <c r="H373">
        <v>3</v>
      </c>
      <c r="I373">
        <v>0</v>
      </c>
      <c r="J373">
        <v>0</v>
      </c>
      <c r="K373" s="9">
        <v>5.6607142857142856</v>
      </c>
    </row>
    <row r="374" spans="1:11" x14ac:dyDescent="0.45">
      <c r="A374" t="s">
        <v>51</v>
      </c>
      <c r="B374" t="s">
        <v>645</v>
      </c>
      <c r="C374" t="s">
        <v>20</v>
      </c>
      <c r="D374">
        <v>2</v>
      </c>
      <c r="E374" t="s">
        <v>380</v>
      </c>
      <c r="F374" t="s">
        <v>622</v>
      </c>
      <c r="G374">
        <v>31</v>
      </c>
      <c r="H374">
        <v>37</v>
      </c>
      <c r="I374">
        <v>1</v>
      </c>
      <c r="J374">
        <v>0</v>
      </c>
      <c r="K374" s="9">
        <v>3.5555555555555554</v>
      </c>
    </row>
    <row r="375" spans="1:11" x14ac:dyDescent="0.45">
      <c r="A375" t="s">
        <v>51</v>
      </c>
      <c r="B375" t="s">
        <v>645</v>
      </c>
      <c r="C375" t="s">
        <v>20</v>
      </c>
      <c r="D375">
        <v>3</v>
      </c>
      <c r="E375" t="s">
        <v>408</v>
      </c>
      <c r="F375" t="s">
        <v>622</v>
      </c>
      <c r="G375">
        <v>1</v>
      </c>
      <c r="H375">
        <v>6</v>
      </c>
      <c r="I375">
        <v>0</v>
      </c>
      <c r="J375">
        <v>0</v>
      </c>
      <c r="K375" s="9">
        <v>5.4565217391304346</v>
      </c>
    </row>
    <row r="376" spans="1:11" x14ac:dyDescent="0.45">
      <c r="A376" t="s">
        <v>51</v>
      </c>
      <c r="B376" t="s">
        <v>645</v>
      </c>
      <c r="C376" t="s">
        <v>20</v>
      </c>
      <c r="D376">
        <v>4</v>
      </c>
      <c r="E376" t="s">
        <v>374</v>
      </c>
      <c r="F376" t="s">
        <v>622</v>
      </c>
      <c r="G376">
        <v>13</v>
      </c>
      <c r="H376">
        <v>23</v>
      </c>
      <c r="I376">
        <v>1</v>
      </c>
      <c r="J376">
        <v>0</v>
      </c>
      <c r="K376" s="9">
        <v>5.1142857142857139</v>
      </c>
    </row>
    <row r="377" spans="1:11" x14ac:dyDescent="0.45">
      <c r="A377" t="s">
        <v>51</v>
      </c>
      <c r="B377" t="s">
        <v>645</v>
      </c>
      <c r="C377" t="s">
        <v>20</v>
      </c>
      <c r="D377">
        <v>5</v>
      </c>
      <c r="E377" t="s">
        <v>443</v>
      </c>
      <c r="F377" t="s">
        <v>622</v>
      </c>
      <c r="G377">
        <v>12</v>
      </c>
      <c r="H377">
        <v>12</v>
      </c>
      <c r="I377">
        <v>0</v>
      </c>
      <c r="J377">
        <v>0</v>
      </c>
      <c r="K377" s="9">
        <v>4.8024691358024691</v>
      </c>
    </row>
    <row r="378" spans="1:11" x14ac:dyDescent="0.45">
      <c r="A378" t="s">
        <v>51</v>
      </c>
      <c r="B378" t="s">
        <v>645</v>
      </c>
      <c r="C378" t="s">
        <v>20</v>
      </c>
      <c r="D378">
        <v>6</v>
      </c>
      <c r="E378" t="s">
        <v>376</v>
      </c>
      <c r="F378" t="s">
        <v>622</v>
      </c>
      <c r="G378">
        <v>1</v>
      </c>
      <c r="H378">
        <v>2</v>
      </c>
      <c r="I378">
        <v>0</v>
      </c>
      <c r="J378">
        <v>0</v>
      </c>
      <c r="K378" s="9">
        <v>6.1385542168674698</v>
      </c>
    </row>
    <row r="379" spans="1:11" x14ac:dyDescent="0.45">
      <c r="A379" t="s">
        <v>51</v>
      </c>
      <c r="B379" t="s">
        <v>645</v>
      </c>
      <c r="C379" t="s">
        <v>20</v>
      </c>
      <c r="D379">
        <v>7</v>
      </c>
      <c r="E379" t="s">
        <v>378</v>
      </c>
      <c r="F379" t="s">
        <v>623</v>
      </c>
      <c r="G379">
        <v>47</v>
      </c>
      <c r="H379">
        <v>29</v>
      </c>
      <c r="I379">
        <v>0</v>
      </c>
      <c r="J379">
        <v>5</v>
      </c>
      <c r="K379" s="9">
        <v>4.0454545454545459</v>
      </c>
    </row>
    <row r="380" spans="1:11" x14ac:dyDescent="0.45">
      <c r="A380" t="s">
        <v>51</v>
      </c>
      <c r="B380" t="s">
        <v>645</v>
      </c>
      <c r="C380" t="s">
        <v>20</v>
      </c>
      <c r="D380">
        <v>8</v>
      </c>
      <c r="E380" t="s">
        <v>379</v>
      </c>
      <c r="F380" t="s">
        <v>622</v>
      </c>
      <c r="G380">
        <v>3</v>
      </c>
      <c r="H380">
        <v>4</v>
      </c>
      <c r="I380">
        <v>0</v>
      </c>
      <c r="J380">
        <v>0</v>
      </c>
      <c r="K380" s="9">
        <v>5.352380952380952</v>
      </c>
    </row>
    <row r="381" spans="1:11" x14ac:dyDescent="0.45">
      <c r="A381" t="s">
        <v>51</v>
      </c>
      <c r="B381" t="s">
        <v>645</v>
      </c>
      <c r="C381" t="s">
        <v>20</v>
      </c>
      <c r="D381">
        <v>9</v>
      </c>
      <c r="E381" t="s">
        <v>409</v>
      </c>
      <c r="F381" t="s">
        <v>623</v>
      </c>
      <c r="G381">
        <v>3</v>
      </c>
      <c r="H381">
        <v>4</v>
      </c>
      <c r="I381">
        <v>0</v>
      </c>
      <c r="J381">
        <v>0</v>
      </c>
      <c r="K381" s="9">
        <v>5.352380952380952</v>
      </c>
    </row>
    <row r="382" spans="1:11" x14ac:dyDescent="0.45">
      <c r="A382" t="s">
        <v>53</v>
      </c>
      <c r="B382" t="s">
        <v>646</v>
      </c>
      <c r="C382" t="s">
        <v>10</v>
      </c>
      <c r="D382">
        <v>1</v>
      </c>
      <c r="E382" t="s">
        <v>329</v>
      </c>
      <c r="F382" t="s">
        <v>622</v>
      </c>
      <c r="G382">
        <v>10</v>
      </c>
      <c r="H382">
        <v>12</v>
      </c>
      <c r="I382">
        <v>0</v>
      </c>
      <c r="J382">
        <v>0</v>
      </c>
      <c r="K382" s="9">
        <v>4.8024691358024691</v>
      </c>
    </row>
    <row r="383" spans="1:11" x14ac:dyDescent="0.45">
      <c r="A383" t="s">
        <v>53</v>
      </c>
      <c r="B383" t="s">
        <v>646</v>
      </c>
      <c r="C383" t="s">
        <v>10</v>
      </c>
      <c r="D383">
        <v>2</v>
      </c>
      <c r="E383" t="s">
        <v>330</v>
      </c>
      <c r="F383" t="s">
        <v>622</v>
      </c>
      <c r="G383">
        <v>8</v>
      </c>
      <c r="H383">
        <v>8</v>
      </c>
      <c r="I383">
        <v>1</v>
      </c>
      <c r="J383">
        <v>0</v>
      </c>
      <c r="K383" s="9">
        <v>4.9029126213592233</v>
      </c>
    </row>
    <row r="384" spans="1:11" x14ac:dyDescent="0.45">
      <c r="A384" t="s">
        <v>53</v>
      </c>
      <c r="B384" t="s">
        <v>646</v>
      </c>
      <c r="C384" t="s">
        <v>10</v>
      </c>
      <c r="D384">
        <v>3</v>
      </c>
      <c r="E384" t="s">
        <v>332</v>
      </c>
      <c r="F384" t="s">
        <v>622</v>
      </c>
      <c r="G384">
        <v>43</v>
      </c>
      <c r="H384">
        <v>32</v>
      </c>
      <c r="I384">
        <v>1</v>
      </c>
      <c r="J384">
        <v>2</v>
      </c>
      <c r="K384" s="9">
        <v>3.9375</v>
      </c>
    </row>
    <row r="385" spans="1:11" x14ac:dyDescent="0.45">
      <c r="A385" t="s">
        <v>53</v>
      </c>
      <c r="B385" t="s">
        <v>646</v>
      </c>
      <c r="C385" t="s">
        <v>10</v>
      </c>
      <c r="D385">
        <v>4</v>
      </c>
      <c r="E385" t="s">
        <v>334</v>
      </c>
      <c r="F385" t="s">
        <v>622</v>
      </c>
      <c r="G385">
        <v>24</v>
      </c>
      <c r="H385">
        <v>24</v>
      </c>
      <c r="I385">
        <v>2</v>
      </c>
      <c r="J385">
        <v>0</v>
      </c>
      <c r="K385" s="9">
        <v>4.0606060606060606</v>
      </c>
    </row>
    <row r="386" spans="1:11" x14ac:dyDescent="0.45">
      <c r="A386" t="s">
        <v>53</v>
      </c>
      <c r="B386" t="s">
        <v>646</v>
      </c>
      <c r="C386" t="s">
        <v>10</v>
      </c>
      <c r="D386">
        <v>5</v>
      </c>
      <c r="E386" t="s">
        <v>336</v>
      </c>
      <c r="F386" t="s">
        <v>622</v>
      </c>
      <c r="G386">
        <v>28</v>
      </c>
      <c r="H386">
        <v>16</v>
      </c>
      <c r="I386">
        <v>5</v>
      </c>
      <c r="J386">
        <v>0</v>
      </c>
      <c r="K386" s="9">
        <v>4.7608695652173916</v>
      </c>
    </row>
    <row r="387" spans="1:11" x14ac:dyDescent="0.45">
      <c r="A387" t="s">
        <v>53</v>
      </c>
      <c r="B387" t="s">
        <v>646</v>
      </c>
      <c r="C387" t="s">
        <v>10</v>
      </c>
      <c r="D387">
        <v>6</v>
      </c>
      <c r="E387" t="s">
        <v>436</v>
      </c>
      <c r="F387" t="s">
        <v>623</v>
      </c>
      <c r="G387">
        <v>14</v>
      </c>
      <c r="H387">
        <v>15</v>
      </c>
      <c r="I387">
        <v>1</v>
      </c>
      <c r="J387">
        <v>0</v>
      </c>
      <c r="K387" s="9">
        <v>4.7777777777777777</v>
      </c>
    </row>
    <row r="388" spans="1:11" x14ac:dyDescent="0.45">
      <c r="A388" t="s">
        <v>53</v>
      </c>
      <c r="B388" t="s">
        <v>646</v>
      </c>
      <c r="C388" t="s">
        <v>10</v>
      </c>
      <c r="D388">
        <v>7</v>
      </c>
      <c r="E388" t="s">
        <v>337</v>
      </c>
      <c r="F388" t="s">
        <v>622</v>
      </c>
      <c r="G388">
        <v>12</v>
      </c>
      <c r="H388">
        <v>7</v>
      </c>
      <c r="I388">
        <v>0</v>
      </c>
      <c r="J388">
        <v>1</v>
      </c>
      <c r="K388" s="9">
        <v>4.927835051546392</v>
      </c>
    </row>
    <row r="389" spans="1:11" x14ac:dyDescent="0.45">
      <c r="A389" t="s">
        <v>53</v>
      </c>
      <c r="B389" t="s">
        <v>646</v>
      </c>
      <c r="C389" t="s">
        <v>10</v>
      </c>
      <c r="D389">
        <v>8</v>
      </c>
      <c r="E389" t="s">
        <v>339</v>
      </c>
      <c r="F389" t="s">
        <v>623</v>
      </c>
      <c r="G389">
        <v>6</v>
      </c>
      <c r="H389">
        <v>6</v>
      </c>
      <c r="I389">
        <v>0</v>
      </c>
      <c r="J389">
        <v>0</v>
      </c>
      <c r="K389" s="9">
        <v>5.4565217391304346</v>
      </c>
    </row>
    <row r="390" spans="1:11" x14ac:dyDescent="0.45">
      <c r="A390" t="s">
        <v>53</v>
      </c>
      <c r="B390" t="s">
        <v>646</v>
      </c>
      <c r="C390" t="s">
        <v>23</v>
      </c>
      <c r="D390">
        <v>1</v>
      </c>
      <c r="E390" t="s">
        <v>384</v>
      </c>
      <c r="F390" t="s">
        <v>622</v>
      </c>
      <c r="G390">
        <v>1</v>
      </c>
      <c r="H390">
        <v>3</v>
      </c>
      <c r="I390">
        <v>0</v>
      </c>
      <c r="J390">
        <v>0</v>
      </c>
      <c r="K390" s="9">
        <v>5.6607142857142856</v>
      </c>
    </row>
    <row r="391" spans="1:11" x14ac:dyDescent="0.45">
      <c r="A391" t="s">
        <v>53</v>
      </c>
      <c r="B391" t="s">
        <v>646</v>
      </c>
      <c r="C391" t="s">
        <v>23</v>
      </c>
      <c r="D391">
        <v>2</v>
      </c>
      <c r="E391" t="s">
        <v>383</v>
      </c>
      <c r="F391" t="s">
        <v>622</v>
      </c>
      <c r="G391">
        <v>5</v>
      </c>
      <c r="H391">
        <v>4</v>
      </c>
      <c r="I391">
        <v>0</v>
      </c>
      <c r="J391">
        <v>0</v>
      </c>
      <c r="K391" s="9">
        <v>5.352380952380952</v>
      </c>
    </row>
    <row r="392" spans="1:11" x14ac:dyDescent="0.45">
      <c r="A392" t="s">
        <v>53</v>
      </c>
      <c r="B392" t="s">
        <v>646</v>
      </c>
      <c r="C392" t="s">
        <v>23</v>
      </c>
      <c r="D392">
        <v>3</v>
      </c>
      <c r="E392" t="s">
        <v>386</v>
      </c>
      <c r="F392" t="s">
        <v>623</v>
      </c>
      <c r="G392">
        <v>70</v>
      </c>
      <c r="H392">
        <v>53</v>
      </c>
      <c r="I392">
        <v>8</v>
      </c>
      <c r="J392">
        <v>1</v>
      </c>
      <c r="K392" s="9">
        <v>3.3</v>
      </c>
    </row>
    <row r="393" spans="1:11" x14ac:dyDescent="0.45">
      <c r="A393" t="s">
        <v>53</v>
      </c>
      <c r="B393" t="s">
        <v>646</v>
      </c>
      <c r="C393" t="s">
        <v>23</v>
      </c>
      <c r="D393">
        <v>4</v>
      </c>
      <c r="E393" t="s">
        <v>411</v>
      </c>
      <c r="F393" t="s">
        <v>622</v>
      </c>
      <c r="G393">
        <v>7</v>
      </c>
      <c r="H393">
        <v>10</v>
      </c>
      <c r="I393">
        <v>0</v>
      </c>
      <c r="J393">
        <v>0</v>
      </c>
      <c r="K393" s="9">
        <v>4.7179487179487181</v>
      </c>
    </row>
    <row r="394" spans="1:11" x14ac:dyDescent="0.45">
      <c r="A394" t="s">
        <v>53</v>
      </c>
      <c r="B394" t="s">
        <v>646</v>
      </c>
      <c r="C394" t="s">
        <v>23</v>
      </c>
      <c r="D394">
        <v>5</v>
      </c>
      <c r="E394" t="s">
        <v>430</v>
      </c>
      <c r="F394" t="s">
        <v>622</v>
      </c>
      <c r="G394">
        <v>19</v>
      </c>
      <c r="H394">
        <v>24</v>
      </c>
      <c r="I394">
        <v>0</v>
      </c>
      <c r="J394">
        <v>1</v>
      </c>
      <c r="K394" s="9">
        <v>4.0606060606060606</v>
      </c>
    </row>
    <row r="395" spans="1:11" x14ac:dyDescent="0.45">
      <c r="A395" t="s">
        <v>53</v>
      </c>
      <c r="B395" t="s">
        <v>646</v>
      </c>
      <c r="C395" t="s">
        <v>23</v>
      </c>
      <c r="D395">
        <v>6</v>
      </c>
      <c r="E395" t="s">
        <v>431</v>
      </c>
      <c r="F395" t="s">
        <v>622</v>
      </c>
      <c r="G395">
        <v>2</v>
      </c>
      <c r="H395">
        <v>7</v>
      </c>
      <c r="I395">
        <v>0</v>
      </c>
      <c r="J395">
        <v>0</v>
      </c>
      <c r="K395" s="9">
        <v>4.927835051546392</v>
      </c>
    </row>
    <row r="396" spans="1:11" x14ac:dyDescent="0.45">
      <c r="A396" t="s">
        <v>53</v>
      </c>
      <c r="B396" t="s">
        <v>646</v>
      </c>
      <c r="C396" t="s">
        <v>23</v>
      </c>
      <c r="D396">
        <v>7</v>
      </c>
      <c r="E396" t="s">
        <v>390</v>
      </c>
      <c r="F396" t="s">
        <v>622</v>
      </c>
      <c r="G396">
        <v>9</v>
      </c>
      <c r="H396">
        <v>15</v>
      </c>
      <c r="I396">
        <v>0</v>
      </c>
      <c r="J396">
        <v>0</v>
      </c>
      <c r="K396" s="9">
        <v>4.7777777777777777</v>
      </c>
    </row>
    <row r="397" spans="1:11" x14ac:dyDescent="0.45">
      <c r="A397" t="s">
        <v>53</v>
      </c>
      <c r="B397" t="s">
        <v>646</v>
      </c>
      <c r="C397" t="s">
        <v>23</v>
      </c>
      <c r="D397">
        <v>8</v>
      </c>
      <c r="E397" t="s">
        <v>445</v>
      </c>
      <c r="F397" t="s">
        <v>623</v>
      </c>
      <c r="G397">
        <v>2</v>
      </c>
      <c r="H397">
        <v>4</v>
      </c>
      <c r="I397">
        <v>0</v>
      </c>
      <c r="J397">
        <v>0</v>
      </c>
      <c r="K397" s="9">
        <v>5.352380952380952</v>
      </c>
    </row>
    <row r="398" spans="1:11" x14ac:dyDescent="0.45">
      <c r="A398" t="s">
        <v>54</v>
      </c>
      <c r="B398" t="s">
        <v>647</v>
      </c>
      <c r="C398" t="s">
        <v>13</v>
      </c>
      <c r="D398">
        <v>1</v>
      </c>
      <c r="E398" t="s">
        <v>343</v>
      </c>
      <c r="F398" t="s">
        <v>622</v>
      </c>
      <c r="G398">
        <v>53</v>
      </c>
      <c r="H398">
        <v>41</v>
      </c>
      <c r="I398">
        <v>6</v>
      </c>
      <c r="J398">
        <v>1</v>
      </c>
      <c r="K398" s="9">
        <v>3.0909090909090908</v>
      </c>
    </row>
    <row r="399" spans="1:11" x14ac:dyDescent="0.45">
      <c r="A399" t="s">
        <v>54</v>
      </c>
      <c r="B399" t="s">
        <v>647</v>
      </c>
      <c r="C399" t="s">
        <v>13</v>
      </c>
      <c r="D399">
        <v>2</v>
      </c>
      <c r="E399" t="s">
        <v>342</v>
      </c>
      <c r="F399" t="s">
        <v>622</v>
      </c>
      <c r="G399">
        <v>70</v>
      </c>
      <c r="H399">
        <v>50</v>
      </c>
      <c r="I399">
        <v>5</v>
      </c>
      <c r="J399">
        <v>3</v>
      </c>
      <c r="K399" s="9">
        <v>2.9047619047619047</v>
      </c>
    </row>
    <row r="400" spans="1:11" x14ac:dyDescent="0.45">
      <c r="A400" t="s">
        <v>54</v>
      </c>
      <c r="B400" t="s">
        <v>647</v>
      </c>
      <c r="C400" t="s">
        <v>13</v>
      </c>
      <c r="D400">
        <v>3</v>
      </c>
      <c r="E400" t="s">
        <v>346</v>
      </c>
      <c r="F400" t="s">
        <v>622</v>
      </c>
      <c r="G400">
        <v>12</v>
      </c>
      <c r="H400">
        <v>11</v>
      </c>
      <c r="I400">
        <v>0</v>
      </c>
      <c r="J400">
        <v>1</v>
      </c>
      <c r="K400" s="9">
        <v>4.9649122807017543</v>
      </c>
    </row>
    <row r="401" spans="1:11" x14ac:dyDescent="0.45">
      <c r="A401" t="s">
        <v>54</v>
      </c>
      <c r="B401" t="s">
        <v>647</v>
      </c>
      <c r="C401" t="s">
        <v>13</v>
      </c>
      <c r="D401">
        <v>4</v>
      </c>
      <c r="E401" t="s">
        <v>345</v>
      </c>
      <c r="F401" t="s">
        <v>622</v>
      </c>
      <c r="G401">
        <v>11</v>
      </c>
      <c r="H401">
        <v>9</v>
      </c>
      <c r="I401">
        <v>0</v>
      </c>
      <c r="J401">
        <v>1</v>
      </c>
      <c r="K401" s="9">
        <v>4.924050632911392</v>
      </c>
    </row>
    <row r="402" spans="1:11" x14ac:dyDescent="0.45">
      <c r="A402" t="s">
        <v>54</v>
      </c>
      <c r="B402" t="s">
        <v>647</v>
      </c>
      <c r="C402" t="s">
        <v>13</v>
      </c>
      <c r="D402">
        <v>5</v>
      </c>
      <c r="E402" t="s">
        <v>447</v>
      </c>
      <c r="F402" t="s">
        <v>622</v>
      </c>
      <c r="G402">
        <v>1</v>
      </c>
      <c r="H402">
        <v>3</v>
      </c>
      <c r="I402">
        <v>0</v>
      </c>
      <c r="J402">
        <v>0</v>
      </c>
      <c r="K402" s="9">
        <v>5.6607142857142856</v>
      </c>
    </row>
    <row r="403" spans="1:11" x14ac:dyDescent="0.45">
      <c r="A403" t="s">
        <v>54</v>
      </c>
      <c r="B403" t="s">
        <v>647</v>
      </c>
      <c r="C403" t="s">
        <v>13</v>
      </c>
      <c r="D403">
        <v>6</v>
      </c>
      <c r="E403" t="s">
        <v>349</v>
      </c>
      <c r="F403" t="s">
        <v>622</v>
      </c>
      <c r="G403">
        <v>3</v>
      </c>
      <c r="H403">
        <v>5</v>
      </c>
      <c r="I403">
        <v>0</v>
      </c>
      <c r="J403">
        <v>0</v>
      </c>
      <c r="K403" s="9">
        <v>5.132075471698113</v>
      </c>
    </row>
    <row r="404" spans="1:11" x14ac:dyDescent="0.45">
      <c r="A404" t="s">
        <v>54</v>
      </c>
      <c r="B404" t="s">
        <v>647</v>
      </c>
      <c r="C404" t="s">
        <v>13</v>
      </c>
      <c r="D404">
        <v>7</v>
      </c>
      <c r="E404" t="s">
        <v>448</v>
      </c>
      <c r="F404" t="s">
        <v>623</v>
      </c>
      <c r="G404">
        <v>1</v>
      </c>
      <c r="H404">
        <v>1</v>
      </c>
      <c r="I404">
        <v>0</v>
      </c>
      <c r="J404">
        <v>0</v>
      </c>
      <c r="K404" s="9">
        <v>6.5693779904306222</v>
      </c>
    </row>
    <row r="405" spans="1:11" x14ac:dyDescent="0.45">
      <c r="A405" t="s">
        <v>54</v>
      </c>
      <c r="B405" t="s">
        <v>647</v>
      </c>
      <c r="C405" t="s">
        <v>6</v>
      </c>
      <c r="D405">
        <v>1</v>
      </c>
      <c r="E405" t="s">
        <v>290</v>
      </c>
      <c r="F405" t="s">
        <v>622</v>
      </c>
      <c r="G405">
        <v>38</v>
      </c>
      <c r="H405">
        <v>26</v>
      </c>
      <c r="I405">
        <v>4</v>
      </c>
      <c r="J405">
        <v>1</v>
      </c>
      <c r="K405" s="9">
        <v>4.1568627450980395</v>
      </c>
    </row>
    <row r="406" spans="1:11" x14ac:dyDescent="0.45">
      <c r="A406" t="s">
        <v>54</v>
      </c>
      <c r="B406" t="s">
        <v>647</v>
      </c>
      <c r="C406" t="s">
        <v>6</v>
      </c>
      <c r="D406">
        <v>2</v>
      </c>
      <c r="E406" t="s">
        <v>294</v>
      </c>
      <c r="F406" t="s">
        <v>622</v>
      </c>
      <c r="G406">
        <v>31</v>
      </c>
      <c r="H406">
        <v>26</v>
      </c>
      <c r="I406">
        <v>2</v>
      </c>
      <c r="J406">
        <v>2</v>
      </c>
      <c r="K406" s="9">
        <v>4.1568627450980395</v>
      </c>
    </row>
    <row r="407" spans="1:11" x14ac:dyDescent="0.45">
      <c r="A407" t="s">
        <v>54</v>
      </c>
      <c r="B407" t="s">
        <v>647</v>
      </c>
      <c r="C407" t="s">
        <v>6</v>
      </c>
      <c r="D407">
        <v>3</v>
      </c>
      <c r="E407" t="s">
        <v>299</v>
      </c>
      <c r="F407" t="s">
        <v>622</v>
      </c>
      <c r="G407">
        <v>23</v>
      </c>
      <c r="H407">
        <v>18</v>
      </c>
      <c r="I407">
        <v>0</v>
      </c>
      <c r="J407">
        <v>2</v>
      </c>
      <c r="K407" s="9">
        <v>4.375</v>
      </c>
    </row>
    <row r="408" spans="1:11" x14ac:dyDescent="0.45">
      <c r="A408" t="s">
        <v>54</v>
      </c>
      <c r="B408" t="s">
        <v>647</v>
      </c>
      <c r="C408" t="s">
        <v>6</v>
      </c>
      <c r="D408">
        <v>4</v>
      </c>
      <c r="E408" t="s">
        <v>355</v>
      </c>
      <c r="F408" t="s">
        <v>622</v>
      </c>
      <c r="G408">
        <v>32</v>
      </c>
      <c r="H408">
        <v>22</v>
      </c>
      <c r="I408">
        <v>3</v>
      </c>
      <c r="J408">
        <v>1</v>
      </c>
      <c r="K408" s="9">
        <v>4.4423076923076925</v>
      </c>
    </row>
    <row r="409" spans="1:11" x14ac:dyDescent="0.45">
      <c r="A409" t="s">
        <v>54</v>
      </c>
      <c r="B409" t="s">
        <v>647</v>
      </c>
      <c r="C409" t="s">
        <v>6</v>
      </c>
      <c r="D409">
        <v>5</v>
      </c>
      <c r="E409" t="s">
        <v>417</v>
      </c>
      <c r="F409" t="s">
        <v>623</v>
      </c>
      <c r="G409">
        <v>17</v>
      </c>
      <c r="H409">
        <v>10</v>
      </c>
      <c r="I409">
        <v>2</v>
      </c>
      <c r="J409">
        <v>1</v>
      </c>
      <c r="K409" s="9">
        <v>4.7179487179487181</v>
      </c>
    </row>
    <row r="410" spans="1:11" x14ac:dyDescent="0.45">
      <c r="A410" t="s">
        <v>54</v>
      </c>
      <c r="B410" t="s">
        <v>647</v>
      </c>
      <c r="C410" t="s">
        <v>6</v>
      </c>
      <c r="D410">
        <v>6</v>
      </c>
      <c r="E410" t="s">
        <v>356</v>
      </c>
      <c r="F410" t="s">
        <v>623</v>
      </c>
      <c r="G410">
        <v>11</v>
      </c>
      <c r="H410">
        <v>9</v>
      </c>
      <c r="I410">
        <v>2</v>
      </c>
      <c r="J410">
        <v>0</v>
      </c>
      <c r="K410" s="9">
        <v>4.924050632911392</v>
      </c>
    </row>
    <row r="411" spans="1:11" x14ac:dyDescent="0.45">
      <c r="A411" t="s">
        <v>55</v>
      </c>
      <c r="B411" t="s">
        <v>648</v>
      </c>
      <c r="C411" t="s">
        <v>19</v>
      </c>
      <c r="D411">
        <v>1</v>
      </c>
      <c r="E411" t="s">
        <v>359</v>
      </c>
      <c r="F411" t="s">
        <v>622</v>
      </c>
      <c r="G411">
        <v>33</v>
      </c>
      <c r="H411">
        <v>30</v>
      </c>
      <c r="I411">
        <v>4</v>
      </c>
      <c r="J411">
        <v>0</v>
      </c>
      <c r="K411" s="9">
        <v>3.6774193548387095</v>
      </c>
    </row>
    <row r="412" spans="1:11" x14ac:dyDescent="0.45">
      <c r="A412" t="s">
        <v>55</v>
      </c>
      <c r="B412" t="s">
        <v>648</v>
      </c>
      <c r="C412" t="s">
        <v>19</v>
      </c>
      <c r="D412">
        <v>2</v>
      </c>
      <c r="E412" t="s">
        <v>422</v>
      </c>
      <c r="F412" t="s">
        <v>622</v>
      </c>
      <c r="G412">
        <v>55</v>
      </c>
      <c r="H412">
        <v>42</v>
      </c>
      <c r="I412">
        <v>4</v>
      </c>
      <c r="J412">
        <v>3</v>
      </c>
      <c r="K412" s="9">
        <v>3.3913043478260869</v>
      </c>
    </row>
    <row r="413" spans="1:11" x14ac:dyDescent="0.45">
      <c r="A413" t="s">
        <v>55</v>
      </c>
      <c r="B413" t="s">
        <v>648</v>
      </c>
      <c r="C413" t="s">
        <v>19</v>
      </c>
      <c r="D413">
        <v>3</v>
      </c>
      <c r="E413" t="s">
        <v>363</v>
      </c>
      <c r="F413" t="s">
        <v>622</v>
      </c>
      <c r="G413">
        <v>5</v>
      </c>
      <c r="H413">
        <v>10</v>
      </c>
      <c r="I413">
        <v>0</v>
      </c>
      <c r="J413">
        <v>0</v>
      </c>
      <c r="K413" s="9">
        <v>4.7179487179487181</v>
      </c>
    </row>
    <row r="414" spans="1:11" x14ac:dyDescent="0.45">
      <c r="A414" t="s">
        <v>55</v>
      </c>
      <c r="B414" t="s">
        <v>648</v>
      </c>
      <c r="C414" t="s">
        <v>19</v>
      </c>
      <c r="D414">
        <v>4</v>
      </c>
      <c r="E414" t="s">
        <v>360</v>
      </c>
      <c r="F414" t="s">
        <v>622</v>
      </c>
      <c r="G414">
        <v>14</v>
      </c>
      <c r="H414">
        <v>13</v>
      </c>
      <c r="I414">
        <v>0</v>
      </c>
      <c r="J414">
        <v>1</v>
      </c>
      <c r="K414" s="9">
        <v>4.8939393939393936</v>
      </c>
    </row>
    <row r="415" spans="1:11" x14ac:dyDescent="0.45">
      <c r="A415" t="s">
        <v>55</v>
      </c>
      <c r="B415" t="s">
        <v>648</v>
      </c>
      <c r="C415" t="s">
        <v>19</v>
      </c>
      <c r="D415">
        <v>5</v>
      </c>
      <c r="E415" t="s">
        <v>362</v>
      </c>
      <c r="F415" t="s">
        <v>622</v>
      </c>
      <c r="G415">
        <v>21</v>
      </c>
      <c r="H415">
        <v>15</v>
      </c>
      <c r="I415">
        <v>2</v>
      </c>
      <c r="J415">
        <v>1</v>
      </c>
      <c r="K415" s="9">
        <v>4.7777777777777777</v>
      </c>
    </row>
    <row r="416" spans="1:11" x14ac:dyDescent="0.45">
      <c r="A416" t="s">
        <v>55</v>
      </c>
      <c r="B416" t="s">
        <v>648</v>
      </c>
      <c r="C416" t="s">
        <v>19</v>
      </c>
      <c r="D416">
        <v>6</v>
      </c>
      <c r="E416" t="s">
        <v>366</v>
      </c>
      <c r="F416" t="s">
        <v>622</v>
      </c>
      <c r="G416">
        <v>12</v>
      </c>
      <c r="H416">
        <v>9</v>
      </c>
      <c r="I416">
        <v>0</v>
      </c>
      <c r="J416">
        <v>1</v>
      </c>
      <c r="K416" s="9">
        <v>4.924050632911392</v>
      </c>
    </row>
    <row r="417" spans="1:11" x14ac:dyDescent="0.45">
      <c r="A417" t="s">
        <v>55</v>
      </c>
      <c r="B417" t="s">
        <v>648</v>
      </c>
      <c r="C417" t="s">
        <v>19</v>
      </c>
      <c r="D417">
        <v>7</v>
      </c>
      <c r="E417" t="s">
        <v>423</v>
      </c>
      <c r="F417" t="s">
        <v>623</v>
      </c>
      <c r="G417">
        <v>5</v>
      </c>
      <c r="H417">
        <v>2</v>
      </c>
      <c r="I417">
        <v>1</v>
      </c>
      <c r="J417">
        <v>0</v>
      </c>
      <c r="K417" s="9">
        <v>6.1385542168674698</v>
      </c>
    </row>
    <row r="418" spans="1:11" x14ac:dyDescent="0.45">
      <c r="A418" t="s">
        <v>55</v>
      </c>
      <c r="B418" t="s">
        <v>648</v>
      </c>
      <c r="C418" t="s">
        <v>19</v>
      </c>
      <c r="D418">
        <v>8</v>
      </c>
      <c r="E418" t="s">
        <v>439</v>
      </c>
      <c r="F418" t="s">
        <v>623</v>
      </c>
      <c r="G418">
        <v>1</v>
      </c>
      <c r="H418">
        <v>1</v>
      </c>
      <c r="I418">
        <v>0</v>
      </c>
      <c r="J418">
        <v>0</v>
      </c>
      <c r="K418" s="9">
        <v>6.5693779904306222</v>
      </c>
    </row>
    <row r="419" spans="1:11" x14ac:dyDescent="0.45">
      <c r="A419" t="s">
        <v>55</v>
      </c>
      <c r="B419" t="s">
        <v>648</v>
      </c>
      <c r="C419" t="s">
        <v>7</v>
      </c>
      <c r="D419">
        <v>1</v>
      </c>
      <c r="E419" t="s">
        <v>302</v>
      </c>
      <c r="F419" t="s">
        <v>622</v>
      </c>
      <c r="G419">
        <v>13</v>
      </c>
      <c r="H419">
        <v>9</v>
      </c>
      <c r="I419">
        <v>1</v>
      </c>
      <c r="J419">
        <v>1</v>
      </c>
      <c r="K419" s="9">
        <v>4.924050632911392</v>
      </c>
    </row>
    <row r="420" spans="1:11" x14ac:dyDescent="0.45">
      <c r="A420" t="s">
        <v>55</v>
      </c>
      <c r="B420" t="s">
        <v>648</v>
      </c>
      <c r="C420" t="s">
        <v>7</v>
      </c>
      <c r="D420">
        <v>2</v>
      </c>
      <c r="E420" t="s">
        <v>304</v>
      </c>
      <c r="F420" t="s">
        <v>622</v>
      </c>
      <c r="G420">
        <v>53</v>
      </c>
      <c r="H420">
        <v>30</v>
      </c>
      <c r="I420">
        <v>4</v>
      </c>
      <c r="J420">
        <v>3</v>
      </c>
      <c r="K420" s="9">
        <v>3.6774193548387095</v>
      </c>
    </row>
    <row r="421" spans="1:11" x14ac:dyDescent="0.45">
      <c r="A421" t="s">
        <v>55</v>
      </c>
      <c r="B421" t="s">
        <v>648</v>
      </c>
      <c r="C421" t="s">
        <v>7</v>
      </c>
      <c r="D421">
        <v>3</v>
      </c>
      <c r="E421" t="s">
        <v>315</v>
      </c>
      <c r="F421" t="s">
        <v>623</v>
      </c>
      <c r="G421">
        <v>74</v>
      </c>
      <c r="H421">
        <v>42</v>
      </c>
      <c r="I421">
        <v>8</v>
      </c>
      <c r="J421">
        <v>3</v>
      </c>
      <c r="K421" s="9">
        <v>3.3913043478260869</v>
      </c>
    </row>
    <row r="422" spans="1:11" x14ac:dyDescent="0.45">
      <c r="A422" t="s">
        <v>55</v>
      </c>
      <c r="B422" t="s">
        <v>648</v>
      </c>
      <c r="C422" t="s">
        <v>7</v>
      </c>
      <c r="D422">
        <v>4</v>
      </c>
      <c r="E422" t="s">
        <v>310</v>
      </c>
      <c r="F422" t="s">
        <v>622</v>
      </c>
      <c r="G422">
        <v>7</v>
      </c>
      <c r="H422">
        <v>8</v>
      </c>
      <c r="I422">
        <v>0</v>
      </c>
      <c r="J422">
        <v>1</v>
      </c>
      <c r="K422" s="9">
        <v>4.9029126213592233</v>
      </c>
    </row>
    <row r="423" spans="1:11" x14ac:dyDescent="0.45">
      <c r="A423" t="s">
        <v>55</v>
      </c>
      <c r="B423" t="s">
        <v>648</v>
      </c>
      <c r="C423" t="s">
        <v>7</v>
      </c>
      <c r="D423">
        <v>5</v>
      </c>
      <c r="E423" t="s">
        <v>306</v>
      </c>
      <c r="F423" t="s">
        <v>623</v>
      </c>
      <c r="G423">
        <v>5</v>
      </c>
      <c r="H423">
        <v>2</v>
      </c>
      <c r="I423">
        <v>1</v>
      </c>
      <c r="J423">
        <v>0</v>
      </c>
      <c r="K423" s="9">
        <v>6.1385542168674698</v>
      </c>
    </row>
    <row r="424" spans="1:11" x14ac:dyDescent="0.45">
      <c r="A424" t="s">
        <v>56</v>
      </c>
      <c r="B424" t="s">
        <v>649</v>
      </c>
      <c r="C424" t="s">
        <v>20</v>
      </c>
      <c r="D424">
        <v>1</v>
      </c>
      <c r="E424" t="s">
        <v>442</v>
      </c>
      <c r="F424" t="s">
        <v>622</v>
      </c>
      <c r="G424">
        <v>0</v>
      </c>
      <c r="H424">
        <v>3</v>
      </c>
      <c r="I424">
        <v>0</v>
      </c>
      <c r="J424">
        <v>0</v>
      </c>
      <c r="K424" s="9">
        <v>5.6607142857142856</v>
      </c>
    </row>
    <row r="425" spans="1:11" x14ac:dyDescent="0.45">
      <c r="A425" t="s">
        <v>56</v>
      </c>
      <c r="B425" t="s">
        <v>649</v>
      </c>
      <c r="C425" t="s">
        <v>20</v>
      </c>
      <c r="D425">
        <v>2</v>
      </c>
      <c r="E425" t="s">
        <v>380</v>
      </c>
      <c r="F425" t="s">
        <v>622</v>
      </c>
      <c r="G425">
        <v>18</v>
      </c>
      <c r="H425">
        <v>17</v>
      </c>
      <c r="I425">
        <v>2</v>
      </c>
      <c r="J425">
        <v>1</v>
      </c>
      <c r="K425" s="9">
        <v>4.82</v>
      </c>
    </row>
    <row r="426" spans="1:11" x14ac:dyDescent="0.45">
      <c r="A426" t="s">
        <v>56</v>
      </c>
      <c r="B426" t="s">
        <v>649</v>
      </c>
      <c r="C426" t="s">
        <v>20</v>
      </c>
      <c r="D426">
        <v>3</v>
      </c>
      <c r="E426" t="s">
        <v>408</v>
      </c>
      <c r="F426" t="s">
        <v>622</v>
      </c>
      <c r="G426">
        <v>18</v>
      </c>
      <c r="H426">
        <v>26</v>
      </c>
      <c r="I426">
        <v>1</v>
      </c>
      <c r="J426">
        <v>0</v>
      </c>
      <c r="K426" s="9">
        <v>4.1568627450980395</v>
      </c>
    </row>
    <row r="427" spans="1:11" x14ac:dyDescent="0.45">
      <c r="A427" t="s">
        <v>56</v>
      </c>
      <c r="B427" t="s">
        <v>649</v>
      </c>
      <c r="C427" t="s">
        <v>20</v>
      </c>
      <c r="D427">
        <v>4</v>
      </c>
      <c r="E427" t="s">
        <v>374</v>
      </c>
      <c r="F427" t="s">
        <v>622</v>
      </c>
      <c r="G427">
        <v>17</v>
      </c>
      <c r="H427">
        <v>16</v>
      </c>
      <c r="I427">
        <v>1</v>
      </c>
      <c r="J427">
        <v>0</v>
      </c>
      <c r="K427" s="9">
        <v>4.7608695652173916</v>
      </c>
    </row>
    <row r="428" spans="1:11" x14ac:dyDescent="0.45">
      <c r="A428" t="s">
        <v>56</v>
      </c>
      <c r="B428" t="s">
        <v>649</v>
      </c>
      <c r="C428" t="s">
        <v>20</v>
      </c>
      <c r="D428">
        <v>5</v>
      </c>
      <c r="E428" t="s">
        <v>443</v>
      </c>
      <c r="F428" t="s">
        <v>622</v>
      </c>
      <c r="G428">
        <v>3</v>
      </c>
      <c r="H428">
        <v>8</v>
      </c>
      <c r="I428">
        <v>0</v>
      </c>
      <c r="J428">
        <v>0</v>
      </c>
      <c r="K428" s="9">
        <v>4.9029126213592233</v>
      </c>
    </row>
    <row r="429" spans="1:11" x14ac:dyDescent="0.45">
      <c r="A429" t="s">
        <v>56</v>
      </c>
      <c r="B429" t="s">
        <v>649</v>
      </c>
      <c r="C429" t="s">
        <v>20</v>
      </c>
      <c r="D429">
        <v>6</v>
      </c>
      <c r="E429" t="s">
        <v>376</v>
      </c>
      <c r="F429" t="s">
        <v>622</v>
      </c>
      <c r="G429">
        <v>28</v>
      </c>
      <c r="H429">
        <v>21</v>
      </c>
      <c r="I429">
        <v>2</v>
      </c>
      <c r="J429">
        <v>1</v>
      </c>
      <c r="K429" s="9">
        <v>4.3770491803278686</v>
      </c>
    </row>
    <row r="430" spans="1:11" x14ac:dyDescent="0.45">
      <c r="A430" t="s">
        <v>56</v>
      </c>
      <c r="B430" t="s">
        <v>649</v>
      </c>
      <c r="C430" t="s">
        <v>20</v>
      </c>
      <c r="D430">
        <v>7</v>
      </c>
      <c r="E430" t="s">
        <v>378</v>
      </c>
      <c r="F430" t="s">
        <v>622</v>
      </c>
      <c r="G430">
        <v>10</v>
      </c>
      <c r="H430">
        <v>9</v>
      </c>
      <c r="I430">
        <v>0</v>
      </c>
      <c r="J430">
        <v>1</v>
      </c>
      <c r="K430" s="9">
        <v>4.924050632911392</v>
      </c>
    </row>
    <row r="431" spans="1:11" x14ac:dyDescent="0.45">
      <c r="A431" t="s">
        <v>56</v>
      </c>
      <c r="B431" t="s">
        <v>649</v>
      </c>
      <c r="C431" t="s">
        <v>20</v>
      </c>
      <c r="D431">
        <v>8</v>
      </c>
      <c r="E431" t="s">
        <v>379</v>
      </c>
      <c r="F431" t="s">
        <v>622</v>
      </c>
      <c r="G431">
        <v>22</v>
      </c>
      <c r="H431">
        <v>19</v>
      </c>
      <c r="I431">
        <v>2</v>
      </c>
      <c r="J431">
        <v>1</v>
      </c>
      <c r="K431" s="9">
        <v>4.5660377358490569</v>
      </c>
    </row>
    <row r="432" spans="1:11" x14ac:dyDescent="0.45">
      <c r="A432" t="s">
        <v>56</v>
      </c>
      <c r="B432" t="s">
        <v>649</v>
      </c>
      <c r="C432" t="s">
        <v>20</v>
      </c>
      <c r="D432">
        <v>9</v>
      </c>
      <c r="E432" t="s">
        <v>409</v>
      </c>
      <c r="F432" t="s">
        <v>623</v>
      </c>
      <c r="G432">
        <v>5</v>
      </c>
      <c r="H432">
        <v>3</v>
      </c>
      <c r="I432">
        <v>1</v>
      </c>
      <c r="J432">
        <v>0</v>
      </c>
      <c r="K432" s="9">
        <v>5.6607142857142856</v>
      </c>
    </row>
    <row r="433" spans="1:11" x14ac:dyDescent="0.45">
      <c r="A433" t="s">
        <v>56</v>
      </c>
      <c r="B433" t="s">
        <v>649</v>
      </c>
      <c r="C433" t="s">
        <v>20</v>
      </c>
      <c r="D433">
        <v>10</v>
      </c>
      <c r="E433" t="s">
        <v>429</v>
      </c>
      <c r="F433" t="s">
        <v>622</v>
      </c>
      <c r="G433">
        <v>0</v>
      </c>
      <c r="H433">
        <v>1</v>
      </c>
      <c r="I433">
        <v>0</v>
      </c>
      <c r="J433">
        <v>0</v>
      </c>
      <c r="K433" s="9">
        <v>6.5693779904306222</v>
      </c>
    </row>
    <row r="434" spans="1:11" x14ac:dyDescent="0.45">
      <c r="A434" t="s">
        <v>56</v>
      </c>
      <c r="B434" t="s">
        <v>649</v>
      </c>
      <c r="C434" t="s">
        <v>10</v>
      </c>
      <c r="D434">
        <v>1</v>
      </c>
      <c r="E434" t="s">
        <v>329</v>
      </c>
      <c r="F434" t="s">
        <v>622</v>
      </c>
      <c r="G434">
        <v>11</v>
      </c>
      <c r="H434">
        <v>8</v>
      </c>
      <c r="I434">
        <v>2</v>
      </c>
      <c r="J434">
        <v>0</v>
      </c>
      <c r="K434" s="9">
        <v>4.9029126213592233</v>
      </c>
    </row>
    <row r="435" spans="1:11" x14ac:dyDescent="0.45">
      <c r="A435" t="s">
        <v>56</v>
      </c>
      <c r="B435" t="s">
        <v>649</v>
      </c>
      <c r="C435" t="s">
        <v>10</v>
      </c>
      <c r="D435">
        <v>2</v>
      </c>
      <c r="E435" t="s">
        <v>330</v>
      </c>
      <c r="F435" t="s">
        <v>622</v>
      </c>
      <c r="G435">
        <v>42</v>
      </c>
      <c r="H435">
        <v>37</v>
      </c>
      <c r="I435">
        <v>6</v>
      </c>
      <c r="J435">
        <v>1</v>
      </c>
      <c r="K435" s="9">
        <v>3.5555555555555554</v>
      </c>
    </row>
    <row r="436" spans="1:11" x14ac:dyDescent="0.45">
      <c r="A436" t="s">
        <v>56</v>
      </c>
      <c r="B436" t="s">
        <v>649</v>
      </c>
      <c r="C436" t="s">
        <v>10</v>
      </c>
      <c r="D436">
        <v>3</v>
      </c>
      <c r="E436" t="s">
        <v>332</v>
      </c>
      <c r="F436" t="s">
        <v>623</v>
      </c>
      <c r="G436">
        <v>47</v>
      </c>
      <c r="H436">
        <v>41</v>
      </c>
      <c r="I436">
        <v>2</v>
      </c>
      <c r="J436">
        <v>2</v>
      </c>
      <c r="K436" s="9">
        <v>3.0909090909090908</v>
      </c>
    </row>
    <row r="437" spans="1:11" x14ac:dyDescent="0.45">
      <c r="A437" t="s">
        <v>56</v>
      </c>
      <c r="B437" t="s">
        <v>649</v>
      </c>
      <c r="C437" t="s">
        <v>10</v>
      </c>
      <c r="D437">
        <v>4</v>
      </c>
      <c r="E437" t="s">
        <v>334</v>
      </c>
      <c r="F437" t="s">
        <v>623</v>
      </c>
      <c r="G437">
        <v>35</v>
      </c>
      <c r="H437">
        <v>21</v>
      </c>
      <c r="I437">
        <v>3</v>
      </c>
      <c r="J437">
        <v>2</v>
      </c>
      <c r="K437" s="9">
        <v>4.3770491803278686</v>
      </c>
    </row>
    <row r="438" spans="1:11" x14ac:dyDescent="0.45">
      <c r="A438" t="s">
        <v>58</v>
      </c>
      <c r="B438" t="s">
        <v>650</v>
      </c>
      <c r="C438" t="s">
        <v>23</v>
      </c>
      <c r="D438">
        <v>1</v>
      </c>
      <c r="E438" t="s">
        <v>410</v>
      </c>
      <c r="F438" t="s">
        <v>622</v>
      </c>
      <c r="G438">
        <v>36</v>
      </c>
      <c r="H438">
        <v>21</v>
      </c>
      <c r="I438">
        <v>7</v>
      </c>
      <c r="J438">
        <v>1</v>
      </c>
      <c r="K438" s="9">
        <v>4.3770491803278686</v>
      </c>
    </row>
    <row r="439" spans="1:11" x14ac:dyDescent="0.45">
      <c r="A439" t="s">
        <v>58</v>
      </c>
      <c r="B439" t="s">
        <v>650</v>
      </c>
      <c r="C439" t="s">
        <v>23</v>
      </c>
      <c r="D439">
        <v>2</v>
      </c>
      <c r="E439" t="s">
        <v>383</v>
      </c>
      <c r="F439" t="s">
        <v>622</v>
      </c>
      <c r="G439">
        <v>49</v>
      </c>
      <c r="H439">
        <v>36</v>
      </c>
      <c r="I439">
        <v>6</v>
      </c>
      <c r="J439">
        <v>2</v>
      </c>
      <c r="K439" s="9">
        <v>4.083333333333333</v>
      </c>
    </row>
    <row r="440" spans="1:11" x14ac:dyDescent="0.45">
      <c r="A440" t="s">
        <v>58</v>
      </c>
      <c r="B440" t="s">
        <v>650</v>
      </c>
      <c r="C440" t="s">
        <v>23</v>
      </c>
      <c r="D440">
        <v>3</v>
      </c>
      <c r="E440" t="s">
        <v>386</v>
      </c>
      <c r="F440" t="s">
        <v>622</v>
      </c>
      <c r="G440">
        <v>4</v>
      </c>
      <c r="H440">
        <v>5</v>
      </c>
      <c r="I440">
        <v>0</v>
      </c>
      <c r="J440">
        <v>0</v>
      </c>
      <c r="K440" s="9">
        <v>5.132075471698113</v>
      </c>
    </row>
    <row r="441" spans="1:11" x14ac:dyDescent="0.45">
      <c r="A441" t="s">
        <v>58</v>
      </c>
      <c r="B441" t="s">
        <v>650</v>
      </c>
      <c r="C441" t="s">
        <v>23</v>
      </c>
      <c r="D441">
        <v>4</v>
      </c>
      <c r="E441" t="s">
        <v>384</v>
      </c>
      <c r="F441" t="s">
        <v>622</v>
      </c>
      <c r="G441">
        <v>25</v>
      </c>
      <c r="H441">
        <v>17</v>
      </c>
      <c r="I441">
        <v>2</v>
      </c>
      <c r="J441">
        <v>1</v>
      </c>
      <c r="K441" s="9">
        <v>4.82</v>
      </c>
    </row>
    <row r="442" spans="1:11" x14ac:dyDescent="0.45">
      <c r="A442" t="s">
        <v>58</v>
      </c>
      <c r="B442" t="s">
        <v>650</v>
      </c>
      <c r="C442" t="s">
        <v>23</v>
      </c>
      <c r="D442">
        <v>5</v>
      </c>
      <c r="E442" t="s">
        <v>430</v>
      </c>
      <c r="F442" t="s">
        <v>622</v>
      </c>
      <c r="G442">
        <v>43</v>
      </c>
      <c r="H442">
        <v>17</v>
      </c>
      <c r="I442">
        <v>2</v>
      </c>
      <c r="J442">
        <v>4</v>
      </c>
      <c r="K442" s="9">
        <v>4.82</v>
      </c>
    </row>
    <row r="443" spans="1:11" x14ac:dyDescent="0.45">
      <c r="A443" t="s">
        <v>58</v>
      </c>
      <c r="B443" t="s">
        <v>650</v>
      </c>
      <c r="C443" t="s">
        <v>23</v>
      </c>
      <c r="D443">
        <v>6</v>
      </c>
      <c r="E443" t="s">
        <v>431</v>
      </c>
      <c r="F443" t="s">
        <v>622</v>
      </c>
      <c r="G443">
        <v>4</v>
      </c>
      <c r="H443">
        <v>5</v>
      </c>
      <c r="I443">
        <v>0</v>
      </c>
      <c r="J443">
        <v>0</v>
      </c>
      <c r="K443" s="9">
        <v>5.132075471698113</v>
      </c>
    </row>
    <row r="444" spans="1:11" x14ac:dyDescent="0.45">
      <c r="A444" t="s">
        <v>58</v>
      </c>
      <c r="B444" t="s">
        <v>650</v>
      </c>
      <c r="C444" t="s">
        <v>23</v>
      </c>
      <c r="D444">
        <v>7</v>
      </c>
      <c r="E444" t="s">
        <v>390</v>
      </c>
      <c r="F444" t="s">
        <v>622</v>
      </c>
      <c r="G444">
        <v>2</v>
      </c>
      <c r="H444">
        <v>5</v>
      </c>
      <c r="I444">
        <v>0</v>
      </c>
      <c r="J444">
        <v>0</v>
      </c>
      <c r="K444" s="9">
        <v>5.132075471698113</v>
      </c>
    </row>
    <row r="445" spans="1:11" x14ac:dyDescent="0.45">
      <c r="A445" t="s">
        <v>58</v>
      </c>
      <c r="B445" t="s">
        <v>650</v>
      </c>
      <c r="C445" t="s">
        <v>23</v>
      </c>
      <c r="D445">
        <v>8</v>
      </c>
      <c r="E445" t="s">
        <v>391</v>
      </c>
      <c r="F445" t="s">
        <v>622</v>
      </c>
      <c r="G445">
        <v>5</v>
      </c>
      <c r="H445">
        <v>5</v>
      </c>
      <c r="I445">
        <v>0</v>
      </c>
      <c r="J445">
        <v>0</v>
      </c>
      <c r="K445" s="9">
        <v>5.132075471698113</v>
      </c>
    </row>
    <row r="446" spans="1:11" x14ac:dyDescent="0.45">
      <c r="A446" t="s">
        <v>58</v>
      </c>
      <c r="B446" t="s">
        <v>650</v>
      </c>
      <c r="C446" t="s">
        <v>23</v>
      </c>
      <c r="D446">
        <v>9</v>
      </c>
      <c r="E446" t="s">
        <v>394</v>
      </c>
      <c r="F446" t="s">
        <v>622</v>
      </c>
      <c r="G446">
        <v>7</v>
      </c>
      <c r="H446">
        <v>6</v>
      </c>
      <c r="I446">
        <v>1</v>
      </c>
      <c r="J446">
        <v>0</v>
      </c>
      <c r="K446" s="9">
        <v>5.4565217391304346</v>
      </c>
    </row>
    <row r="447" spans="1:11" x14ac:dyDescent="0.45">
      <c r="A447" t="s">
        <v>58</v>
      </c>
      <c r="B447" t="s">
        <v>650</v>
      </c>
      <c r="C447" t="s">
        <v>23</v>
      </c>
      <c r="D447">
        <v>10</v>
      </c>
      <c r="E447" t="s">
        <v>432</v>
      </c>
      <c r="F447" t="s">
        <v>622</v>
      </c>
      <c r="G447">
        <v>1</v>
      </c>
      <c r="H447">
        <v>3</v>
      </c>
      <c r="I447">
        <v>0</v>
      </c>
      <c r="J447">
        <v>0</v>
      </c>
      <c r="K447" s="9">
        <v>5.6607142857142856</v>
      </c>
    </row>
    <row r="448" spans="1:11" x14ac:dyDescent="0.45">
      <c r="A448" t="s">
        <v>58</v>
      </c>
      <c r="B448" t="s">
        <v>650</v>
      </c>
      <c r="C448" t="s">
        <v>23</v>
      </c>
      <c r="D448">
        <v>11</v>
      </c>
      <c r="E448" t="s">
        <v>396</v>
      </c>
      <c r="F448" t="s">
        <v>623</v>
      </c>
      <c r="G448">
        <v>0</v>
      </c>
      <c r="H448">
        <v>0</v>
      </c>
      <c r="I448">
        <v>0</v>
      </c>
      <c r="J448">
        <v>0</v>
      </c>
      <c r="K448" s="9">
        <v>6.2519685039370083</v>
      </c>
    </row>
    <row r="449" spans="1:11" x14ac:dyDescent="0.45">
      <c r="A449" t="s">
        <v>58</v>
      </c>
      <c r="B449" t="s">
        <v>650</v>
      </c>
      <c r="C449" t="s">
        <v>26</v>
      </c>
      <c r="D449">
        <v>1</v>
      </c>
      <c r="E449" t="s">
        <v>397</v>
      </c>
      <c r="F449" t="s">
        <v>622</v>
      </c>
      <c r="G449">
        <v>49</v>
      </c>
      <c r="H449">
        <v>33</v>
      </c>
      <c r="I449">
        <v>4</v>
      </c>
      <c r="J449">
        <v>2</v>
      </c>
      <c r="K449" s="9">
        <v>2.8421052631578947</v>
      </c>
    </row>
    <row r="450" spans="1:11" x14ac:dyDescent="0.45">
      <c r="A450" t="s">
        <v>58</v>
      </c>
      <c r="B450" t="s">
        <v>650</v>
      </c>
      <c r="C450" t="s">
        <v>26</v>
      </c>
      <c r="D450">
        <v>2</v>
      </c>
      <c r="E450" t="s">
        <v>398</v>
      </c>
      <c r="F450" t="s">
        <v>622</v>
      </c>
      <c r="G450">
        <v>67</v>
      </c>
      <c r="H450">
        <v>43</v>
      </c>
      <c r="I450">
        <v>7</v>
      </c>
      <c r="J450">
        <v>2</v>
      </c>
      <c r="K450" s="9">
        <v>2.8888888888888888</v>
      </c>
    </row>
    <row r="451" spans="1:11" x14ac:dyDescent="0.45">
      <c r="A451" t="s">
        <v>58</v>
      </c>
      <c r="B451" t="s">
        <v>650</v>
      </c>
      <c r="C451" t="s">
        <v>26</v>
      </c>
      <c r="D451">
        <v>3</v>
      </c>
      <c r="E451" t="s">
        <v>401</v>
      </c>
      <c r="F451" t="s">
        <v>623</v>
      </c>
      <c r="G451">
        <v>26</v>
      </c>
      <c r="H451">
        <v>20</v>
      </c>
      <c r="I451">
        <v>2</v>
      </c>
      <c r="J451">
        <v>1</v>
      </c>
      <c r="K451" s="9">
        <v>4.9473684210526319</v>
      </c>
    </row>
    <row r="452" spans="1:11" x14ac:dyDescent="0.45">
      <c r="A452" t="s">
        <v>58</v>
      </c>
      <c r="B452" t="s">
        <v>650</v>
      </c>
      <c r="C452" t="s">
        <v>26</v>
      </c>
      <c r="D452">
        <v>4</v>
      </c>
      <c r="E452" t="s">
        <v>416</v>
      </c>
      <c r="F452" t="s">
        <v>622</v>
      </c>
      <c r="G452">
        <v>32</v>
      </c>
      <c r="H452">
        <v>22</v>
      </c>
      <c r="I452">
        <v>1</v>
      </c>
      <c r="J452">
        <v>2</v>
      </c>
      <c r="K452" s="9">
        <v>4.4423076923076925</v>
      </c>
    </row>
    <row r="453" spans="1:11" x14ac:dyDescent="0.45">
      <c r="A453" t="s">
        <v>58</v>
      </c>
      <c r="B453" t="s">
        <v>650</v>
      </c>
      <c r="C453" t="s">
        <v>26</v>
      </c>
      <c r="D453">
        <v>5</v>
      </c>
      <c r="E453" t="s">
        <v>426</v>
      </c>
      <c r="F453" t="s">
        <v>622</v>
      </c>
      <c r="G453">
        <v>0</v>
      </c>
      <c r="H453">
        <v>2</v>
      </c>
      <c r="I453">
        <v>0</v>
      </c>
      <c r="J453">
        <v>0</v>
      </c>
      <c r="K453" s="9">
        <v>6.1385542168674698</v>
      </c>
    </row>
    <row r="454" spans="1:11" x14ac:dyDescent="0.45">
      <c r="A454" t="s">
        <v>58</v>
      </c>
      <c r="B454" t="s">
        <v>650</v>
      </c>
      <c r="C454" t="s">
        <v>26</v>
      </c>
      <c r="D454">
        <v>6</v>
      </c>
      <c r="E454" t="s">
        <v>427</v>
      </c>
      <c r="F454" t="s">
        <v>623</v>
      </c>
      <c r="G454">
        <v>0</v>
      </c>
      <c r="H454">
        <v>1</v>
      </c>
      <c r="I454">
        <v>0</v>
      </c>
      <c r="J454">
        <v>0</v>
      </c>
      <c r="K454" s="9">
        <v>6.5693779904306222</v>
      </c>
    </row>
    <row r="455" spans="1:11" x14ac:dyDescent="0.45">
      <c r="A455" t="s">
        <v>60</v>
      </c>
      <c r="B455" t="s">
        <v>625</v>
      </c>
      <c r="C455" t="s">
        <v>13</v>
      </c>
      <c r="D455">
        <v>1</v>
      </c>
      <c r="E455" t="s">
        <v>343</v>
      </c>
      <c r="F455" t="s">
        <v>622</v>
      </c>
      <c r="G455">
        <v>5</v>
      </c>
      <c r="H455">
        <v>4</v>
      </c>
      <c r="I455">
        <v>1</v>
      </c>
      <c r="J455">
        <v>0</v>
      </c>
      <c r="K455" s="9">
        <v>5.352380952380952</v>
      </c>
    </row>
    <row r="456" spans="1:11" x14ac:dyDescent="0.45">
      <c r="A456" t="s">
        <v>60</v>
      </c>
      <c r="B456" t="s">
        <v>625</v>
      </c>
      <c r="C456" t="s">
        <v>13</v>
      </c>
      <c r="D456">
        <v>2</v>
      </c>
      <c r="E456" t="s">
        <v>342</v>
      </c>
      <c r="F456" t="s">
        <v>622</v>
      </c>
      <c r="G456">
        <v>22</v>
      </c>
      <c r="H456">
        <v>20</v>
      </c>
      <c r="I456">
        <v>3</v>
      </c>
      <c r="J456">
        <v>0</v>
      </c>
      <c r="K456" s="9">
        <v>4.9473684210526319</v>
      </c>
    </row>
    <row r="457" spans="1:11" x14ac:dyDescent="0.45">
      <c r="A457" t="s">
        <v>60</v>
      </c>
      <c r="B457" t="s">
        <v>625</v>
      </c>
      <c r="C457" t="s">
        <v>13</v>
      </c>
      <c r="D457">
        <v>3</v>
      </c>
      <c r="E457" t="s">
        <v>344</v>
      </c>
      <c r="F457" t="s">
        <v>622</v>
      </c>
      <c r="G457">
        <v>16</v>
      </c>
      <c r="H457">
        <v>19</v>
      </c>
      <c r="I457">
        <v>1</v>
      </c>
      <c r="J457">
        <v>0</v>
      </c>
      <c r="K457" s="9">
        <v>4.5660377358490569</v>
      </c>
    </row>
    <row r="458" spans="1:11" x14ac:dyDescent="0.45">
      <c r="A458" t="s">
        <v>60</v>
      </c>
      <c r="B458" t="s">
        <v>625</v>
      </c>
      <c r="C458" t="s">
        <v>13</v>
      </c>
      <c r="D458">
        <v>4</v>
      </c>
      <c r="E458" t="s">
        <v>345</v>
      </c>
      <c r="F458" t="s">
        <v>622</v>
      </c>
      <c r="G458">
        <v>10</v>
      </c>
      <c r="H458">
        <v>17</v>
      </c>
      <c r="I458">
        <v>0</v>
      </c>
      <c r="J458">
        <v>0</v>
      </c>
      <c r="K458" s="9">
        <v>4.82</v>
      </c>
    </row>
    <row r="459" spans="1:11" x14ac:dyDescent="0.45">
      <c r="A459" t="s">
        <v>60</v>
      </c>
      <c r="B459" t="s">
        <v>625</v>
      </c>
      <c r="C459" t="s">
        <v>13</v>
      </c>
      <c r="D459">
        <v>5</v>
      </c>
      <c r="E459" t="s">
        <v>346</v>
      </c>
      <c r="F459" t="s">
        <v>622</v>
      </c>
      <c r="G459">
        <v>0</v>
      </c>
      <c r="H459">
        <v>1</v>
      </c>
      <c r="I459">
        <v>0</v>
      </c>
      <c r="J459">
        <v>0</v>
      </c>
      <c r="K459" s="9">
        <v>6.5693779904306222</v>
      </c>
    </row>
    <row r="460" spans="1:11" x14ac:dyDescent="0.45">
      <c r="A460" t="s">
        <v>60</v>
      </c>
      <c r="B460" t="s">
        <v>625</v>
      </c>
      <c r="C460" t="s">
        <v>13</v>
      </c>
      <c r="D460">
        <v>6</v>
      </c>
      <c r="E460" t="s">
        <v>452</v>
      </c>
      <c r="F460" t="s">
        <v>622</v>
      </c>
      <c r="G460">
        <v>7</v>
      </c>
      <c r="H460">
        <v>17</v>
      </c>
      <c r="I460">
        <v>0</v>
      </c>
      <c r="J460">
        <v>0</v>
      </c>
      <c r="K460" s="9">
        <v>4.82</v>
      </c>
    </row>
    <row r="461" spans="1:11" x14ac:dyDescent="0.45">
      <c r="A461" t="s">
        <v>60</v>
      </c>
      <c r="B461" t="s">
        <v>625</v>
      </c>
      <c r="C461" t="s">
        <v>13</v>
      </c>
      <c r="D461">
        <v>7</v>
      </c>
      <c r="E461" t="s">
        <v>448</v>
      </c>
      <c r="F461" t="s">
        <v>622</v>
      </c>
      <c r="G461">
        <v>0</v>
      </c>
      <c r="H461">
        <v>1</v>
      </c>
      <c r="I461">
        <v>0</v>
      </c>
      <c r="J461">
        <v>0</v>
      </c>
      <c r="K461" s="9">
        <v>6.5693779904306222</v>
      </c>
    </row>
    <row r="462" spans="1:11" x14ac:dyDescent="0.45">
      <c r="A462" t="s">
        <v>60</v>
      </c>
      <c r="B462" t="s">
        <v>625</v>
      </c>
      <c r="C462" t="s">
        <v>13</v>
      </c>
      <c r="D462">
        <v>8</v>
      </c>
      <c r="E462" t="s">
        <v>438</v>
      </c>
      <c r="F462" t="s">
        <v>622</v>
      </c>
      <c r="G462">
        <v>4</v>
      </c>
      <c r="H462">
        <v>12</v>
      </c>
      <c r="I462">
        <v>0</v>
      </c>
      <c r="J462">
        <v>0</v>
      </c>
      <c r="K462" s="9">
        <v>4.8024691358024691</v>
      </c>
    </row>
    <row r="463" spans="1:11" x14ac:dyDescent="0.45">
      <c r="A463" t="s">
        <v>60</v>
      </c>
      <c r="B463" t="s">
        <v>625</v>
      </c>
      <c r="C463" t="s">
        <v>13</v>
      </c>
      <c r="D463">
        <v>9</v>
      </c>
      <c r="E463" t="s">
        <v>349</v>
      </c>
      <c r="F463" t="s">
        <v>622</v>
      </c>
      <c r="G463">
        <v>12</v>
      </c>
      <c r="H463">
        <v>10</v>
      </c>
      <c r="I463">
        <v>2</v>
      </c>
      <c r="J463">
        <v>0</v>
      </c>
      <c r="K463" s="9">
        <v>4.7179487179487181</v>
      </c>
    </row>
    <row r="464" spans="1:11" x14ac:dyDescent="0.45">
      <c r="A464" t="s">
        <v>60</v>
      </c>
      <c r="B464" t="s">
        <v>625</v>
      </c>
      <c r="C464" t="s">
        <v>13</v>
      </c>
      <c r="D464">
        <v>10</v>
      </c>
      <c r="E464" t="s">
        <v>352</v>
      </c>
      <c r="F464" t="s">
        <v>622</v>
      </c>
      <c r="G464">
        <v>8</v>
      </c>
      <c r="H464">
        <v>10</v>
      </c>
      <c r="I464">
        <v>1</v>
      </c>
      <c r="J464">
        <v>0</v>
      </c>
      <c r="K464" s="9">
        <v>4.7179487179487181</v>
      </c>
    </row>
    <row r="465" spans="1:11" x14ac:dyDescent="0.45">
      <c r="A465" t="s">
        <v>60</v>
      </c>
      <c r="B465" t="s">
        <v>625</v>
      </c>
      <c r="C465" t="s">
        <v>13</v>
      </c>
      <c r="D465">
        <v>11</v>
      </c>
      <c r="E465" t="s">
        <v>353</v>
      </c>
      <c r="F465" t="s">
        <v>623</v>
      </c>
      <c r="G465">
        <v>2</v>
      </c>
      <c r="H465">
        <v>6</v>
      </c>
      <c r="I465">
        <v>0</v>
      </c>
      <c r="J465">
        <v>0</v>
      </c>
      <c r="K465" s="9">
        <v>5.4565217391304346</v>
      </c>
    </row>
    <row r="466" spans="1:11" x14ac:dyDescent="0.45">
      <c r="A466" t="s">
        <v>60</v>
      </c>
      <c r="B466" t="s">
        <v>625</v>
      </c>
      <c r="C466" t="s">
        <v>7</v>
      </c>
      <c r="D466">
        <v>1</v>
      </c>
      <c r="E466" t="s">
        <v>302</v>
      </c>
      <c r="F466" t="s">
        <v>622</v>
      </c>
      <c r="G466">
        <v>48</v>
      </c>
      <c r="H466">
        <v>34</v>
      </c>
      <c r="I466">
        <v>6</v>
      </c>
      <c r="J466">
        <v>1</v>
      </c>
      <c r="K466" s="9">
        <v>4.4137931034482758</v>
      </c>
    </row>
    <row r="467" spans="1:11" x14ac:dyDescent="0.45">
      <c r="A467" t="s">
        <v>60</v>
      </c>
      <c r="B467" t="s">
        <v>625</v>
      </c>
      <c r="C467" t="s">
        <v>7</v>
      </c>
      <c r="D467">
        <v>2</v>
      </c>
      <c r="E467" t="s">
        <v>304</v>
      </c>
      <c r="F467" t="s">
        <v>623</v>
      </c>
      <c r="G467">
        <v>41</v>
      </c>
      <c r="H467">
        <v>27</v>
      </c>
      <c r="I467">
        <v>7</v>
      </c>
      <c r="J467">
        <v>1</v>
      </c>
      <c r="K467" s="9">
        <v>4.25</v>
      </c>
    </row>
    <row r="468" spans="1:11" x14ac:dyDescent="0.45">
      <c r="A468" t="s">
        <v>60</v>
      </c>
      <c r="B468" t="s">
        <v>625</v>
      </c>
      <c r="C468" t="s">
        <v>7</v>
      </c>
      <c r="D468">
        <v>3</v>
      </c>
      <c r="E468" t="s">
        <v>440</v>
      </c>
      <c r="F468" t="s">
        <v>623</v>
      </c>
      <c r="G468">
        <v>0</v>
      </c>
      <c r="H468">
        <v>0</v>
      </c>
      <c r="I468">
        <v>0</v>
      </c>
      <c r="J468">
        <v>0</v>
      </c>
      <c r="K468" s="9">
        <v>6.2519685039370083</v>
      </c>
    </row>
    <row r="469" spans="1:11" x14ac:dyDescent="0.45">
      <c r="A469" t="s">
        <v>62</v>
      </c>
      <c r="B469" t="s">
        <v>651</v>
      </c>
      <c r="C469" t="s">
        <v>6</v>
      </c>
      <c r="D469">
        <v>1</v>
      </c>
      <c r="E469" t="s">
        <v>290</v>
      </c>
      <c r="F469" t="s">
        <v>623</v>
      </c>
      <c r="G469">
        <v>88</v>
      </c>
      <c r="H469">
        <v>58</v>
      </c>
      <c r="I469">
        <v>9</v>
      </c>
      <c r="J469">
        <v>4</v>
      </c>
      <c r="K469" s="9">
        <v>3.2</v>
      </c>
    </row>
    <row r="470" spans="1:11" x14ac:dyDescent="0.45">
      <c r="A470" t="s">
        <v>62</v>
      </c>
      <c r="B470" t="s">
        <v>651</v>
      </c>
      <c r="C470" t="s">
        <v>6</v>
      </c>
      <c r="D470">
        <v>2</v>
      </c>
      <c r="E470" t="s">
        <v>294</v>
      </c>
      <c r="F470" t="s">
        <v>622</v>
      </c>
      <c r="G470">
        <v>0</v>
      </c>
      <c r="H470">
        <v>3</v>
      </c>
      <c r="I470">
        <v>0</v>
      </c>
      <c r="J470">
        <v>0</v>
      </c>
      <c r="K470" s="9">
        <v>5.6607142857142856</v>
      </c>
    </row>
    <row r="471" spans="1:11" x14ac:dyDescent="0.45">
      <c r="A471" t="s">
        <v>62</v>
      </c>
      <c r="B471" t="s">
        <v>651</v>
      </c>
      <c r="C471" t="s">
        <v>6</v>
      </c>
      <c r="D471">
        <v>3</v>
      </c>
      <c r="E471" t="s">
        <v>299</v>
      </c>
      <c r="F471" t="s">
        <v>622</v>
      </c>
      <c r="G471">
        <v>0</v>
      </c>
      <c r="H471">
        <v>3</v>
      </c>
      <c r="I471">
        <v>0</v>
      </c>
      <c r="J471">
        <v>0</v>
      </c>
      <c r="K471" s="9">
        <v>5.6607142857142856</v>
      </c>
    </row>
    <row r="472" spans="1:11" x14ac:dyDescent="0.45">
      <c r="A472" t="s">
        <v>62</v>
      </c>
      <c r="B472" t="s">
        <v>651</v>
      </c>
      <c r="C472" t="s">
        <v>6</v>
      </c>
      <c r="D472">
        <v>4</v>
      </c>
      <c r="E472" t="s">
        <v>355</v>
      </c>
      <c r="F472" t="s">
        <v>622</v>
      </c>
      <c r="G472">
        <v>0</v>
      </c>
      <c r="H472">
        <v>3</v>
      </c>
      <c r="I472">
        <v>0</v>
      </c>
      <c r="J472">
        <v>0</v>
      </c>
      <c r="K472" s="9">
        <v>5.6607142857142856</v>
      </c>
    </row>
    <row r="473" spans="1:11" x14ac:dyDescent="0.45">
      <c r="A473" t="s">
        <v>62</v>
      </c>
      <c r="B473" t="s">
        <v>651</v>
      </c>
      <c r="C473" t="s">
        <v>6</v>
      </c>
      <c r="D473">
        <v>5</v>
      </c>
      <c r="E473" t="s">
        <v>417</v>
      </c>
      <c r="F473" t="s">
        <v>622</v>
      </c>
      <c r="G473">
        <v>4</v>
      </c>
      <c r="H473">
        <v>6</v>
      </c>
      <c r="I473">
        <v>1</v>
      </c>
      <c r="J473">
        <v>0</v>
      </c>
      <c r="K473" s="9">
        <v>5.4565217391304346</v>
      </c>
    </row>
    <row r="474" spans="1:11" x14ac:dyDescent="0.45">
      <c r="A474" t="s">
        <v>62</v>
      </c>
      <c r="B474" t="s">
        <v>651</v>
      </c>
      <c r="C474" t="s">
        <v>6</v>
      </c>
      <c r="D474">
        <v>6</v>
      </c>
      <c r="E474" t="s">
        <v>356</v>
      </c>
      <c r="F474" t="s">
        <v>622</v>
      </c>
      <c r="G474">
        <v>3</v>
      </c>
      <c r="H474">
        <v>5</v>
      </c>
      <c r="I474">
        <v>0</v>
      </c>
      <c r="J474">
        <v>0</v>
      </c>
      <c r="K474" s="9">
        <v>5.132075471698113</v>
      </c>
    </row>
    <row r="475" spans="1:11" x14ac:dyDescent="0.45">
      <c r="A475" t="s">
        <v>62</v>
      </c>
      <c r="B475" t="s">
        <v>651</v>
      </c>
      <c r="C475" t="s">
        <v>6</v>
      </c>
      <c r="D475">
        <v>7</v>
      </c>
      <c r="E475" t="s">
        <v>328</v>
      </c>
      <c r="F475" t="s">
        <v>622</v>
      </c>
      <c r="G475">
        <v>26</v>
      </c>
      <c r="H475">
        <v>33</v>
      </c>
      <c r="I475">
        <v>1</v>
      </c>
      <c r="J475">
        <v>0</v>
      </c>
      <c r="K475" s="9">
        <v>2.8421052631578947</v>
      </c>
    </row>
    <row r="476" spans="1:11" x14ac:dyDescent="0.45">
      <c r="A476" t="s">
        <v>62</v>
      </c>
      <c r="B476" t="s">
        <v>651</v>
      </c>
      <c r="C476" t="s">
        <v>6</v>
      </c>
      <c r="D476">
        <v>8</v>
      </c>
      <c r="E476" t="s">
        <v>327</v>
      </c>
      <c r="F476" t="s">
        <v>622</v>
      </c>
      <c r="G476">
        <v>23</v>
      </c>
      <c r="H476">
        <v>8</v>
      </c>
      <c r="I476">
        <v>0</v>
      </c>
      <c r="J476">
        <v>3</v>
      </c>
      <c r="K476" s="9">
        <v>4.9029126213592233</v>
      </c>
    </row>
    <row r="477" spans="1:11" x14ac:dyDescent="0.45">
      <c r="A477" t="s">
        <v>62</v>
      </c>
      <c r="B477" t="s">
        <v>651</v>
      </c>
      <c r="C477" t="s">
        <v>6</v>
      </c>
      <c r="D477">
        <v>9</v>
      </c>
      <c r="E477" t="s">
        <v>326</v>
      </c>
      <c r="F477" t="s">
        <v>623</v>
      </c>
      <c r="G477">
        <v>1</v>
      </c>
      <c r="H477">
        <v>1</v>
      </c>
      <c r="I477">
        <v>0</v>
      </c>
      <c r="J477">
        <v>0</v>
      </c>
      <c r="K477" s="9">
        <v>6.5693779904306222</v>
      </c>
    </row>
    <row r="478" spans="1:11" x14ac:dyDescent="0.45">
      <c r="A478" t="s">
        <v>62</v>
      </c>
      <c r="B478" t="s">
        <v>651</v>
      </c>
      <c r="C478" t="s">
        <v>19</v>
      </c>
      <c r="D478">
        <v>1</v>
      </c>
      <c r="E478" t="s">
        <v>422</v>
      </c>
      <c r="F478" t="s">
        <v>622</v>
      </c>
      <c r="G478">
        <v>17</v>
      </c>
      <c r="H478">
        <v>12</v>
      </c>
      <c r="I478">
        <v>3</v>
      </c>
      <c r="J478">
        <v>0</v>
      </c>
      <c r="K478" s="9">
        <v>4.8024691358024691</v>
      </c>
    </row>
    <row r="479" spans="1:11" x14ac:dyDescent="0.45">
      <c r="A479" t="s">
        <v>62</v>
      </c>
      <c r="B479" t="s">
        <v>651</v>
      </c>
      <c r="C479" t="s">
        <v>19</v>
      </c>
      <c r="D479">
        <v>2</v>
      </c>
      <c r="E479" t="s">
        <v>453</v>
      </c>
      <c r="F479" t="s">
        <v>622</v>
      </c>
      <c r="G479">
        <v>16</v>
      </c>
      <c r="H479">
        <v>14</v>
      </c>
      <c r="I479">
        <v>2</v>
      </c>
      <c r="J479">
        <v>1</v>
      </c>
      <c r="K479" s="9">
        <v>4.8461538461538458</v>
      </c>
    </row>
    <row r="480" spans="1:11" x14ac:dyDescent="0.45">
      <c r="A480" t="s">
        <v>62</v>
      </c>
      <c r="B480" t="s">
        <v>651</v>
      </c>
      <c r="C480" t="s">
        <v>19</v>
      </c>
      <c r="D480">
        <v>3</v>
      </c>
      <c r="E480" t="s">
        <v>363</v>
      </c>
      <c r="F480" t="s">
        <v>622</v>
      </c>
      <c r="G480">
        <v>3</v>
      </c>
      <c r="H480">
        <v>7</v>
      </c>
      <c r="I480">
        <v>0</v>
      </c>
      <c r="J480">
        <v>0</v>
      </c>
      <c r="K480" s="9">
        <v>4.927835051546392</v>
      </c>
    </row>
    <row r="481" spans="1:11" x14ac:dyDescent="0.45">
      <c r="A481" t="s">
        <v>62</v>
      </c>
      <c r="B481" t="s">
        <v>651</v>
      </c>
      <c r="C481" t="s">
        <v>19</v>
      </c>
      <c r="D481">
        <v>4</v>
      </c>
      <c r="E481" t="s">
        <v>360</v>
      </c>
      <c r="F481" t="s">
        <v>622</v>
      </c>
      <c r="G481">
        <v>11</v>
      </c>
      <c r="H481">
        <v>10</v>
      </c>
      <c r="I481">
        <v>1</v>
      </c>
      <c r="J481">
        <v>0</v>
      </c>
      <c r="K481" s="9">
        <v>4.7179487179487181</v>
      </c>
    </row>
    <row r="482" spans="1:11" x14ac:dyDescent="0.45">
      <c r="A482" t="s">
        <v>62</v>
      </c>
      <c r="B482" t="s">
        <v>651</v>
      </c>
      <c r="C482" t="s">
        <v>19</v>
      </c>
      <c r="D482">
        <v>5</v>
      </c>
      <c r="E482" t="s">
        <v>423</v>
      </c>
      <c r="F482" t="s">
        <v>623</v>
      </c>
      <c r="G482">
        <v>50</v>
      </c>
      <c r="H482">
        <v>40</v>
      </c>
      <c r="I482">
        <v>5</v>
      </c>
      <c r="J482">
        <v>0</v>
      </c>
      <c r="K482" s="9">
        <v>4</v>
      </c>
    </row>
    <row r="483" spans="1:11" x14ac:dyDescent="0.45">
      <c r="A483" t="s">
        <v>62</v>
      </c>
      <c r="B483" t="s">
        <v>651</v>
      </c>
      <c r="C483" t="s">
        <v>19</v>
      </c>
      <c r="D483">
        <v>6</v>
      </c>
      <c r="E483" t="s">
        <v>362</v>
      </c>
      <c r="F483" t="s">
        <v>622</v>
      </c>
      <c r="G483">
        <v>15</v>
      </c>
      <c r="H483">
        <v>14</v>
      </c>
      <c r="I483">
        <v>1</v>
      </c>
      <c r="J483">
        <v>1</v>
      </c>
      <c r="K483" s="9">
        <v>4.8461538461538458</v>
      </c>
    </row>
    <row r="484" spans="1:11" x14ac:dyDescent="0.45">
      <c r="A484" t="s">
        <v>62</v>
      </c>
      <c r="B484" t="s">
        <v>651</v>
      </c>
      <c r="C484" t="s">
        <v>19</v>
      </c>
      <c r="D484">
        <v>7</v>
      </c>
      <c r="E484" t="s">
        <v>366</v>
      </c>
      <c r="F484" t="s">
        <v>622</v>
      </c>
      <c r="G484">
        <v>4</v>
      </c>
      <c r="H484">
        <v>5</v>
      </c>
      <c r="I484">
        <v>0</v>
      </c>
      <c r="J484">
        <v>0</v>
      </c>
      <c r="K484" s="9">
        <v>5.132075471698113</v>
      </c>
    </row>
    <row r="485" spans="1:11" x14ac:dyDescent="0.45">
      <c r="A485" t="s">
        <v>62</v>
      </c>
      <c r="B485" t="s">
        <v>651</v>
      </c>
      <c r="C485" t="s">
        <v>19</v>
      </c>
      <c r="D485">
        <v>8</v>
      </c>
      <c r="E485" t="s">
        <v>439</v>
      </c>
      <c r="F485" t="s">
        <v>622</v>
      </c>
      <c r="G485">
        <v>15</v>
      </c>
      <c r="H485">
        <v>15</v>
      </c>
      <c r="I485">
        <v>0</v>
      </c>
      <c r="J485">
        <v>1</v>
      </c>
      <c r="K485" s="9">
        <v>4.7777777777777777</v>
      </c>
    </row>
    <row r="486" spans="1:11" x14ac:dyDescent="0.45">
      <c r="A486" t="s">
        <v>62</v>
      </c>
      <c r="B486" t="s">
        <v>651</v>
      </c>
      <c r="C486" t="s">
        <v>19</v>
      </c>
      <c r="D486">
        <v>9</v>
      </c>
      <c r="E486" t="s">
        <v>435</v>
      </c>
      <c r="F486" t="s">
        <v>622</v>
      </c>
      <c r="G486">
        <v>0</v>
      </c>
      <c r="H486">
        <v>1</v>
      </c>
      <c r="I486">
        <v>0</v>
      </c>
      <c r="J486">
        <v>0</v>
      </c>
      <c r="K486" s="9">
        <v>6.5693779904306222</v>
      </c>
    </row>
    <row r="487" spans="1:11" x14ac:dyDescent="0.45">
      <c r="A487" t="s">
        <v>62</v>
      </c>
      <c r="B487" t="s">
        <v>651</v>
      </c>
      <c r="C487" t="s">
        <v>19</v>
      </c>
      <c r="D487">
        <v>10</v>
      </c>
      <c r="E487" t="s">
        <v>369</v>
      </c>
      <c r="F487" t="s">
        <v>623</v>
      </c>
      <c r="G487">
        <v>1</v>
      </c>
      <c r="H487">
        <v>2</v>
      </c>
      <c r="I487">
        <v>0</v>
      </c>
      <c r="J487">
        <v>0</v>
      </c>
      <c r="K487" s="9">
        <v>6.1385542168674698</v>
      </c>
    </row>
    <row r="488" spans="1:11" x14ac:dyDescent="0.45">
      <c r="A488" t="s">
        <v>63</v>
      </c>
      <c r="B488" t="s">
        <v>652</v>
      </c>
      <c r="C488" t="s">
        <v>26</v>
      </c>
      <c r="D488">
        <v>1</v>
      </c>
      <c r="E488" t="s">
        <v>454</v>
      </c>
      <c r="F488" t="s">
        <v>622</v>
      </c>
      <c r="G488">
        <v>12</v>
      </c>
      <c r="H488">
        <v>16</v>
      </c>
      <c r="I488">
        <v>0</v>
      </c>
      <c r="J488">
        <v>1</v>
      </c>
      <c r="K488" s="9">
        <v>4.7608695652173916</v>
      </c>
    </row>
    <row r="489" spans="1:11" x14ac:dyDescent="0.45">
      <c r="A489" t="s">
        <v>63</v>
      </c>
      <c r="B489" t="s">
        <v>652</v>
      </c>
      <c r="C489" t="s">
        <v>26</v>
      </c>
      <c r="D489">
        <v>2</v>
      </c>
      <c r="E489" t="s">
        <v>398</v>
      </c>
      <c r="F489" t="s">
        <v>623</v>
      </c>
      <c r="G489">
        <v>99</v>
      </c>
      <c r="H489">
        <v>58</v>
      </c>
      <c r="I489">
        <v>8</v>
      </c>
      <c r="J489">
        <v>4</v>
      </c>
      <c r="K489" s="9">
        <v>3.2</v>
      </c>
    </row>
    <row r="490" spans="1:11" x14ac:dyDescent="0.45">
      <c r="A490" t="s">
        <v>63</v>
      </c>
      <c r="B490" t="s">
        <v>652</v>
      </c>
      <c r="C490" t="s">
        <v>26</v>
      </c>
      <c r="D490">
        <v>3</v>
      </c>
      <c r="E490" t="s">
        <v>434</v>
      </c>
      <c r="F490" t="s">
        <v>622</v>
      </c>
      <c r="G490">
        <v>13</v>
      </c>
      <c r="H490">
        <v>9</v>
      </c>
      <c r="I490">
        <v>1</v>
      </c>
      <c r="J490">
        <v>1</v>
      </c>
      <c r="K490" s="9">
        <v>4.924050632911392</v>
      </c>
    </row>
    <row r="491" spans="1:11" x14ac:dyDescent="0.45">
      <c r="A491" t="s">
        <v>63</v>
      </c>
      <c r="B491" t="s">
        <v>652</v>
      </c>
      <c r="C491" t="s">
        <v>26</v>
      </c>
      <c r="D491">
        <v>4</v>
      </c>
      <c r="E491" t="s">
        <v>455</v>
      </c>
      <c r="F491" t="s">
        <v>622</v>
      </c>
      <c r="G491">
        <v>26</v>
      </c>
      <c r="H491">
        <v>26</v>
      </c>
      <c r="I491">
        <v>1</v>
      </c>
      <c r="J491">
        <v>1</v>
      </c>
      <c r="K491" s="9">
        <v>4.1568627450980395</v>
      </c>
    </row>
    <row r="492" spans="1:11" x14ac:dyDescent="0.45">
      <c r="A492" t="s">
        <v>63</v>
      </c>
      <c r="B492" t="s">
        <v>652</v>
      </c>
      <c r="C492" t="s">
        <v>26</v>
      </c>
      <c r="D492">
        <v>5</v>
      </c>
      <c r="E492" t="s">
        <v>426</v>
      </c>
      <c r="F492" t="s">
        <v>622</v>
      </c>
      <c r="G492">
        <v>1</v>
      </c>
      <c r="H492">
        <v>1</v>
      </c>
      <c r="I492">
        <v>0</v>
      </c>
      <c r="J492">
        <v>0</v>
      </c>
      <c r="K492" s="9">
        <v>6.5693779904306222</v>
      </c>
    </row>
    <row r="493" spans="1:11" x14ac:dyDescent="0.45">
      <c r="A493" t="s">
        <v>63</v>
      </c>
      <c r="B493" t="s">
        <v>652</v>
      </c>
      <c r="C493" t="s">
        <v>26</v>
      </c>
      <c r="D493">
        <v>6</v>
      </c>
      <c r="E493" t="s">
        <v>400</v>
      </c>
      <c r="F493" t="s">
        <v>622</v>
      </c>
      <c r="G493">
        <v>4</v>
      </c>
      <c r="H493">
        <v>5</v>
      </c>
      <c r="I493">
        <v>0</v>
      </c>
      <c r="J493">
        <v>0</v>
      </c>
      <c r="K493" s="9">
        <v>5.132075471698113</v>
      </c>
    </row>
    <row r="494" spans="1:11" x14ac:dyDescent="0.45">
      <c r="A494" t="s">
        <v>63</v>
      </c>
      <c r="B494" t="s">
        <v>652</v>
      </c>
      <c r="C494" t="s">
        <v>26</v>
      </c>
      <c r="D494">
        <v>7</v>
      </c>
      <c r="E494" t="s">
        <v>406</v>
      </c>
      <c r="F494" t="s">
        <v>622</v>
      </c>
      <c r="G494">
        <v>2</v>
      </c>
      <c r="H494">
        <v>3</v>
      </c>
      <c r="I494">
        <v>0</v>
      </c>
      <c r="J494">
        <v>0</v>
      </c>
      <c r="K494" s="9">
        <v>5.6607142857142856</v>
      </c>
    </row>
    <row r="495" spans="1:11" x14ac:dyDescent="0.45">
      <c r="A495" t="s">
        <v>63</v>
      </c>
      <c r="B495" t="s">
        <v>652</v>
      </c>
      <c r="C495" t="s">
        <v>26</v>
      </c>
      <c r="D495">
        <v>8</v>
      </c>
      <c r="E495" t="s">
        <v>404</v>
      </c>
      <c r="F495" t="s">
        <v>623</v>
      </c>
      <c r="G495">
        <v>4</v>
      </c>
      <c r="H495">
        <v>2</v>
      </c>
      <c r="I495">
        <v>1</v>
      </c>
      <c r="J495">
        <v>0</v>
      </c>
      <c r="K495" s="9">
        <v>6.1385542168674698</v>
      </c>
    </row>
    <row r="496" spans="1:11" x14ac:dyDescent="0.45">
      <c r="A496" t="s">
        <v>63</v>
      </c>
      <c r="B496" t="s">
        <v>652</v>
      </c>
      <c r="C496" t="s">
        <v>10</v>
      </c>
      <c r="D496">
        <v>1</v>
      </c>
      <c r="E496" t="s">
        <v>329</v>
      </c>
      <c r="F496" t="s">
        <v>622</v>
      </c>
      <c r="G496">
        <v>39</v>
      </c>
      <c r="H496">
        <v>22</v>
      </c>
      <c r="I496">
        <v>3</v>
      </c>
      <c r="J496">
        <v>3</v>
      </c>
      <c r="K496" s="9">
        <v>4.4423076923076925</v>
      </c>
    </row>
    <row r="497" spans="1:11" x14ac:dyDescent="0.45">
      <c r="A497" t="s">
        <v>63</v>
      </c>
      <c r="B497" t="s">
        <v>652</v>
      </c>
      <c r="C497" t="s">
        <v>10</v>
      </c>
      <c r="D497">
        <v>2</v>
      </c>
      <c r="E497" t="s">
        <v>330</v>
      </c>
      <c r="F497" t="s">
        <v>623</v>
      </c>
      <c r="G497">
        <v>69</v>
      </c>
      <c r="H497">
        <v>47</v>
      </c>
      <c r="I497">
        <v>6</v>
      </c>
      <c r="J497">
        <v>2</v>
      </c>
      <c r="K497" s="9">
        <v>3</v>
      </c>
    </row>
    <row r="498" spans="1:11" x14ac:dyDescent="0.45">
      <c r="A498" t="s">
        <v>63</v>
      </c>
      <c r="B498" t="s">
        <v>652</v>
      </c>
      <c r="C498" t="s">
        <v>10</v>
      </c>
      <c r="D498">
        <v>3</v>
      </c>
      <c r="E498" t="s">
        <v>424</v>
      </c>
      <c r="F498" t="s">
        <v>622</v>
      </c>
      <c r="G498">
        <v>24</v>
      </c>
      <c r="H498">
        <v>22</v>
      </c>
      <c r="I498">
        <v>1</v>
      </c>
      <c r="J498">
        <v>0</v>
      </c>
      <c r="K498" s="9">
        <v>4.4423076923076925</v>
      </c>
    </row>
    <row r="499" spans="1:11" x14ac:dyDescent="0.45">
      <c r="A499" t="s">
        <v>63</v>
      </c>
      <c r="B499" t="s">
        <v>652</v>
      </c>
      <c r="C499" t="s">
        <v>10</v>
      </c>
      <c r="D499">
        <v>4</v>
      </c>
      <c r="E499" t="s">
        <v>334</v>
      </c>
      <c r="F499" t="s">
        <v>622</v>
      </c>
      <c r="G499">
        <v>14</v>
      </c>
      <c r="H499">
        <v>11</v>
      </c>
      <c r="I499">
        <v>1</v>
      </c>
      <c r="J499">
        <v>1</v>
      </c>
      <c r="K499" s="9">
        <v>4.9649122807017543</v>
      </c>
    </row>
    <row r="500" spans="1:11" x14ac:dyDescent="0.45">
      <c r="A500" t="s">
        <v>63</v>
      </c>
      <c r="B500" t="s">
        <v>652</v>
      </c>
      <c r="C500" t="s">
        <v>10</v>
      </c>
      <c r="D500">
        <v>5</v>
      </c>
      <c r="E500" t="s">
        <v>336</v>
      </c>
      <c r="F500" t="s">
        <v>623</v>
      </c>
      <c r="G500">
        <v>16</v>
      </c>
      <c r="H500">
        <v>4</v>
      </c>
      <c r="I500">
        <v>1</v>
      </c>
      <c r="J500">
        <v>2</v>
      </c>
      <c r="K500" s="9">
        <v>5.352380952380952</v>
      </c>
    </row>
    <row r="501" spans="1:11" x14ac:dyDescent="0.45">
      <c r="A501" t="s">
        <v>65</v>
      </c>
      <c r="B501" t="s">
        <v>642</v>
      </c>
      <c r="C501" t="s">
        <v>23</v>
      </c>
      <c r="D501">
        <v>1</v>
      </c>
      <c r="E501" t="s">
        <v>458</v>
      </c>
      <c r="F501" t="s">
        <v>622</v>
      </c>
      <c r="G501">
        <v>124</v>
      </c>
      <c r="H501">
        <v>64</v>
      </c>
      <c r="I501">
        <v>11</v>
      </c>
      <c r="J501">
        <v>8</v>
      </c>
      <c r="K501" s="9">
        <v>3.6666666666666665</v>
      </c>
    </row>
    <row r="502" spans="1:11" x14ac:dyDescent="0.45">
      <c r="A502" t="s">
        <v>65</v>
      </c>
      <c r="B502" t="s">
        <v>642</v>
      </c>
      <c r="C502" t="s">
        <v>23</v>
      </c>
      <c r="D502">
        <v>2</v>
      </c>
      <c r="E502" t="s">
        <v>383</v>
      </c>
      <c r="F502" t="s">
        <v>622</v>
      </c>
      <c r="G502">
        <v>12</v>
      </c>
      <c r="H502">
        <v>13</v>
      </c>
      <c r="I502">
        <v>2</v>
      </c>
      <c r="J502">
        <v>0</v>
      </c>
      <c r="K502" s="9">
        <v>4.8939393939393936</v>
      </c>
    </row>
    <row r="503" spans="1:11" x14ac:dyDescent="0.45">
      <c r="A503" t="s">
        <v>65</v>
      </c>
      <c r="B503" t="s">
        <v>642</v>
      </c>
      <c r="C503" t="s">
        <v>23</v>
      </c>
      <c r="D503">
        <v>3</v>
      </c>
      <c r="E503" t="s">
        <v>386</v>
      </c>
      <c r="F503" t="s">
        <v>622</v>
      </c>
      <c r="G503">
        <v>48</v>
      </c>
      <c r="H503">
        <v>33</v>
      </c>
      <c r="I503">
        <v>4</v>
      </c>
      <c r="J503">
        <v>2</v>
      </c>
      <c r="K503" s="9">
        <v>2.8421052631578947</v>
      </c>
    </row>
    <row r="504" spans="1:11" x14ac:dyDescent="0.45">
      <c r="A504" t="s">
        <v>65</v>
      </c>
      <c r="B504" t="s">
        <v>642</v>
      </c>
      <c r="C504" t="s">
        <v>23</v>
      </c>
      <c r="D504">
        <v>4</v>
      </c>
      <c r="E504" t="s">
        <v>431</v>
      </c>
      <c r="F504" t="s">
        <v>623</v>
      </c>
      <c r="G504">
        <v>15</v>
      </c>
      <c r="H504">
        <v>8</v>
      </c>
      <c r="I504">
        <v>0</v>
      </c>
      <c r="J504">
        <v>1</v>
      </c>
      <c r="K504" s="9">
        <v>4.9029126213592233</v>
      </c>
    </row>
    <row r="505" spans="1:11" x14ac:dyDescent="0.45">
      <c r="A505" t="s">
        <v>65</v>
      </c>
      <c r="B505" t="s">
        <v>642</v>
      </c>
      <c r="C505" t="s">
        <v>23</v>
      </c>
      <c r="D505">
        <v>5</v>
      </c>
      <c r="E505" t="s">
        <v>411</v>
      </c>
      <c r="F505" t="s">
        <v>623</v>
      </c>
      <c r="G505">
        <v>7</v>
      </c>
      <c r="H505">
        <v>3</v>
      </c>
      <c r="I505">
        <v>0</v>
      </c>
      <c r="J505">
        <v>1</v>
      </c>
      <c r="K505" s="9">
        <v>5.6607142857142856</v>
      </c>
    </row>
    <row r="506" spans="1:11" x14ac:dyDescent="0.45">
      <c r="A506" t="s">
        <v>65</v>
      </c>
      <c r="B506" t="s">
        <v>642</v>
      </c>
      <c r="C506" t="s">
        <v>20</v>
      </c>
      <c r="D506">
        <v>1</v>
      </c>
      <c r="E506" t="s">
        <v>374</v>
      </c>
      <c r="F506" t="s">
        <v>622</v>
      </c>
      <c r="G506">
        <v>31</v>
      </c>
      <c r="H506">
        <v>20</v>
      </c>
      <c r="I506">
        <v>3</v>
      </c>
      <c r="J506">
        <v>2</v>
      </c>
      <c r="K506" s="9">
        <v>4.9473684210526319</v>
      </c>
    </row>
    <row r="507" spans="1:11" x14ac:dyDescent="0.45">
      <c r="A507" t="s">
        <v>65</v>
      </c>
      <c r="B507" t="s">
        <v>642</v>
      </c>
      <c r="C507" t="s">
        <v>20</v>
      </c>
      <c r="D507">
        <v>2</v>
      </c>
      <c r="E507" t="s">
        <v>459</v>
      </c>
      <c r="F507" t="s">
        <v>622</v>
      </c>
      <c r="G507">
        <v>30</v>
      </c>
      <c r="H507">
        <v>21</v>
      </c>
      <c r="I507">
        <v>4</v>
      </c>
      <c r="J507">
        <v>1</v>
      </c>
      <c r="K507" s="9">
        <v>4.3770491803278686</v>
      </c>
    </row>
    <row r="508" spans="1:11" x14ac:dyDescent="0.45">
      <c r="A508" t="s">
        <v>65</v>
      </c>
      <c r="B508" t="s">
        <v>642</v>
      </c>
      <c r="C508" t="s">
        <v>20</v>
      </c>
      <c r="D508">
        <v>3</v>
      </c>
      <c r="E508" t="s">
        <v>408</v>
      </c>
      <c r="F508" t="s">
        <v>622</v>
      </c>
      <c r="G508">
        <v>20</v>
      </c>
      <c r="H508">
        <v>21</v>
      </c>
      <c r="I508">
        <v>1</v>
      </c>
      <c r="J508">
        <v>0</v>
      </c>
      <c r="K508" s="9">
        <v>4.3770491803278686</v>
      </c>
    </row>
    <row r="509" spans="1:11" x14ac:dyDescent="0.45">
      <c r="A509" t="s">
        <v>65</v>
      </c>
      <c r="B509" t="s">
        <v>642</v>
      </c>
      <c r="C509" t="s">
        <v>20</v>
      </c>
      <c r="D509">
        <v>4</v>
      </c>
      <c r="E509" t="s">
        <v>460</v>
      </c>
      <c r="F509" t="s">
        <v>622</v>
      </c>
      <c r="G509">
        <v>8</v>
      </c>
      <c r="H509">
        <v>8</v>
      </c>
      <c r="I509">
        <v>1</v>
      </c>
      <c r="J509">
        <v>0</v>
      </c>
      <c r="K509" s="9">
        <v>4.9029126213592233</v>
      </c>
    </row>
    <row r="510" spans="1:11" x14ac:dyDescent="0.45">
      <c r="A510" t="s">
        <v>65</v>
      </c>
      <c r="B510" t="s">
        <v>642</v>
      </c>
      <c r="C510" t="s">
        <v>20</v>
      </c>
      <c r="D510">
        <v>5</v>
      </c>
      <c r="E510" t="s">
        <v>443</v>
      </c>
      <c r="F510" t="s">
        <v>622</v>
      </c>
      <c r="G510">
        <v>19</v>
      </c>
      <c r="H510">
        <v>19</v>
      </c>
      <c r="I510">
        <v>0</v>
      </c>
      <c r="J510">
        <v>1</v>
      </c>
      <c r="K510" s="9">
        <v>4.5660377358490569</v>
      </c>
    </row>
    <row r="511" spans="1:11" x14ac:dyDescent="0.45">
      <c r="A511" t="s">
        <v>65</v>
      </c>
      <c r="B511" t="s">
        <v>642</v>
      </c>
      <c r="C511" t="s">
        <v>20</v>
      </c>
      <c r="D511">
        <v>6</v>
      </c>
      <c r="E511" t="s">
        <v>375</v>
      </c>
      <c r="F511" t="s">
        <v>622</v>
      </c>
      <c r="G511">
        <v>17</v>
      </c>
      <c r="H511">
        <v>5</v>
      </c>
      <c r="I511">
        <v>1</v>
      </c>
      <c r="J511">
        <v>2</v>
      </c>
      <c r="K511" s="9">
        <v>5.132075471698113</v>
      </c>
    </row>
    <row r="512" spans="1:11" x14ac:dyDescent="0.45">
      <c r="A512" t="s">
        <v>65</v>
      </c>
      <c r="B512" t="s">
        <v>642</v>
      </c>
      <c r="C512" t="s">
        <v>20</v>
      </c>
      <c r="D512">
        <v>7</v>
      </c>
      <c r="E512" t="s">
        <v>376</v>
      </c>
      <c r="F512" t="s">
        <v>622</v>
      </c>
      <c r="G512">
        <v>10</v>
      </c>
      <c r="H512">
        <v>8</v>
      </c>
      <c r="I512">
        <v>0</v>
      </c>
      <c r="J512">
        <v>1</v>
      </c>
      <c r="K512" s="9">
        <v>4.9029126213592233</v>
      </c>
    </row>
    <row r="513" spans="1:11" x14ac:dyDescent="0.45">
      <c r="A513" t="s">
        <v>65</v>
      </c>
      <c r="B513" t="s">
        <v>642</v>
      </c>
      <c r="C513" t="s">
        <v>20</v>
      </c>
      <c r="D513">
        <v>8</v>
      </c>
      <c r="E513" t="s">
        <v>379</v>
      </c>
      <c r="F513" t="s">
        <v>622</v>
      </c>
      <c r="G513">
        <v>0</v>
      </c>
      <c r="H513">
        <v>2</v>
      </c>
      <c r="I513">
        <v>0</v>
      </c>
      <c r="J513">
        <v>0</v>
      </c>
      <c r="K513" s="9">
        <v>6.1385542168674698</v>
      </c>
    </row>
    <row r="514" spans="1:11" x14ac:dyDescent="0.45">
      <c r="A514" t="s">
        <v>65</v>
      </c>
      <c r="B514" t="s">
        <v>642</v>
      </c>
      <c r="C514" t="s">
        <v>20</v>
      </c>
      <c r="D514">
        <v>9</v>
      </c>
      <c r="E514" t="s">
        <v>409</v>
      </c>
      <c r="F514" t="s">
        <v>623</v>
      </c>
      <c r="G514">
        <v>14</v>
      </c>
      <c r="H514">
        <v>10</v>
      </c>
      <c r="I514">
        <v>2</v>
      </c>
      <c r="J514">
        <v>0</v>
      </c>
      <c r="K514" s="9">
        <v>4.7179487179487181</v>
      </c>
    </row>
    <row r="515" spans="1:11" x14ac:dyDescent="0.45">
      <c r="A515" t="s">
        <v>65</v>
      </c>
      <c r="B515" t="s">
        <v>642</v>
      </c>
      <c r="C515" t="s">
        <v>20</v>
      </c>
      <c r="D515">
        <v>10</v>
      </c>
      <c r="E515" t="s">
        <v>429</v>
      </c>
      <c r="F515" t="s">
        <v>623</v>
      </c>
      <c r="G515">
        <v>8</v>
      </c>
      <c r="H515">
        <v>6</v>
      </c>
      <c r="I515">
        <v>1</v>
      </c>
      <c r="J515">
        <v>0</v>
      </c>
      <c r="K515" s="9">
        <v>5.4565217391304346</v>
      </c>
    </row>
    <row r="516" spans="1:11" x14ac:dyDescent="0.45">
      <c r="A516" t="s">
        <v>66</v>
      </c>
      <c r="B516" t="s">
        <v>651</v>
      </c>
      <c r="C516" t="s">
        <v>6</v>
      </c>
      <c r="D516">
        <v>1</v>
      </c>
      <c r="E516" t="s">
        <v>290</v>
      </c>
      <c r="F516" t="s">
        <v>622</v>
      </c>
      <c r="G516">
        <v>4</v>
      </c>
      <c r="H516">
        <v>4</v>
      </c>
      <c r="I516">
        <v>1</v>
      </c>
      <c r="J516">
        <v>0</v>
      </c>
      <c r="K516" s="9">
        <v>5.352380952380952</v>
      </c>
    </row>
    <row r="517" spans="1:11" x14ac:dyDescent="0.45">
      <c r="A517" t="s">
        <v>66</v>
      </c>
      <c r="B517" t="s">
        <v>651</v>
      </c>
      <c r="C517" t="s">
        <v>6</v>
      </c>
      <c r="D517">
        <v>2</v>
      </c>
      <c r="E517" t="s">
        <v>294</v>
      </c>
      <c r="F517" t="s">
        <v>622</v>
      </c>
      <c r="G517">
        <v>50</v>
      </c>
      <c r="H517">
        <v>28</v>
      </c>
      <c r="I517">
        <v>2</v>
      </c>
      <c r="J517">
        <v>4</v>
      </c>
      <c r="K517" s="9">
        <v>3.806451612903226</v>
      </c>
    </row>
    <row r="518" spans="1:11" x14ac:dyDescent="0.45">
      <c r="A518" t="s">
        <v>66</v>
      </c>
      <c r="B518" t="s">
        <v>651</v>
      </c>
      <c r="C518" t="s">
        <v>6</v>
      </c>
      <c r="D518">
        <v>3</v>
      </c>
      <c r="E518" t="s">
        <v>299</v>
      </c>
      <c r="F518" t="s">
        <v>622</v>
      </c>
      <c r="G518">
        <v>58</v>
      </c>
      <c r="H518">
        <v>36</v>
      </c>
      <c r="I518">
        <v>5</v>
      </c>
      <c r="J518">
        <v>5</v>
      </c>
      <c r="K518" s="9">
        <v>4.083333333333333</v>
      </c>
    </row>
    <row r="519" spans="1:11" x14ac:dyDescent="0.45">
      <c r="A519" t="s">
        <v>66</v>
      </c>
      <c r="B519" t="s">
        <v>651</v>
      </c>
      <c r="C519" t="s">
        <v>6</v>
      </c>
      <c r="D519">
        <v>4</v>
      </c>
      <c r="E519" t="s">
        <v>417</v>
      </c>
      <c r="F519" t="s">
        <v>622</v>
      </c>
      <c r="G519">
        <v>2</v>
      </c>
      <c r="H519">
        <v>4</v>
      </c>
      <c r="I519">
        <v>0</v>
      </c>
      <c r="J519">
        <v>0</v>
      </c>
      <c r="K519" s="9">
        <v>5.352380952380952</v>
      </c>
    </row>
    <row r="520" spans="1:11" x14ac:dyDescent="0.45">
      <c r="A520" t="s">
        <v>66</v>
      </c>
      <c r="B520" t="s">
        <v>651</v>
      </c>
      <c r="C520" t="s">
        <v>6</v>
      </c>
      <c r="D520">
        <v>5</v>
      </c>
      <c r="E520" t="s">
        <v>355</v>
      </c>
      <c r="F520" t="s">
        <v>623</v>
      </c>
      <c r="G520">
        <v>72</v>
      </c>
      <c r="H520">
        <v>27</v>
      </c>
      <c r="I520">
        <v>4</v>
      </c>
      <c r="J520">
        <v>7</v>
      </c>
      <c r="K520" s="9">
        <v>4.25</v>
      </c>
    </row>
    <row r="521" spans="1:11" x14ac:dyDescent="0.45">
      <c r="A521" t="s">
        <v>66</v>
      </c>
      <c r="B521" t="s">
        <v>651</v>
      </c>
      <c r="C521" t="s">
        <v>6</v>
      </c>
      <c r="D521">
        <v>6</v>
      </c>
      <c r="E521" t="s">
        <v>328</v>
      </c>
      <c r="F521" t="s">
        <v>623</v>
      </c>
      <c r="G521">
        <v>22</v>
      </c>
      <c r="H521">
        <v>22</v>
      </c>
      <c r="I521">
        <v>2</v>
      </c>
      <c r="J521">
        <v>0</v>
      </c>
      <c r="K521" s="9">
        <v>4.4423076923076925</v>
      </c>
    </row>
    <row r="522" spans="1:11" x14ac:dyDescent="0.45">
      <c r="A522" t="s">
        <v>66</v>
      </c>
      <c r="B522" t="s">
        <v>651</v>
      </c>
      <c r="C522" t="s">
        <v>19</v>
      </c>
      <c r="D522">
        <v>1</v>
      </c>
      <c r="E522" t="s">
        <v>422</v>
      </c>
      <c r="F522" t="s">
        <v>622</v>
      </c>
      <c r="G522">
        <v>38</v>
      </c>
      <c r="H522">
        <v>28</v>
      </c>
      <c r="I522">
        <v>4</v>
      </c>
      <c r="J522">
        <v>1</v>
      </c>
      <c r="K522" s="9">
        <v>3.806451612903226</v>
      </c>
    </row>
    <row r="523" spans="1:11" x14ac:dyDescent="0.45">
      <c r="A523" t="s">
        <v>66</v>
      </c>
      <c r="B523" t="s">
        <v>651</v>
      </c>
      <c r="C523" t="s">
        <v>19</v>
      </c>
      <c r="D523">
        <v>2</v>
      </c>
      <c r="E523" t="s">
        <v>359</v>
      </c>
      <c r="F523" t="s">
        <v>622</v>
      </c>
      <c r="G523">
        <v>35</v>
      </c>
      <c r="H523">
        <v>24</v>
      </c>
      <c r="I523">
        <v>4</v>
      </c>
      <c r="J523">
        <v>1</v>
      </c>
      <c r="K523" s="9">
        <v>4.0606060606060606</v>
      </c>
    </row>
    <row r="524" spans="1:11" x14ac:dyDescent="0.45">
      <c r="A524" t="s">
        <v>66</v>
      </c>
      <c r="B524" t="s">
        <v>651</v>
      </c>
      <c r="C524" t="s">
        <v>19</v>
      </c>
      <c r="D524">
        <v>3</v>
      </c>
      <c r="E524" t="s">
        <v>363</v>
      </c>
      <c r="F524" t="s">
        <v>622</v>
      </c>
      <c r="G524">
        <v>3</v>
      </c>
      <c r="H524">
        <v>3</v>
      </c>
      <c r="I524">
        <v>0</v>
      </c>
      <c r="J524">
        <v>0</v>
      </c>
      <c r="K524" s="9">
        <v>5.6607142857142856</v>
      </c>
    </row>
    <row r="525" spans="1:11" x14ac:dyDescent="0.45">
      <c r="A525" t="s">
        <v>66</v>
      </c>
      <c r="B525" t="s">
        <v>651</v>
      </c>
      <c r="C525" t="s">
        <v>19</v>
      </c>
      <c r="D525">
        <v>4</v>
      </c>
      <c r="E525" t="s">
        <v>366</v>
      </c>
      <c r="F525" t="s">
        <v>622</v>
      </c>
      <c r="G525">
        <v>32</v>
      </c>
      <c r="H525">
        <v>23</v>
      </c>
      <c r="I525">
        <v>2</v>
      </c>
      <c r="J525">
        <v>2</v>
      </c>
      <c r="K525" s="9">
        <v>5.1142857142857139</v>
      </c>
    </row>
    <row r="526" spans="1:11" x14ac:dyDescent="0.45">
      <c r="A526" t="s">
        <v>66</v>
      </c>
      <c r="B526" t="s">
        <v>651</v>
      </c>
      <c r="C526" t="s">
        <v>19</v>
      </c>
      <c r="D526">
        <v>5</v>
      </c>
      <c r="E526" t="s">
        <v>362</v>
      </c>
      <c r="F526" t="s">
        <v>623</v>
      </c>
      <c r="G526">
        <v>87</v>
      </c>
      <c r="H526">
        <v>34</v>
      </c>
      <c r="I526">
        <v>6</v>
      </c>
      <c r="J526">
        <v>8</v>
      </c>
      <c r="K526" s="9">
        <v>4.4137931034482758</v>
      </c>
    </row>
    <row r="527" spans="1:11" x14ac:dyDescent="0.45">
      <c r="A527" t="s">
        <v>66</v>
      </c>
      <c r="B527" t="s">
        <v>651</v>
      </c>
      <c r="C527" t="s">
        <v>19</v>
      </c>
      <c r="D527">
        <v>6</v>
      </c>
      <c r="E527" t="s">
        <v>361</v>
      </c>
      <c r="F527" t="s">
        <v>622</v>
      </c>
      <c r="G527">
        <v>16</v>
      </c>
      <c r="H527">
        <v>7</v>
      </c>
      <c r="I527">
        <v>0</v>
      </c>
      <c r="J527">
        <v>2</v>
      </c>
      <c r="K527" s="9">
        <v>4.927835051546392</v>
      </c>
    </row>
    <row r="528" spans="1:11" x14ac:dyDescent="0.45">
      <c r="A528" t="s">
        <v>66</v>
      </c>
      <c r="B528" t="s">
        <v>651</v>
      </c>
      <c r="C528" t="s">
        <v>19</v>
      </c>
      <c r="D528">
        <v>7</v>
      </c>
      <c r="E528" t="s">
        <v>365</v>
      </c>
      <c r="F528" t="s">
        <v>622</v>
      </c>
      <c r="G528">
        <v>0</v>
      </c>
      <c r="H528">
        <v>1</v>
      </c>
      <c r="I528">
        <v>0</v>
      </c>
      <c r="J528">
        <v>0</v>
      </c>
      <c r="K528" s="9">
        <v>6.5693779904306222</v>
      </c>
    </row>
    <row r="529" spans="1:11" x14ac:dyDescent="0.45">
      <c r="A529" t="s">
        <v>66</v>
      </c>
      <c r="B529" t="s">
        <v>651</v>
      </c>
      <c r="C529" t="s">
        <v>19</v>
      </c>
      <c r="D529">
        <v>8</v>
      </c>
      <c r="E529" t="s">
        <v>461</v>
      </c>
      <c r="F529" t="s">
        <v>623</v>
      </c>
      <c r="G529">
        <v>0</v>
      </c>
      <c r="H529">
        <v>0</v>
      </c>
      <c r="I529">
        <v>0</v>
      </c>
      <c r="J529">
        <v>0</v>
      </c>
      <c r="K529" s="9">
        <v>6.2519685039370083</v>
      </c>
    </row>
    <row r="530" spans="1:11" x14ac:dyDescent="0.45">
      <c r="A530" t="s">
        <v>68</v>
      </c>
      <c r="B530" t="s">
        <v>653</v>
      </c>
      <c r="C530" t="s">
        <v>26</v>
      </c>
      <c r="D530">
        <v>1</v>
      </c>
      <c r="E530" t="s">
        <v>397</v>
      </c>
      <c r="F530" t="s">
        <v>623</v>
      </c>
      <c r="G530">
        <v>91</v>
      </c>
      <c r="H530">
        <v>57</v>
      </c>
      <c r="I530">
        <v>7</v>
      </c>
      <c r="J530">
        <v>5</v>
      </c>
      <c r="K530" s="9">
        <v>2.8823529411764706</v>
      </c>
    </row>
    <row r="531" spans="1:11" x14ac:dyDescent="0.45">
      <c r="A531" t="s">
        <v>68</v>
      </c>
      <c r="B531" t="s">
        <v>653</v>
      </c>
      <c r="C531" t="s">
        <v>26</v>
      </c>
      <c r="D531">
        <v>2</v>
      </c>
      <c r="E531" t="s">
        <v>454</v>
      </c>
      <c r="F531" t="s">
        <v>622</v>
      </c>
      <c r="G531">
        <v>7</v>
      </c>
      <c r="H531">
        <v>7</v>
      </c>
      <c r="I531">
        <v>1</v>
      </c>
      <c r="J531">
        <v>0</v>
      </c>
      <c r="K531" s="9">
        <v>4.927835051546392</v>
      </c>
    </row>
    <row r="532" spans="1:11" x14ac:dyDescent="0.45">
      <c r="A532" t="s">
        <v>68</v>
      </c>
      <c r="B532" t="s">
        <v>653</v>
      </c>
      <c r="C532" t="s">
        <v>26</v>
      </c>
      <c r="D532">
        <v>3</v>
      </c>
      <c r="E532" t="s">
        <v>434</v>
      </c>
      <c r="F532" t="s">
        <v>622</v>
      </c>
      <c r="G532">
        <v>46</v>
      </c>
      <c r="H532">
        <v>24</v>
      </c>
      <c r="I532">
        <v>6</v>
      </c>
      <c r="J532">
        <v>2</v>
      </c>
      <c r="K532" s="9">
        <v>4.0606060606060606</v>
      </c>
    </row>
    <row r="533" spans="1:11" x14ac:dyDescent="0.45">
      <c r="A533" t="s">
        <v>68</v>
      </c>
      <c r="B533" t="s">
        <v>653</v>
      </c>
      <c r="C533" t="s">
        <v>26</v>
      </c>
      <c r="D533">
        <v>4</v>
      </c>
      <c r="E533" t="s">
        <v>416</v>
      </c>
      <c r="F533" t="s">
        <v>622</v>
      </c>
      <c r="G533">
        <v>0</v>
      </c>
      <c r="H533">
        <v>3</v>
      </c>
      <c r="I533">
        <v>0</v>
      </c>
      <c r="J533">
        <v>0</v>
      </c>
      <c r="K533" s="9">
        <v>5.6607142857142856</v>
      </c>
    </row>
    <row r="534" spans="1:11" x14ac:dyDescent="0.45">
      <c r="A534" t="s">
        <v>68</v>
      </c>
      <c r="B534" t="s">
        <v>653</v>
      </c>
      <c r="C534" t="s">
        <v>26</v>
      </c>
      <c r="D534">
        <v>5</v>
      </c>
      <c r="E534" t="s">
        <v>426</v>
      </c>
      <c r="F534" t="s">
        <v>622</v>
      </c>
      <c r="G534">
        <v>5</v>
      </c>
      <c r="H534">
        <v>9</v>
      </c>
      <c r="I534">
        <v>0</v>
      </c>
      <c r="J534">
        <v>0</v>
      </c>
      <c r="K534" s="9">
        <v>4.924050632911392</v>
      </c>
    </row>
    <row r="535" spans="1:11" x14ac:dyDescent="0.45">
      <c r="A535" t="s">
        <v>68</v>
      </c>
      <c r="B535" t="s">
        <v>653</v>
      </c>
      <c r="C535" t="s">
        <v>26</v>
      </c>
      <c r="D535">
        <v>6</v>
      </c>
      <c r="E535" t="s">
        <v>400</v>
      </c>
      <c r="F535" t="s">
        <v>622</v>
      </c>
      <c r="G535">
        <v>0</v>
      </c>
      <c r="H535">
        <v>3</v>
      </c>
      <c r="I535">
        <v>0</v>
      </c>
      <c r="J535">
        <v>0</v>
      </c>
      <c r="K535" s="9">
        <v>5.6607142857142856</v>
      </c>
    </row>
    <row r="536" spans="1:11" x14ac:dyDescent="0.45">
      <c r="A536" t="s">
        <v>68</v>
      </c>
      <c r="B536" t="s">
        <v>653</v>
      </c>
      <c r="C536" t="s">
        <v>26</v>
      </c>
      <c r="D536">
        <v>7</v>
      </c>
      <c r="E536" t="s">
        <v>404</v>
      </c>
      <c r="F536" t="s">
        <v>623</v>
      </c>
      <c r="G536">
        <v>25</v>
      </c>
      <c r="H536">
        <v>17</v>
      </c>
      <c r="I536">
        <v>1</v>
      </c>
      <c r="J536">
        <v>2</v>
      </c>
      <c r="K536" s="9">
        <v>4.82</v>
      </c>
    </row>
    <row r="537" spans="1:11" x14ac:dyDescent="0.45">
      <c r="A537" t="s">
        <v>68</v>
      </c>
      <c r="B537" t="s">
        <v>653</v>
      </c>
      <c r="C537" t="s">
        <v>13</v>
      </c>
      <c r="D537">
        <v>1</v>
      </c>
      <c r="E537" t="s">
        <v>343</v>
      </c>
      <c r="F537" t="s">
        <v>622</v>
      </c>
      <c r="G537">
        <v>35</v>
      </c>
      <c r="H537">
        <v>34</v>
      </c>
      <c r="I537">
        <v>3</v>
      </c>
      <c r="J537">
        <v>1</v>
      </c>
      <c r="K537" s="9">
        <v>4.4137931034482758</v>
      </c>
    </row>
    <row r="538" spans="1:11" x14ac:dyDescent="0.45">
      <c r="A538" t="s">
        <v>68</v>
      </c>
      <c r="B538" t="s">
        <v>653</v>
      </c>
      <c r="C538" t="s">
        <v>13</v>
      </c>
      <c r="D538">
        <v>2</v>
      </c>
      <c r="E538" t="s">
        <v>342</v>
      </c>
      <c r="F538" t="s">
        <v>622</v>
      </c>
      <c r="G538">
        <v>7</v>
      </c>
      <c r="H538">
        <v>6</v>
      </c>
      <c r="I538">
        <v>0</v>
      </c>
      <c r="J538">
        <v>1</v>
      </c>
      <c r="K538" s="9">
        <v>5.4565217391304346</v>
      </c>
    </row>
    <row r="539" spans="1:11" x14ac:dyDescent="0.45">
      <c r="A539" t="s">
        <v>68</v>
      </c>
      <c r="B539" t="s">
        <v>653</v>
      </c>
      <c r="C539" t="s">
        <v>13</v>
      </c>
      <c r="D539">
        <v>3</v>
      </c>
      <c r="E539" t="s">
        <v>463</v>
      </c>
      <c r="F539" t="s">
        <v>622</v>
      </c>
      <c r="G539">
        <v>31</v>
      </c>
      <c r="H539">
        <v>30</v>
      </c>
      <c r="I539">
        <v>2</v>
      </c>
      <c r="J539">
        <v>1</v>
      </c>
      <c r="K539" s="9">
        <v>3.6774193548387095</v>
      </c>
    </row>
    <row r="540" spans="1:11" x14ac:dyDescent="0.45">
      <c r="A540" t="s">
        <v>68</v>
      </c>
      <c r="B540" t="s">
        <v>653</v>
      </c>
      <c r="C540" t="s">
        <v>13</v>
      </c>
      <c r="D540">
        <v>4</v>
      </c>
      <c r="E540" t="s">
        <v>345</v>
      </c>
      <c r="F540" t="s">
        <v>622</v>
      </c>
      <c r="G540">
        <v>0</v>
      </c>
      <c r="H540">
        <v>1</v>
      </c>
      <c r="I540">
        <v>0</v>
      </c>
      <c r="J540">
        <v>0</v>
      </c>
      <c r="K540" s="9">
        <v>6.5693779904306222</v>
      </c>
    </row>
    <row r="541" spans="1:11" x14ac:dyDescent="0.45">
      <c r="A541" t="s">
        <v>68</v>
      </c>
      <c r="B541" t="s">
        <v>653</v>
      </c>
      <c r="C541" t="s">
        <v>13</v>
      </c>
      <c r="D541">
        <v>5</v>
      </c>
      <c r="E541" t="s">
        <v>346</v>
      </c>
      <c r="F541" t="s">
        <v>622</v>
      </c>
      <c r="G541">
        <v>3</v>
      </c>
      <c r="H541">
        <v>9</v>
      </c>
      <c r="I541">
        <v>0</v>
      </c>
      <c r="J541">
        <v>0</v>
      </c>
      <c r="K541" s="9">
        <v>4.924050632911392</v>
      </c>
    </row>
    <row r="542" spans="1:11" x14ac:dyDescent="0.45">
      <c r="A542" t="s">
        <v>68</v>
      </c>
      <c r="B542" t="s">
        <v>653</v>
      </c>
      <c r="C542" t="s">
        <v>13</v>
      </c>
      <c r="D542">
        <v>6</v>
      </c>
      <c r="E542" t="s">
        <v>347</v>
      </c>
      <c r="F542" t="s">
        <v>622</v>
      </c>
      <c r="G542">
        <v>8</v>
      </c>
      <c r="H542">
        <v>11</v>
      </c>
      <c r="I542">
        <v>1</v>
      </c>
      <c r="J542">
        <v>0</v>
      </c>
      <c r="K542" s="9">
        <v>4.9649122807017543</v>
      </c>
    </row>
    <row r="543" spans="1:11" x14ac:dyDescent="0.45">
      <c r="A543" t="s">
        <v>68</v>
      </c>
      <c r="B543" t="s">
        <v>653</v>
      </c>
      <c r="C543" t="s">
        <v>13</v>
      </c>
      <c r="D543">
        <v>7</v>
      </c>
      <c r="E543" t="s">
        <v>464</v>
      </c>
      <c r="F543" t="s">
        <v>622</v>
      </c>
      <c r="G543">
        <v>3</v>
      </c>
      <c r="H543">
        <v>4</v>
      </c>
      <c r="I543">
        <v>0</v>
      </c>
      <c r="J543">
        <v>0</v>
      </c>
      <c r="K543" s="9">
        <v>5.352380952380952</v>
      </c>
    </row>
    <row r="544" spans="1:11" x14ac:dyDescent="0.45">
      <c r="A544" t="s">
        <v>68</v>
      </c>
      <c r="B544" t="s">
        <v>653</v>
      </c>
      <c r="C544" t="s">
        <v>13</v>
      </c>
      <c r="D544">
        <v>8</v>
      </c>
      <c r="E544" t="s">
        <v>438</v>
      </c>
      <c r="F544" t="s">
        <v>623</v>
      </c>
      <c r="G544">
        <v>16</v>
      </c>
      <c r="H544">
        <v>11</v>
      </c>
      <c r="I544">
        <v>1</v>
      </c>
      <c r="J544">
        <v>1</v>
      </c>
      <c r="K544" s="9">
        <v>4.9649122807017543</v>
      </c>
    </row>
    <row r="545" spans="1:11" x14ac:dyDescent="0.45">
      <c r="A545" t="s">
        <v>68</v>
      </c>
      <c r="B545" t="s">
        <v>653</v>
      </c>
      <c r="C545" t="s">
        <v>13</v>
      </c>
      <c r="D545">
        <v>9</v>
      </c>
      <c r="E545" t="s">
        <v>349</v>
      </c>
      <c r="F545" t="s">
        <v>622</v>
      </c>
      <c r="G545">
        <v>31</v>
      </c>
      <c r="H545">
        <v>13</v>
      </c>
      <c r="I545">
        <v>3</v>
      </c>
      <c r="J545">
        <v>2</v>
      </c>
      <c r="K545" s="9">
        <v>4.8939393939393936</v>
      </c>
    </row>
    <row r="546" spans="1:11" x14ac:dyDescent="0.45">
      <c r="A546" t="s">
        <v>68</v>
      </c>
      <c r="B546" t="s">
        <v>653</v>
      </c>
      <c r="C546" t="s">
        <v>13</v>
      </c>
      <c r="D546">
        <v>10</v>
      </c>
      <c r="E546" t="s">
        <v>352</v>
      </c>
      <c r="F546" t="s">
        <v>623</v>
      </c>
      <c r="G546">
        <v>0</v>
      </c>
      <c r="H546">
        <v>1</v>
      </c>
      <c r="I546">
        <v>0</v>
      </c>
      <c r="J546">
        <v>0</v>
      </c>
      <c r="K546" s="9">
        <v>6.5693779904306222</v>
      </c>
    </row>
    <row r="547" spans="1:11" x14ac:dyDescent="0.45">
      <c r="A547" t="s">
        <v>69</v>
      </c>
      <c r="B547" t="s">
        <v>654</v>
      </c>
      <c r="C547" t="s">
        <v>7</v>
      </c>
      <c r="D547">
        <v>1</v>
      </c>
      <c r="E547" t="s">
        <v>306</v>
      </c>
      <c r="F547" t="s">
        <v>622</v>
      </c>
      <c r="G547">
        <v>15</v>
      </c>
      <c r="H547">
        <v>12</v>
      </c>
      <c r="I547">
        <v>1</v>
      </c>
      <c r="J547">
        <v>1</v>
      </c>
      <c r="K547" s="9">
        <v>4.8024691358024691</v>
      </c>
    </row>
    <row r="548" spans="1:11" x14ac:dyDescent="0.45">
      <c r="A548" t="s">
        <v>69</v>
      </c>
      <c r="B548" t="s">
        <v>654</v>
      </c>
      <c r="C548" t="s">
        <v>7</v>
      </c>
      <c r="D548">
        <v>2</v>
      </c>
      <c r="E548" t="s">
        <v>302</v>
      </c>
      <c r="F548" t="s">
        <v>622</v>
      </c>
      <c r="G548">
        <v>43</v>
      </c>
      <c r="H548">
        <v>38</v>
      </c>
      <c r="I548">
        <v>3</v>
      </c>
      <c r="J548">
        <v>1</v>
      </c>
      <c r="K548" s="9">
        <v>3.6842105263157894</v>
      </c>
    </row>
    <row r="549" spans="1:11" x14ac:dyDescent="0.45">
      <c r="A549" t="s">
        <v>69</v>
      </c>
      <c r="B549" t="s">
        <v>654</v>
      </c>
      <c r="C549" t="s">
        <v>7</v>
      </c>
      <c r="D549">
        <v>3</v>
      </c>
      <c r="E549" t="s">
        <v>315</v>
      </c>
      <c r="F549" t="s">
        <v>622</v>
      </c>
      <c r="G549">
        <v>19</v>
      </c>
      <c r="H549">
        <v>17</v>
      </c>
      <c r="I549">
        <v>2</v>
      </c>
      <c r="J549">
        <v>0</v>
      </c>
      <c r="K549" s="9">
        <v>4.82</v>
      </c>
    </row>
    <row r="550" spans="1:11" x14ac:dyDescent="0.45">
      <c r="A550" t="s">
        <v>69</v>
      </c>
      <c r="B550" t="s">
        <v>654</v>
      </c>
      <c r="C550" t="s">
        <v>7</v>
      </c>
      <c r="D550">
        <v>4</v>
      </c>
      <c r="E550" t="s">
        <v>310</v>
      </c>
      <c r="F550" t="s">
        <v>622</v>
      </c>
      <c r="G550">
        <v>0</v>
      </c>
      <c r="H550">
        <v>2</v>
      </c>
      <c r="I550">
        <v>0</v>
      </c>
      <c r="J550">
        <v>0</v>
      </c>
      <c r="K550" s="9">
        <v>6.1385542168674698</v>
      </c>
    </row>
    <row r="551" spans="1:11" x14ac:dyDescent="0.45">
      <c r="A551" t="s">
        <v>69</v>
      </c>
      <c r="B551" t="s">
        <v>654</v>
      </c>
      <c r="C551" t="s">
        <v>7</v>
      </c>
      <c r="D551">
        <v>5</v>
      </c>
      <c r="E551" t="s">
        <v>308</v>
      </c>
      <c r="F551" t="s">
        <v>622</v>
      </c>
      <c r="G551">
        <v>0</v>
      </c>
      <c r="H551">
        <v>1</v>
      </c>
      <c r="I551">
        <v>0</v>
      </c>
      <c r="J551">
        <v>0</v>
      </c>
      <c r="K551" s="9">
        <v>6.5693779904306222</v>
      </c>
    </row>
    <row r="552" spans="1:11" x14ac:dyDescent="0.45">
      <c r="A552" t="s">
        <v>69</v>
      </c>
      <c r="B552" t="s">
        <v>654</v>
      </c>
      <c r="C552" t="s">
        <v>7</v>
      </c>
      <c r="D552">
        <v>6</v>
      </c>
      <c r="E552" t="s">
        <v>440</v>
      </c>
      <c r="F552" t="s">
        <v>623</v>
      </c>
      <c r="G552">
        <v>45</v>
      </c>
      <c r="H552">
        <v>27</v>
      </c>
      <c r="I552">
        <v>2</v>
      </c>
      <c r="J552">
        <v>4</v>
      </c>
      <c r="K552" s="9">
        <v>4.25</v>
      </c>
    </row>
    <row r="553" spans="1:11" x14ac:dyDescent="0.45">
      <c r="A553" t="s">
        <v>69</v>
      </c>
      <c r="B553" t="s">
        <v>654</v>
      </c>
      <c r="C553" t="s">
        <v>7</v>
      </c>
      <c r="D553">
        <v>7</v>
      </c>
      <c r="E553" t="s">
        <v>311</v>
      </c>
      <c r="F553" t="s">
        <v>622</v>
      </c>
      <c r="G553">
        <v>14</v>
      </c>
      <c r="H553">
        <v>10</v>
      </c>
      <c r="I553">
        <v>1</v>
      </c>
      <c r="J553">
        <v>1</v>
      </c>
      <c r="K553" s="9">
        <v>4.7179487179487181</v>
      </c>
    </row>
    <row r="554" spans="1:11" x14ac:dyDescent="0.45">
      <c r="A554" t="s">
        <v>69</v>
      </c>
      <c r="B554" t="s">
        <v>654</v>
      </c>
      <c r="C554" t="s">
        <v>7</v>
      </c>
      <c r="D554">
        <v>8</v>
      </c>
      <c r="E554" t="s">
        <v>465</v>
      </c>
      <c r="F554" t="s">
        <v>623</v>
      </c>
      <c r="G554">
        <v>11</v>
      </c>
      <c r="H554">
        <v>13</v>
      </c>
      <c r="I554">
        <v>1</v>
      </c>
      <c r="J554">
        <v>0</v>
      </c>
      <c r="K554" s="9">
        <v>4.8939393939393936</v>
      </c>
    </row>
    <row r="555" spans="1:11" x14ac:dyDescent="0.45">
      <c r="A555" t="s">
        <v>69</v>
      </c>
      <c r="B555" t="s">
        <v>654</v>
      </c>
      <c r="C555" t="s">
        <v>10</v>
      </c>
      <c r="D555">
        <v>1</v>
      </c>
      <c r="E555" t="s">
        <v>329</v>
      </c>
      <c r="F555" t="s">
        <v>622</v>
      </c>
      <c r="G555">
        <v>82</v>
      </c>
      <c r="H555">
        <v>41</v>
      </c>
      <c r="I555">
        <v>11</v>
      </c>
      <c r="J555">
        <v>3</v>
      </c>
      <c r="K555" s="9">
        <v>3.0909090909090908</v>
      </c>
    </row>
    <row r="556" spans="1:11" x14ac:dyDescent="0.45">
      <c r="A556" t="s">
        <v>69</v>
      </c>
      <c r="B556" t="s">
        <v>654</v>
      </c>
      <c r="C556" t="s">
        <v>10</v>
      </c>
      <c r="D556">
        <v>2</v>
      </c>
      <c r="E556" t="s">
        <v>330</v>
      </c>
      <c r="F556" t="s">
        <v>622</v>
      </c>
      <c r="G556">
        <v>46</v>
      </c>
      <c r="H556">
        <v>47</v>
      </c>
      <c r="I556">
        <v>4</v>
      </c>
      <c r="J556">
        <v>1</v>
      </c>
      <c r="K556" s="9">
        <v>3</v>
      </c>
    </row>
    <row r="557" spans="1:11" x14ac:dyDescent="0.45">
      <c r="A557" t="s">
        <v>69</v>
      </c>
      <c r="B557" t="s">
        <v>654</v>
      </c>
      <c r="C557" t="s">
        <v>10</v>
      </c>
      <c r="D557">
        <v>3</v>
      </c>
      <c r="E557" t="s">
        <v>334</v>
      </c>
      <c r="F557" t="s">
        <v>622</v>
      </c>
      <c r="G557">
        <v>16</v>
      </c>
      <c r="H557">
        <v>8</v>
      </c>
      <c r="I557">
        <v>2</v>
      </c>
      <c r="J557">
        <v>1</v>
      </c>
      <c r="K557" s="9">
        <v>4.9029126213592233</v>
      </c>
    </row>
    <row r="558" spans="1:11" x14ac:dyDescent="0.45">
      <c r="A558" t="s">
        <v>69</v>
      </c>
      <c r="B558" t="s">
        <v>654</v>
      </c>
      <c r="C558" t="s">
        <v>10</v>
      </c>
      <c r="D558">
        <v>4</v>
      </c>
      <c r="E558" t="s">
        <v>331</v>
      </c>
      <c r="F558" t="s">
        <v>623</v>
      </c>
      <c r="G558">
        <v>6</v>
      </c>
      <c r="H558">
        <v>3</v>
      </c>
      <c r="I558">
        <v>1</v>
      </c>
      <c r="J558">
        <v>0</v>
      </c>
      <c r="K558" s="9">
        <v>5.6607142857142856</v>
      </c>
    </row>
    <row r="559" spans="1:11" x14ac:dyDescent="0.45">
      <c r="A559" t="s">
        <v>69</v>
      </c>
      <c r="B559" t="s">
        <v>654</v>
      </c>
      <c r="C559" t="s">
        <v>10</v>
      </c>
      <c r="D559">
        <v>5</v>
      </c>
      <c r="E559" t="s">
        <v>336</v>
      </c>
      <c r="F559" t="s">
        <v>623</v>
      </c>
      <c r="G559">
        <v>0</v>
      </c>
      <c r="H559">
        <v>1</v>
      </c>
      <c r="I559">
        <v>0</v>
      </c>
      <c r="J559">
        <v>0</v>
      </c>
      <c r="K559" s="9">
        <v>6.5693779904306222</v>
      </c>
    </row>
    <row r="560" spans="1:11" x14ac:dyDescent="0.45">
      <c r="A560" t="s">
        <v>70</v>
      </c>
      <c r="B560" t="s">
        <v>632</v>
      </c>
      <c r="C560" t="s">
        <v>23</v>
      </c>
      <c r="D560">
        <v>1</v>
      </c>
      <c r="E560" t="s">
        <v>458</v>
      </c>
      <c r="F560" t="s">
        <v>622</v>
      </c>
      <c r="G560">
        <v>41</v>
      </c>
      <c r="H560">
        <v>32</v>
      </c>
      <c r="I560">
        <v>3</v>
      </c>
      <c r="J560">
        <v>3</v>
      </c>
      <c r="K560" s="9">
        <v>3.9375</v>
      </c>
    </row>
    <row r="561" spans="1:11" x14ac:dyDescent="0.45">
      <c r="A561" t="s">
        <v>70</v>
      </c>
      <c r="B561" t="s">
        <v>632</v>
      </c>
      <c r="C561" t="s">
        <v>23</v>
      </c>
      <c r="D561">
        <v>2</v>
      </c>
      <c r="E561" t="s">
        <v>383</v>
      </c>
      <c r="F561" t="s">
        <v>622</v>
      </c>
      <c r="G561">
        <v>32</v>
      </c>
      <c r="H561">
        <v>20</v>
      </c>
      <c r="I561">
        <v>2</v>
      </c>
      <c r="J561">
        <v>2</v>
      </c>
      <c r="K561" s="9">
        <v>4.9473684210526319</v>
      </c>
    </row>
    <row r="562" spans="1:11" x14ac:dyDescent="0.45">
      <c r="A562" t="s">
        <v>70</v>
      </c>
      <c r="B562" t="s">
        <v>632</v>
      </c>
      <c r="C562" t="s">
        <v>23</v>
      </c>
      <c r="D562">
        <v>3</v>
      </c>
      <c r="E562" t="s">
        <v>386</v>
      </c>
      <c r="F562" t="s">
        <v>622</v>
      </c>
      <c r="G562">
        <v>42</v>
      </c>
      <c r="H562">
        <v>27</v>
      </c>
      <c r="I562">
        <v>5</v>
      </c>
      <c r="J562">
        <v>0</v>
      </c>
      <c r="K562" s="9">
        <v>4.25</v>
      </c>
    </row>
    <row r="563" spans="1:11" x14ac:dyDescent="0.45">
      <c r="A563" t="s">
        <v>70</v>
      </c>
      <c r="B563" t="s">
        <v>632</v>
      </c>
      <c r="C563" t="s">
        <v>23</v>
      </c>
      <c r="D563">
        <v>4</v>
      </c>
      <c r="E563" t="s">
        <v>387</v>
      </c>
      <c r="F563" t="s">
        <v>622</v>
      </c>
      <c r="G563">
        <v>35</v>
      </c>
      <c r="H563">
        <v>31</v>
      </c>
      <c r="I563">
        <v>2</v>
      </c>
      <c r="J563">
        <v>2</v>
      </c>
      <c r="K563" s="9">
        <v>3.4375</v>
      </c>
    </row>
    <row r="564" spans="1:11" x14ac:dyDescent="0.45">
      <c r="A564" t="s">
        <v>70</v>
      </c>
      <c r="B564" t="s">
        <v>632</v>
      </c>
      <c r="C564" t="s">
        <v>23</v>
      </c>
      <c r="D564">
        <v>5</v>
      </c>
      <c r="E564" t="s">
        <v>411</v>
      </c>
      <c r="F564" t="s">
        <v>623</v>
      </c>
      <c r="G564">
        <v>7</v>
      </c>
      <c r="H564">
        <v>4</v>
      </c>
      <c r="I564">
        <v>1</v>
      </c>
      <c r="J564">
        <v>0</v>
      </c>
      <c r="K564" s="9">
        <v>5.352380952380952</v>
      </c>
    </row>
    <row r="565" spans="1:11" x14ac:dyDescent="0.45">
      <c r="A565" t="s">
        <v>70</v>
      </c>
      <c r="B565" t="s">
        <v>632</v>
      </c>
      <c r="C565" t="s">
        <v>23</v>
      </c>
      <c r="D565">
        <v>6</v>
      </c>
      <c r="E565" t="s">
        <v>431</v>
      </c>
      <c r="F565" t="s">
        <v>623</v>
      </c>
      <c r="G565">
        <v>8</v>
      </c>
      <c r="H565">
        <v>7</v>
      </c>
      <c r="I565">
        <v>1</v>
      </c>
      <c r="J565">
        <v>0</v>
      </c>
      <c r="K565" s="9">
        <v>4.927835051546392</v>
      </c>
    </row>
    <row r="566" spans="1:11" x14ac:dyDescent="0.45">
      <c r="A566" t="s">
        <v>70</v>
      </c>
      <c r="B566" t="s">
        <v>632</v>
      </c>
      <c r="C566" t="s">
        <v>19</v>
      </c>
      <c r="D566">
        <v>1</v>
      </c>
      <c r="E566" t="s">
        <v>359</v>
      </c>
      <c r="F566" t="s">
        <v>622</v>
      </c>
      <c r="G566">
        <v>14</v>
      </c>
      <c r="H566">
        <v>17</v>
      </c>
      <c r="I566">
        <v>0</v>
      </c>
      <c r="J566">
        <v>1</v>
      </c>
      <c r="K566" s="9">
        <v>4.82</v>
      </c>
    </row>
    <row r="567" spans="1:11" x14ac:dyDescent="0.45">
      <c r="A567" t="s">
        <v>70</v>
      </c>
      <c r="B567" t="s">
        <v>632</v>
      </c>
      <c r="C567" t="s">
        <v>19</v>
      </c>
      <c r="D567">
        <v>2</v>
      </c>
      <c r="E567" t="s">
        <v>422</v>
      </c>
      <c r="F567" t="s">
        <v>623</v>
      </c>
      <c r="G567">
        <v>70</v>
      </c>
      <c r="H567">
        <v>50</v>
      </c>
      <c r="I567">
        <v>6</v>
      </c>
      <c r="J567">
        <v>2</v>
      </c>
      <c r="K567" s="9">
        <v>2.9047619047619047</v>
      </c>
    </row>
    <row r="568" spans="1:11" x14ac:dyDescent="0.45">
      <c r="A568" t="s">
        <v>70</v>
      </c>
      <c r="B568" t="s">
        <v>632</v>
      </c>
      <c r="C568" t="s">
        <v>19</v>
      </c>
      <c r="D568">
        <v>3</v>
      </c>
      <c r="E568" t="s">
        <v>363</v>
      </c>
      <c r="F568" t="s">
        <v>622</v>
      </c>
      <c r="G568">
        <v>16</v>
      </c>
      <c r="H568">
        <v>10</v>
      </c>
      <c r="I568">
        <v>3</v>
      </c>
      <c r="J568">
        <v>0</v>
      </c>
      <c r="K568" s="9">
        <v>4.7179487179487181</v>
      </c>
    </row>
    <row r="569" spans="1:11" x14ac:dyDescent="0.45">
      <c r="A569" t="s">
        <v>70</v>
      </c>
      <c r="B569" t="s">
        <v>632</v>
      </c>
      <c r="C569" t="s">
        <v>19</v>
      </c>
      <c r="D569">
        <v>4</v>
      </c>
      <c r="E569" t="s">
        <v>366</v>
      </c>
      <c r="F569" t="s">
        <v>622</v>
      </c>
      <c r="G569">
        <v>39</v>
      </c>
      <c r="H569">
        <v>26</v>
      </c>
      <c r="I569">
        <v>2</v>
      </c>
      <c r="J569">
        <v>2</v>
      </c>
      <c r="K569" s="9">
        <v>4.1568627450980395</v>
      </c>
    </row>
    <row r="570" spans="1:11" x14ac:dyDescent="0.45">
      <c r="A570" t="s">
        <v>70</v>
      </c>
      <c r="B570" t="s">
        <v>632</v>
      </c>
      <c r="C570" t="s">
        <v>19</v>
      </c>
      <c r="D570">
        <v>5</v>
      </c>
      <c r="E570" t="s">
        <v>362</v>
      </c>
      <c r="F570" t="s">
        <v>623</v>
      </c>
      <c r="G570">
        <v>16</v>
      </c>
      <c r="H570">
        <v>8</v>
      </c>
      <c r="I570">
        <v>2</v>
      </c>
      <c r="J570">
        <v>1</v>
      </c>
      <c r="K570" s="9">
        <v>4.9029126213592233</v>
      </c>
    </row>
    <row r="571" spans="1:11" x14ac:dyDescent="0.45">
      <c r="A571" t="s">
        <v>71</v>
      </c>
      <c r="B571" t="s">
        <v>639</v>
      </c>
      <c r="C571" t="s">
        <v>20</v>
      </c>
      <c r="D571">
        <v>1</v>
      </c>
      <c r="E571" t="s">
        <v>442</v>
      </c>
      <c r="F571" t="s">
        <v>622</v>
      </c>
      <c r="G571">
        <v>57</v>
      </c>
      <c r="H571">
        <v>55</v>
      </c>
      <c r="I571">
        <v>3</v>
      </c>
      <c r="J571">
        <v>2</v>
      </c>
      <c r="K571" s="9">
        <v>3.1875</v>
      </c>
    </row>
    <row r="572" spans="1:11" x14ac:dyDescent="0.45">
      <c r="A572" t="s">
        <v>71</v>
      </c>
      <c r="B572" t="s">
        <v>639</v>
      </c>
      <c r="C572" t="s">
        <v>20</v>
      </c>
      <c r="D572">
        <v>2</v>
      </c>
      <c r="E572" t="s">
        <v>459</v>
      </c>
      <c r="F572" t="s">
        <v>622</v>
      </c>
      <c r="G572">
        <v>7</v>
      </c>
      <c r="H572">
        <v>5</v>
      </c>
      <c r="I572">
        <v>1</v>
      </c>
      <c r="J572">
        <v>0</v>
      </c>
      <c r="K572" s="9">
        <v>5.132075471698113</v>
      </c>
    </row>
    <row r="573" spans="1:11" x14ac:dyDescent="0.45">
      <c r="A573" t="s">
        <v>71</v>
      </c>
      <c r="B573" t="s">
        <v>639</v>
      </c>
      <c r="C573" t="s">
        <v>20</v>
      </c>
      <c r="D573">
        <v>3</v>
      </c>
      <c r="E573" t="s">
        <v>374</v>
      </c>
      <c r="F573" t="s">
        <v>622</v>
      </c>
      <c r="G573">
        <v>61</v>
      </c>
      <c r="H573">
        <v>46</v>
      </c>
      <c r="I573">
        <v>5</v>
      </c>
      <c r="J573">
        <v>1</v>
      </c>
      <c r="K573" s="9">
        <v>3.4375</v>
      </c>
    </row>
    <row r="574" spans="1:11" x14ac:dyDescent="0.45">
      <c r="A574" t="s">
        <v>71</v>
      </c>
      <c r="B574" t="s">
        <v>639</v>
      </c>
      <c r="C574" t="s">
        <v>20</v>
      </c>
      <c r="D574">
        <v>4</v>
      </c>
      <c r="E574" t="s">
        <v>408</v>
      </c>
      <c r="F574" t="s">
        <v>623</v>
      </c>
      <c r="G574">
        <v>26</v>
      </c>
      <c r="H574">
        <v>10</v>
      </c>
      <c r="I574">
        <v>4</v>
      </c>
      <c r="J574">
        <v>1</v>
      </c>
      <c r="K574" s="9">
        <v>4.7179487179487181</v>
      </c>
    </row>
    <row r="575" spans="1:11" x14ac:dyDescent="0.45">
      <c r="A575" t="s">
        <v>71</v>
      </c>
      <c r="B575" t="s">
        <v>639</v>
      </c>
      <c r="C575" t="s">
        <v>20</v>
      </c>
      <c r="D575">
        <v>5</v>
      </c>
      <c r="E575" t="s">
        <v>443</v>
      </c>
      <c r="F575" t="s">
        <v>623</v>
      </c>
      <c r="G575">
        <v>12</v>
      </c>
      <c r="H575">
        <v>4</v>
      </c>
      <c r="I575">
        <v>1</v>
      </c>
      <c r="J575">
        <v>1</v>
      </c>
      <c r="K575" s="9">
        <v>5.352380952380952</v>
      </c>
    </row>
    <row r="576" spans="1:11" x14ac:dyDescent="0.45">
      <c r="A576" t="s">
        <v>71</v>
      </c>
      <c r="B576" t="s">
        <v>639</v>
      </c>
      <c r="C576" t="s">
        <v>6</v>
      </c>
      <c r="D576">
        <v>1</v>
      </c>
      <c r="E576" t="s">
        <v>290</v>
      </c>
      <c r="F576" t="s">
        <v>622</v>
      </c>
      <c r="G576">
        <v>75</v>
      </c>
      <c r="H576">
        <v>44</v>
      </c>
      <c r="I576">
        <v>12</v>
      </c>
      <c r="J576">
        <v>0</v>
      </c>
      <c r="K576" s="9">
        <v>3.35</v>
      </c>
    </row>
    <row r="577" spans="1:11" x14ac:dyDescent="0.45">
      <c r="A577" t="s">
        <v>71</v>
      </c>
      <c r="B577" t="s">
        <v>639</v>
      </c>
      <c r="C577" t="s">
        <v>6</v>
      </c>
      <c r="D577">
        <v>2</v>
      </c>
      <c r="E577" t="s">
        <v>294</v>
      </c>
      <c r="F577" t="s">
        <v>622</v>
      </c>
      <c r="G577">
        <v>56</v>
      </c>
      <c r="H577">
        <v>38</v>
      </c>
      <c r="I577">
        <v>6</v>
      </c>
      <c r="J577">
        <v>1</v>
      </c>
      <c r="K577" s="9">
        <v>3.6842105263157894</v>
      </c>
    </row>
    <row r="578" spans="1:11" x14ac:dyDescent="0.45">
      <c r="A578" t="s">
        <v>71</v>
      </c>
      <c r="B578" t="s">
        <v>639</v>
      </c>
      <c r="C578" t="s">
        <v>6</v>
      </c>
      <c r="D578">
        <v>3</v>
      </c>
      <c r="E578" t="s">
        <v>299</v>
      </c>
      <c r="F578" t="s">
        <v>622</v>
      </c>
      <c r="G578">
        <v>15</v>
      </c>
      <c r="H578">
        <v>8</v>
      </c>
      <c r="I578">
        <v>3</v>
      </c>
      <c r="J578">
        <v>0</v>
      </c>
      <c r="K578" s="9">
        <v>4.9029126213592233</v>
      </c>
    </row>
    <row r="579" spans="1:11" x14ac:dyDescent="0.45">
      <c r="A579" t="s">
        <v>71</v>
      </c>
      <c r="B579" t="s">
        <v>639</v>
      </c>
      <c r="C579" t="s">
        <v>6</v>
      </c>
      <c r="D579">
        <v>4</v>
      </c>
      <c r="E579" t="s">
        <v>328</v>
      </c>
      <c r="F579" t="s">
        <v>623</v>
      </c>
      <c r="G579">
        <v>7</v>
      </c>
      <c r="H579">
        <v>6</v>
      </c>
      <c r="I579">
        <v>1</v>
      </c>
      <c r="J579">
        <v>0</v>
      </c>
      <c r="K579" s="9">
        <v>5.4565217391304346</v>
      </c>
    </row>
    <row r="580" spans="1:11" x14ac:dyDescent="0.45">
      <c r="A580" t="s">
        <v>71</v>
      </c>
      <c r="B580" t="s">
        <v>639</v>
      </c>
      <c r="C580" t="s">
        <v>6</v>
      </c>
      <c r="D580">
        <v>5</v>
      </c>
      <c r="E580" t="s">
        <v>417</v>
      </c>
      <c r="F580" t="s">
        <v>623</v>
      </c>
      <c r="G580">
        <v>17</v>
      </c>
      <c r="H580">
        <v>15</v>
      </c>
      <c r="I580">
        <v>3</v>
      </c>
      <c r="J580">
        <v>0</v>
      </c>
      <c r="K580" s="9">
        <v>4.7777777777777777</v>
      </c>
    </row>
    <row r="581" spans="1:11" x14ac:dyDescent="0.45">
      <c r="A581" t="s">
        <v>73</v>
      </c>
      <c r="B581" t="s">
        <v>655</v>
      </c>
      <c r="C581" t="s">
        <v>13</v>
      </c>
      <c r="D581">
        <v>1</v>
      </c>
      <c r="E581" t="s">
        <v>343</v>
      </c>
      <c r="F581" t="s">
        <v>622</v>
      </c>
      <c r="G581">
        <v>12</v>
      </c>
      <c r="H581">
        <v>11</v>
      </c>
      <c r="I581">
        <v>2</v>
      </c>
      <c r="J581">
        <v>0</v>
      </c>
      <c r="K581" s="9">
        <v>4.9649122807017543</v>
      </c>
    </row>
    <row r="582" spans="1:11" x14ac:dyDescent="0.45">
      <c r="A582" t="s">
        <v>73</v>
      </c>
      <c r="B582" t="s">
        <v>655</v>
      </c>
      <c r="C582" t="s">
        <v>13</v>
      </c>
      <c r="D582">
        <v>2</v>
      </c>
      <c r="E582" t="s">
        <v>342</v>
      </c>
      <c r="F582" t="s">
        <v>622</v>
      </c>
      <c r="G582">
        <v>17</v>
      </c>
      <c r="H582">
        <v>14</v>
      </c>
      <c r="I582">
        <v>3</v>
      </c>
      <c r="J582">
        <v>0</v>
      </c>
      <c r="K582" s="9">
        <v>4.8461538461538458</v>
      </c>
    </row>
    <row r="583" spans="1:11" x14ac:dyDescent="0.45">
      <c r="A583" t="s">
        <v>73</v>
      </c>
      <c r="B583" t="s">
        <v>655</v>
      </c>
      <c r="C583" t="s">
        <v>13</v>
      </c>
      <c r="D583">
        <v>3</v>
      </c>
      <c r="E583" t="s">
        <v>463</v>
      </c>
      <c r="F583" t="s">
        <v>622</v>
      </c>
      <c r="G583">
        <v>31</v>
      </c>
      <c r="H583">
        <v>22</v>
      </c>
      <c r="I583">
        <v>0</v>
      </c>
      <c r="J583">
        <v>2</v>
      </c>
      <c r="K583" s="9">
        <v>4.4423076923076925</v>
      </c>
    </row>
    <row r="584" spans="1:11" x14ac:dyDescent="0.45">
      <c r="A584" t="s">
        <v>73</v>
      </c>
      <c r="B584" t="s">
        <v>655</v>
      </c>
      <c r="C584" t="s">
        <v>13</v>
      </c>
      <c r="D584">
        <v>4</v>
      </c>
      <c r="E584" t="s">
        <v>345</v>
      </c>
      <c r="F584" t="s">
        <v>622</v>
      </c>
      <c r="G584">
        <v>25</v>
      </c>
      <c r="H584">
        <v>20</v>
      </c>
      <c r="I584">
        <v>1</v>
      </c>
      <c r="J584">
        <v>2</v>
      </c>
      <c r="K584" s="9">
        <v>4.9473684210526319</v>
      </c>
    </row>
    <row r="585" spans="1:11" x14ac:dyDescent="0.45">
      <c r="A585" t="s">
        <v>73</v>
      </c>
      <c r="B585" t="s">
        <v>655</v>
      </c>
      <c r="C585" t="s">
        <v>13</v>
      </c>
      <c r="D585">
        <v>5</v>
      </c>
      <c r="E585" t="s">
        <v>346</v>
      </c>
      <c r="F585" t="s">
        <v>623</v>
      </c>
      <c r="G585">
        <v>75</v>
      </c>
      <c r="H585">
        <v>42</v>
      </c>
      <c r="I585">
        <v>3</v>
      </c>
      <c r="J585">
        <v>5</v>
      </c>
      <c r="K585" s="9">
        <v>3.3913043478260869</v>
      </c>
    </row>
    <row r="586" spans="1:11" x14ac:dyDescent="0.45">
      <c r="A586" t="s">
        <v>73</v>
      </c>
      <c r="B586" t="s">
        <v>655</v>
      </c>
      <c r="C586" t="s">
        <v>13</v>
      </c>
      <c r="D586">
        <v>6</v>
      </c>
      <c r="E586" t="s">
        <v>467</v>
      </c>
      <c r="F586" t="s">
        <v>622</v>
      </c>
      <c r="G586">
        <v>6</v>
      </c>
      <c r="H586">
        <v>9</v>
      </c>
      <c r="I586">
        <v>0</v>
      </c>
      <c r="J586">
        <v>0</v>
      </c>
      <c r="K586" s="9">
        <v>4.924050632911392</v>
      </c>
    </row>
    <row r="587" spans="1:11" x14ac:dyDescent="0.45">
      <c r="A587" t="s">
        <v>73</v>
      </c>
      <c r="B587" t="s">
        <v>655</v>
      </c>
      <c r="C587" t="s">
        <v>13</v>
      </c>
      <c r="D587">
        <v>7</v>
      </c>
      <c r="E587" t="s">
        <v>464</v>
      </c>
      <c r="F587" t="s">
        <v>623</v>
      </c>
      <c r="G587">
        <v>3</v>
      </c>
      <c r="H587">
        <v>2</v>
      </c>
      <c r="I587">
        <v>0</v>
      </c>
      <c r="J587">
        <v>0</v>
      </c>
      <c r="K587" s="9">
        <v>6.1385542168674698</v>
      </c>
    </row>
    <row r="588" spans="1:11" x14ac:dyDescent="0.45">
      <c r="A588" t="s">
        <v>73</v>
      </c>
      <c r="B588" t="s">
        <v>655</v>
      </c>
      <c r="C588" t="s">
        <v>10</v>
      </c>
      <c r="D588">
        <v>1</v>
      </c>
      <c r="E588" t="s">
        <v>329</v>
      </c>
      <c r="F588" t="s">
        <v>622</v>
      </c>
      <c r="G588">
        <v>21</v>
      </c>
      <c r="H588">
        <v>18</v>
      </c>
      <c r="I588">
        <v>3</v>
      </c>
      <c r="J588">
        <v>0</v>
      </c>
      <c r="K588" s="9">
        <v>4.375</v>
      </c>
    </row>
    <row r="589" spans="1:11" x14ac:dyDescent="0.45">
      <c r="A589" t="s">
        <v>73</v>
      </c>
      <c r="B589" t="s">
        <v>655</v>
      </c>
      <c r="C589" t="s">
        <v>10</v>
      </c>
      <c r="D589">
        <v>2</v>
      </c>
      <c r="E589" t="s">
        <v>330</v>
      </c>
      <c r="F589" t="s">
        <v>622</v>
      </c>
      <c r="G589">
        <v>6</v>
      </c>
      <c r="H589">
        <v>7</v>
      </c>
      <c r="I589">
        <v>1</v>
      </c>
      <c r="J589">
        <v>0</v>
      </c>
      <c r="K589" s="9">
        <v>4.927835051546392</v>
      </c>
    </row>
    <row r="590" spans="1:11" x14ac:dyDescent="0.45">
      <c r="A590" t="s">
        <v>73</v>
      </c>
      <c r="B590" t="s">
        <v>655</v>
      </c>
      <c r="C590" t="s">
        <v>10</v>
      </c>
      <c r="D590">
        <v>3</v>
      </c>
      <c r="E590" t="s">
        <v>424</v>
      </c>
      <c r="F590" t="s">
        <v>622</v>
      </c>
      <c r="G590">
        <v>4</v>
      </c>
      <c r="H590">
        <v>5</v>
      </c>
      <c r="I590">
        <v>1</v>
      </c>
      <c r="J590">
        <v>0</v>
      </c>
      <c r="K590" s="9">
        <v>5.132075471698113</v>
      </c>
    </row>
    <row r="591" spans="1:11" x14ac:dyDescent="0.45">
      <c r="A591" t="s">
        <v>73</v>
      </c>
      <c r="B591" t="s">
        <v>655</v>
      </c>
      <c r="C591" t="s">
        <v>10</v>
      </c>
      <c r="D591">
        <v>4</v>
      </c>
      <c r="E591" t="s">
        <v>334</v>
      </c>
      <c r="F591" t="s">
        <v>623</v>
      </c>
      <c r="G591">
        <v>58</v>
      </c>
      <c r="H591">
        <v>48</v>
      </c>
      <c r="I591">
        <v>6</v>
      </c>
      <c r="J591">
        <v>0</v>
      </c>
      <c r="K591" s="9">
        <v>3.2105263157894739</v>
      </c>
    </row>
    <row r="592" spans="1:11" x14ac:dyDescent="0.45">
      <c r="A592" t="s">
        <v>73</v>
      </c>
      <c r="B592" t="s">
        <v>655</v>
      </c>
      <c r="C592" t="s">
        <v>10</v>
      </c>
      <c r="D592">
        <v>5</v>
      </c>
      <c r="E592" t="s">
        <v>331</v>
      </c>
      <c r="F592" t="s">
        <v>622</v>
      </c>
      <c r="G592">
        <v>22</v>
      </c>
      <c r="H592">
        <v>17</v>
      </c>
      <c r="I592">
        <v>3</v>
      </c>
      <c r="J592">
        <v>0</v>
      </c>
      <c r="K592" s="9">
        <v>4.82</v>
      </c>
    </row>
    <row r="593" spans="1:11" x14ac:dyDescent="0.45">
      <c r="A593" t="s">
        <v>73</v>
      </c>
      <c r="B593" t="s">
        <v>655</v>
      </c>
      <c r="C593" t="s">
        <v>10</v>
      </c>
      <c r="D593">
        <v>6</v>
      </c>
      <c r="E593" t="s">
        <v>336</v>
      </c>
      <c r="F593" t="s">
        <v>623</v>
      </c>
      <c r="G593">
        <v>53</v>
      </c>
      <c r="H593">
        <v>25</v>
      </c>
      <c r="I593">
        <v>2</v>
      </c>
      <c r="J593">
        <v>4</v>
      </c>
      <c r="K593" s="9">
        <v>4.4782608695652177</v>
      </c>
    </row>
    <row r="594" spans="1:11" x14ac:dyDescent="0.45">
      <c r="A594" t="s">
        <v>74</v>
      </c>
      <c r="B594" t="s">
        <v>656</v>
      </c>
      <c r="C594" t="s">
        <v>26</v>
      </c>
      <c r="D594">
        <v>1</v>
      </c>
      <c r="E594" t="s">
        <v>397</v>
      </c>
      <c r="F594" t="s">
        <v>622</v>
      </c>
      <c r="G594">
        <v>19</v>
      </c>
      <c r="H594">
        <v>20</v>
      </c>
      <c r="I594">
        <v>2</v>
      </c>
      <c r="J594">
        <v>1</v>
      </c>
      <c r="K594" s="9">
        <v>4.9473684210526319</v>
      </c>
    </row>
    <row r="595" spans="1:11" x14ac:dyDescent="0.45">
      <c r="A595" t="s">
        <v>74</v>
      </c>
      <c r="B595" t="s">
        <v>656</v>
      </c>
      <c r="C595" t="s">
        <v>26</v>
      </c>
      <c r="D595">
        <v>2</v>
      </c>
      <c r="E595" t="s">
        <v>398</v>
      </c>
      <c r="F595" t="s">
        <v>622</v>
      </c>
      <c r="G595">
        <v>31</v>
      </c>
      <c r="H595">
        <v>34</v>
      </c>
      <c r="I595">
        <v>1</v>
      </c>
      <c r="J595">
        <v>2</v>
      </c>
      <c r="K595" s="9">
        <v>4.4137931034482758</v>
      </c>
    </row>
    <row r="596" spans="1:11" x14ac:dyDescent="0.45">
      <c r="A596" t="s">
        <v>74</v>
      </c>
      <c r="B596" t="s">
        <v>656</v>
      </c>
      <c r="C596" t="s">
        <v>26</v>
      </c>
      <c r="D596">
        <v>3</v>
      </c>
      <c r="E596" t="s">
        <v>434</v>
      </c>
      <c r="F596" t="s">
        <v>622</v>
      </c>
      <c r="G596">
        <v>0</v>
      </c>
      <c r="H596">
        <v>1</v>
      </c>
      <c r="I596">
        <v>0</v>
      </c>
      <c r="J596">
        <v>0</v>
      </c>
      <c r="K596" s="9">
        <v>6.5693779904306222</v>
      </c>
    </row>
    <row r="597" spans="1:11" x14ac:dyDescent="0.45">
      <c r="A597" t="s">
        <v>74</v>
      </c>
      <c r="B597" t="s">
        <v>656</v>
      </c>
      <c r="C597" t="s">
        <v>26</v>
      </c>
      <c r="D597">
        <v>4</v>
      </c>
      <c r="E597" t="s">
        <v>426</v>
      </c>
      <c r="F597" t="s">
        <v>622</v>
      </c>
      <c r="G597">
        <v>1</v>
      </c>
      <c r="H597">
        <v>4</v>
      </c>
      <c r="I597">
        <v>0</v>
      </c>
      <c r="J597">
        <v>0</v>
      </c>
      <c r="K597" s="9">
        <v>5.352380952380952</v>
      </c>
    </row>
    <row r="598" spans="1:11" x14ac:dyDescent="0.45">
      <c r="A598" t="s">
        <v>74</v>
      </c>
      <c r="B598" t="s">
        <v>656</v>
      </c>
      <c r="C598" t="s">
        <v>26</v>
      </c>
      <c r="D598">
        <v>5</v>
      </c>
      <c r="E598" t="s">
        <v>416</v>
      </c>
      <c r="F598" t="s">
        <v>622</v>
      </c>
      <c r="G598">
        <v>19</v>
      </c>
      <c r="H598">
        <v>19</v>
      </c>
      <c r="I598">
        <v>1</v>
      </c>
      <c r="J598">
        <v>1</v>
      </c>
      <c r="K598" s="9">
        <v>4.5660377358490569</v>
      </c>
    </row>
    <row r="599" spans="1:11" x14ac:dyDescent="0.45">
      <c r="A599" t="s">
        <v>74</v>
      </c>
      <c r="B599" t="s">
        <v>656</v>
      </c>
      <c r="C599" t="s">
        <v>26</v>
      </c>
      <c r="D599">
        <v>6</v>
      </c>
      <c r="E599" t="s">
        <v>402</v>
      </c>
      <c r="F599" t="s">
        <v>622</v>
      </c>
      <c r="G599">
        <v>2</v>
      </c>
      <c r="H599">
        <v>3</v>
      </c>
      <c r="I599">
        <v>0</v>
      </c>
      <c r="J599">
        <v>0</v>
      </c>
      <c r="K599" s="9">
        <v>5.6607142857142856</v>
      </c>
    </row>
    <row r="600" spans="1:11" x14ac:dyDescent="0.45">
      <c r="A600" t="s">
        <v>74</v>
      </c>
      <c r="B600" t="s">
        <v>656</v>
      </c>
      <c r="C600" t="s">
        <v>26</v>
      </c>
      <c r="D600">
        <v>7</v>
      </c>
      <c r="E600" t="s">
        <v>400</v>
      </c>
      <c r="F600" t="s">
        <v>622</v>
      </c>
      <c r="G600">
        <v>13</v>
      </c>
      <c r="H600">
        <v>14</v>
      </c>
      <c r="I600">
        <v>0</v>
      </c>
      <c r="J600">
        <v>1</v>
      </c>
      <c r="K600" s="9">
        <v>4.8461538461538458</v>
      </c>
    </row>
    <row r="601" spans="1:11" x14ac:dyDescent="0.45">
      <c r="A601" t="s">
        <v>74</v>
      </c>
      <c r="B601" t="s">
        <v>656</v>
      </c>
      <c r="C601" t="s">
        <v>26</v>
      </c>
      <c r="D601">
        <v>8</v>
      </c>
      <c r="E601" t="s">
        <v>406</v>
      </c>
      <c r="F601" t="s">
        <v>622</v>
      </c>
      <c r="G601">
        <v>30</v>
      </c>
      <c r="H601">
        <v>18</v>
      </c>
      <c r="I601">
        <v>1</v>
      </c>
      <c r="J601">
        <v>3</v>
      </c>
      <c r="K601" s="9">
        <v>4.375</v>
      </c>
    </row>
    <row r="602" spans="1:11" x14ac:dyDescent="0.45">
      <c r="A602" t="s">
        <v>74</v>
      </c>
      <c r="B602" t="s">
        <v>656</v>
      </c>
      <c r="C602" t="s">
        <v>26</v>
      </c>
      <c r="D602">
        <v>9</v>
      </c>
      <c r="E602" t="s">
        <v>407</v>
      </c>
      <c r="F602" t="s">
        <v>622</v>
      </c>
      <c r="G602">
        <v>1</v>
      </c>
      <c r="H602">
        <v>4</v>
      </c>
      <c r="I602">
        <v>0</v>
      </c>
      <c r="J602">
        <v>0</v>
      </c>
      <c r="K602" s="9">
        <v>5.352380952380952</v>
      </c>
    </row>
    <row r="603" spans="1:11" x14ac:dyDescent="0.45">
      <c r="A603" t="s">
        <v>74</v>
      </c>
      <c r="B603" t="s">
        <v>656</v>
      </c>
      <c r="C603" t="s">
        <v>26</v>
      </c>
      <c r="D603">
        <v>10</v>
      </c>
      <c r="E603" t="s">
        <v>403</v>
      </c>
      <c r="F603" t="s">
        <v>623</v>
      </c>
      <c r="G603">
        <v>1</v>
      </c>
      <c r="H603">
        <v>2</v>
      </c>
      <c r="I603">
        <v>0</v>
      </c>
      <c r="J603">
        <v>0</v>
      </c>
      <c r="K603" s="9">
        <v>6.1385542168674698</v>
      </c>
    </row>
    <row r="604" spans="1:11" x14ac:dyDescent="0.45">
      <c r="A604" t="s">
        <v>74</v>
      </c>
      <c r="B604" t="s">
        <v>656</v>
      </c>
      <c r="C604" t="s">
        <v>26</v>
      </c>
      <c r="D604">
        <v>11</v>
      </c>
      <c r="E604" t="s">
        <v>405</v>
      </c>
      <c r="F604" t="s">
        <v>623</v>
      </c>
      <c r="G604">
        <v>1</v>
      </c>
      <c r="H604">
        <v>1</v>
      </c>
      <c r="I604">
        <v>0</v>
      </c>
      <c r="J604">
        <v>0</v>
      </c>
      <c r="K604" s="9">
        <v>6.5693779904306222</v>
      </c>
    </row>
    <row r="605" spans="1:11" x14ac:dyDescent="0.45">
      <c r="A605" t="s">
        <v>74</v>
      </c>
      <c r="B605" t="s">
        <v>656</v>
      </c>
      <c r="C605" t="s">
        <v>7</v>
      </c>
      <c r="D605">
        <v>1</v>
      </c>
      <c r="E605" t="s">
        <v>302</v>
      </c>
      <c r="F605" t="s">
        <v>622</v>
      </c>
      <c r="G605">
        <v>9</v>
      </c>
      <c r="H605">
        <v>8</v>
      </c>
      <c r="I605">
        <v>2</v>
      </c>
      <c r="J605">
        <v>0</v>
      </c>
      <c r="K605" s="9">
        <v>4.9029126213592233</v>
      </c>
    </row>
    <row r="606" spans="1:11" x14ac:dyDescent="0.45">
      <c r="A606" t="s">
        <v>74</v>
      </c>
      <c r="B606" t="s">
        <v>656</v>
      </c>
      <c r="C606" t="s">
        <v>7</v>
      </c>
      <c r="D606">
        <v>2</v>
      </c>
      <c r="E606" t="s">
        <v>306</v>
      </c>
      <c r="F606" t="s">
        <v>622</v>
      </c>
      <c r="G606">
        <v>0</v>
      </c>
      <c r="H606">
        <v>1</v>
      </c>
      <c r="I606">
        <v>0</v>
      </c>
      <c r="J606">
        <v>0</v>
      </c>
      <c r="K606" s="9">
        <v>6.5693779904306222</v>
      </c>
    </row>
    <row r="607" spans="1:11" x14ac:dyDescent="0.45">
      <c r="A607" t="s">
        <v>74</v>
      </c>
      <c r="B607" t="s">
        <v>656</v>
      </c>
      <c r="C607" t="s">
        <v>7</v>
      </c>
      <c r="D607">
        <v>3</v>
      </c>
      <c r="E607" t="s">
        <v>315</v>
      </c>
      <c r="F607" t="s">
        <v>622</v>
      </c>
      <c r="G607">
        <v>41</v>
      </c>
      <c r="H607">
        <v>32</v>
      </c>
      <c r="I607">
        <v>7</v>
      </c>
      <c r="J607">
        <v>0</v>
      </c>
      <c r="K607" s="9">
        <v>3.9375</v>
      </c>
    </row>
    <row r="608" spans="1:11" x14ac:dyDescent="0.45">
      <c r="A608" t="s">
        <v>74</v>
      </c>
      <c r="B608" t="s">
        <v>656</v>
      </c>
      <c r="C608" t="s">
        <v>7</v>
      </c>
      <c r="D608">
        <v>4</v>
      </c>
      <c r="E608" t="s">
        <v>308</v>
      </c>
      <c r="F608" t="s">
        <v>622</v>
      </c>
      <c r="G608">
        <v>0</v>
      </c>
      <c r="H608">
        <v>4</v>
      </c>
      <c r="I608">
        <v>0</v>
      </c>
      <c r="J608">
        <v>0</v>
      </c>
      <c r="K608" s="9">
        <v>5.352380952380952</v>
      </c>
    </row>
    <row r="609" spans="1:11" x14ac:dyDescent="0.45">
      <c r="A609" t="s">
        <v>74</v>
      </c>
      <c r="B609" t="s">
        <v>656</v>
      </c>
      <c r="C609" t="s">
        <v>7</v>
      </c>
      <c r="D609">
        <v>5</v>
      </c>
      <c r="E609" t="s">
        <v>310</v>
      </c>
      <c r="F609" t="s">
        <v>623</v>
      </c>
      <c r="G609">
        <v>47</v>
      </c>
      <c r="H609">
        <v>40</v>
      </c>
      <c r="I609">
        <v>4</v>
      </c>
      <c r="J609">
        <v>2</v>
      </c>
      <c r="K609" s="9">
        <v>4</v>
      </c>
    </row>
    <row r="610" spans="1:11" x14ac:dyDescent="0.45">
      <c r="A610" t="s">
        <v>74</v>
      </c>
      <c r="B610" t="s">
        <v>656</v>
      </c>
      <c r="C610" t="s">
        <v>7</v>
      </c>
      <c r="D610">
        <v>6</v>
      </c>
      <c r="E610" t="s">
        <v>440</v>
      </c>
      <c r="F610" t="s">
        <v>622</v>
      </c>
      <c r="G610">
        <v>10</v>
      </c>
      <c r="H610">
        <v>9</v>
      </c>
      <c r="I610">
        <v>2</v>
      </c>
      <c r="J610">
        <v>0</v>
      </c>
      <c r="K610" s="9">
        <v>4.924050632911392</v>
      </c>
    </row>
    <row r="611" spans="1:11" x14ac:dyDescent="0.45">
      <c r="A611" t="s">
        <v>74</v>
      </c>
      <c r="B611" t="s">
        <v>656</v>
      </c>
      <c r="C611" t="s">
        <v>7</v>
      </c>
      <c r="D611">
        <v>7</v>
      </c>
      <c r="E611" t="s">
        <v>311</v>
      </c>
      <c r="F611" t="s">
        <v>623</v>
      </c>
      <c r="G611">
        <v>12</v>
      </c>
      <c r="H611">
        <v>6</v>
      </c>
      <c r="I611">
        <v>2</v>
      </c>
      <c r="J611">
        <v>0</v>
      </c>
      <c r="K611" s="9">
        <v>5.4565217391304346</v>
      </c>
    </row>
    <row r="612" spans="1:11" x14ac:dyDescent="0.45">
      <c r="A612" t="s">
        <v>76</v>
      </c>
      <c r="B612" t="s">
        <v>657</v>
      </c>
      <c r="C612" t="s">
        <v>6</v>
      </c>
      <c r="D612">
        <v>1</v>
      </c>
      <c r="E612" t="s">
        <v>290</v>
      </c>
      <c r="F612" t="s">
        <v>622</v>
      </c>
      <c r="G612">
        <v>33</v>
      </c>
      <c r="H612">
        <v>25</v>
      </c>
      <c r="I612">
        <v>4</v>
      </c>
      <c r="J612">
        <v>1</v>
      </c>
      <c r="K612" s="9">
        <v>4.4782608695652177</v>
      </c>
    </row>
    <row r="613" spans="1:11" x14ac:dyDescent="0.45">
      <c r="A613" t="s">
        <v>76</v>
      </c>
      <c r="B613" t="s">
        <v>657</v>
      </c>
      <c r="C613" t="s">
        <v>6</v>
      </c>
      <c r="D613">
        <v>2</v>
      </c>
      <c r="E613" t="s">
        <v>294</v>
      </c>
      <c r="F613" t="s">
        <v>622</v>
      </c>
      <c r="G613">
        <v>50</v>
      </c>
      <c r="H613">
        <v>41</v>
      </c>
      <c r="I613">
        <v>5</v>
      </c>
      <c r="J613">
        <v>1</v>
      </c>
      <c r="K613" s="9">
        <v>3.0909090909090908</v>
      </c>
    </row>
    <row r="614" spans="1:11" x14ac:dyDescent="0.45">
      <c r="A614" t="s">
        <v>76</v>
      </c>
      <c r="B614" t="s">
        <v>657</v>
      </c>
      <c r="C614" t="s">
        <v>6</v>
      </c>
      <c r="D614">
        <v>3</v>
      </c>
      <c r="E614" t="s">
        <v>417</v>
      </c>
      <c r="F614" t="s">
        <v>622</v>
      </c>
      <c r="G614">
        <v>24</v>
      </c>
      <c r="H614">
        <v>18</v>
      </c>
      <c r="I614">
        <v>1</v>
      </c>
      <c r="J614">
        <v>3</v>
      </c>
      <c r="K614" s="9">
        <v>4.375</v>
      </c>
    </row>
    <row r="615" spans="1:11" x14ac:dyDescent="0.45">
      <c r="A615" t="s">
        <v>76</v>
      </c>
      <c r="B615" t="s">
        <v>657</v>
      </c>
      <c r="C615" t="s">
        <v>6</v>
      </c>
      <c r="D615">
        <v>4</v>
      </c>
      <c r="E615" t="s">
        <v>355</v>
      </c>
      <c r="F615" t="s">
        <v>622</v>
      </c>
      <c r="G615">
        <v>14</v>
      </c>
      <c r="H615">
        <v>7</v>
      </c>
      <c r="I615">
        <v>1</v>
      </c>
      <c r="J615">
        <v>1</v>
      </c>
      <c r="K615" s="9">
        <v>4.927835051546392</v>
      </c>
    </row>
    <row r="616" spans="1:11" x14ac:dyDescent="0.45">
      <c r="A616" t="s">
        <v>76</v>
      </c>
      <c r="B616" t="s">
        <v>657</v>
      </c>
      <c r="C616" t="s">
        <v>6</v>
      </c>
      <c r="D616">
        <v>5</v>
      </c>
      <c r="E616" t="s">
        <v>328</v>
      </c>
      <c r="F616" t="s">
        <v>623</v>
      </c>
      <c r="G616">
        <v>62</v>
      </c>
      <c r="H616">
        <v>28</v>
      </c>
      <c r="I616">
        <v>4</v>
      </c>
      <c r="J616">
        <v>5</v>
      </c>
      <c r="K616" s="9">
        <v>3.806451612903226</v>
      </c>
    </row>
    <row r="617" spans="1:11" x14ac:dyDescent="0.45">
      <c r="A617" t="s">
        <v>76</v>
      </c>
      <c r="B617" t="s">
        <v>657</v>
      </c>
      <c r="C617" t="s">
        <v>6</v>
      </c>
      <c r="D617">
        <v>6</v>
      </c>
      <c r="E617" t="s">
        <v>356</v>
      </c>
      <c r="F617" t="s">
        <v>623</v>
      </c>
      <c r="G617">
        <v>2</v>
      </c>
      <c r="H617">
        <v>3</v>
      </c>
      <c r="I617">
        <v>0</v>
      </c>
      <c r="J617">
        <v>0</v>
      </c>
      <c r="K617" s="9">
        <v>5.6607142857142856</v>
      </c>
    </row>
    <row r="618" spans="1:11" x14ac:dyDescent="0.45">
      <c r="A618" t="s">
        <v>76</v>
      </c>
      <c r="B618" t="s">
        <v>657</v>
      </c>
      <c r="C618" t="s">
        <v>13</v>
      </c>
      <c r="D618">
        <v>1</v>
      </c>
      <c r="E618" t="s">
        <v>343</v>
      </c>
      <c r="F618" t="s">
        <v>622</v>
      </c>
      <c r="G618">
        <v>8</v>
      </c>
      <c r="H618">
        <v>7</v>
      </c>
      <c r="I618">
        <v>1</v>
      </c>
      <c r="J618">
        <v>0</v>
      </c>
      <c r="K618" s="9">
        <v>4.927835051546392</v>
      </c>
    </row>
    <row r="619" spans="1:11" x14ac:dyDescent="0.45">
      <c r="A619" t="s">
        <v>76</v>
      </c>
      <c r="B619" t="s">
        <v>657</v>
      </c>
      <c r="C619" t="s">
        <v>13</v>
      </c>
      <c r="D619">
        <v>2</v>
      </c>
      <c r="E619" t="s">
        <v>342</v>
      </c>
      <c r="F619" t="s">
        <v>622</v>
      </c>
      <c r="G619">
        <v>34</v>
      </c>
      <c r="H619">
        <v>15</v>
      </c>
      <c r="I619">
        <v>4</v>
      </c>
      <c r="J619">
        <v>2</v>
      </c>
      <c r="K619" s="9">
        <v>4.7777777777777777</v>
      </c>
    </row>
    <row r="620" spans="1:11" x14ac:dyDescent="0.45">
      <c r="A620" t="s">
        <v>76</v>
      </c>
      <c r="B620" t="s">
        <v>657</v>
      </c>
      <c r="C620" t="s">
        <v>13</v>
      </c>
      <c r="D620">
        <v>3</v>
      </c>
      <c r="E620" t="s">
        <v>467</v>
      </c>
      <c r="F620" t="s">
        <v>622</v>
      </c>
      <c r="G620">
        <v>7</v>
      </c>
      <c r="H620">
        <v>11</v>
      </c>
      <c r="I620">
        <v>1</v>
      </c>
      <c r="J620">
        <v>0</v>
      </c>
      <c r="K620" s="9">
        <v>4.9649122807017543</v>
      </c>
    </row>
    <row r="621" spans="1:11" x14ac:dyDescent="0.45">
      <c r="A621" t="s">
        <v>76</v>
      </c>
      <c r="B621" t="s">
        <v>657</v>
      </c>
      <c r="C621" t="s">
        <v>13</v>
      </c>
      <c r="D621">
        <v>4</v>
      </c>
      <c r="E621" t="s">
        <v>345</v>
      </c>
      <c r="F621" t="s">
        <v>622</v>
      </c>
      <c r="G621">
        <v>22</v>
      </c>
      <c r="H621">
        <v>15</v>
      </c>
      <c r="I621">
        <v>3</v>
      </c>
      <c r="J621">
        <v>0</v>
      </c>
      <c r="K621" s="9">
        <v>4.7777777777777777</v>
      </c>
    </row>
    <row r="622" spans="1:11" x14ac:dyDescent="0.45">
      <c r="A622" t="s">
        <v>76</v>
      </c>
      <c r="B622" t="s">
        <v>657</v>
      </c>
      <c r="C622" t="s">
        <v>13</v>
      </c>
      <c r="D622">
        <v>5</v>
      </c>
      <c r="E622" t="s">
        <v>346</v>
      </c>
      <c r="F622" t="s">
        <v>622</v>
      </c>
      <c r="G622">
        <v>4</v>
      </c>
      <c r="H622">
        <v>9</v>
      </c>
      <c r="I622">
        <v>0</v>
      </c>
      <c r="J622">
        <v>0</v>
      </c>
      <c r="K622" s="9">
        <v>4.924050632911392</v>
      </c>
    </row>
    <row r="623" spans="1:11" x14ac:dyDescent="0.45">
      <c r="A623" t="s">
        <v>76</v>
      </c>
      <c r="B623" t="s">
        <v>657</v>
      </c>
      <c r="C623" t="s">
        <v>13</v>
      </c>
      <c r="D623">
        <v>6</v>
      </c>
      <c r="E623" t="s">
        <v>348</v>
      </c>
      <c r="F623" t="s">
        <v>622</v>
      </c>
      <c r="G623">
        <v>1</v>
      </c>
      <c r="H623">
        <v>3</v>
      </c>
      <c r="I623">
        <v>0</v>
      </c>
      <c r="J623">
        <v>0</v>
      </c>
      <c r="K623" s="9">
        <v>5.6607142857142856</v>
      </c>
    </row>
    <row r="624" spans="1:11" x14ac:dyDescent="0.45">
      <c r="A624" t="s">
        <v>76</v>
      </c>
      <c r="B624" t="s">
        <v>657</v>
      </c>
      <c r="C624" t="s">
        <v>13</v>
      </c>
      <c r="D624">
        <v>7</v>
      </c>
      <c r="E624" t="s">
        <v>438</v>
      </c>
      <c r="F624" t="s">
        <v>622</v>
      </c>
      <c r="G624">
        <v>16</v>
      </c>
      <c r="H624">
        <v>13</v>
      </c>
      <c r="I624">
        <v>1</v>
      </c>
      <c r="J624">
        <v>1</v>
      </c>
      <c r="K624" s="9">
        <v>4.8939393939393936</v>
      </c>
    </row>
    <row r="625" spans="1:11" x14ac:dyDescent="0.45">
      <c r="A625" t="s">
        <v>76</v>
      </c>
      <c r="B625" t="s">
        <v>657</v>
      </c>
      <c r="C625" t="s">
        <v>13</v>
      </c>
      <c r="D625">
        <v>8</v>
      </c>
      <c r="E625" t="s">
        <v>349</v>
      </c>
      <c r="F625" t="s">
        <v>622</v>
      </c>
      <c r="G625">
        <v>0</v>
      </c>
      <c r="H625">
        <v>8</v>
      </c>
      <c r="I625">
        <v>0</v>
      </c>
      <c r="J625">
        <v>0</v>
      </c>
      <c r="K625" s="9">
        <v>4.9029126213592233</v>
      </c>
    </row>
    <row r="626" spans="1:11" x14ac:dyDescent="0.45">
      <c r="A626" t="s">
        <v>76</v>
      </c>
      <c r="B626" t="s">
        <v>657</v>
      </c>
      <c r="C626" t="s">
        <v>13</v>
      </c>
      <c r="D626">
        <v>9</v>
      </c>
      <c r="E626" t="s">
        <v>449</v>
      </c>
      <c r="F626" t="s">
        <v>622</v>
      </c>
      <c r="G626">
        <v>2</v>
      </c>
      <c r="H626">
        <v>4</v>
      </c>
      <c r="I626">
        <v>0</v>
      </c>
      <c r="J626">
        <v>0</v>
      </c>
      <c r="K626" s="9">
        <v>5.352380952380952</v>
      </c>
    </row>
    <row r="627" spans="1:11" x14ac:dyDescent="0.45">
      <c r="A627" t="s">
        <v>76</v>
      </c>
      <c r="B627" t="s">
        <v>657</v>
      </c>
      <c r="C627" t="s">
        <v>13</v>
      </c>
      <c r="D627">
        <v>10</v>
      </c>
      <c r="E627" t="s">
        <v>353</v>
      </c>
      <c r="F627" t="s">
        <v>623</v>
      </c>
      <c r="G627">
        <v>8</v>
      </c>
      <c r="H627">
        <v>21</v>
      </c>
      <c r="I627">
        <v>0</v>
      </c>
      <c r="J627">
        <v>0</v>
      </c>
      <c r="K627" s="9">
        <v>4.3770491803278686</v>
      </c>
    </row>
    <row r="628" spans="1:11" x14ac:dyDescent="0.45">
      <c r="A628" t="s">
        <v>76</v>
      </c>
      <c r="B628" t="s">
        <v>657</v>
      </c>
      <c r="C628" t="s">
        <v>13</v>
      </c>
      <c r="D628">
        <v>11</v>
      </c>
      <c r="E628" t="s">
        <v>352</v>
      </c>
      <c r="F628" t="s">
        <v>623</v>
      </c>
      <c r="G628">
        <v>12</v>
      </c>
      <c r="H628">
        <v>14</v>
      </c>
      <c r="I628">
        <v>0</v>
      </c>
      <c r="J628">
        <v>1</v>
      </c>
      <c r="K628" s="9">
        <v>4.8461538461538458</v>
      </c>
    </row>
    <row r="629" spans="1:11" x14ac:dyDescent="0.45">
      <c r="A629" t="s">
        <v>77</v>
      </c>
      <c r="B629" t="s">
        <v>629</v>
      </c>
      <c r="C629" t="s">
        <v>7</v>
      </c>
      <c r="D629">
        <v>1</v>
      </c>
      <c r="E629" t="s">
        <v>306</v>
      </c>
      <c r="F629" t="s">
        <v>622</v>
      </c>
      <c r="G629">
        <v>22</v>
      </c>
      <c r="H629">
        <v>25</v>
      </c>
      <c r="I629">
        <v>1</v>
      </c>
      <c r="J629">
        <v>1</v>
      </c>
      <c r="K629" s="9">
        <v>4.4782608695652177</v>
      </c>
    </row>
    <row r="630" spans="1:11" x14ac:dyDescent="0.45">
      <c r="A630" t="s">
        <v>77</v>
      </c>
      <c r="B630" t="s">
        <v>629</v>
      </c>
      <c r="C630" t="s">
        <v>7</v>
      </c>
      <c r="D630">
        <v>2</v>
      </c>
      <c r="E630" t="s">
        <v>302</v>
      </c>
      <c r="F630" t="s">
        <v>622</v>
      </c>
      <c r="G630">
        <v>11</v>
      </c>
      <c r="H630">
        <v>19</v>
      </c>
      <c r="I630">
        <v>1</v>
      </c>
      <c r="J630">
        <v>0</v>
      </c>
      <c r="K630" s="9">
        <v>4.5660377358490569</v>
      </c>
    </row>
    <row r="631" spans="1:11" x14ac:dyDescent="0.45">
      <c r="A631" t="s">
        <v>77</v>
      </c>
      <c r="B631" t="s">
        <v>629</v>
      </c>
      <c r="C631" t="s">
        <v>7</v>
      </c>
      <c r="D631">
        <v>3</v>
      </c>
      <c r="E631" t="s">
        <v>315</v>
      </c>
      <c r="F631" t="s">
        <v>622</v>
      </c>
      <c r="G631">
        <v>36</v>
      </c>
      <c r="H631">
        <v>26</v>
      </c>
      <c r="I631">
        <v>1</v>
      </c>
      <c r="J631">
        <v>2</v>
      </c>
      <c r="K631" s="9">
        <v>4.1568627450980395</v>
      </c>
    </row>
    <row r="632" spans="1:11" x14ac:dyDescent="0.45">
      <c r="A632" t="s">
        <v>77</v>
      </c>
      <c r="B632" t="s">
        <v>629</v>
      </c>
      <c r="C632" t="s">
        <v>7</v>
      </c>
      <c r="D632">
        <v>4</v>
      </c>
      <c r="E632" t="s">
        <v>308</v>
      </c>
      <c r="F632" t="s">
        <v>622</v>
      </c>
      <c r="G632">
        <v>6</v>
      </c>
      <c r="H632">
        <v>7</v>
      </c>
      <c r="I632">
        <v>1</v>
      </c>
      <c r="J632">
        <v>0</v>
      </c>
      <c r="K632" s="9">
        <v>4.927835051546392</v>
      </c>
    </row>
    <row r="633" spans="1:11" x14ac:dyDescent="0.45">
      <c r="A633" t="s">
        <v>77</v>
      </c>
      <c r="B633" t="s">
        <v>629</v>
      </c>
      <c r="C633" t="s">
        <v>7</v>
      </c>
      <c r="D633">
        <v>5</v>
      </c>
      <c r="E633" t="s">
        <v>310</v>
      </c>
      <c r="F633" t="s">
        <v>622</v>
      </c>
      <c r="G633">
        <v>0</v>
      </c>
      <c r="H633">
        <v>0</v>
      </c>
      <c r="I633">
        <v>0</v>
      </c>
      <c r="J633">
        <v>0</v>
      </c>
      <c r="K633" s="9">
        <v>6.2519685039370083</v>
      </c>
    </row>
    <row r="634" spans="1:11" x14ac:dyDescent="0.45">
      <c r="A634" t="s">
        <v>77</v>
      </c>
      <c r="B634" t="s">
        <v>629</v>
      </c>
      <c r="C634" t="s">
        <v>7</v>
      </c>
      <c r="D634">
        <v>6</v>
      </c>
      <c r="E634" t="s">
        <v>311</v>
      </c>
      <c r="F634" t="s">
        <v>622</v>
      </c>
      <c r="G634">
        <v>25</v>
      </c>
      <c r="H634">
        <v>24</v>
      </c>
      <c r="I634">
        <v>4</v>
      </c>
      <c r="J634">
        <v>0</v>
      </c>
      <c r="K634" s="9">
        <v>4.0606060606060606</v>
      </c>
    </row>
    <row r="635" spans="1:11" x14ac:dyDescent="0.45">
      <c r="A635" t="s">
        <v>77</v>
      </c>
      <c r="B635" t="s">
        <v>629</v>
      </c>
      <c r="C635" t="s">
        <v>7</v>
      </c>
      <c r="D635">
        <v>7</v>
      </c>
      <c r="E635" t="s">
        <v>440</v>
      </c>
      <c r="F635" t="s">
        <v>622</v>
      </c>
      <c r="G635">
        <v>9</v>
      </c>
      <c r="H635">
        <v>7</v>
      </c>
      <c r="I635">
        <v>0</v>
      </c>
      <c r="J635">
        <v>1</v>
      </c>
      <c r="K635" s="9">
        <v>4.927835051546392</v>
      </c>
    </row>
    <row r="636" spans="1:11" x14ac:dyDescent="0.45">
      <c r="A636" t="s">
        <v>77</v>
      </c>
      <c r="B636" t="s">
        <v>629</v>
      </c>
      <c r="C636" t="s">
        <v>7</v>
      </c>
      <c r="D636">
        <v>8</v>
      </c>
      <c r="E636" t="s">
        <v>465</v>
      </c>
      <c r="F636" t="s">
        <v>622</v>
      </c>
      <c r="G636">
        <v>10</v>
      </c>
      <c r="H636">
        <v>6</v>
      </c>
      <c r="I636">
        <v>0</v>
      </c>
      <c r="J636">
        <v>1</v>
      </c>
      <c r="K636" s="9">
        <v>5.4565217391304346</v>
      </c>
    </row>
    <row r="637" spans="1:11" x14ac:dyDescent="0.45">
      <c r="A637" t="s">
        <v>77</v>
      </c>
      <c r="B637" t="s">
        <v>629</v>
      </c>
      <c r="C637" t="s">
        <v>7</v>
      </c>
      <c r="D637">
        <v>9</v>
      </c>
      <c r="E637" t="s">
        <v>320</v>
      </c>
      <c r="F637" t="s">
        <v>622</v>
      </c>
      <c r="G637">
        <v>5</v>
      </c>
      <c r="H637">
        <v>7</v>
      </c>
      <c r="I637">
        <v>1</v>
      </c>
      <c r="J637">
        <v>0</v>
      </c>
      <c r="K637" s="9">
        <v>4.927835051546392</v>
      </c>
    </row>
    <row r="638" spans="1:11" x14ac:dyDescent="0.45">
      <c r="A638" t="s">
        <v>77</v>
      </c>
      <c r="B638" t="s">
        <v>629</v>
      </c>
      <c r="C638" t="s">
        <v>7</v>
      </c>
      <c r="D638">
        <v>10</v>
      </c>
      <c r="E638" t="s">
        <v>441</v>
      </c>
      <c r="F638" t="s">
        <v>623</v>
      </c>
      <c r="G638">
        <v>0</v>
      </c>
      <c r="H638">
        <v>0</v>
      </c>
      <c r="I638">
        <v>0</v>
      </c>
      <c r="J638">
        <v>0</v>
      </c>
      <c r="K638" s="9">
        <v>6.2519685039370083</v>
      </c>
    </row>
    <row r="639" spans="1:11" x14ac:dyDescent="0.45">
      <c r="A639" t="s">
        <v>77</v>
      </c>
      <c r="B639" t="s">
        <v>629</v>
      </c>
      <c r="C639" t="s">
        <v>23</v>
      </c>
      <c r="D639">
        <v>1</v>
      </c>
      <c r="E639" t="s">
        <v>458</v>
      </c>
      <c r="F639" t="s">
        <v>622</v>
      </c>
      <c r="G639">
        <v>5</v>
      </c>
      <c r="H639">
        <v>7</v>
      </c>
      <c r="I639">
        <v>1</v>
      </c>
      <c r="J639">
        <v>0</v>
      </c>
      <c r="K639" s="9">
        <v>4.927835051546392</v>
      </c>
    </row>
    <row r="640" spans="1:11" x14ac:dyDescent="0.45">
      <c r="A640" t="s">
        <v>77</v>
      </c>
      <c r="B640" t="s">
        <v>629</v>
      </c>
      <c r="C640" t="s">
        <v>23</v>
      </c>
      <c r="D640">
        <v>2</v>
      </c>
      <c r="E640" t="s">
        <v>383</v>
      </c>
      <c r="F640" t="s">
        <v>622</v>
      </c>
      <c r="G640">
        <v>22</v>
      </c>
      <c r="H640">
        <v>17</v>
      </c>
      <c r="I640">
        <v>5</v>
      </c>
      <c r="J640">
        <v>0</v>
      </c>
      <c r="K640" s="9">
        <v>4.82</v>
      </c>
    </row>
    <row r="641" spans="1:11" x14ac:dyDescent="0.45">
      <c r="A641" t="s">
        <v>77</v>
      </c>
      <c r="B641" t="s">
        <v>629</v>
      </c>
      <c r="C641" t="s">
        <v>23</v>
      </c>
      <c r="D641">
        <v>3</v>
      </c>
      <c r="E641" t="s">
        <v>386</v>
      </c>
      <c r="F641" t="s">
        <v>623</v>
      </c>
      <c r="G641">
        <v>42</v>
      </c>
      <c r="H641">
        <v>41</v>
      </c>
      <c r="I641">
        <v>2</v>
      </c>
      <c r="J641">
        <v>1</v>
      </c>
      <c r="K641" s="9">
        <v>3.0909090909090908</v>
      </c>
    </row>
    <row r="642" spans="1:11" x14ac:dyDescent="0.45">
      <c r="A642" t="s">
        <v>77</v>
      </c>
      <c r="B642" t="s">
        <v>629</v>
      </c>
      <c r="C642" t="s">
        <v>23</v>
      </c>
      <c r="D642">
        <v>4</v>
      </c>
      <c r="E642" t="s">
        <v>387</v>
      </c>
      <c r="F642" t="s">
        <v>622</v>
      </c>
      <c r="G642">
        <v>22</v>
      </c>
      <c r="H642">
        <v>18</v>
      </c>
      <c r="I642">
        <v>2</v>
      </c>
      <c r="J642">
        <v>1</v>
      </c>
      <c r="K642" s="9">
        <v>4.375</v>
      </c>
    </row>
    <row r="643" spans="1:11" x14ac:dyDescent="0.45">
      <c r="A643" t="s">
        <v>77</v>
      </c>
      <c r="B643" t="s">
        <v>629</v>
      </c>
      <c r="C643" t="s">
        <v>23</v>
      </c>
      <c r="D643">
        <v>5</v>
      </c>
      <c r="E643" t="s">
        <v>390</v>
      </c>
      <c r="F643" t="s">
        <v>622</v>
      </c>
      <c r="G643">
        <v>5</v>
      </c>
      <c r="H643">
        <v>8</v>
      </c>
      <c r="I643">
        <v>0</v>
      </c>
      <c r="J643">
        <v>0</v>
      </c>
      <c r="K643" s="9">
        <v>4.9029126213592233</v>
      </c>
    </row>
    <row r="644" spans="1:11" x14ac:dyDescent="0.45">
      <c r="A644" t="s">
        <v>77</v>
      </c>
      <c r="B644" t="s">
        <v>629</v>
      </c>
      <c r="C644" t="s">
        <v>23</v>
      </c>
      <c r="D644">
        <v>6</v>
      </c>
      <c r="E644" t="s">
        <v>411</v>
      </c>
      <c r="F644" t="s">
        <v>623</v>
      </c>
      <c r="G644">
        <v>24</v>
      </c>
      <c r="H644">
        <v>23</v>
      </c>
      <c r="I644">
        <v>3</v>
      </c>
      <c r="J644">
        <v>0</v>
      </c>
      <c r="K644" s="9">
        <v>5.1142857142857139</v>
      </c>
    </row>
    <row r="645" spans="1:11" x14ac:dyDescent="0.45">
      <c r="A645" t="s">
        <v>78</v>
      </c>
      <c r="B645" t="s">
        <v>658</v>
      </c>
      <c r="C645" t="s">
        <v>19</v>
      </c>
      <c r="D645">
        <v>1</v>
      </c>
      <c r="E645" t="s">
        <v>422</v>
      </c>
      <c r="F645" t="s">
        <v>622</v>
      </c>
      <c r="G645">
        <v>3</v>
      </c>
      <c r="H645">
        <v>5</v>
      </c>
      <c r="I645">
        <v>0</v>
      </c>
      <c r="J645">
        <v>0</v>
      </c>
      <c r="K645" s="9">
        <v>5.132075471698113</v>
      </c>
    </row>
    <row r="646" spans="1:11" x14ac:dyDescent="0.45">
      <c r="A646" t="s">
        <v>78</v>
      </c>
      <c r="B646" t="s">
        <v>658</v>
      </c>
      <c r="C646" t="s">
        <v>19</v>
      </c>
      <c r="D646">
        <v>2</v>
      </c>
      <c r="E646" t="s">
        <v>359</v>
      </c>
      <c r="F646" t="s">
        <v>622</v>
      </c>
      <c r="G646">
        <v>63</v>
      </c>
      <c r="H646">
        <v>52</v>
      </c>
      <c r="I646">
        <v>5</v>
      </c>
      <c r="J646">
        <v>2</v>
      </c>
      <c r="K646" s="9">
        <v>2.9090909090909092</v>
      </c>
    </row>
    <row r="647" spans="1:11" x14ac:dyDescent="0.45">
      <c r="A647" t="s">
        <v>78</v>
      </c>
      <c r="B647" t="s">
        <v>658</v>
      </c>
      <c r="C647" t="s">
        <v>19</v>
      </c>
      <c r="D647">
        <v>3</v>
      </c>
      <c r="E647" t="s">
        <v>360</v>
      </c>
      <c r="F647" t="s">
        <v>622</v>
      </c>
      <c r="G647">
        <v>6</v>
      </c>
      <c r="H647">
        <v>17</v>
      </c>
      <c r="I647">
        <v>0</v>
      </c>
      <c r="J647">
        <v>0</v>
      </c>
      <c r="K647" s="9">
        <v>4.82</v>
      </c>
    </row>
    <row r="648" spans="1:11" x14ac:dyDescent="0.45">
      <c r="A648" t="s">
        <v>78</v>
      </c>
      <c r="B648" t="s">
        <v>658</v>
      </c>
      <c r="C648" t="s">
        <v>19</v>
      </c>
      <c r="D648">
        <v>4</v>
      </c>
      <c r="E648" t="s">
        <v>363</v>
      </c>
      <c r="F648" t="s">
        <v>622</v>
      </c>
      <c r="G648">
        <v>33</v>
      </c>
      <c r="H648">
        <v>27</v>
      </c>
      <c r="I648">
        <v>3</v>
      </c>
      <c r="J648">
        <v>1</v>
      </c>
      <c r="K648" s="9">
        <v>4.25</v>
      </c>
    </row>
    <row r="649" spans="1:11" x14ac:dyDescent="0.45">
      <c r="A649" t="s">
        <v>78</v>
      </c>
      <c r="B649" t="s">
        <v>658</v>
      </c>
      <c r="C649" t="s">
        <v>19</v>
      </c>
      <c r="D649">
        <v>5</v>
      </c>
      <c r="E649" t="s">
        <v>362</v>
      </c>
      <c r="F649" t="s">
        <v>623</v>
      </c>
      <c r="G649">
        <v>16</v>
      </c>
      <c r="H649">
        <v>12</v>
      </c>
      <c r="I649">
        <v>0</v>
      </c>
      <c r="J649">
        <v>1</v>
      </c>
      <c r="K649" s="9">
        <v>4.8024691358024691</v>
      </c>
    </row>
    <row r="650" spans="1:11" x14ac:dyDescent="0.45">
      <c r="A650" t="s">
        <v>78</v>
      </c>
      <c r="B650" t="s">
        <v>658</v>
      </c>
      <c r="C650" t="s">
        <v>19</v>
      </c>
      <c r="D650">
        <v>6</v>
      </c>
      <c r="E650" t="s">
        <v>361</v>
      </c>
      <c r="F650" t="s">
        <v>622</v>
      </c>
      <c r="G650">
        <v>1</v>
      </c>
      <c r="H650">
        <v>4</v>
      </c>
      <c r="I650">
        <v>0</v>
      </c>
      <c r="J650">
        <v>0</v>
      </c>
      <c r="K650" s="9">
        <v>5.352380952380952</v>
      </c>
    </row>
    <row r="651" spans="1:11" x14ac:dyDescent="0.45">
      <c r="A651" t="s">
        <v>78</v>
      </c>
      <c r="B651" t="s">
        <v>658</v>
      </c>
      <c r="C651" t="s">
        <v>19</v>
      </c>
      <c r="D651">
        <v>7</v>
      </c>
      <c r="E651" t="s">
        <v>366</v>
      </c>
      <c r="F651" t="s">
        <v>622</v>
      </c>
      <c r="G651">
        <v>3</v>
      </c>
      <c r="H651">
        <v>3</v>
      </c>
      <c r="I651">
        <v>0</v>
      </c>
      <c r="J651">
        <v>0</v>
      </c>
      <c r="K651" s="9">
        <v>5.6607142857142856</v>
      </c>
    </row>
    <row r="652" spans="1:11" x14ac:dyDescent="0.45">
      <c r="A652" t="s">
        <v>78</v>
      </c>
      <c r="B652" t="s">
        <v>658</v>
      </c>
      <c r="C652" t="s">
        <v>19</v>
      </c>
      <c r="D652">
        <v>8</v>
      </c>
      <c r="E652" t="s">
        <v>414</v>
      </c>
      <c r="F652" t="s">
        <v>623</v>
      </c>
      <c r="G652">
        <v>0</v>
      </c>
      <c r="H652">
        <v>0</v>
      </c>
      <c r="I652">
        <v>0</v>
      </c>
      <c r="J652">
        <v>0</v>
      </c>
      <c r="K652" s="9">
        <v>6.2519685039370083</v>
      </c>
    </row>
    <row r="653" spans="1:11" x14ac:dyDescent="0.45">
      <c r="A653" t="s">
        <v>78</v>
      </c>
      <c r="B653" t="s">
        <v>658</v>
      </c>
      <c r="C653" t="s">
        <v>26</v>
      </c>
      <c r="D653">
        <v>1</v>
      </c>
      <c r="E653" t="s">
        <v>397</v>
      </c>
      <c r="F653" t="s">
        <v>623</v>
      </c>
      <c r="G653">
        <v>60</v>
      </c>
      <c r="H653">
        <v>52</v>
      </c>
      <c r="I653">
        <v>3</v>
      </c>
      <c r="J653">
        <v>3</v>
      </c>
      <c r="K653" s="9">
        <v>2.9090909090909092</v>
      </c>
    </row>
    <row r="654" spans="1:11" x14ac:dyDescent="0.45">
      <c r="A654" t="s">
        <v>78</v>
      </c>
      <c r="B654" t="s">
        <v>658</v>
      </c>
      <c r="C654" t="s">
        <v>26</v>
      </c>
      <c r="D654">
        <v>2</v>
      </c>
      <c r="E654" t="s">
        <v>398</v>
      </c>
      <c r="F654" t="s">
        <v>622</v>
      </c>
      <c r="G654">
        <v>25</v>
      </c>
      <c r="H654">
        <v>20</v>
      </c>
      <c r="I654">
        <v>4</v>
      </c>
      <c r="J654">
        <v>1</v>
      </c>
      <c r="K654" s="9">
        <v>4.9473684210526319</v>
      </c>
    </row>
    <row r="655" spans="1:11" x14ac:dyDescent="0.45">
      <c r="A655" t="s">
        <v>78</v>
      </c>
      <c r="B655" t="s">
        <v>658</v>
      </c>
      <c r="C655" t="s">
        <v>26</v>
      </c>
      <c r="D655">
        <v>3</v>
      </c>
      <c r="E655" t="s">
        <v>434</v>
      </c>
      <c r="F655" t="s">
        <v>623</v>
      </c>
      <c r="G655">
        <v>43</v>
      </c>
      <c r="H655">
        <v>35</v>
      </c>
      <c r="I655">
        <v>5</v>
      </c>
      <c r="J655">
        <v>2</v>
      </c>
      <c r="K655" s="9">
        <v>3.5769230769230771</v>
      </c>
    </row>
    <row r="656" spans="1:11" x14ac:dyDescent="0.45">
      <c r="A656" t="s">
        <v>80</v>
      </c>
      <c r="B656" t="s">
        <v>640</v>
      </c>
      <c r="C656" t="s">
        <v>23</v>
      </c>
      <c r="D656">
        <v>1</v>
      </c>
      <c r="E656" t="s">
        <v>458</v>
      </c>
      <c r="F656" t="s">
        <v>622</v>
      </c>
      <c r="G656">
        <v>8</v>
      </c>
      <c r="H656">
        <v>8</v>
      </c>
      <c r="I656">
        <v>2</v>
      </c>
      <c r="J656">
        <v>0</v>
      </c>
      <c r="K656" s="9">
        <v>4.9029126213592233</v>
      </c>
    </row>
    <row r="657" spans="1:11" x14ac:dyDescent="0.45">
      <c r="A657" t="s">
        <v>80</v>
      </c>
      <c r="B657" t="s">
        <v>640</v>
      </c>
      <c r="C657" t="s">
        <v>23</v>
      </c>
      <c r="D657">
        <v>2</v>
      </c>
      <c r="E657" t="s">
        <v>470</v>
      </c>
      <c r="F657" t="s">
        <v>622</v>
      </c>
      <c r="G657">
        <v>7</v>
      </c>
      <c r="H657">
        <v>9</v>
      </c>
      <c r="I657">
        <v>1</v>
      </c>
      <c r="J657">
        <v>0</v>
      </c>
      <c r="K657" s="9">
        <v>4.924050632911392</v>
      </c>
    </row>
    <row r="658" spans="1:11" x14ac:dyDescent="0.45">
      <c r="A658" t="s">
        <v>80</v>
      </c>
      <c r="B658" t="s">
        <v>640</v>
      </c>
      <c r="C658" t="s">
        <v>23</v>
      </c>
      <c r="D658">
        <v>3</v>
      </c>
      <c r="E658" t="s">
        <v>386</v>
      </c>
      <c r="F658" t="s">
        <v>622</v>
      </c>
      <c r="G658">
        <v>21</v>
      </c>
      <c r="H658">
        <v>18</v>
      </c>
      <c r="I658">
        <v>2</v>
      </c>
      <c r="J658">
        <v>1</v>
      </c>
      <c r="K658" s="9">
        <v>4.375</v>
      </c>
    </row>
    <row r="659" spans="1:11" x14ac:dyDescent="0.45">
      <c r="A659" t="s">
        <v>80</v>
      </c>
      <c r="B659" t="s">
        <v>640</v>
      </c>
      <c r="C659" t="s">
        <v>23</v>
      </c>
      <c r="D659">
        <v>4</v>
      </c>
      <c r="E659" t="s">
        <v>411</v>
      </c>
      <c r="F659" t="s">
        <v>622</v>
      </c>
      <c r="G659">
        <v>0</v>
      </c>
      <c r="H659">
        <v>2</v>
      </c>
      <c r="I659">
        <v>0</v>
      </c>
      <c r="J659">
        <v>0</v>
      </c>
      <c r="K659" s="9">
        <v>6.1385542168674698</v>
      </c>
    </row>
    <row r="660" spans="1:11" x14ac:dyDescent="0.45">
      <c r="A660" t="s">
        <v>80</v>
      </c>
      <c r="B660" t="s">
        <v>640</v>
      </c>
      <c r="C660" t="s">
        <v>23</v>
      </c>
      <c r="D660">
        <v>5</v>
      </c>
      <c r="E660" t="s">
        <v>387</v>
      </c>
      <c r="F660" t="s">
        <v>622</v>
      </c>
      <c r="G660">
        <v>46</v>
      </c>
      <c r="H660">
        <v>32</v>
      </c>
      <c r="I660">
        <v>5</v>
      </c>
      <c r="J660">
        <v>2</v>
      </c>
      <c r="K660" s="9">
        <v>3.9375</v>
      </c>
    </row>
    <row r="661" spans="1:11" x14ac:dyDescent="0.45">
      <c r="A661" t="s">
        <v>80</v>
      </c>
      <c r="B661" t="s">
        <v>640</v>
      </c>
      <c r="C661" t="s">
        <v>23</v>
      </c>
      <c r="D661">
        <v>6</v>
      </c>
      <c r="E661" t="s">
        <v>431</v>
      </c>
      <c r="F661" t="s">
        <v>622</v>
      </c>
      <c r="G661">
        <v>25</v>
      </c>
      <c r="H661">
        <v>16</v>
      </c>
      <c r="I661">
        <v>4</v>
      </c>
      <c r="J661">
        <v>0</v>
      </c>
      <c r="K661" s="9">
        <v>4.7608695652173916</v>
      </c>
    </row>
    <row r="662" spans="1:11" x14ac:dyDescent="0.45">
      <c r="A662" t="s">
        <v>80</v>
      </c>
      <c r="B662" t="s">
        <v>640</v>
      </c>
      <c r="C662" t="s">
        <v>23</v>
      </c>
      <c r="D662">
        <v>7</v>
      </c>
      <c r="E662" t="s">
        <v>390</v>
      </c>
      <c r="F662" t="s">
        <v>622</v>
      </c>
      <c r="G662">
        <v>40</v>
      </c>
      <c r="H662">
        <v>23</v>
      </c>
      <c r="I662">
        <v>4</v>
      </c>
      <c r="J662">
        <v>2</v>
      </c>
      <c r="K662" s="9">
        <v>5.1142857142857139</v>
      </c>
    </row>
    <row r="663" spans="1:11" x14ac:dyDescent="0.45">
      <c r="A663" t="s">
        <v>80</v>
      </c>
      <c r="B663" t="s">
        <v>640</v>
      </c>
      <c r="C663" t="s">
        <v>23</v>
      </c>
      <c r="D663">
        <v>8</v>
      </c>
      <c r="E663" t="s">
        <v>391</v>
      </c>
      <c r="F663" t="s">
        <v>622</v>
      </c>
      <c r="G663">
        <v>10</v>
      </c>
      <c r="H663">
        <v>7</v>
      </c>
      <c r="I663">
        <v>0</v>
      </c>
      <c r="J663">
        <v>1</v>
      </c>
      <c r="K663" s="9">
        <v>4.927835051546392</v>
      </c>
    </row>
    <row r="664" spans="1:11" x14ac:dyDescent="0.45">
      <c r="A664" t="s">
        <v>80</v>
      </c>
      <c r="B664" t="s">
        <v>640</v>
      </c>
      <c r="C664" t="s">
        <v>23</v>
      </c>
      <c r="D664">
        <v>9</v>
      </c>
      <c r="E664" t="s">
        <v>412</v>
      </c>
      <c r="F664" t="s">
        <v>623</v>
      </c>
      <c r="G664">
        <v>7</v>
      </c>
      <c r="H664">
        <v>4</v>
      </c>
      <c r="I664">
        <v>0</v>
      </c>
      <c r="J664">
        <v>1</v>
      </c>
      <c r="K664" s="9">
        <v>5.352380952380952</v>
      </c>
    </row>
    <row r="665" spans="1:11" x14ac:dyDescent="0.45">
      <c r="A665" t="s">
        <v>80</v>
      </c>
      <c r="B665" t="s">
        <v>640</v>
      </c>
      <c r="C665" t="s">
        <v>23</v>
      </c>
      <c r="D665">
        <v>10</v>
      </c>
      <c r="E665" t="s">
        <v>394</v>
      </c>
      <c r="F665" t="s">
        <v>622</v>
      </c>
      <c r="G665">
        <v>0</v>
      </c>
      <c r="H665">
        <v>1</v>
      </c>
      <c r="I665">
        <v>0</v>
      </c>
      <c r="J665">
        <v>0</v>
      </c>
      <c r="K665" s="9">
        <v>6.5693779904306222</v>
      </c>
    </row>
    <row r="666" spans="1:11" x14ac:dyDescent="0.45">
      <c r="A666" t="s">
        <v>80</v>
      </c>
      <c r="B666" t="s">
        <v>640</v>
      </c>
      <c r="C666" t="s">
        <v>23</v>
      </c>
      <c r="D666">
        <v>11</v>
      </c>
      <c r="E666" t="s">
        <v>396</v>
      </c>
      <c r="F666" t="s">
        <v>623</v>
      </c>
      <c r="G666">
        <v>0</v>
      </c>
      <c r="H666">
        <v>0</v>
      </c>
      <c r="I666">
        <v>0</v>
      </c>
      <c r="J666">
        <v>0</v>
      </c>
      <c r="K666" s="9">
        <v>6.2519685039370083</v>
      </c>
    </row>
    <row r="667" spans="1:11" x14ac:dyDescent="0.45">
      <c r="A667" t="s">
        <v>80</v>
      </c>
      <c r="B667" t="s">
        <v>640</v>
      </c>
      <c r="C667" t="s">
        <v>13</v>
      </c>
      <c r="D667">
        <v>1</v>
      </c>
      <c r="E667" t="s">
        <v>343</v>
      </c>
      <c r="F667" t="s">
        <v>623</v>
      </c>
      <c r="G667">
        <v>72</v>
      </c>
      <c r="H667">
        <v>47</v>
      </c>
      <c r="I667">
        <v>6</v>
      </c>
      <c r="J667">
        <v>3</v>
      </c>
      <c r="K667" s="9">
        <v>3</v>
      </c>
    </row>
    <row r="668" spans="1:11" x14ac:dyDescent="0.45">
      <c r="A668" t="s">
        <v>80</v>
      </c>
      <c r="B668" t="s">
        <v>640</v>
      </c>
      <c r="C668" t="s">
        <v>13</v>
      </c>
      <c r="D668">
        <v>2</v>
      </c>
      <c r="E668" t="s">
        <v>342</v>
      </c>
      <c r="F668" t="s">
        <v>623</v>
      </c>
      <c r="G668">
        <v>101</v>
      </c>
      <c r="H668">
        <v>52</v>
      </c>
      <c r="I668">
        <v>11</v>
      </c>
      <c r="J668">
        <v>6</v>
      </c>
      <c r="K668" s="9">
        <v>2.9090909090909092</v>
      </c>
    </row>
    <row r="669" spans="1:11" x14ac:dyDescent="0.45">
      <c r="A669" t="s">
        <v>82</v>
      </c>
      <c r="B669" t="s">
        <v>621</v>
      </c>
      <c r="C669" t="s">
        <v>6</v>
      </c>
      <c r="D669">
        <v>1</v>
      </c>
      <c r="E669" t="s">
        <v>290</v>
      </c>
      <c r="F669" t="s">
        <v>622</v>
      </c>
      <c r="G669">
        <v>64</v>
      </c>
      <c r="H669">
        <v>42</v>
      </c>
      <c r="I669">
        <v>6</v>
      </c>
      <c r="J669">
        <v>4</v>
      </c>
      <c r="K669" s="9">
        <v>3.3913043478260869</v>
      </c>
    </row>
    <row r="670" spans="1:11" x14ac:dyDescent="0.45">
      <c r="A670" t="s">
        <v>82</v>
      </c>
      <c r="B670" t="s">
        <v>621</v>
      </c>
      <c r="C670" t="s">
        <v>6</v>
      </c>
      <c r="D670">
        <v>2</v>
      </c>
      <c r="E670" t="s">
        <v>294</v>
      </c>
      <c r="F670" t="s">
        <v>623</v>
      </c>
      <c r="G670">
        <v>95</v>
      </c>
      <c r="H670">
        <v>60</v>
      </c>
      <c r="I670">
        <v>9</v>
      </c>
      <c r="J670">
        <v>4</v>
      </c>
      <c r="K670" s="9">
        <v>2</v>
      </c>
    </row>
    <row r="671" spans="1:11" x14ac:dyDescent="0.45">
      <c r="A671" t="s">
        <v>82</v>
      </c>
      <c r="B671" t="s">
        <v>621</v>
      </c>
      <c r="C671" t="s">
        <v>6</v>
      </c>
      <c r="D671">
        <v>3</v>
      </c>
      <c r="E671" t="s">
        <v>299</v>
      </c>
      <c r="F671" t="s">
        <v>622</v>
      </c>
      <c r="G671">
        <v>25</v>
      </c>
      <c r="H671">
        <v>12</v>
      </c>
      <c r="I671">
        <v>2</v>
      </c>
      <c r="J671">
        <v>2</v>
      </c>
      <c r="K671" s="9">
        <v>4.8024691358024691</v>
      </c>
    </row>
    <row r="672" spans="1:11" x14ac:dyDescent="0.45">
      <c r="A672" t="s">
        <v>82</v>
      </c>
      <c r="B672" t="s">
        <v>621</v>
      </c>
      <c r="C672" t="s">
        <v>6</v>
      </c>
      <c r="D672">
        <v>4</v>
      </c>
      <c r="E672" t="s">
        <v>356</v>
      </c>
      <c r="F672" t="s">
        <v>622</v>
      </c>
      <c r="G672">
        <v>17</v>
      </c>
      <c r="H672">
        <v>8</v>
      </c>
      <c r="I672">
        <v>2</v>
      </c>
      <c r="J672">
        <v>1</v>
      </c>
      <c r="K672" s="9">
        <v>4.9029126213592233</v>
      </c>
    </row>
    <row r="673" spans="1:11" x14ac:dyDescent="0.45">
      <c r="A673" t="s">
        <v>82</v>
      </c>
      <c r="B673" t="s">
        <v>621</v>
      </c>
      <c r="C673" t="s">
        <v>6</v>
      </c>
      <c r="D673">
        <v>5</v>
      </c>
      <c r="E673" t="s">
        <v>328</v>
      </c>
      <c r="F673" t="s">
        <v>623</v>
      </c>
      <c r="G673">
        <v>6</v>
      </c>
      <c r="H673">
        <v>1</v>
      </c>
      <c r="I673">
        <v>0</v>
      </c>
      <c r="J673">
        <v>1</v>
      </c>
      <c r="K673" s="9">
        <v>6.5693779904306222</v>
      </c>
    </row>
    <row r="674" spans="1:11" x14ac:dyDescent="0.45">
      <c r="A674" t="s">
        <v>82</v>
      </c>
      <c r="B674" t="s">
        <v>621</v>
      </c>
      <c r="C674" t="s">
        <v>7</v>
      </c>
      <c r="D674">
        <v>1</v>
      </c>
      <c r="E674" t="s">
        <v>306</v>
      </c>
      <c r="F674" t="s">
        <v>622</v>
      </c>
      <c r="G674">
        <v>9</v>
      </c>
      <c r="H674">
        <v>12</v>
      </c>
      <c r="I674">
        <v>2</v>
      </c>
      <c r="J674">
        <v>0</v>
      </c>
      <c r="K674" s="9">
        <v>4.8024691358024691</v>
      </c>
    </row>
    <row r="675" spans="1:11" x14ac:dyDescent="0.45">
      <c r="A675" t="s">
        <v>82</v>
      </c>
      <c r="B675" t="s">
        <v>621</v>
      </c>
      <c r="C675" t="s">
        <v>7</v>
      </c>
      <c r="D675">
        <v>2</v>
      </c>
      <c r="E675" t="s">
        <v>302</v>
      </c>
      <c r="F675" t="s">
        <v>622</v>
      </c>
      <c r="G675">
        <v>0</v>
      </c>
      <c r="H675">
        <v>1</v>
      </c>
      <c r="I675">
        <v>0</v>
      </c>
      <c r="J675">
        <v>0</v>
      </c>
      <c r="K675" s="9">
        <v>6.5693779904306222</v>
      </c>
    </row>
    <row r="676" spans="1:11" x14ac:dyDescent="0.45">
      <c r="A676" t="s">
        <v>82</v>
      </c>
      <c r="B676" t="s">
        <v>621</v>
      </c>
      <c r="C676" t="s">
        <v>7</v>
      </c>
      <c r="D676">
        <v>3</v>
      </c>
      <c r="E676" t="s">
        <v>315</v>
      </c>
      <c r="F676" t="s">
        <v>622</v>
      </c>
      <c r="G676">
        <v>8</v>
      </c>
      <c r="H676">
        <v>9</v>
      </c>
      <c r="I676">
        <v>1</v>
      </c>
      <c r="J676">
        <v>0</v>
      </c>
      <c r="K676" s="9">
        <v>4.924050632911392</v>
      </c>
    </row>
    <row r="677" spans="1:11" x14ac:dyDescent="0.45">
      <c r="A677" t="s">
        <v>82</v>
      </c>
      <c r="B677" t="s">
        <v>621</v>
      </c>
      <c r="C677" t="s">
        <v>7</v>
      </c>
      <c r="D677">
        <v>4</v>
      </c>
      <c r="E677" t="s">
        <v>310</v>
      </c>
      <c r="F677" t="s">
        <v>622</v>
      </c>
      <c r="G677">
        <v>7</v>
      </c>
      <c r="H677">
        <v>7</v>
      </c>
      <c r="I677">
        <v>1</v>
      </c>
      <c r="J677">
        <v>0</v>
      </c>
      <c r="K677" s="9">
        <v>4.927835051546392</v>
      </c>
    </row>
    <row r="678" spans="1:11" x14ac:dyDescent="0.45">
      <c r="A678" t="s">
        <v>82</v>
      </c>
      <c r="B678" t="s">
        <v>621</v>
      </c>
      <c r="C678" t="s">
        <v>7</v>
      </c>
      <c r="D678">
        <v>5</v>
      </c>
      <c r="E678" t="s">
        <v>308</v>
      </c>
      <c r="F678" t="s">
        <v>622</v>
      </c>
      <c r="G678">
        <v>4</v>
      </c>
      <c r="H678">
        <v>3</v>
      </c>
      <c r="I678">
        <v>1</v>
      </c>
      <c r="J678">
        <v>0</v>
      </c>
      <c r="K678" s="9">
        <v>5.6607142857142856</v>
      </c>
    </row>
    <row r="679" spans="1:11" x14ac:dyDescent="0.45">
      <c r="A679" t="s">
        <v>82</v>
      </c>
      <c r="B679" t="s">
        <v>621</v>
      </c>
      <c r="C679" t="s">
        <v>7</v>
      </c>
      <c r="D679">
        <v>6</v>
      </c>
      <c r="E679" t="s">
        <v>311</v>
      </c>
      <c r="F679" t="s">
        <v>622</v>
      </c>
      <c r="G679">
        <v>40</v>
      </c>
      <c r="H679">
        <v>24</v>
      </c>
      <c r="I679">
        <v>4</v>
      </c>
      <c r="J679">
        <v>2</v>
      </c>
      <c r="K679" s="9">
        <v>4.0606060606060606</v>
      </c>
    </row>
    <row r="680" spans="1:11" x14ac:dyDescent="0.45">
      <c r="A680" t="s">
        <v>82</v>
      </c>
      <c r="B680" t="s">
        <v>621</v>
      </c>
      <c r="C680" t="s">
        <v>7</v>
      </c>
      <c r="D680">
        <v>7</v>
      </c>
      <c r="E680" t="s">
        <v>440</v>
      </c>
      <c r="F680" t="s">
        <v>622</v>
      </c>
      <c r="G680">
        <v>54</v>
      </c>
      <c r="H680">
        <v>22</v>
      </c>
      <c r="I680">
        <v>3</v>
      </c>
      <c r="J680">
        <v>6</v>
      </c>
      <c r="K680" s="9">
        <v>4.4423076923076925</v>
      </c>
    </row>
    <row r="681" spans="1:11" x14ac:dyDescent="0.45">
      <c r="A681" t="s">
        <v>82</v>
      </c>
      <c r="B681" t="s">
        <v>621</v>
      </c>
      <c r="C681" t="s">
        <v>7</v>
      </c>
      <c r="D681">
        <v>8</v>
      </c>
      <c r="E681" t="s">
        <v>465</v>
      </c>
      <c r="F681" t="s">
        <v>623</v>
      </c>
      <c r="G681">
        <v>66</v>
      </c>
      <c r="H681">
        <v>34</v>
      </c>
      <c r="I681">
        <v>4</v>
      </c>
      <c r="J681">
        <v>6</v>
      </c>
      <c r="K681" s="9">
        <v>4.4137931034482758</v>
      </c>
    </row>
    <row r="682" spans="1:11" x14ac:dyDescent="0.45">
      <c r="A682" t="s">
        <v>82</v>
      </c>
      <c r="B682" t="s">
        <v>621</v>
      </c>
      <c r="C682" t="s">
        <v>7</v>
      </c>
      <c r="D682">
        <v>9</v>
      </c>
      <c r="E682" t="s">
        <v>472</v>
      </c>
      <c r="F682" t="s">
        <v>622</v>
      </c>
      <c r="G682">
        <v>0</v>
      </c>
      <c r="H682">
        <v>2</v>
      </c>
      <c r="I682">
        <v>0</v>
      </c>
      <c r="J682">
        <v>0</v>
      </c>
      <c r="K682" s="9">
        <v>6.1385542168674698</v>
      </c>
    </row>
    <row r="683" spans="1:11" x14ac:dyDescent="0.45">
      <c r="A683" t="s">
        <v>82</v>
      </c>
      <c r="B683" t="s">
        <v>621</v>
      </c>
      <c r="C683" t="s">
        <v>7</v>
      </c>
      <c r="D683">
        <v>10</v>
      </c>
      <c r="E683" t="s">
        <v>322</v>
      </c>
      <c r="F683" t="s">
        <v>622</v>
      </c>
      <c r="G683">
        <v>0</v>
      </c>
      <c r="H683">
        <v>1</v>
      </c>
      <c r="I683">
        <v>0</v>
      </c>
      <c r="J683">
        <v>0</v>
      </c>
      <c r="K683" s="9">
        <v>6.5693779904306222</v>
      </c>
    </row>
    <row r="684" spans="1:11" x14ac:dyDescent="0.45">
      <c r="A684" t="s">
        <v>82</v>
      </c>
      <c r="B684" t="s">
        <v>621</v>
      </c>
      <c r="C684" t="s">
        <v>7</v>
      </c>
      <c r="D684">
        <v>11</v>
      </c>
      <c r="E684" t="s">
        <v>441</v>
      </c>
      <c r="F684" t="s">
        <v>622</v>
      </c>
      <c r="G684">
        <v>0</v>
      </c>
      <c r="H684">
        <v>1</v>
      </c>
      <c r="I684">
        <v>0</v>
      </c>
      <c r="J684">
        <v>0</v>
      </c>
      <c r="K684" s="9">
        <v>6.5693779904306222</v>
      </c>
    </row>
    <row r="685" spans="1:11" x14ac:dyDescent="0.45">
      <c r="A685" t="s">
        <v>83</v>
      </c>
      <c r="B685" t="s">
        <v>645</v>
      </c>
      <c r="C685" t="s">
        <v>26</v>
      </c>
      <c r="D685">
        <v>1</v>
      </c>
      <c r="E685" t="s">
        <v>397</v>
      </c>
      <c r="F685" t="s">
        <v>622</v>
      </c>
      <c r="G685">
        <v>4</v>
      </c>
      <c r="H685">
        <v>6</v>
      </c>
      <c r="I685">
        <v>0</v>
      </c>
      <c r="J685">
        <v>0</v>
      </c>
      <c r="K685" s="9">
        <v>5.4565217391304346</v>
      </c>
    </row>
    <row r="686" spans="1:11" x14ac:dyDescent="0.45">
      <c r="A686" t="s">
        <v>83</v>
      </c>
      <c r="B686" t="s">
        <v>645</v>
      </c>
      <c r="C686" t="s">
        <v>26</v>
      </c>
      <c r="D686">
        <v>2</v>
      </c>
      <c r="E686" t="s">
        <v>398</v>
      </c>
      <c r="F686" t="s">
        <v>622</v>
      </c>
      <c r="G686">
        <v>22</v>
      </c>
      <c r="H686">
        <v>25</v>
      </c>
      <c r="I686">
        <v>2</v>
      </c>
      <c r="J686">
        <v>0</v>
      </c>
      <c r="K686" s="9">
        <v>4.4782608695652177</v>
      </c>
    </row>
    <row r="687" spans="1:11" x14ac:dyDescent="0.45">
      <c r="A687" t="s">
        <v>83</v>
      </c>
      <c r="B687" t="s">
        <v>645</v>
      </c>
      <c r="C687" t="s">
        <v>26</v>
      </c>
      <c r="D687">
        <v>3</v>
      </c>
      <c r="E687" t="s">
        <v>434</v>
      </c>
      <c r="F687" t="s">
        <v>622</v>
      </c>
      <c r="G687">
        <v>15</v>
      </c>
      <c r="H687">
        <v>17</v>
      </c>
      <c r="I687">
        <v>2</v>
      </c>
      <c r="J687">
        <v>0</v>
      </c>
      <c r="K687" s="9">
        <v>4.82</v>
      </c>
    </row>
    <row r="688" spans="1:11" x14ac:dyDescent="0.45">
      <c r="A688" t="s">
        <v>83</v>
      </c>
      <c r="B688" t="s">
        <v>645</v>
      </c>
      <c r="C688" t="s">
        <v>26</v>
      </c>
      <c r="D688">
        <v>4</v>
      </c>
      <c r="E688" t="s">
        <v>416</v>
      </c>
      <c r="F688" t="s">
        <v>622</v>
      </c>
      <c r="G688">
        <v>0</v>
      </c>
      <c r="H688">
        <v>0</v>
      </c>
      <c r="I688">
        <v>0</v>
      </c>
      <c r="J688">
        <v>0</v>
      </c>
      <c r="K688" s="9">
        <v>6.2519685039370083</v>
      </c>
    </row>
    <row r="689" spans="1:11" x14ac:dyDescent="0.45">
      <c r="A689" t="s">
        <v>83</v>
      </c>
      <c r="B689" t="s">
        <v>645</v>
      </c>
      <c r="C689" t="s">
        <v>26</v>
      </c>
      <c r="D689">
        <v>5</v>
      </c>
      <c r="E689" t="s">
        <v>426</v>
      </c>
      <c r="F689" t="s">
        <v>622</v>
      </c>
      <c r="G689">
        <v>13</v>
      </c>
      <c r="H689">
        <v>11</v>
      </c>
      <c r="I689">
        <v>2</v>
      </c>
      <c r="J689">
        <v>0</v>
      </c>
      <c r="K689" s="9">
        <v>4.9649122807017543</v>
      </c>
    </row>
    <row r="690" spans="1:11" x14ac:dyDescent="0.45">
      <c r="A690" t="s">
        <v>83</v>
      </c>
      <c r="B690" t="s">
        <v>645</v>
      </c>
      <c r="C690" t="s">
        <v>26</v>
      </c>
      <c r="D690">
        <v>6</v>
      </c>
      <c r="E690" t="s">
        <v>402</v>
      </c>
      <c r="F690" t="s">
        <v>622</v>
      </c>
      <c r="G690">
        <v>14</v>
      </c>
      <c r="H690">
        <v>17</v>
      </c>
      <c r="I690">
        <v>0</v>
      </c>
      <c r="J690">
        <v>0</v>
      </c>
      <c r="K690" s="9">
        <v>4.82</v>
      </c>
    </row>
    <row r="691" spans="1:11" x14ac:dyDescent="0.45">
      <c r="A691" t="s">
        <v>83</v>
      </c>
      <c r="B691" t="s">
        <v>645</v>
      </c>
      <c r="C691" t="s">
        <v>26</v>
      </c>
      <c r="D691">
        <v>7</v>
      </c>
      <c r="E691" t="s">
        <v>400</v>
      </c>
      <c r="F691" t="s">
        <v>622</v>
      </c>
      <c r="G691">
        <v>22</v>
      </c>
      <c r="H691">
        <v>17</v>
      </c>
      <c r="I691">
        <v>0</v>
      </c>
      <c r="J691">
        <v>2</v>
      </c>
      <c r="K691" s="9">
        <v>4.82</v>
      </c>
    </row>
    <row r="692" spans="1:11" x14ac:dyDescent="0.45">
      <c r="A692" t="s">
        <v>83</v>
      </c>
      <c r="B692" t="s">
        <v>645</v>
      </c>
      <c r="C692" t="s">
        <v>26</v>
      </c>
      <c r="D692">
        <v>8</v>
      </c>
      <c r="E692" t="s">
        <v>427</v>
      </c>
      <c r="F692" t="s">
        <v>622</v>
      </c>
      <c r="G692">
        <v>6</v>
      </c>
      <c r="H692">
        <v>11</v>
      </c>
      <c r="I692">
        <v>0</v>
      </c>
      <c r="J692">
        <v>0</v>
      </c>
      <c r="K692" s="9">
        <v>4.9649122807017543</v>
      </c>
    </row>
    <row r="693" spans="1:11" x14ac:dyDescent="0.45">
      <c r="A693" t="s">
        <v>83</v>
      </c>
      <c r="B693" t="s">
        <v>645</v>
      </c>
      <c r="C693" t="s">
        <v>26</v>
      </c>
      <c r="D693">
        <v>9</v>
      </c>
      <c r="E693" t="s">
        <v>473</v>
      </c>
      <c r="F693" t="s">
        <v>622</v>
      </c>
      <c r="G693">
        <v>9</v>
      </c>
      <c r="H693">
        <v>10</v>
      </c>
      <c r="I693">
        <v>1</v>
      </c>
      <c r="J693">
        <v>0</v>
      </c>
      <c r="K693" s="9">
        <v>4.7179487179487181</v>
      </c>
    </row>
    <row r="694" spans="1:11" x14ac:dyDescent="0.45">
      <c r="A694" t="s">
        <v>83</v>
      </c>
      <c r="B694" t="s">
        <v>645</v>
      </c>
      <c r="C694" t="s">
        <v>26</v>
      </c>
      <c r="D694">
        <v>10</v>
      </c>
      <c r="E694" t="s">
        <v>403</v>
      </c>
      <c r="F694" t="s">
        <v>622</v>
      </c>
      <c r="G694">
        <v>3</v>
      </c>
      <c r="H694">
        <v>3</v>
      </c>
      <c r="I694">
        <v>0</v>
      </c>
      <c r="J694">
        <v>0</v>
      </c>
      <c r="K694" s="9">
        <v>5.6607142857142856</v>
      </c>
    </row>
    <row r="695" spans="1:11" x14ac:dyDescent="0.45">
      <c r="A695" t="s">
        <v>83</v>
      </c>
      <c r="B695" t="s">
        <v>645</v>
      </c>
      <c r="C695" t="s">
        <v>26</v>
      </c>
      <c r="D695">
        <v>11</v>
      </c>
      <c r="E695" t="s">
        <v>405</v>
      </c>
      <c r="F695" t="s">
        <v>623</v>
      </c>
      <c r="G695">
        <v>1</v>
      </c>
      <c r="H695">
        <v>2</v>
      </c>
      <c r="I695">
        <v>0</v>
      </c>
      <c r="J695">
        <v>0</v>
      </c>
      <c r="K695" s="9">
        <v>6.1385542168674698</v>
      </c>
    </row>
    <row r="696" spans="1:11" x14ac:dyDescent="0.45">
      <c r="A696" t="s">
        <v>83</v>
      </c>
      <c r="B696" t="s">
        <v>645</v>
      </c>
      <c r="C696" t="s">
        <v>20</v>
      </c>
      <c r="D696">
        <v>1</v>
      </c>
      <c r="E696" t="s">
        <v>442</v>
      </c>
      <c r="F696" t="s">
        <v>622</v>
      </c>
      <c r="G696">
        <v>37</v>
      </c>
      <c r="H696">
        <v>37</v>
      </c>
      <c r="I696">
        <v>3</v>
      </c>
      <c r="J696">
        <v>1</v>
      </c>
      <c r="K696" s="9">
        <v>3.5555555555555554</v>
      </c>
    </row>
    <row r="697" spans="1:11" x14ac:dyDescent="0.45">
      <c r="A697" t="s">
        <v>83</v>
      </c>
      <c r="B697" t="s">
        <v>645</v>
      </c>
      <c r="C697" t="s">
        <v>20</v>
      </c>
      <c r="D697">
        <v>2</v>
      </c>
      <c r="E697" t="s">
        <v>459</v>
      </c>
      <c r="F697" t="s">
        <v>623</v>
      </c>
      <c r="G697">
        <v>63</v>
      </c>
      <c r="H697">
        <v>56</v>
      </c>
      <c r="I697">
        <v>3</v>
      </c>
      <c r="J697">
        <v>3</v>
      </c>
      <c r="K697" s="9">
        <v>3</v>
      </c>
    </row>
    <row r="698" spans="1:11" x14ac:dyDescent="0.45">
      <c r="A698" t="s">
        <v>83</v>
      </c>
      <c r="B698" t="s">
        <v>645</v>
      </c>
      <c r="C698" t="s">
        <v>20</v>
      </c>
      <c r="D698">
        <v>3</v>
      </c>
      <c r="E698" t="s">
        <v>408</v>
      </c>
      <c r="F698" t="s">
        <v>623</v>
      </c>
      <c r="G698">
        <v>16</v>
      </c>
      <c r="H698">
        <v>19</v>
      </c>
      <c r="I698">
        <v>0</v>
      </c>
      <c r="J698">
        <v>0</v>
      </c>
      <c r="K698" s="9">
        <v>4.5660377358490569</v>
      </c>
    </row>
    <row r="699" spans="1:11" x14ac:dyDescent="0.45">
      <c r="A699" t="s">
        <v>84</v>
      </c>
      <c r="B699" t="s">
        <v>637</v>
      </c>
      <c r="C699" t="s">
        <v>19</v>
      </c>
      <c r="D699">
        <v>1</v>
      </c>
      <c r="E699" t="s">
        <v>359</v>
      </c>
      <c r="F699" t="s">
        <v>622</v>
      </c>
      <c r="G699">
        <v>44</v>
      </c>
      <c r="H699">
        <v>30</v>
      </c>
      <c r="I699">
        <v>3</v>
      </c>
      <c r="J699">
        <v>3</v>
      </c>
      <c r="K699" s="9">
        <v>3.6774193548387095</v>
      </c>
    </row>
    <row r="700" spans="1:11" x14ac:dyDescent="0.45">
      <c r="A700" t="s">
        <v>84</v>
      </c>
      <c r="B700" t="s">
        <v>637</v>
      </c>
      <c r="C700" t="s">
        <v>19</v>
      </c>
      <c r="D700">
        <v>2</v>
      </c>
      <c r="E700" t="s">
        <v>422</v>
      </c>
      <c r="F700" t="s">
        <v>622</v>
      </c>
      <c r="G700">
        <v>2</v>
      </c>
      <c r="H700">
        <v>4</v>
      </c>
      <c r="I700">
        <v>0</v>
      </c>
      <c r="J700">
        <v>0</v>
      </c>
      <c r="K700" s="9">
        <v>5.352380952380952</v>
      </c>
    </row>
    <row r="701" spans="1:11" x14ac:dyDescent="0.45">
      <c r="A701" t="s">
        <v>84</v>
      </c>
      <c r="B701" t="s">
        <v>637</v>
      </c>
      <c r="C701" t="s">
        <v>19</v>
      </c>
      <c r="D701">
        <v>3</v>
      </c>
      <c r="E701" t="s">
        <v>363</v>
      </c>
      <c r="F701" t="s">
        <v>622</v>
      </c>
      <c r="G701">
        <v>24</v>
      </c>
      <c r="H701">
        <v>15</v>
      </c>
      <c r="I701">
        <v>4</v>
      </c>
      <c r="J701">
        <v>0</v>
      </c>
      <c r="K701" s="9">
        <v>4.7777777777777777</v>
      </c>
    </row>
    <row r="702" spans="1:11" x14ac:dyDescent="0.45">
      <c r="A702" t="s">
        <v>84</v>
      </c>
      <c r="B702" t="s">
        <v>637</v>
      </c>
      <c r="C702" t="s">
        <v>19</v>
      </c>
      <c r="D702">
        <v>4</v>
      </c>
      <c r="E702" t="s">
        <v>360</v>
      </c>
      <c r="F702" t="s">
        <v>622</v>
      </c>
      <c r="G702">
        <v>26</v>
      </c>
      <c r="H702">
        <v>28</v>
      </c>
      <c r="I702">
        <v>1</v>
      </c>
      <c r="J702">
        <v>1</v>
      </c>
      <c r="K702" s="9">
        <v>3.806451612903226</v>
      </c>
    </row>
    <row r="703" spans="1:11" x14ac:dyDescent="0.45">
      <c r="A703" t="s">
        <v>84</v>
      </c>
      <c r="B703" t="s">
        <v>637</v>
      </c>
      <c r="C703" t="s">
        <v>19</v>
      </c>
      <c r="D703">
        <v>5</v>
      </c>
      <c r="E703" t="s">
        <v>361</v>
      </c>
      <c r="F703" t="s">
        <v>622</v>
      </c>
      <c r="G703">
        <v>0</v>
      </c>
      <c r="H703">
        <v>1</v>
      </c>
      <c r="I703">
        <v>0</v>
      </c>
      <c r="J703">
        <v>0</v>
      </c>
      <c r="K703" s="9">
        <v>6.5693779904306222</v>
      </c>
    </row>
    <row r="704" spans="1:11" x14ac:dyDescent="0.45">
      <c r="A704" t="s">
        <v>84</v>
      </c>
      <c r="B704" t="s">
        <v>637</v>
      </c>
      <c r="C704" t="s">
        <v>19</v>
      </c>
      <c r="D704">
        <v>6</v>
      </c>
      <c r="E704" t="s">
        <v>366</v>
      </c>
      <c r="F704" t="s">
        <v>622</v>
      </c>
      <c r="G704">
        <v>1</v>
      </c>
      <c r="H704">
        <v>5</v>
      </c>
      <c r="I704">
        <v>0</v>
      </c>
      <c r="J704">
        <v>0</v>
      </c>
      <c r="K704" s="9">
        <v>5.132075471698113</v>
      </c>
    </row>
    <row r="705" spans="1:11" x14ac:dyDescent="0.45">
      <c r="A705" t="s">
        <v>84</v>
      </c>
      <c r="B705" t="s">
        <v>637</v>
      </c>
      <c r="C705" t="s">
        <v>19</v>
      </c>
      <c r="D705">
        <v>7</v>
      </c>
      <c r="E705" t="s">
        <v>362</v>
      </c>
      <c r="F705" t="s">
        <v>622</v>
      </c>
      <c r="G705">
        <v>2</v>
      </c>
      <c r="H705">
        <v>5</v>
      </c>
      <c r="I705">
        <v>0</v>
      </c>
      <c r="J705">
        <v>0</v>
      </c>
      <c r="K705" s="9">
        <v>5.132075471698113</v>
      </c>
    </row>
    <row r="706" spans="1:11" x14ac:dyDescent="0.45">
      <c r="A706" t="s">
        <v>84</v>
      </c>
      <c r="B706" t="s">
        <v>637</v>
      </c>
      <c r="C706" t="s">
        <v>19</v>
      </c>
      <c r="D706">
        <v>8</v>
      </c>
      <c r="E706" t="s">
        <v>414</v>
      </c>
      <c r="F706" t="s">
        <v>622</v>
      </c>
      <c r="G706">
        <v>23</v>
      </c>
      <c r="H706">
        <v>22</v>
      </c>
      <c r="I706">
        <v>1</v>
      </c>
      <c r="J706">
        <v>0</v>
      </c>
      <c r="K706" s="9">
        <v>4.4423076923076925</v>
      </c>
    </row>
    <row r="707" spans="1:11" x14ac:dyDescent="0.45">
      <c r="A707" t="s">
        <v>84</v>
      </c>
      <c r="B707" t="s">
        <v>637</v>
      </c>
      <c r="C707" t="s">
        <v>19</v>
      </c>
      <c r="D707">
        <v>9</v>
      </c>
      <c r="E707" t="s">
        <v>435</v>
      </c>
      <c r="F707" t="s">
        <v>622</v>
      </c>
      <c r="G707">
        <v>6</v>
      </c>
      <c r="H707">
        <v>6</v>
      </c>
      <c r="I707">
        <v>1</v>
      </c>
      <c r="J707">
        <v>0</v>
      </c>
      <c r="K707" s="9">
        <v>5.4565217391304346</v>
      </c>
    </row>
    <row r="708" spans="1:11" x14ac:dyDescent="0.45">
      <c r="A708" t="s">
        <v>84</v>
      </c>
      <c r="B708" t="s">
        <v>637</v>
      </c>
      <c r="C708" t="s">
        <v>19</v>
      </c>
      <c r="D708">
        <v>10</v>
      </c>
      <c r="E708" t="s">
        <v>369</v>
      </c>
      <c r="F708" t="s">
        <v>623</v>
      </c>
      <c r="G708">
        <v>3</v>
      </c>
      <c r="H708">
        <v>3</v>
      </c>
      <c r="I708">
        <v>0</v>
      </c>
      <c r="J708">
        <v>0</v>
      </c>
      <c r="K708" s="9">
        <v>5.6607142857142856</v>
      </c>
    </row>
    <row r="709" spans="1:11" x14ac:dyDescent="0.45">
      <c r="A709" t="s">
        <v>84</v>
      </c>
      <c r="B709" t="s">
        <v>637</v>
      </c>
      <c r="C709" t="s">
        <v>19</v>
      </c>
      <c r="D709">
        <v>11</v>
      </c>
      <c r="E709" t="s">
        <v>370</v>
      </c>
      <c r="F709" t="s">
        <v>623</v>
      </c>
      <c r="G709">
        <v>1</v>
      </c>
      <c r="H709">
        <v>1</v>
      </c>
      <c r="I709">
        <v>0</v>
      </c>
      <c r="J709">
        <v>0</v>
      </c>
      <c r="K709" s="9">
        <v>6.5693779904306222</v>
      </c>
    </row>
    <row r="710" spans="1:11" x14ac:dyDescent="0.45">
      <c r="A710" t="s">
        <v>84</v>
      </c>
      <c r="B710" t="s">
        <v>637</v>
      </c>
      <c r="C710" t="s">
        <v>10</v>
      </c>
      <c r="D710">
        <v>1</v>
      </c>
      <c r="E710" t="s">
        <v>329</v>
      </c>
      <c r="F710" t="s">
        <v>622</v>
      </c>
      <c r="G710">
        <v>7</v>
      </c>
      <c r="H710">
        <v>5</v>
      </c>
      <c r="I710">
        <v>1</v>
      </c>
      <c r="J710">
        <v>0</v>
      </c>
      <c r="K710" s="9">
        <v>5.132075471698113</v>
      </c>
    </row>
    <row r="711" spans="1:11" x14ac:dyDescent="0.45">
      <c r="A711" t="s">
        <v>84</v>
      </c>
      <c r="B711" t="s">
        <v>637</v>
      </c>
      <c r="C711" t="s">
        <v>10</v>
      </c>
      <c r="D711">
        <v>2</v>
      </c>
      <c r="E711" t="s">
        <v>330</v>
      </c>
      <c r="F711" t="s">
        <v>622</v>
      </c>
      <c r="G711">
        <v>45</v>
      </c>
      <c r="H711">
        <v>42</v>
      </c>
      <c r="I711">
        <v>5</v>
      </c>
      <c r="J711">
        <v>1</v>
      </c>
      <c r="K711" s="9">
        <v>3.3913043478260869</v>
      </c>
    </row>
    <row r="712" spans="1:11" x14ac:dyDescent="0.45">
      <c r="A712" t="s">
        <v>84</v>
      </c>
      <c r="B712" t="s">
        <v>637</v>
      </c>
      <c r="C712" t="s">
        <v>10</v>
      </c>
      <c r="D712">
        <v>3</v>
      </c>
      <c r="E712" t="s">
        <v>424</v>
      </c>
      <c r="F712" t="s">
        <v>622</v>
      </c>
      <c r="G712">
        <v>33</v>
      </c>
      <c r="H712">
        <v>29</v>
      </c>
      <c r="I712">
        <v>4</v>
      </c>
      <c r="J712">
        <v>0</v>
      </c>
      <c r="K712" s="9">
        <v>4.0454545454545459</v>
      </c>
    </row>
    <row r="713" spans="1:11" x14ac:dyDescent="0.45">
      <c r="A713" t="s">
        <v>84</v>
      </c>
      <c r="B713" t="s">
        <v>637</v>
      </c>
      <c r="C713" t="s">
        <v>10</v>
      </c>
      <c r="D713">
        <v>4</v>
      </c>
      <c r="E713" t="s">
        <v>436</v>
      </c>
      <c r="F713" t="s">
        <v>623</v>
      </c>
      <c r="G713">
        <v>22</v>
      </c>
      <c r="H713">
        <v>25</v>
      </c>
      <c r="I713">
        <v>1</v>
      </c>
      <c r="J713">
        <v>0</v>
      </c>
      <c r="K713" s="9">
        <v>4.4782608695652177</v>
      </c>
    </row>
    <row r="714" spans="1:11" x14ac:dyDescent="0.45">
      <c r="A714" t="s">
        <v>84</v>
      </c>
      <c r="B714" t="s">
        <v>637</v>
      </c>
      <c r="C714" t="s">
        <v>10</v>
      </c>
      <c r="D714">
        <v>5</v>
      </c>
      <c r="E714" t="s">
        <v>334</v>
      </c>
      <c r="F714" t="s">
        <v>622</v>
      </c>
      <c r="G714">
        <v>7</v>
      </c>
      <c r="H714">
        <v>8</v>
      </c>
      <c r="I714">
        <v>1</v>
      </c>
      <c r="J714">
        <v>0</v>
      </c>
      <c r="K714" s="9">
        <v>4.9029126213592233</v>
      </c>
    </row>
    <row r="715" spans="1:11" x14ac:dyDescent="0.45">
      <c r="A715" t="s">
        <v>84</v>
      </c>
      <c r="B715" t="s">
        <v>637</v>
      </c>
      <c r="C715" t="s">
        <v>10</v>
      </c>
      <c r="D715">
        <v>6</v>
      </c>
      <c r="E715" t="s">
        <v>336</v>
      </c>
      <c r="F715" t="s">
        <v>623</v>
      </c>
      <c r="G715">
        <v>14</v>
      </c>
      <c r="H715">
        <v>9</v>
      </c>
      <c r="I715">
        <v>2</v>
      </c>
      <c r="J715">
        <v>0</v>
      </c>
      <c r="K715" s="9">
        <v>4.924050632911392</v>
      </c>
    </row>
    <row r="716" spans="1:11" x14ac:dyDescent="0.45">
      <c r="A716" t="s">
        <v>86</v>
      </c>
      <c r="B716" t="s">
        <v>636</v>
      </c>
      <c r="C716" t="s">
        <v>6</v>
      </c>
      <c r="D716">
        <v>1</v>
      </c>
      <c r="E716" t="s">
        <v>290</v>
      </c>
      <c r="F716" t="s">
        <v>622</v>
      </c>
      <c r="G716">
        <v>10</v>
      </c>
      <c r="H716">
        <v>13</v>
      </c>
      <c r="I716">
        <v>1</v>
      </c>
      <c r="J716">
        <v>0</v>
      </c>
      <c r="K716" s="9">
        <v>4.8939393939393936</v>
      </c>
    </row>
    <row r="717" spans="1:11" x14ac:dyDescent="0.45">
      <c r="A717" t="s">
        <v>86</v>
      </c>
      <c r="B717" t="s">
        <v>636</v>
      </c>
      <c r="C717" t="s">
        <v>6</v>
      </c>
      <c r="D717">
        <v>2</v>
      </c>
      <c r="E717" t="s">
        <v>294</v>
      </c>
      <c r="F717" t="s">
        <v>622</v>
      </c>
      <c r="G717">
        <v>33</v>
      </c>
      <c r="H717">
        <v>17</v>
      </c>
      <c r="I717">
        <v>4</v>
      </c>
      <c r="J717">
        <v>2</v>
      </c>
      <c r="K717" s="9">
        <v>4.82</v>
      </c>
    </row>
    <row r="718" spans="1:11" x14ac:dyDescent="0.45">
      <c r="A718" t="s">
        <v>86</v>
      </c>
      <c r="B718" t="s">
        <v>636</v>
      </c>
      <c r="C718" t="s">
        <v>6</v>
      </c>
      <c r="D718">
        <v>3</v>
      </c>
      <c r="E718" t="s">
        <v>299</v>
      </c>
      <c r="F718" t="s">
        <v>622</v>
      </c>
      <c r="G718">
        <v>26</v>
      </c>
      <c r="H718">
        <v>20</v>
      </c>
      <c r="I718">
        <v>1</v>
      </c>
      <c r="J718">
        <v>2</v>
      </c>
      <c r="K718" s="9">
        <v>4.9473684210526319</v>
      </c>
    </row>
    <row r="719" spans="1:11" x14ac:dyDescent="0.45">
      <c r="A719" t="s">
        <v>86</v>
      </c>
      <c r="B719" t="s">
        <v>636</v>
      </c>
      <c r="C719" t="s">
        <v>6</v>
      </c>
      <c r="D719">
        <v>4</v>
      </c>
      <c r="E719" t="s">
        <v>417</v>
      </c>
      <c r="F719" t="s">
        <v>622</v>
      </c>
      <c r="G719">
        <v>18</v>
      </c>
      <c r="H719">
        <v>15</v>
      </c>
      <c r="I719">
        <v>1</v>
      </c>
      <c r="J719">
        <v>1</v>
      </c>
      <c r="K719" s="9">
        <v>4.7777777777777777</v>
      </c>
    </row>
    <row r="720" spans="1:11" x14ac:dyDescent="0.45">
      <c r="A720" t="s">
        <v>86</v>
      </c>
      <c r="B720" t="s">
        <v>636</v>
      </c>
      <c r="C720" t="s">
        <v>6</v>
      </c>
      <c r="D720">
        <v>5</v>
      </c>
      <c r="E720" t="s">
        <v>355</v>
      </c>
      <c r="F720" t="s">
        <v>622</v>
      </c>
      <c r="G720">
        <v>27</v>
      </c>
      <c r="H720">
        <v>17</v>
      </c>
      <c r="I720">
        <v>0</v>
      </c>
      <c r="J720">
        <v>3</v>
      </c>
      <c r="K720" s="9">
        <v>4.82</v>
      </c>
    </row>
    <row r="721" spans="1:11" x14ac:dyDescent="0.45">
      <c r="A721" t="s">
        <v>86</v>
      </c>
      <c r="B721" t="s">
        <v>636</v>
      </c>
      <c r="C721" t="s">
        <v>6</v>
      </c>
      <c r="D721">
        <v>6</v>
      </c>
      <c r="E721" t="s">
        <v>328</v>
      </c>
      <c r="F721" t="s">
        <v>622</v>
      </c>
      <c r="G721">
        <v>8</v>
      </c>
      <c r="H721">
        <v>7</v>
      </c>
      <c r="I721">
        <v>1</v>
      </c>
      <c r="J721">
        <v>0</v>
      </c>
      <c r="K721" s="9">
        <v>4.927835051546392</v>
      </c>
    </row>
    <row r="722" spans="1:11" x14ac:dyDescent="0.45">
      <c r="A722" t="s">
        <v>86</v>
      </c>
      <c r="B722" t="s">
        <v>636</v>
      </c>
      <c r="C722" t="s">
        <v>6</v>
      </c>
      <c r="D722">
        <v>7</v>
      </c>
      <c r="E722" t="s">
        <v>356</v>
      </c>
      <c r="F722" t="s">
        <v>622</v>
      </c>
      <c r="G722">
        <v>18</v>
      </c>
      <c r="H722">
        <v>17</v>
      </c>
      <c r="I722">
        <v>2</v>
      </c>
      <c r="J722">
        <v>0</v>
      </c>
      <c r="K722" s="9">
        <v>4.82</v>
      </c>
    </row>
    <row r="723" spans="1:11" x14ac:dyDescent="0.45">
      <c r="A723" t="s">
        <v>86</v>
      </c>
      <c r="B723" t="s">
        <v>636</v>
      </c>
      <c r="C723" t="s">
        <v>6</v>
      </c>
      <c r="D723">
        <v>8</v>
      </c>
      <c r="E723" t="s">
        <v>420</v>
      </c>
      <c r="F723" t="s">
        <v>622</v>
      </c>
      <c r="G723">
        <v>13</v>
      </c>
      <c r="H723">
        <v>6</v>
      </c>
      <c r="I723">
        <v>0</v>
      </c>
      <c r="J723">
        <v>1</v>
      </c>
      <c r="K723" s="9">
        <v>5.4565217391304346</v>
      </c>
    </row>
    <row r="724" spans="1:11" x14ac:dyDescent="0.45">
      <c r="A724" t="s">
        <v>86</v>
      </c>
      <c r="B724" t="s">
        <v>636</v>
      </c>
      <c r="C724" t="s">
        <v>6</v>
      </c>
      <c r="D724">
        <v>9</v>
      </c>
      <c r="E724" t="s">
        <v>327</v>
      </c>
      <c r="F724" t="s">
        <v>623</v>
      </c>
      <c r="G724">
        <v>20</v>
      </c>
      <c r="H724">
        <v>8</v>
      </c>
      <c r="I724">
        <v>2</v>
      </c>
      <c r="J724">
        <v>1</v>
      </c>
      <c r="K724" s="9">
        <v>4.9029126213592233</v>
      </c>
    </row>
    <row r="725" spans="1:11" x14ac:dyDescent="0.45">
      <c r="A725" t="s">
        <v>86</v>
      </c>
      <c r="B725" t="s">
        <v>636</v>
      </c>
      <c r="C725" t="s">
        <v>6</v>
      </c>
      <c r="D725">
        <v>10</v>
      </c>
      <c r="E725" t="s">
        <v>326</v>
      </c>
      <c r="F725" t="s">
        <v>622</v>
      </c>
      <c r="G725">
        <v>1</v>
      </c>
      <c r="H725">
        <v>1</v>
      </c>
      <c r="I725">
        <v>0</v>
      </c>
      <c r="J725">
        <v>0</v>
      </c>
      <c r="K725" s="9">
        <v>6.5693779904306222</v>
      </c>
    </row>
    <row r="726" spans="1:11" x14ac:dyDescent="0.45">
      <c r="A726" t="s">
        <v>86</v>
      </c>
      <c r="B726" t="s">
        <v>636</v>
      </c>
      <c r="C726" t="s">
        <v>6</v>
      </c>
      <c r="D726">
        <v>11</v>
      </c>
      <c r="E726" t="s">
        <v>324</v>
      </c>
      <c r="F726" t="s">
        <v>623</v>
      </c>
      <c r="G726">
        <v>0</v>
      </c>
      <c r="H726">
        <v>0</v>
      </c>
      <c r="I726">
        <v>0</v>
      </c>
      <c r="J726">
        <v>0</v>
      </c>
      <c r="K726" s="9">
        <v>6.2519685039370083</v>
      </c>
    </row>
    <row r="727" spans="1:11" x14ac:dyDescent="0.45">
      <c r="A727" t="s">
        <v>86</v>
      </c>
      <c r="B727" t="s">
        <v>636</v>
      </c>
      <c r="C727" t="s">
        <v>23</v>
      </c>
      <c r="D727">
        <v>1</v>
      </c>
      <c r="E727" t="s">
        <v>458</v>
      </c>
      <c r="F727" t="s">
        <v>622</v>
      </c>
      <c r="G727">
        <v>49</v>
      </c>
      <c r="H727">
        <v>35</v>
      </c>
      <c r="I727">
        <v>5</v>
      </c>
      <c r="J727">
        <v>2</v>
      </c>
      <c r="K727" s="9">
        <v>3.5769230769230771</v>
      </c>
    </row>
    <row r="728" spans="1:11" x14ac:dyDescent="0.45">
      <c r="A728" t="s">
        <v>86</v>
      </c>
      <c r="B728" t="s">
        <v>636</v>
      </c>
      <c r="C728" t="s">
        <v>23</v>
      </c>
      <c r="D728">
        <v>2</v>
      </c>
      <c r="E728" t="s">
        <v>470</v>
      </c>
      <c r="F728" t="s">
        <v>622</v>
      </c>
      <c r="G728">
        <v>14</v>
      </c>
      <c r="H728">
        <v>11</v>
      </c>
      <c r="I728">
        <v>1</v>
      </c>
      <c r="J728">
        <v>1</v>
      </c>
      <c r="K728" s="9">
        <v>4.9649122807017543</v>
      </c>
    </row>
    <row r="729" spans="1:11" x14ac:dyDescent="0.45">
      <c r="A729" t="s">
        <v>86</v>
      </c>
      <c r="B729" t="s">
        <v>636</v>
      </c>
      <c r="C729" t="s">
        <v>23</v>
      </c>
      <c r="D729">
        <v>3</v>
      </c>
      <c r="E729" t="s">
        <v>386</v>
      </c>
      <c r="F729" t="s">
        <v>622</v>
      </c>
      <c r="G729">
        <v>1</v>
      </c>
      <c r="H729">
        <v>5</v>
      </c>
      <c r="I729">
        <v>0</v>
      </c>
      <c r="J729">
        <v>0</v>
      </c>
      <c r="K729" s="9">
        <v>5.132075471698113</v>
      </c>
    </row>
    <row r="730" spans="1:11" x14ac:dyDescent="0.45">
      <c r="A730" t="s">
        <v>86</v>
      </c>
      <c r="B730" t="s">
        <v>636</v>
      </c>
      <c r="C730" t="s">
        <v>23</v>
      </c>
      <c r="D730">
        <v>4</v>
      </c>
      <c r="E730" t="s">
        <v>387</v>
      </c>
      <c r="F730" t="s">
        <v>622</v>
      </c>
      <c r="G730">
        <v>17</v>
      </c>
      <c r="H730">
        <v>20</v>
      </c>
      <c r="I730">
        <v>2</v>
      </c>
      <c r="J730">
        <v>0</v>
      </c>
      <c r="K730" s="9">
        <v>4.9473684210526319</v>
      </c>
    </row>
    <row r="731" spans="1:11" x14ac:dyDescent="0.45">
      <c r="A731" t="s">
        <v>86</v>
      </c>
      <c r="B731" t="s">
        <v>636</v>
      </c>
      <c r="C731" t="s">
        <v>23</v>
      </c>
      <c r="D731">
        <v>5</v>
      </c>
      <c r="E731" t="s">
        <v>411</v>
      </c>
      <c r="F731" t="s">
        <v>622</v>
      </c>
      <c r="G731">
        <v>2</v>
      </c>
      <c r="H731">
        <v>5</v>
      </c>
      <c r="I731">
        <v>0</v>
      </c>
      <c r="J731">
        <v>0</v>
      </c>
      <c r="K731" s="9">
        <v>5.132075471698113</v>
      </c>
    </row>
    <row r="732" spans="1:11" x14ac:dyDescent="0.45">
      <c r="A732" t="s">
        <v>86</v>
      </c>
      <c r="B732" t="s">
        <v>636</v>
      </c>
      <c r="C732" t="s">
        <v>23</v>
      </c>
      <c r="D732">
        <v>6</v>
      </c>
      <c r="E732" t="s">
        <v>431</v>
      </c>
      <c r="F732" t="s">
        <v>622</v>
      </c>
      <c r="G732">
        <v>3</v>
      </c>
      <c r="H732">
        <v>7</v>
      </c>
      <c r="I732">
        <v>0</v>
      </c>
      <c r="J732">
        <v>0</v>
      </c>
      <c r="K732" s="9">
        <v>4.927835051546392</v>
      </c>
    </row>
    <row r="733" spans="1:11" x14ac:dyDescent="0.45">
      <c r="A733" t="s">
        <v>86</v>
      </c>
      <c r="B733" t="s">
        <v>636</v>
      </c>
      <c r="C733" t="s">
        <v>23</v>
      </c>
      <c r="D733">
        <v>7</v>
      </c>
      <c r="E733" t="s">
        <v>390</v>
      </c>
      <c r="F733" t="s">
        <v>622</v>
      </c>
      <c r="G733">
        <v>20</v>
      </c>
      <c r="H733">
        <v>15</v>
      </c>
      <c r="I733">
        <v>0</v>
      </c>
      <c r="J733">
        <v>2</v>
      </c>
      <c r="K733" s="9">
        <v>4.7777777777777777</v>
      </c>
    </row>
    <row r="734" spans="1:11" x14ac:dyDescent="0.45">
      <c r="A734" t="s">
        <v>86</v>
      </c>
      <c r="B734" t="s">
        <v>636</v>
      </c>
      <c r="C734" t="s">
        <v>23</v>
      </c>
      <c r="D734">
        <v>8</v>
      </c>
      <c r="E734" t="s">
        <v>391</v>
      </c>
      <c r="F734" t="s">
        <v>622</v>
      </c>
      <c r="G734">
        <v>0</v>
      </c>
      <c r="H734">
        <v>2</v>
      </c>
      <c r="I734">
        <v>0</v>
      </c>
      <c r="J734">
        <v>0</v>
      </c>
      <c r="K734" s="9">
        <v>6.1385542168674698</v>
      </c>
    </row>
    <row r="735" spans="1:11" x14ac:dyDescent="0.45">
      <c r="A735" t="s">
        <v>86</v>
      </c>
      <c r="B735" t="s">
        <v>636</v>
      </c>
      <c r="C735" t="s">
        <v>23</v>
      </c>
      <c r="D735">
        <v>9</v>
      </c>
      <c r="E735" t="s">
        <v>392</v>
      </c>
      <c r="F735" t="s">
        <v>622</v>
      </c>
      <c r="G735">
        <v>24</v>
      </c>
      <c r="H735">
        <v>17</v>
      </c>
      <c r="I735">
        <v>2</v>
      </c>
      <c r="J735">
        <v>1</v>
      </c>
      <c r="K735" s="9">
        <v>4.82</v>
      </c>
    </row>
    <row r="736" spans="1:11" x14ac:dyDescent="0.45">
      <c r="A736" t="s">
        <v>86</v>
      </c>
      <c r="B736" t="s">
        <v>636</v>
      </c>
      <c r="C736" t="s">
        <v>23</v>
      </c>
      <c r="D736">
        <v>10</v>
      </c>
      <c r="E736" t="s">
        <v>394</v>
      </c>
      <c r="F736" t="s">
        <v>623</v>
      </c>
      <c r="G736">
        <v>0</v>
      </c>
      <c r="H736">
        <v>0</v>
      </c>
      <c r="I736">
        <v>0</v>
      </c>
      <c r="J736">
        <v>0</v>
      </c>
      <c r="K736" s="9">
        <v>6.2519685039370083</v>
      </c>
    </row>
    <row r="737" spans="1:11" x14ac:dyDescent="0.45">
      <c r="A737" t="s">
        <v>86</v>
      </c>
      <c r="B737" t="s">
        <v>636</v>
      </c>
      <c r="C737" t="s">
        <v>23</v>
      </c>
      <c r="D737">
        <v>11</v>
      </c>
      <c r="E737" t="s">
        <v>396</v>
      </c>
      <c r="F737" t="s">
        <v>623</v>
      </c>
      <c r="G737">
        <v>0</v>
      </c>
      <c r="H737">
        <v>4</v>
      </c>
      <c r="I737">
        <v>0</v>
      </c>
      <c r="J737">
        <v>0</v>
      </c>
      <c r="K737" s="9">
        <v>5.352380952380952</v>
      </c>
    </row>
    <row r="738" spans="1:11" x14ac:dyDescent="0.45">
      <c r="A738" t="s">
        <v>87</v>
      </c>
      <c r="B738" t="s">
        <v>652</v>
      </c>
      <c r="C738" t="s">
        <v>26</v>
      </c>
      <c r="D738">
        <v>1</v>
      </c>
      <c r="E738" t="s">
        <v>397</v>
      </c>
      <c r="F738" t="s">
        <v>622</v>
      </c>
      <c r="G738">
        <v>61</v>
      </c>
      <c r="H738">
        <v>51</v>
      </c>
      <c r="I738">
        <v>7</v>
      </c>
      <c r="J738">
        <v>2</v>
      </c>
      <c r="K738" s="9">
        <v>3.2352941176470589</v>
      </c>
    </row>
    <row r="739" spans="1:11" x14ac:dyDescent="0.45">
      <c r="A739" t="s">
        <v>87</v>
      </c>
      <c r="B739" t="s">
        <v>652</v>
      </c>
      <c r="C739" t="s">
        <v>26</v>
      </c>
      <c r="D739">
        <v>2</v>
      </c>
      <c r="E739" t="s">
        <v>398</v>
      </c>
      <c r="F739" t="s">
        <v>622</v>
      </c>
      <c r="G739">
        <v>69</v>
      </c>
      <c r="H739">
        <v>36</v>
      </c>
      <c r="I739">
        <v>7</v>
      </c>
      <c r="J739">
        <v>4</v>
      </c>
      <c r="K739" s="9">
        <v>4.083333333333333</v>
      </c>
    </row>
    <row r="740" spans="1:11" x14ac:dyDescent="0.45">
      <c r="A740" t="s">
        <v>87</v>
      </c>
      <c r="B740" t="s">
        <v>652</v>
      </c>
      <c r="C740" t="s">
        <v>26</v>
      </c>
      <c r="D740">
        <v>3</v>
      </c>
      <c r="E740" t="s">
        <v>434</v>
      </c>
      <c r="F740" t="s">
        <v>622</v>
      </c>
      <c r="G740">
        <v>11</v>
      </c>
      <c r="H740">
        <v>9</v>
      </c>
      <c r="I740">
        <v>0</v>
      </c>
      <c r="J740">
        <v>1</v>
      </c>
      <c r="K740" s="9">
        <v>4.924050632911392</v>
      </c>
    </row>
    <row r="741" spans="1:11" x14ac:dyDescent="0.45">
      <c r="A741" t="s">
        <v>87</v>
      </c>
      <c r="B741" t="s">
        <v>652</v>
      </c>
      <c r="C741" t="s">
        <v>26</v>
      </c>
      <c r="D741">
        <v>4</v>
      </c>
      <c r="E741" t="s">
        <v>426</v>
      </c>
      <c r="F741" t="s">
        <v>623</v>
      </c>
      <c r="G741">
        <v>22</v>
      </c>
      <c r="H741">
        <v>13</v>
      </c>
      <c r="I741">
        <v>0</v>
      </c>
      <c r="J741">
        <v>2</v>
      </c>
      <c r="K741" s="9">
        <v>4.8939393939393936</v>
      </c>
    </row>
    <row r="742" spans="1:11" x14ac:dyDescent="0.45">
      <c r="A742" t="s">
        <v>87</v>
      </c>
      <c r="B742" t="s">
        <v>652</v>
      </c>
      <c r="C742" t="s">
        <v>26</v>
      </c>
      <c r="D742">
        <v>5</v>
      </c>
      <c r="E742" t="s">
        <v>416</v>
      </c>
      <c r="F742" t="s">
        <v>622</v>
      </c>
      <c r="G742">
        <v>9</v>
      </c>
      <c r="H742">
        <v>8</v>
      </c>
      <c r="I742">
        <v>1</v>
      </c>
      <c r="J742">
        <v>0</v>
      </c>
      <c r="K742" s="9">
        <v>4.9029126213592233</v>
      </c>
    </row>
    <row r="743" spans="1:11" x14ac:dyDescent="0.45">
      <c r="A743" t="s">
        <v>87</v>
      </c>
      <c r="B743" t="s">
        <v>652</v>
      </c>
      <c r="C743" t="s">
        <v>26</v>
      </c>
      <c r="D743">
        <v>6</v>
      </c>
      <c r="E743" t="s">
        <v>400</v>
      </c>
      <c r="F743" t="s">
        <v>623</v>
      </c>
      <c r="G743">
        <v>15</v>
      </c>
      <c r="H743">
        <v>5</v>
      </c>
      <c r="I743">
        <v>2</v>
      </c>
      <c r="J743">
        <v>1</v>
      </c>
      <c r="K743" s="9">
        <v>5.132075471698113</v>
      </c>
    </row>
    <row r="744" spans="1:11" x14ac:dyDescent="0.45">
      <c r="A744" t="s">
        <v>87</v>
      </c>
      <c r="B744" t="s">
        <v>652</v>
      </c>
      <c r="C744" t="s">
        <v>10</v>
      </c>
      <c r="D744">
        <v>1</v>
      </c>
      <c r="E744" t="s">
        <v>329</v>
      </c>
      <c r="F744" t="s">
        <v>622</v>
      </c>
      <c r="G744">
        <v>32</v>
      </c>
      <c r="H744">
        <v>17</v>
      </c>
      <c r="I744">
        <v>3</v>
      </c>
      <c r="J744">
        <v>2</v>
      </c>
      <c r="K744" s="9">
        <v>4.82</v>
      </c>
    </row>
    <row r="745" spans="1:11" x14ac:dyDescent="0.45">
      <c r="A745" t="s">
        <v>87</v>
      </c>
      <c r="B745" t="s">
        <v>652</v>
      </c>
      <c r="C745" t="s">
        <v>10</v>
      </c>
      <c r="D745">
        <v>2</v>
      </c>
      <c r="E745" t="s">
        <v>330</v>
      </c>
      <c r="F745" t="s">
        <v>622</v>
      </c>
      <c r="G745">
        <v>92</v>
      </c>
      <c r="H745">
        <v>49</v>
      </c>
      <c r="I745">
        <v>13</v>
      </c>
      <c r="J745">
        <v>2</v>
      </c>
      <c r="K745" s="9">
        <v>3.5714285714285716</v>
      </c>
    </row>
    <row r="746" spans="1:11" x14ac:dyDescent="0.45">
      <c r="A746" t="s">
        <v>87</v>
      </c>
      <c r="B746" t="s">
        <v>652</v>
      </c>
      <c r="C746" t="s">
        <v>10</v>
      </c>
      <c r="D746">
        <v>3</v>
      </c>
      <c r="E746" t="s">
        <v>424</v>
      </c>
      <c r="F746" t="s">
        <v>622</v>
      </c>
      <c r="G746">
        <v>9</v>
      </c>
      <c r="H746">
        <v>12</v>
      </c>
      <c r="I746">
        <v>0</v>
      </c>
      <c r="J746">
        <v>0</v>
      </c>
      <c r="K746" s="9">
        <v>4.8024691358024691</v>
      </c>
    </row>
    <row r="747" spans="1:11" x14ac:dyDescent="0.45">
      <c r="A747" t="s">
        <v>87</v>
      </c>
      <c r="B747" t="s">
        <v>652</v>
      </c>
      <c r="C747" t="s">
        <v>10</v>
      </c>
      <c r="D747">
        <v>4</v>
      </c>
      <c r="E747" t="s">
        <v>334</v>
      </c>
      <c r="F747" t="s">
        <v>622</v>
      </c>
      <c r="G747">
        <v>15</v>
      </c>
      <c r="H747">
        <v>16</v>
      </c>
      <c r="I747">
        <v>0</v>
      </c>
      <c r="J747">
        <v>1</v>
      </c>
      <c r="K747" s="9">
        <v>4.7608695652173916</v>
      </c>
    </row>
    <row r="748" spans="1:11" x14ac:dyDescent="0.45">
      <c r="A748" t="s">
        <v>87</v>
      </c>
      <c r="B748" t="s">
        <v>652</v>
      </c>
      <c r="C748" t="s">
        <v>10</v>
      </c>
      <c r="D748">
        <v>5</v>
      </c>
      <c r="E748" t="s">
        <v>331</v>
      </c>
      <c r="F748" t="s">
        <v>623</v>
      </c>
      <c r="G748">
        <v>27</v>
      </c>
      <c r="H748">
        <v>13</v>
      </c>
      <c r="I748">
        <v>3</v>
      </c>
      <c r="J748">
        <v>1</v>
      </c>
      <c r="K748" s="9">
        <v>4.8939393939393936</v>
      </c>
    </row>
    <row r="749" spans="1:11" x14ac:dyDescent="0.45">
      <c r="A749" t="s">
        <v>87</v>
      </c>
      <c r="B749" t="s">
        <v>652</v>
      </c>
      <c r="C749" t="s">
        <v>10</v>
      </c>
      <c r="D749">
        <v>6</v>
      </c>
      <c r="E749" t="s">
        <v>436</v>
      </c>
      <c r="F749" t="s">
        <v>623</v>
      </c>
      <c r="G749">
        <v>12</v>
      </c>
      <c r="H749">
        <v>6</v>
      </c>
      <c r="I749">
        <v>2</v>
      </c>
      <c r="J749">
        <v>0</v>
      </c>
      <c r="K749" s="9">
        <v>5.4565217391304346</v>
      </c>
    </row>
    <row r="750" spans="1:11" x14ac:dyDescent="0.45">
      <c r="A750" t="s">
        <v>89</v>
      </c>
      <c r="B750" t="s">
        <v>625</v>
      </c>
      <c r="C750" t="s">
        <v>13</v>
      </c>
      <c r="D750">
        <v>1</v>
      </c>
      <c r="E750" t="s">
        <v>343</v>
      </c>
      <c r="F750" t="s">
        <v>622</v>
      </c>
      <c r="G750">
        <v>5</v>
      </c>
      <c r="H750">
        <v>6</v>
      </c>
      <c r="I750">
        <v>1</v>
      </c>
      <c r="J750">
        <v>0</v>
      </c>
      <c r="K750" s="9">
        <v>5.4565217391304346</v>
      </c>
    </row>
    <row r="751" spans="1:11" x14ac:dyDescent="0.45">
      <c r="A751" t="s">
        <v>89</v>
      </c>
      <c r="B751" t="s">
        <v>625</v>
      </c>
      <c r="C751" t="s">
        <v>13</v>
      </c>
      <c r="D751">
        <v>2</v>
      </c>
      <c r="E751" t="s">
        <v>342</v>
      </c>
      <c r="F751" t="s">
        <v>622</v>
      </c>
      <c r="G751">
        <v>25</v>
      </c>
      <c r="H751">
        <v>28</v>
      </c>
      <c r="I751">
        <v>2</v>
      </c>
      <c r="J751">
        <v>0</v>
      </c>
      <c r="K751" s="9">
        <v>3.806451612903226</v>
      </c>
    </row>
    <row r="752" spans="1:11" x14ac:dyDescent="0.45">
      <c r="A752" t="s">
        <v>89</v>
      </c>
      <c r="B752" t="s">
        <v>625</v>
      </c>
      <c r="C752" t="s">
        <v>13</v>
      </c>
      <c r="D752">
        <v>3</v>
      </c>
      <c r="E752" t="s">
        <v>463</v>
      </c>
      <c r="F752" t="s">
        <v>622</v>
      </c>
      <c r="G752">
        <v>1</v>
      </c>
      <c r="H752">
        <v>2</v>
      </c>
      <c r="I752">
        <v>0</v>
      </c>
      <c r="J752">
        <v>0</v>
      </c>
      <c r="K752" s="9">
        <v>6.1385542168674698</v>
      </c>
    </row>
    <row r="753" spans="1:11" x14ac:dyDescent="0.45">
      <c r="A753" t="s">
        <v>89</v>
      </c>
      <c r="B753" t="s">
        <v>625</v>
      </c>
      <c r="C753" t="s">
        <v>13</v>
      </c>
      <c r="D753">
        <v>4</v>
      </c>
      <c r="E753" t="s">
        <v>345</v>
      </c>
      <c r="F753" t="s">
        <v>622</v>
      </c>
      <c r="G753">
        <v>78</v>
      </c>
      <c r="H753">
        <v>49</v>
      </c>
      <c r="I753">
        <v>9</v>
      </c>
      <c r="J753">
        <v>3</v>
      </c>
      <c r="K753" s="9">
        <v>3.5714285714285716</v>
      </c>
    </row>
    <row r="754" spans="1:11" x14ac:dyDescent="0.45">
      <c r="A754" t="s">
        <v>89</v>
      </c>
      <c r="B754" t="s">
        <v>625</v>
      </c>
      <c r="C754" t="s">
        <v>13</v>
      </c>
      <c r="D754">
        <v>5</v>
      </c>
      <c r="E754" t="s">
        <v>346</v>
      </c>
      <c r="F754" t="s">
        <v>623</v>
      </c>
      <c r="G754">
        <v>76</v>
      </c>
      <c r="H754">
        <v>34</v>
      </c>
      <c r="I754">
        <v>9</v>
      </c>
      <c r="J754">
        <v>3</v>
      </c>
      <c r="K754" s="9">
        <v>4.4137931034482758</v>
      </c>
    </row>
    <row r="755" spans="1:11" x14ac:dyDescent="0.45">
      <c r="A755" t="s">
        <v>89</v>
      </c>
      <c r="B755" t="s">
        <v>625</v>
      </c>
      <c r="C755" t="s">
        <v>13</v>
      </c>
      <c r="D755">
        <v>6</v>
      </c>
      <c r="E755" t="s">
        <v>438</v>
      </c>
      <c r="F755" t="s">
        <v>623</v>
      </c>
      <c r="G755">
        <v>11</v>
      </c>
      <c r="H755">
        <v>4</v>
      </c>
      <c r="I755">
        <v>1</v>
      </c>
      <c r="J755">
        <v>1</v>
      </c>
      <c r="K755" s="9">
        <v>5.352380952380952</v>
      </c>
    </row>
    <row r="756" spans="1:11" x14ac:dyDescent="0.45">
      <c r="A756" t="s">
        <v>89</v>
      </c>
      <c r="B756" t="s">
        <v>625</v>
      </c>
      <c r="C756" t="s">
        <v>7</v>
      </c>
      <c r="D756">
        <v>1</v>
      </c>
      <c r="E756" t="s">
        <v>306</v>
      </c>
      <c r="F756" t="s">
        <v>622</v>
      </c>
      <c r="G756">
        <v>18</v>
      </c>
      <c r="H756">
        <v>11</v>
      </c>
      <c r="I756">
        <v>2</v>
      </c>
      <c r="J756">
        <v>1</v>
      </c>
      <c r="K756" s="9">
        <v>4.9649122807017543</v>
      </c>
    </row>
    <row r="757" spans="1:11" x14ac:dyDescent="0.45">
      <c r="A757" t="s">
        <v>89</v>
      </c>
      <c r="B757" t="s">
        <v>625</v>
      </c>
      <c r="C757" t="s">
        <v>7</v>
      </c>
      <c r="D757">
        <v>2</v>
      </c>
      <c r="E757" t="s">
        <v>302</v>
      </c>
      <c r="F757" t="s">
        <v>622</v>
      </c>
      <c r="G757">
        <v>21</v>
      </c>
      <c r="H757">
        <v>9</v>
      </c>
      <c r="I757">
        <v>2</v>
      </c>
      <c r="J757">
        <v>2</v>
      </c>
      <c r="K757" s="9">
        <v>4.924050632911392</v>
      </c>
    </row>
    <row r="758" spans="1:11" x14ac:dyDescent="0.45">
      <c r="A758" t="s">
        <v>89</v>
      </c>
      <c r="B758" t="s">
        <v>625</v>
      </c>
      <c r="C758" t="s">
        <v>7</v>
      </c>
      <c r="D758">
        <v>3</v>
      </c>
      <c r="E758" t="s">
        <v>315</v>
      </c>
      <c r="F758" t="s">
        <v>622</v>
      </c>
      <c r="G758">
        <v>25</v>
      </c>
      <c r="H758">
        <v>20</v>
      </c>
      <c r="I758">
        <v>5</v>
      </c>
      <c r="J758">
        <v>0</v>
      </c>
      <c r="K758" s="9">
        <v>4.9473684210526319</v>
      </c>
    </row>
    <row r="759" spans="1:11" x14ac:dyDescent="0.45">
      <c r="A759" t="s">
        <v>89</v>
      </c>
      <c r="B759" t="s">
        <v>625</v>
      </c>
      <c r="C759" t="s">
        <v>7</v>
      </c>
      <c r="D759">
        <v>4</v>
      </c>
      <c r="E759" t="s">
        <v>310</v>
      </c>
      <c r="F759" t="s">
        <v>622</v>
      </c>
      <c r="G759">
        <v>29</v>
      </c>
      <c r="H759">
        <v>23</v>
      </c>
      <c r="I759">
        <v>1</v>
      </c>
      <c r="J759">
        <v>2</v>
      </c>
      <c r="K759" s="9">
        <v>5.1142857142857139</v>
      </c>
    </row>
    <row r="760" spans="1:11" x14ac:dyDescent="0.45">
      <c r="A760" t="s">
        <v>89</v>
      </c>
      <c r="B760" t="s">
        <v>625</v>
      </c>
      <c r="C760" t="s">
        <v>7</v>
      </c>
      <c r="D760">
        <v>5</v>
      </c>
      <c r="E760" t="s">
        <v>311</v>
      </c>
      <c r="F760" t="s">
        <v>622</v>
      </c>
      <c r="G760">
        <v>2</v>
      </c>
      <c r="H760">
        <v>5</v>
      </c>
      <c r="I760">
        <v>0</v>
      </c>
      <c r="J760">
        <v>0</v>
      </c>
      <c r="K760" s="9">
        <v>5.132075471698113</v>
      </c>
    </row>
    <row r="761" spans="1:11" x14ac:dyDescent="0.45">
      <c r="A761" t="s">
        <v>89</v>
      </c>
      <c r="B761" t="s">
        <v>625</v>
      </c>
      <c r="C761" t="s">
        <v>7</v>
      </c>
      <c r="D761">
        <v>6</v>
      </c>
      <c r="E761" t="s">
        <v>313</v>
      </c>
      <c r="F761" t="s">
        <v>622</v>
      </c>
      <c r="G761">
        <v>26</v>
      </c>
      <c r="H761">
        <v>25</v>
      </c>
      <c r="I761">
        <v>1</v>
      </c>
      <c r="J761">
        <v>1</v>
      </c>
      <c r="K761" s="9">
        <v>4.4782608695652177</v>
      </c>
    </row>
    <row r="762" spans="1:11" x14ac:dyDescent="0.45">
      <c r="A762" t="s">
        <v>89</v>
      </c>
      <c r="B762" t="s">
        <v>625</v>
      </c>
      <c r="C762" t="s">
        <v>7</v>
      </c>
      <c r="D762">
        <v>7</v>
      </c>
      <c r="E762" t="s">
        <v>440</v>
      </c>
      <c r="F762" t="s">
        <v>622</v>
      </c>
      <c r="G762">
        <v>31</v>
      </c>
      <c r="H762">
        <v>20</v>
      </c>
      <c r="I762">
        <v>3</v>
      </c>
      <c r="J762">
        <v>2</v>
      </c>
      <c r="K762" s="9">
        <v>4.9473684210526319</v>
      </c>
    </row>
    <row r="763" spans="1:11" x14ac:dyDescent="0.45">
      <c r="A763" t="s">
        <v>89</v>
      </c>
      <c r="B763" t="s">
        <v>625</v>
      </c>
      <c r="C763" t="s">
        <v>7</v>
      </c>
      <c r="D763">
        <v>8</v>
      </c>
      <c r="E763" t="s">
        <v>465</v>
      </c>
      <c r="F763" t="s">
        <v>622</v>
      </c>
      <c r="G763">
        <v>6</v>
      </c>
      <c r="H763">
        <v>2</v>
      </c>
      <c r="I763">
        <v>0</v>
      </c>
      <c r="J763">
        <v>1</v>
      </c>
      <c r="K763" s="9">
        <v>6.1385542168674698</v>
      </c>
    </row>
    <row r="764" spans="1:11" x14ac:dyDescent="0.45">
      <c r="A764" t="s">
        <v>89</v>
      </c>
      <c r="B764" t="s">
        <v>625</v>
      </c>
      <c r="C764" t="s">
        <v>7</v>
      </c>
      <c r="D764">
        <v>9</v>
      </c>
      <c r="E764" t="s">
        <v>478</v>
      </c>
      <c r="F764" t="s">
        <v>623</v>
      </c>
      <c r="G764">
        <v>2</v>
      </c>
      <c r="H764">
        <v>2</v>
      </c>
      <c r="I764">
        <v>0</v>
      </c>
      <c r="J764">
        <v>0</v>
      </c>
      <c r="K764" s="9">
        <v>6.1385542168674698</v>
      </c>
    </row>
    <row r="765" spans="1:11" x14ac:dyDescent="0.45">
      <c r="A765" t="s">
        <v>89</v>
      </c>
      <c r="B765" t="s">
        <v>625</v>
      </c>
      <c r="C765" t="s">
        <v>7</v>
      </c>
      <c r="D765">
        <v>10</v>
      </c>
      <c r="E765" t="s">
        <v>322</v>
      </c>
      <c r="F765" t="s">
        <v>623</v>
      </c>
      <c r="G765">
        <v>2</v>
      </c>
      <c r="H765">
        <v>3</v>
      </c>
      <c r="I765">
        <v>0</v>
      </c>
      <c r="J765">
        <v>0</v>
      </c>
      <c r="K765" s="9">
        <v>5.6607142857142856</v>
      </c>
    </row>
    <row r="766" spans="1:11" x14ac:dyDescent="0.45">
      <c r="A766" t="s">
        <v>91</v>
      </c>
      <c r="B766" t="s">
        <v>628</v>
      </c>
      <c r="C766" t="s">
        <v>19</v>
      </c>
      <c r="D766">
        <v>1</v>
      </c>
      <c r="E766" t="s">
        <v>422</v>
      </c>
      <c r="F766" t="s">
        <v>622</v>
      </c>
      <c r="G766">
        <v>40</v>
      </c>
      <c r="H766">
        <v>39</v>
      </c>
      <c r="I766">
        <v>5</v>
      </c>
      <c r="J766">
        <v>0</v>
      </c>
      <c r="K766" s="9">
        <v>2.7083333333333335</v>
      </c>
    </row>
    <row r="767" spans="1:11" x14ac:dyDescent="0.45">
      <c r="A767" t="s">
        <v>91</v>
      </c>
      <c r="B767" t="s">
        <v>628</v>
      </c>
      <c r="C767" t="s">
        <v>19</v>
      </c>
      <c r="D767">
        <v>2</v>
      </c>
      <c r="E767" t="s">
        <v>359</v>
      </c>
      <c r="F767" t="s">
        <v>622</v>
      </c>
      <c r="G767">
        <v>32</v>
      </c>
      <c r="H767">
        <v>25</v>
      </c>
      <c r="I767">
        <v>2</v>
      </c>
      <c r="J767">
        <v>2</v>
      </c>
      <c r="K767" s="9">
        <v>4.4782608695652177</v>
      </c>
    </row>
    <row r="768" spans="1:11" x14ac:dyDescent="0.45">
      <c r="A768" t="s">
        <v>91</v>
      </c>
      <c r="B768" t="s">
        <v>628</v>
      </c>
      <c r="C768" t="s">
        <v>19</v>
      </c>
      <c r="D768">
        <v>3</v>
      </c>
      <c r="E768" t="s">
        <v>363</v>
      </c>
      <c r="F768" t="s">
        <v>622</v>
      </c>
      <c r="G768">
        <v>10</v>
      </c>
      <c r="H768">
        <v>6</v>
      </c>
      <c r="I768">
        <v>1</v>
      </c>
      <c r="J768">
        <v>1</v>
      </c>
      <c r="K768" s="9">
        <v>5.4565217391304346</v>
      </c>
    </row>
    <row r="769" spans="1:11" x14ac:dyDescent="0.45">
      <c r="A769" t="s">
        <v>91</v>
      </c>
      <c r="B769" t="s">
        <v>628</v>
      </c>
      <c r="C769" t="s">
        <v>19</v>
      </c>
      <c r="D769">
        <v>4</v>
      </c>
      <c r="E769" t="s">
        <v>360</v>
      </c>
      <c r="F769" t="s">
        <v>622</v>
      </c>
      <c r="G769">
        <v>12</v>
      </c>
      <c r="H769">
        <v>21</v>
      </c>
      <c r="I769">
        <v>0</v>
      </c>
      <c r="J769">
        <v>0</v>
      </c>
      <c r="K769" s="9">
        <v>4.3770491803278686</v>
      </c>
    </row>
    <row r="770" spans="1:11" x14ac:dyDescent="0.45">
      <c r="A770" t="s">
        <v>91</v>
      </c>
      <c r="B770" t="s">
        <v>628</v>
      </c>
      <c r="C770" t="s">
        <v>19</v>
      </c>
      <c r="D770">
        <v>5</v>
      </c>
      <c r="E770" t="s">
        <v>362</v>
      </c>
      <c r="F770" t="s">
        <v>623</v>
      </c>
      <c r="G770">
        <v>35</v>
      </c>
      <c r="H770">
        <v>22</v>
      </c>
      <c r="I770">
        <v>1</v>
      </c>
      <c r="J770">
        <v>3</v>
      </c>
      <c r="K770" s="9">
        <v>4.4423076923076925</v>
      </c>
    </row>
    <row r="771" spans="1:11" x14ac:dyDescent="0.45">
      <c r="A771" t="s">
        <v>91</v>
      </c>
      <c r="B771" t="s">
        <v>628</v>
      </c>
      <c r="C771" t="s">
        <v>19</v>
      </c>
      <c r="D771">
        <v>6</v>
      </c>
      <c r="E771" t="s">
        <v>361</v>
      </c>
      <c r="F771" t="s">
        <v>622</v>
      </c>
      <c r="G771">
        <v>7</v>
      </c>
      <c r="H771">
        <v>5</v>
      </c>
      <c r="I771">
        <v>1</v>
      </c>
      <c r="J771">
        <v>0</v>
      </c>
      <c r="K771" s="9">
        <v>5.132075471698113</v>
      </c>
    </row>
    <row r="772" spans="1:11" x14ac:dyDescent="0.45">
      <c r="A772" t="s">
        <v>91</v>
      </c>
      <c r="B772" t="s">
        <v>628</v>
      </c>
      <c r="C772" t="s">
        <v>19</v>
      </c>
      <c r="D772">
        <v>7</v>
      </c>
      <c r="E772" t="s">
        <v>366</v>
      </c>
      <c r="F772" t="s">
        <v>623</v>
      </c>
      <c r="G772">
        <v>3</v>
      </c>
      <c r="H772">
        <v>3</v>
      </c>
      <c r="I772">
        <v>0</v>
      </c>
      <c r="J772">
        <v>0</v>
      </c>
      <c r="K772" s="9">
        <v>5.6607142857142856</v>
      </c>
    </row>
    <row r="773" spans="1:11" x14ac:dyDescent="0.45">
      <c r="A773" t="s">
        <v>91</v>
      </c>
      <c r="B773" t="s">
        <v>628</v>
      </c>
      <c r="C773" t="s">
        <v>20</v>
      </c>
      <c r="D773">
        <v>1</v>
      </c>
      <c r="E773" t="s">
        <v>442</v>
      </c>
      <c r="F773" t="s">
        <v>622</v>
      </c>
      <c r="G773">
        <v>36</v>
      </c>
      <c r="H773">
        <v>34</v>
      </c>
      <c r="I773">
        <v>2</v>
      </c>
      <c r="J773">
        <v>2</v>
      </c>
      <c r="K773" s="9">
        <v>4.4137931034482758</v>
      </c>
    </row>
    <row r="774" spans="1:11" x14ac:dyDescent="0.45">
      <c r="A774" t="s">
        <v>91</v>
      </c>
      <c r="B774" t="s">
        <v>628</v>
      </c>
      <c r="C774" t="s">
        <v>20</v>
      </c>
      <c r="D774">
        <v>2</v>
      </c>
      <c r="E774" t="s">
        <v>459</v>
      </c>
      <c r="F774" t="s">
        <v>622</v>
      </c>
      <c r="G774">
        <v>43</v>
      </c>
      <c r="H774">
        <v>22</v>
      </c>
      <c r="I774">
        <v>3</v>
      </c>
      <c r="J774">
        <v>4</v>
      </c>
      <c r="K774" s="9">
        <v>4.4423076923076925</v>
      </c>
    </row>
    <row r="775" spans="1:11" x14ac:dyDescent="0.45">
      <c r="A775" t="s">
        <v>91</v>
      </c>
      <c r="B775" t="s">
        <v>628</v>
      </c>
      <c r="C775" t="s">
        <v>20</v>
      </c>
      <c r="D775">
        <v>3</v>
      </c>
      <c r="E775" t="s">
        <v>374</v>
      </c>
      <c r="F775" t="s">
        <v>622</v>
      </c>
      <c r="G775">
        <v>2</v>
      </c>
      <c r="H775">
        <v>7</v>
      </c>
      <c r="I775">
        <v>0</v>
      </c>
      <c r="J775">
        <v>0</v>
      </c>
      <c r="K775" s="9">
        <v>4.927835051546392</v>
      </c>
    </row>
    <row r="776" spans="1:11" x14ac:dyDescent="0.45">
      <c r="A776" t="s">
        <v>91</v>
      </c>
      <c r="B776" t="s">
        <v>628</v>
      </c>
      <c r="C776" t="s">
        <v>20</v>
      </c>
      <c r="D776">
        <v>4</v>
      </c>
      <c r="E776" t="s">
        <v>479</v>
      </c>
      <c r="F776" t="s">
        <v>622</v>
      </c>
      <c r="G776">
        <v>11</v>
      </c>
      <c r="H776">
        <v>12</v>
      </c>
      <c r="I776">
        <v>1</v>
      </c>
      <c r="J776">
        <v>0</v>
      </c>
      <c r="K776" s="9">
        <v>4.8024691358024691</v>
      </c>
    </row>
    <row r="777" spans="1:11" x14ac:dyDescent="0.45">
      <c r="A777" t="s">
        <v>91</v>
      </c>
      <c r="B777" t="s">
        <v>628</v>
      </c>
      <c r="C777" t="s">
        <v>20</v>
      </c>
      <c r="D777">
        <v>5</v>
      </c>
      <c r="E777" t="s">
        <v>460</v>
      </c>
      <c r="F777" t="s">
        <v>622</v>
      </c>
      <c r="G777">
        <v>28</v>
      </c>
      <c r="H777">
        <v>25</v>
      </c>
      <c r="I777">
        <v>0</v>
      </c>
      <c r="J777">
        <v>2</v>
      </c>
      <c r="K777" s="9">
        <v>4.4782608695652177</v>
      </c>
    </row>
    <row r="778" spans="1:11" x14ac:dyDescent="0.45">
      <c r="A778" t="s">
        <v>91</v>
      </c>
      <c r="B778" t="s">
        <v>628</v>
      </c>
      <c r="C778" t="s">
        <v>20</v>
      </c>
      <c r="D778">
        <v>6</v>
      </c>
      <c r="E778" t="s">
        <v>373</v>
      </c>
      <c r="F778" t="s">
        <v>622</v>
      </c>
      <c r="G778">
        <v>2</v>
      </c>
      <c r="H778">
        <v>4</v>
      </c>
      <c r="I778">
        <v>0</v>
      </c>
      <c r="J778">
        <v>0</v>
      </c>
      <c r="K778" s="9">
        <v>5.352380952380952</v>
      </c>
    </row>
    <row r="779" spans="1:11" x14ac:dyDescent="0.45">
      <c r="A779" t="s">
        <v>91</v>
      </c>
      <c r="B779" t="s">
        <v>628</v>
      </c>
      <c r="C779" t="s">
        <v>20</v>
      </c>
      <c r="D779">
        <v>7</v>
      </c>
      <c r="E779" t="s">
        <v>376</v>
      </c>
      <c r="F779" t="s">
        <v>622</v>
      </c>
      <c r="G779">
        <v>7</v>
      </c>
      <c r="H779">
        <v>8</v>
      </c>
      <c r="I779">
        <v>1</v>
      </c>
      <c r="J779">
        <v>0</v>
      </c>
      <c r="K779" s="9">
        <v>4.9029126213592233</v>
      </c>
    </row>
    <row r="780" spans="1:11" x14ac:dyDescent="0.45">
      <c r="A780" t="s">
        <v>91</v>
      </c>
      <c r="B780" t="s">
        <v>628</v>
      </c>
      <c r="C780" t="s">
        <v>20</v>
      </c>
      <c r="D780">
        <v>8</v>
      </c>
      <c r="E780" t="s">
        <v>379</v>
      </c>
      <c r="F780" t="s">
        <v>622</v>
      </c>
      <c r="G780">
        <v>0</v>
      </c>
      <c r="H780">
        <v>1</v>
      </c>
      <c r="I780">
        <v>0</v>
      </c>
      <c r="J780">
        <v>0</v>
      </c>
      <c r="K780" s="9">
        <v>6.5693779904306222</v>
      </c>
    </row>
    <row r="781" spans="1:11" x14ac:dyDescent="0.45">
      <c r="A781" t="s">
        <v>91</v>
      </c>
      <c r="B781" t="s">
        <v>628</v>
      </c>
      <c r="C781" t="s">
        <v>20</v>
      </c>
      <c r="D781">
        <v>9</v>
      </c>
      <c r="E781" t="s">
        <v>409</v>
      </c>
      <c r="F781" t="s">
        <v>622</v>
      </c>
      <c r="G781">
        <v>1</v>
      </c>
      <c r="H781">
        <v>2</v>
      </c>
      <c r="I781">
        <v>0</v>
      </c>
      <c r="J781">
        <v>0</v>
      </c>
      <c r="K781" s="9">
        <v>6.1385542168674698</v>
      </c>
    </row>
    <row r="782" spans="1:11" x14ac:dyDescent="0.45">
      <c r="A782" t="s">
        <v>91</v>
      </c>
      <c r="B782" t="s">
        <v>628</v>
      </c>
      <c r="C782" t="s">
        <v>20</v>
      </c>
      <c r="D782">
        <v>10</v>
      </c>
      <c r="E782" t="s">
        <v>480</v>
      </c>
      <c r="F782" t="s">
        <v>623</v>
      </c>
      <c r="G782">
        <v>1</v>
      </c>
      <c r="H782">
        <v>1</v>
      </c>
      <c r="I782">
        <v>0</v>
      </c>
      <c r="J782">
        <v>0</v>
      </c>
      <c r="K782" s="9">
        <v>6.5693779904306222</v>
      </c>
    </row>
    <row r="783" spans="1:11" x14ac:dyDescent="0.45">
      <c r="A783" t="s">
        <v>91</v>
      </c>
      <c r="B783" t="s">
        <v>628</v>
      </c>
      <c r="C783" t="s">
        <v>20</v>
      </c>
      <c r="D783">
        <v>11</v>
      </c>
      <c r="E783" t="s">
        <v>444</v>
      </c>
      <c r="F783" t="s">
        <v>622</v>
      </c>
      <c r="G783">
        <v>1</v>
      </c>
      <c r="H783">
        <v>2</v>
      </c>
      <c r="I783">
        <v>0</v>
      </c>
      <c r="J783">
        <v>0</v>
      </c>
      <c r="K783" s="9">
        <v>6.1385542168674698</v>
      </c>
    </row>
    <row r="784" spans="1:11" x14ac:dyDescent="0.45">
      <c r="A784" t="s">
        <v>92</v>
      </c>
      <c r="B784" t="s">
        <v>659</v>
      </c>
      <c r="C784" t="s">
        <v>26</v>
      </c>
      <c r="D784">
        <v>1</v>
      </c>
      <c r="E784" t="s">
        <v>397</v>
      </c>
      <c r="F784" t="s">
        <v>622</v>
      </c>
      <c r="G784">
        <v>5</v>
      </c>
      <c r="H784">
        <v>7</v>
      </c>
      <c r="I784">
        <v>1</v>
      </c>
      <c r="J784">
        <v>0</v>
      </c>
      <c r="K784" s="9">
        <v>4.927835051546392</v>
      </c>
    </row>
    <row r="785" spans="1:11" x14ac:dyDescent="0.45">
      <c r="A785" t="s">
        <v>92</v>
      </c>
      <c r="B785" t="s">
        <v>659</v>
      </c>
      <c r="C785" t="s">
        <v>26</v>
      </c>
      <c r="D785">
        <v>2</v>
      </c>
      <c r="E785" t="s">
        <v>398</v>
      </c>
      <c r="F785" t="s">
        <v>622</v>
      </c>
      <c r="G785">
        <v>0</v>
      </c>
      <c r="H785">
        <v>2</v>
      </c>
      <c r="I785">
        <v>0</v>
      </c>
      <c r="J785">
        <v>0</v>
      </c>
      <c r="K785" s="9">
        <v>6.1385542168674698</v>
      </c>
    </row>
    <row r="786" spans="1:11" x14ac:dyDescent="0.45">
      <c r="A786" t="s">
        <v>92</v>
      </c>
      <c r="B786" t="s">
        <v>659</v>
      </c>
      <c r="C786" t="s">
        <v>26</v>
      </c>
      <c r="D786">
        <v>3</v>
      </c>
      <c r="E786" t="s">
        <v>434</v>
      </c>
      <c r="F786" t="s">
        <v>622</v>
      </c>
      <c r="G786">
        <v>10</v>
      </c>
      <c r="H786">
        <v>10</v>
      </c>
      <c r="I786">
        <v>2</v>
      </c>
      <c r="J786">
        <v>0</v>
      </c>
      <c r="K786" s="9">
        <v>4.7179487179487181</v>
      </c>
    </row>
    <row r="787" spans="1:11" x14ac:dyDescent="0.45">
      <c r="A787" t="s">
        <v>92</v>
      </c>
      <c r="B787" t="s">
        <v>659</v>
      </c>
      <c r="C787" t="s">
        <v>26</v>
      </c>
      <c r="D787">
        <v>4</v>
      </c>
      <c r="E787" t="s">
        <v>426</v>
      </c>
      <c r="F787" t="s">
        <v>622</v>
      </c>
      <c r="G787">
        <v>10</v>
      </c>
      <c r="H787">
        <v>15</v>
      </c>
      <c r="I787">
        <v>1</v>
      </c>
      <c r="J787">
        <v>0</v>
      </c>
      <c r="K787" s="9">
        <v>4.7777777777777777</v>
      </c>
    </row>
    <row r="788" spans="1:11" x14ac:dyDescent="0.45">
      <c r="A788" t="s">
        <v>92</v>
      </c>
      <c r="B788" t="s">
        <v>659</v>
      </c>
      <c r="C788" t="s">
        <v>26</v>
      </c>
      <c r="D788">
        <v>5</v>
      </c>
      <c r="E788" t="s">
        <v>416</v>
      </c>
      <c r="F788" t="s">
        <v>622</v>
      </c>
      <c r="G788">
        <v>0</v>
      </c>
      <c r="H788">
        <v>2</v>
      </c>
      <c r="I788">
        <v>0</v>
      </c>
      <c r="J788">
        <v>0</v>
      </c>
      <c r="K788" s="9">
        <v>6.1385542168674698</v>
      </c>
    </row>
    <row r="789" spans="1:11" x14ac:dyDescent="0.45">
      <c r="A789" t="s">
        <v>92</v>
      </c>
      <c r="B789" t="s">
        <v>659</v>
      </c>
      <c r="C789" t="s">
        <v>26</v>
      </c>
      <c r="D789">
        <v>6</v>
      </c>
      <c r="E789" t="s">
        <v>400</v>
      </c>
      <c r="F789" t="s">
        <v>622</v>
      </c>
      <c r="G789">
        <v>47</v>
      </c>
      <c r="H789">
        <v>36</v>
      </c>
      <c r="I789">
        <v>4</v>
      </c>
      <c r="J789">
        <v>2</v>
      </c>
      <c r="K789" s="9">
        <v>4.083333333333333</v>
      </c>
    </row>
    <row r="790" spans="1:11" x14ac:dyDescent="0.45">
      <c r="A790" t="s">
        <v>92</v>
      </c>
      <c r="B790" t="s">
        <v>659</v>
      </c>
      <c r="C790" t="s">
        <v>26</v>
      </c>
      <c r="D790">
        <v>7</v>
      </c>
      <c r="E790" t="s">
        <v>477</v>
      </c>
      <c r="F790" t="s">
        <v>622</v>
      </c>
      <c r="G790">
        <v>15</v>
      </c>
      <c r="H790">
        <v>22</v>
      </c>
      <c r="I790">
        <v>2</v>
      </c>
      <c r="J790">
        <v>0</v>
      </c>
      <c r="K790" s="9">
        <v>4.4423076923076925</v>
      </c>
    </row>
    <row r="791" spans="1:11" x14ac:dyDescent="0.45">
      <c r="A791" t="s">
        <v>92</v>
      </c>
      <c r="B791" t="s">
        <v>659</v>
      </c>
      <c r="C791" t="s">
        <v>26</v>
      </c>
      <c r="D791">
        <v>8</v>
      </c>
      <c r="E791" t="s">
        <v>473</v>
      </c>
      <c r="F791" t="s">
        <v>622</v>
      </c>
      <c r="G791">
        <v>6</v>
      </c>
      <c r="H791">
        <v>14</v>
      </c>
      <c r="I791">
        <v>0</v>
      </c>
      <c r="J791">
        <v>0</v>
      </c>
      <c r="K791" s="9">
        <v>4.8461538461538458</v>
      </c>
    </row>
    <row r="792" spans="1:11" x14ac:dyDescent="0.45">
      <c r="A792" t="s">
        <v>92</v>
      </c>
      <c r="B792" t="s">
        <v>659</v>
      </c>
      <c r="C792" t="s">
        <v>26</v>
      </c>
      <c r="D792">
        <v>9</v>
      </c>
      <c r="E792" t="s">
        <v>403</v>
      </c>
      <c r="F792" t="s">
        <v>623</v>
      </c>
      <c r="G792">
        <v>9</v>
      </c>
      <c r="H792">
        <v>12</v>
      </c>
      <c r="I792">
        <v>0</v>
      </c>
      <c r="J792">
        <v>0</v>
      </c>
      <c r="K792" s="9">
        <v>4.8024691358024691</v>
      </c>
    </row>
    <row r="793" spans="1:11" x14ac:dyDescent="0.45">
      <c r="A793" t="s">
        <v>92</v>
      </c>
      <c r="B793" t="s">
        <v>659</v>
      </c>
      <c r="C793" t="s">
        <v>26</v>
      </c>
      <c r="D793">
        <v>10</v>
      </c>
      <c r="E793" t="s">
        <v>457</v>
      </c>
      <c r="F793" t="s">
        <v>623</v>
      </c>
      <c r="G793">
        <v>0</v>
      </c>
      <c r="H793">
        <v>0</v>
      </c>
      <c r="I793">
        <v>0</v>
      </c>
      <c r="J793">
        <v>0</v>
      </c>
      <c r="K793" s="9">
        <v>6.2519685039370083</v>
      </c>
    </row>
    <row r="794" spans="1:11" x14ac:dyDescent="0.45">
      <c r="A794" t="s">
        <v>92</v>
      </c>
      <c r="B794" t="s">
        <v>659</v>
      </c>
      <c r="C794" t="s">
        <v>6</v>
      </c>
      <c r="D794">
        <v>1</v>
      </c>
      <c r="E794" t="s">
        <v>290</v>
      </c>
      <c r="F794" t="s">
        <v>622</v>
      </c>
      <c r="G794">
        <v>5</v>
      </c>
      <c r="H794">
        <v>16</v>
      </c>
      <c r="I794">
        <v>0</v>
      </c>
      <c r="J794">
        <v>0</v>
      </c>
      <c r="K794" s="9">
        <v>4.7608695652173916</v>
      </c>
    </row>
    <row r="795" spans="1:11" x14ac:dyDescent="0.45">
      <c r="A795" t="s">
        <v>92</v>
      </c>
      <c r="B795" t="s">
        <v>659</v>
      </c>
      <c r="C795" t="s">
        <v>6</v>
      </c>
      <c r="D795">
        <v>2</v>
      </c>
      <c r="E795" t="s">
        <v>294</v>
      </c>
      <c r="F795" t="s">
        <v>623</v>
      </c>
      <c r="G795">
        <v>36</v>
      </c>
      <c r="H795">
        <v>33</v>
      </c>
      <c r="I795">
        <v>3</v>
      </c>
      <c r="J795">
        <v>1</v>
      </c>
      <c r="K795" s="9">
        <v>2.8421052631578947</v>
      </c>
    </row>
    <row r="796" spans="1:11" x14ac:dyDescent="0.45">
      <c r="A796" t="s">
        <v>92</v>
      </c>
      <c r="B796" t="s">
        <v>659</v>
      </c>
      <c r="C796" t="s">
        <v>6</v>
      </c>
      <c r="D796">
        <v>3</v>
      </c>
      <c r="E796" t="s">
        <v>299</v>
      </c>
      <c r="F796" t="s">
        <v>622</v>
      </c>
      <c r="G796">
        <v>46</v>
      </c>
      <c r="H796">
        <v>31</v>
      </c>
      <c r="I796">
        <v>7</v>
      </c>
      <c r="J796">
        <v>1</v>
      </c>
      <c r="K796" s="9">
        <v>3.4375</v>
      </c>
    </row>
    <row r="797" spans="1:11" x14ac:dyDescent="0.45">
      <c r="A797" t="s">
        <v>92</v>
      </c>
      <c r="B797" t="s">
        <v>659</v>
      </c>
      <c r="C797" t="s">
        <v>6</v>
      </c>
      <c r="D797">
        <v>4</v>
      </c>
      <c r="E797" t="s">
        <v>417</v>
      </c>
      <c r="F797" t="s">
        <v>622</v>
      </c>
      <c r="G797">
        <v>8</v>
      </c>
      <c r="H797">
        <v>9</v>
      </c>
      <c r="I797">
        <v>1</v>
      </c>
      <c r="J797">
        <v>0</v>
      </c>
      <c r="K797" s="9">
        <v>4.924050632911392</v>
      </c>
    </row>
    <row r="798" spans="1:11" x14ac:dyDescent="0.45">
      <c r="A798" t="s">
        <v>92</v>
      </c>
      <c r="B798" t="s">
        <v>659</v>
      </c>
      <c r="C798" t="s">
        <v>6</v>
      </c>
      <c r="D798">
        <v>5</v>
      </c>
      <c r="E798" t="s">
        <v>355</v>
      </c>
      <c r="F798" t="s">
        <v>622</v>
      </c>
      <c r="G798">
        <v>0</v>
      </c>
      <c r="H798">
        <v>1</v>
      </c>
      <c r="I798">
        <v>0</v>
      </c>
      <c r="J798">
        <v>0</v>
      </c>
      <c r="K798" s="9">
        <v>6.5693779904306222</v>
      </c>
    </row>
    <row r="799" spans="1:11" x14ac:dyDescent="0.45">
      <c r="A799" t="s">
        <v>92</v>
      </c>
      <c r="B799" t="s">
        <v>659</v>
      </c>
      <c r="C799" t="s">
        <v>6</v>
      </c>
      <c r="D799">
        <v>6</v>
      </c>
      <c r="E799" t="s">
        <v>420</v>
      </c>
      <c r="F799" t="s">
        <v>623</v>
      </c>
      <c r="G799">
        <v>5</v>
      </c>
      <c r="H799">
        <v>4</v>
      </c>
      <c r="I799">
        <v>1</v>
      </c>
      <c r="J799">
        <v>0</v>
      </c>
      <c r="K799" s="9">
        <v>5.352380952380952</v>
      </c>
    </row>
    <row r="800" spans="1:11" x14ac:dyDescent="0.45">
      <c r="A800" t="s">
        <v>93</v>
      </c>
      <c r="B800" t="s">
        <v>646</v>
      </c>
      <c r="C800" t="s">
        <v>10</v>
      </c>
      <c r="D800">
        <v>1</v>
      </c>
      <c r="E800" t="s">
        <v>329</v>
      </c>
      <c r="F800" t="s">
        <v>622</v>
      </c>
      <c r="G800">
        <v>2</v>
      </c>
      <c r="H800">
        <v>5</v>
      </c>
      <c r="I800">
        <v>0</v>
      </c>
      <c r="J800">
        <v>0</v>
      </c>
      <c r="K800" s="9">
        <v>5.132075471698113</v>
      </c>
    </row>
    <row r="801" spans="1:11" x14ac:dyDescent="0.45">
      <c r="A801" t="s">
        <v>93</v>
      </c>
      <c r="B801" t="s">
        <v>646</v>
      </c>
      <c r="C801" t="s">
        <v>10</v>
      </c>
      <c r="D801">
        <v>2</v>
      </c>
      <c r="E801" t="s">
        <v>330</v>
      </c>
      <c r="F801" t="s">
        <v>622</v>
      </c>
      <c r="G801">
        <v>9</v>
      </c>
      <c r="H801">
        <v>11</v>
      </c>
      <c r="I801">
        <v>1</v>
      </c>
      <c r="J801">
        <v>0</v>
      </c>
      <c r="K801" s="9">
        <v>4.9649122807017543</v>
      </c>
    </row>
    <row r="802" spans="1:11" x14ac:dyDescent="0.45">
      <c r="A802" t="s">
        <v>93</v>
      </c>
      <c r="B802" t="s">
        <v>646</v>
      </c>
      <c r="C802" t="s">
        <v>10</v>
      </c>
      <c r="D802">
        <v>3</v>
      </c>
      <c r="E802" t="s">
        <v>481</v>
      </c>
      <c r="F802" t="s">
        <v>622</v>
      </c>
      <c r="G802">
        <v>8</v>
      </c>
      <c r="H802">
        <v>8</v>
      </c>
      <c r="I802">
        <v>1</v>
      </c>
      <c r="J802">
        <v>0</v>
      </c>
      <c r="K802" s="9">
        <v>4.9029126213592233</v>
      </c>
    </row>
    <row r="803" spans="1:11" x14ac:dyDescent="0.45">
      <c r="A803" t="s">
        <v>93</v>
      </c>
      <c r="B803" t="s">
        <v>646</v>
      </c>
      <c r="C803" t="s">
        <v>10</v>
      </c>
      <c r="D803">
        <v>4</v>
      </c>
      <c r="E803" t="s">
        <v>334</v>
      </c>
      <c r="F803" t="s">
        <v>622</v>
      </c>
      <c r="G803">
        <v>51</v>
      </c>
      <c r="H803">
        <v>32</v>
      </c>
      <c r="I803">
        <v>9</v>
      </c>
      <c r="J803">
        <v>0</v>
      </c>
      <c r="K803" s="9">
        <v>3.9375</v>
      </c>
    </row>
    <row r="804" spans="1:11" x14ac:dyDescent="0.45">
      <c r="A804" t="s">
        <v>93</v>
      </c>
      <c r="B804" t="s">
        <v>646</v>
      </c>
      <c r="C804" t="s">
        <v>10</v>
      </c>
      <c r="D804">
        <v>5</v>
      </c>
      <c r="E804" t="s">
        <v>331</v>
      </c>
      <c r="F804" t="s">
        <v>622</v>
      </c>
      <c r="G804">
        <v>0</v>
      </c>
      <c r="H804">
        <v>5</v>
      </c>
      <c r="I804">
        <v>0</v>
      </c>
      <c r="J804">
        <v>0</v>
      </c>
      <c r="K804" s="9">
        <v>5.132075471698113</v>
      </c>
    </row>
    <row r="805" spans="1:11" x14ac:dyDescent="0.45">
      <c r="A805" t="s">
        <v>93</v>
      </c>
      <c r="B805" t="s">
        <v>646</v>
      </c>
      <c r="C805" t="s">
        <v>10</v>
      </c>
      <c r="D805">
        <v>6</v>
      </c>
      <c r="E805" t="s">
        <v>436</v>
      </c>
      <c r="F805" t="s">
        <v>622</v>
      </c>
      <c r="G805">
        <v>20</v>
      </c>
      <c r="H805">
        <v>24</v>
      </c>
      <c r="I805">
        <v>3</v>
      </c>
      <c r="J805">
        <v>0</v>
      </c>
      <c r="K805" s="9">
        <v>4.0606060606060606</v>
      </c>
    </row>
    <row r="806" spans="1:11" x14ac:dyDescent="0.45">
      <c r="A806" t="s">
        <v>93</v>
      </c>
      <c r="B806" t="s">
        <v>646</v>
      </c>
      <c r="C806" t="s">
        <v>10</v>
      </c>
      <c r="D806">
        <v>7</v>
      </c>
      <c r="E806" t="s">
        <v>354</v>
      </c>
      <c r="F806" t="s">
        <v>622</v>
      </c>
      <c r="G806">
        <v>21</v>
      </c>
      <c r="H806">
        <v>16</v>
      </c>
      <c r="I806">
        <v>2</v>
      </c>
      <c r="J806">
        <v>0</v>
      </c>
      <c r="K806" s="9">
        <v>4.7608695652173916</v>
      </c>
    </row>
    <row r="807" spans="1:11" x14ac:dyDescent="0.45">
      <c r="A807" t="s">
        <v>93</v>
      </c>
      <c r="B807" t="s">
        <v>646</v>
      </c>
      <c r="C807" t="s">
        <v>10</v>
      </c>
      <c r="D807">
        <v>8</v>
      </c>
      <c r="E807" t="s">
        <v>474</v>
      </c>
      <c r="F807" t="s">
        <v>623</v>
      </c>
      <c r="G807">
        <v>15</v>
      </c>
      <c r="H807">
        <v>11</v>
      </c>
      <c r="I807">
        <v>2</v>
      </c>
      <c r="J807">
        <v>0</v>
      </c>
      <c r="K807" s="9">
        <v>4.9649122807017543</v>
      </c>
    </row>
    <row r="808" spans="1:11" x14ac:dyDescent="0.45">
      <c r="A808" t="s">
        <v>93</v>
      </c>
      <c r="B808" t="s">
        <v>646</v>
      </c>
      <c r="C808" t="s">
        <v>10</v>
      </c>
      <c r="D808">
        <v>9</v>
      </c>
      <c r="E808" t="s">
        <v>339</v>
      </c>
      <c r="F808" t="s">
        <v>622</v>
      </c>
      <c r="G808">
        <v>7</v>
      </c>
      <c r="H808">
        <v>4</v>
      </c>
      <c r="I808">
        <v>1</v>
      </c>
      <c r="J808">
        <v>0</v>
      </c>
      <c r="K808" s="9">
        <v>5.352380952380952</v>
      </c>
    </row>
    <row r="809" spans="1:11" x14ac:dyDescent="0.45">
      <c r="A809" t="s">
        <v>93</v>
      </c>
      <c r="B809" t="s">
        <v>646</v>
      </c>
      <c r="C809" t="s">
        <v>10</v>
      </c>
      <c r="D809">
        <v>10</v>
      </c>
      <c r="E809" t="s">
        <v>341</v>
      </c>
      <c r="F809" t="s">
        <v>623</v>
      </c>
      <c r="G809">
        <v>9</v>
      </c>
      <c r="H809">
        <v>4</v>
      </c>
      <c r="I809">
        <v>1</v>
      </c>
      <c r="J809">
        <v>0</v>
      </c>
      <c r="K809" s="9">
        <v>5.352380952380952</v>
      </c>
    </row>
    <row r="810" spans="1:11" x14ac:dyDescent="0.45">
      <c r="A810" t="s">
        <v>93</v>
      </c>
      <c r="B810" t="s">
        <v>646</v>
      </c>
      <c r="C810" t="s">
        <v>23</v>
      </c>
      <c r="D810">
        <v>1</v>
      </c>
      <c r="E810" t="s">
        <v>458</v>
      </c>
      <c r="F810" t="s">
        <v>622</v>
      </c>
      <c r="G810">
        <v>2</v>
      </c>
      <c r="H810">
        <v>7</v>
      </c>
      <c r="I810">
        <v>0</v>
      </c>
      <c r="J810">
        <v>0</v>
      </c>
      <c r="K810" s="9">
        <v>4.927835051546392</v>
      </c>
    </row>
    <row r="811" spans="1:11" x14ac:dyDescent="0.45">
      <c r="A811" t="s">
        <v>93</v>
      </c>
      <c r="B811" t="s">
        <v>646</v>
      </c>
      <c r="C811" t="s">
        <v>23</v>
      </c>
      <c r="D811">
        <v>2</v>
      </c>
      <c r="E811" t="s">
        <v>470</v>
      </c>
      <c r="F811" t="s">
        <v>622</v>
      </c>
      <c r="G811">
        <v>9</v>
      </c>
      <c r="H811">
        <v>11</v>
      </c>
      <c r="I811">
        <v>2</v>
      </c>
      <c r="J811">
        <v>0</v>
      </c>
      <c r="K811" s="9">
        <v>4.9649122807017543</v>
      </c>
    </row>
    <row r="812" spans="1:11" x14ac:dyDescent="0.45">
      <c r="A812" t="s">
        <v>93</v>
      </c>
      <c r="B812" t="s">
        <v>646</v>
      </c>
      <c r="C812" t="s">
        <v>23</v>
      </c>
      <c r="D812">
        <v>3</v>
      </c>
      <c r="E812" t="s">
        <v>386</v>
      </c>
      <c r="F812" t="s">
        <v>622</v>
      </c>
      <c r="G812">
        <v>4</v>
      </c>
      <c r="H812">
        <v>3</v>
      </c>
      <c r="I812">
        <v>1</v>
      </c>
      <c r="J812">
        <v>0</v>
      </c>
      <c r="K812" s="9">
        <v>5.6607142857142856</v>
      </c>
    </row>
    <row r="813" spans="1:11" x14ac:dyDescent="0.45">
      <c r="A813" t="s">
        <v>93</v>
      </c>
      <c r="B813" t="s">
        <v>646</v>
      </c>
      <c r="C813" t="s">
        <v>23</v>
      </c>
      <c r="D813">
        <v>4</v>
      </c>
      <c r="E813" t="s">
        <v>387</v>
      </c>
      <c r="F813" t="s">
        <v>622</v>
      </c>
      <c r="G813">
        <v>2</v>
      </c>
      <c r="H813">
        <v>7</v>
      </c>
      <c r="I813">
        <v>0</v>
      </c>
      <c r="J813">
        <v>0</v>
      </c>
      <c r="K813" s="9">
        <v>4.927835051546392</v>
      </c>
    </row>
    <row r="814" spans="1:11" x14ac:dyDescent="0.45">
      <c r="A814" t="s">
        <v>93</v>
      </c>
      <c r="B814" t="s">
        <v>646</v>
      </c>
      <c r="C814" t="s">
        <v>23</v>
      </c>
      <c r="D814">
        <v>5</v>
      </c>
      <c r="E814" t="s">
        <v>411</v>
      </c>
      <c r="F814" t="s">
        <v>622</v>
      </c>
      <c r="G814">
        <v>62</v>
      </c>
      <c r="H814">
        <v>43</v>
      </c>
      <c r="I814">
        <v>7</v>
      </c>
      <c r="J814">
        <v>2</v>
      </c>
      <c r="K814" s="9">
        <v>2.8888888888888888</v>
      </c>
    </row>
    <row r="815" spans="1:11" x14ac:dyDescent="0.45">
      <c r="A815" t="s">
        <v>93</v>
      </c>
      <c r="B815" t="s">
        <v>646</v>
      </c>
      <c r="C815" t="s">
        <v>23</v>
      </c>
      <c r="D815">
        <v>6</v>
      </c>
      <c r="E815" t="s">
        <v>431</v>
      </c>
      <c r="F815" t="s">
        <v>622</v>
      </c>
      <c r="G815">
        <v>2</v>
      </c>
      <c r="H815">
        <v>5</v>
      </c>
      <c r="I815">
        <v>0</v>
      </c>
      <c r="J815">
        <v>0</v>
      </c>
      <c r="K815" s="9">
        <v>5.132075471698113</v>
      </c>
    </row>
    <row r="816" spans="1:11" x14ac:dyDescent="0.45">
      <c r="A816" t="s">
        <v>93</v>
      </c>
      <c r="B816" t="s">
        <v>646</v>
      </c>
      <c r="C816" t="s">
        <v>23</v>
      </c>
      <c r="D816">
        <v>7</v>
      </c>
      <c r="E816" t="s">
        <v>390</v>
      </c>
      <c r="F816" t="s">
        <v>622</v>
      </c>
      <c r="G816">
        <v>19</v>
      </c>
      <c r="H816">
        <v>17</v>
      </c>
      <c r="I816">
        <v>2</v>
      </c>
      <c r="J816">
        <v>0</v>
      </c>
      <c r="K816" s="9">
        <v>4.82</v>
      </c>
    </row>
    <row r="817" spans="1:11" x14ac:dyDescent="0.45">
      <c r="A817" t="s">
        <v>93</v>
      </c>
      <c r="B817" t="s">
        <v>646</v>
      </c>
      <c r="C817" t="s">
        <v>23</v>
      </c>
      <c r="D817">
        <v>8</v>
      </c>
      <c r="E817" t="s">
        <v>391</v>
      </c>
      <c r="F817" t="s">
        <v>623</v>
      </c>
      <c r="G817">
        <v>36</v>
      </c>
      <c r="H817">
        <v>18</v>
      </c>
      <c r="I817">
        <v>0</v>
      </c>
      <c r="J817">
        <v>4</v>
      </c>
      <c r="K817" s="9">
        <v>4.375</v>
      </c>
    </row>
    <row r="818" spans="1:11" x14ac:dyDescent="0.45">
      <c r="A818" t="s">
        <v>93</v>
      </c>
      <c r="B818" t="s">
        <v>646</v>
      </c>
      <c r="C818" t="s">
        <v>23</v>
      </c>
      <c r="D818">
        <v>9</v>
      </c>
      <c r="E818" t="s">
        <v>392</v>
      </c>
      <c r="F818" t="s">
        <v>623</v>
      </c>
      <c r="G818">
        <v>11</v>
      </c>
      <c r="H818">
        <v>7</v>
      </c>
      <c r="I818">
        <v>0</v>
      </c>
      <c r="J818">
        <v>1</v>
      </c>
      <c r="K818" s="9">
        <v>4.927835051546392</v>
      </c>
    </row>
    <row r="819" spans="1:11" x14ac:dyDescent="0.45">
      <c r="A819" t="s">
        <v>94</v>
      </c>
      <c r="B819" t="s">
        <v>660</v>
      </c>
      <c r="C819" t="s">
        <v>13</v>
      </c>
      <c r="D819">
        <v>1</v>
      </c>
      <c r="E819" t="s">
        <v>343</v>
      </c>
      <c r="F819" t="s">
        <v>622</v>
      </c>
      <c r="G819">
        <v>33</v>
      </c>
      <c r="H819">
        <v>29</v>
      </c>
      <c r="I819">
        <v>4</v>
      </c>
      <c r="J819">
        <v>0</v>
      </c>
      <c r="K819" s="9">
        <v>4.0454545454545459</v>
      </c>
    </row>
    <row r="820" spans="1:11" x14ac:dyDescent="0.45">
      <c r="A820" t="s">
        <v>94</v>
      </c>
      <c r="B820" t="s">
        <v>660</v>
      </c>
      <c r="C820" t="s">
        <v>13</v>
      </c>
      <c r="D820">
        <v>2</v>
      </c>
      <c r="E820" t="s">
        <v>342</v>
      </c>
      <c r="F820" t="s">
        <v>622</v>
      </c>
      <c r="G820">
        <v>11</v>
      </c>
      <c r="H820">
        <v>13</v>
      </c>
      <c r="I820">
        <v>2</v>
      </c>
      <c r="J820">
        <v>0</v>
      </c>
      <c r="K820" s="9">
        <v>4.8939393939393936</v>
      </c>
    </row>
    <row r="821" spans="1:11" x14ac:dyDescent="0.45">
      <c r="A821" t="s">
        <v>94</v>
      </c>
      <c r="B821" t="s">
        <v>660</v>
      </c>
      <c r="C821" t="s">
        <v>13</v>
      </c>
      <c r="D821">
        <v>3</v>
      </c>
      <c r="E821" t="s">
        <v>347</v>
      </c>
      <c r="F821" t="s">
        <v>622</v>
      </c>
      <c r="G821">
        <v>14</v>
      </c>
      <c r="H821">
        <v>10</v>
      </c>
      <c r="I821">
        <v>0</v>
      </c>
      <c r="J821">
        <v>1</v>
      </c>
      <c r="K821" s="9">
        <v>4.7179487179487181</v>
      </c>
    </row>
    <row r="822" spans="1:11" x14ac:dyDescent="0.45">
      <c r="A822" t="s">
        <v>94</v>
      </c>
      <c r="B822" t="s">
        <v>660</v>
      </c>
      <c r="C822" t="s">
        <v>13</v>
      </c>
      <c r="D822">
        <v>4</v>
      </c>
      <c r="E822" t="s">
        <v>345</v>
      </c>
      <c r="F822" t="s">
        <v>622</v>
      </c>
      <c r="G822">
        <v>59</v>
      </c>
      <c r="H822">
        <v>41</v>
      </c>
      <c r="I822">
        <v>5</v>
      </c>
      <c r="J822">
        <v>3</v>
      </c>
      <c r="K822" s="9">
        <v>3.0909090909090908</v>
      </c>
    </row>
    <row r="823" spans="1:11" x14ac:dyDescent="0.45">
      <c r="A823" t="s">
        <v>94</v>
      </c>
      <c r="B823" t="s">
        <v>660</v>
      </c>
      <c r="C823" t="s">
        <v>13</v>
      </c>
      <c r="D823">
        <v>5</v>
      </c>
      <c r="E823" t="s">
        <v>346</v>
      </c>
      <c r="F823" t="s">
        <v>622</v>
      </c>
      <c r="G823">
        <v>1</v>
      </c>
      <c r="H823">
        <v>5</v>
      </c>
      <c r="I823">
        <v>0</v>
      </c>
      <c r="J823">
        <v>0</v>
      </c>
      <c r="K823" s="9">
        <v>5.132075471698113</v>
      </c>
    </row>
    <row r="824" spans="1:11" x14ac:dyDescent="0.45">
      <c r="A824" t="s">
        <v>94</v>
      </c>
      <c r="B824" t="s">
        <v>660</v>
      </c>
      <c r="C824" t="s">
        <v>13</v>
      </c>
      <c r="D824">
        <v>6</v>
      </c>
      <c r="E824" t="s">
        <v>467</v>
      </c>
      <c r="F824" t="s">
        <v>622</v>
      </c>
      <c r="G824">
        <v>8</v>
      </c>
      <c r="H824">
        <v>11</v>
      </c>
      <c r="I824">
        <v>1</v>
      </c>
      <c r="J824">
        <v>0</v>
      </c>
      <c r="K824" s="9">
        <v>4.9649122807017543</v>
      </c>
    </row>
    <row r="825" spans="1:11" x14ac:dyDescent="0.45">
      <c r="A825" t="s">
        <v>94</v>
      </c>
      <c r="B825" t="s">
        <v>660</v>
      </c>
      <c r="C825" t="s">
        <v>13</v>
      </c>
      <c r="D825">
        <v>7</v>
      </c>
      <c r="E825" t="s">
        <v>348</v>
      </c>
      <c r="F825" t="s">
        <v>622</v>
      </c>
      <c r="G825">
        <v>1</v>
      </c>
      <c r="H825">
        <v>2</v>
      </c>
      <c r="I825">
        <v>0</v>
      </c>
      <c r="J825">
        <v>0</v>
      </c>
      <c r="K825" s="9">
        <v>6.1385542168674698</v>
      </c>
    </row>
    <row r="826" spans="1:11" x14ac:dyDescent="0.45">
      <c r="A826" t="s">
        <v>94</v>
      </c>
      <c r="B826" t="s">
        <v>660</v>
      </c>
      <c r="C826" t="s">
        <v>13</v>
      </c>
      <c r="D826">
        <v>8</v>
      </c>
      <c r="E826" t="s">
        <v>438</v>
      </c>
      <c r="F826" t="s">
        <v>622</v>
      </c>
      <c r="G826">
        <v>12</v>
      </c>
      <c r="H826">
        <v>9</v>
      </c>
      <c r="I826">
        <v>2</v>
      </c>
      <c r="J826">
        <v>0</v>
      </c>
      <c r="K826" s="9">
        <v>4.924050632911392</v>
      </c>
    </row>
    <row r="827" spans="1:11" x14ac:dyDescent="0.45">
      <c r="A827" t="s">
        <v>94</v>
      </c>
      <c r="B827" t="s">
        <v>660</v>
      </c>
      <c r="C827" t="s">
        <v>13</v>
      </c>
      <c r="D827">
        <v>9</v>
      </c>
      <c r="E827" t="s">
        <v>349</v>
      </c>
      <c r="F827" t="s">
        <v>623</v>
      </c>
      <c r="G827">
        <v>0</v>
      </c>
      <c r="H827">
        <v>0</v>
      </c>
      <c r="I827">
        <v>0</v>
      </c>
      <c r="J827">
        <v>0</v>
      </c>
      <c r="K827" s="9">
        <v>6.2519685039370083</v>
      </c>
    </row>
    <row r="828" spans="1:11" x14ac:dyDescent="0.45">
      <c r="A828" t="s">
        <v>94</v>
      </c>
      <c r="B828" t="s">
        <v>660</v>
      </c>
      <c r="C828" t="s">
        <v>20</v>
      </c>
      <c r="D828">
        <v>1</v>
      </c>
      <c r="E828" t="s">
        <v>380</v>
      </c>
      <c r="F828" t="s">
        <v>622</v>
      </c>
      <c r="G828">
        <v>1</v>
      </c>
      <c r="H828">
        <v>9</v>
      </c>
      <c r="I828">
        <v>0</v>
      </c>
      <c r="J828">
        <v>0</v>
      </c>
      <c r="K828" s="9">
        <v>4.924050632911392</v>
      </c>
    </row>
    <row r="829" spans="1:11" x14ac:dyDescent="0.45">
      <c r="A829" t="s">
        <v>94</v>
      </c>
      <c r="B829" t="s">
        <v>660</v>
      </c>
      <c r="C829" t="s">
        <v>20</v>
      </c>
      <c r="D829">
        <v>2</v>
      </c>
      <c r="E829" t="s">
        <v>442</v>
      </c>
      <c r="F829" t="s">
        <v>622</v>
      </c>
      <c r="G829">
        <v>54</v>
      </c>
      <c r="H829">
        <v>37</v>
      </c>
      <c r="I829">
        <v>7</v>
      </c>
      <c r="J829">
        <v>1</v>
      </c>
      <c r="K829" s="9">
        <v>3.5555555555555554</v>
      </c>
    </row>
    <row r="830" spans="1:11" x14ac:dyDescent="0.45">
      <c r="A830" t="s">
        <v>94</v>
      </c>
      <c r="B830" t="s">
        <v>660</v>
      </c>
      <c r="C830" t="s">
        <v>20</v>
      </c>
      <c r="D830">
        <v>3</v>
      </c>
      <c r="E830" t="s">
        <v>374</v>
      </c>
      <c r="F830" t="s">
        <v>622</v>
      </c>
      <c r="G830">
        <v>38</v>
      </c>
      <c r="H830">
        <v>39</v>
      </c>
      <c r="I830">
        <v>2</v>
      </c>
      <c r="J830">
        <v>2</v>
      </c>
      <c r="K830" s="9">
        <v>2.7083333333333335</v>
      </c>
    </row>
    <row r="831" spans="1:11" x14ac:dyDescent="0.45">
      <c r="A831" t="s">
        <v>94</v>
      </c>
      <c r="B831" t="s">
        <v>660</v>
      </c>
      <c r="C831" t="s">
        <v>20</v>
      </c>
      <c r="D831">
        <v>4</v>
      </c>
      <c r="E831" t="s">
        <v>459</v>
      </c>
      <c r="F831" t="s">
        <v>622</v>
      </c>
      <c r="G831">
        <v>12</v>
      </c>
      <c r="H831">
        <v>13</v>
      </c>
      <c r="I831">
        <v>1</v>
      </c>
      <c r="J831">
        <v>0</v>
      </c>
      <c r="K831" s="9">
        <v>4.8939393939393936</v>
      </c>
    </row>
    <row r="832" spans="1:11" x14ac:dyDescent="0.45">
      <c r="A832" t="s">
        <v>94</v>
      </c>
      <c r="B832" t="s">
        <v>660</v>
      </c>
      <c r="C832" t="s">
        <v>20</v>
      </c>
      <c r="D832">
        <v>5</v>
      </c>
      <c r="E832" t="s">
        <v>376</v>
      </c>
      <c r="F832" t="s">
        <v>622</v>
      </c>
      <c r="G832">
        <v>0</v>
      </c>
      <c r="H832">
        <v>2</v>
      </c>
      <c r="I832">
        <v>0</v>
      </c>
      <c r="J832">
        <v>0</v>
      </c>
      <c r="K832" s="9">
        <v>6.1385542168674698</v>
      </c>
    </row>
    <row r="833" spans="1:11" x14ac:dyDescent="0.45">
      <c r="A833" t="s">
        <v>94</v>
      </c>
      <c r="B833" t="s">
        <v>660</v>
      </c>
      <c r="C833" t="s">
        <v>20</v>
      </c>
      <c r="D833">
        <v>6</v>
      </c>
      <c r="E833" t="s">
        <v>460</v>
      </c>
      <c r="F833" t="s">
        <v>622</v>
      </c>
      <c r="G833">
        <v>3</v>
      </c>
      <c r="H833">
        <v>5</v>
      </c>
      <c r="I833">
        <v>0</v>
      </c>
      <c r="J833">
        <v>0</v>
      </c>
      <c r="K833" s="9">
        <v>5.132075471698113</v>
      </c>
    </row>
    <row r="834" spans="1:11" x14ac:dyDescent="0.45">
      <c r="A834" t="s">
        <v>94</v>
      </c>
      <c r="B834" t="s">
        <v>660</v>
      </c>
      <c r="C834" t="s">
        <v>20</v>
      </c>
      <c r="D834">
        <v>7</v>
      </c>
      <c r="E834" t="s">
        <v>378</v>
      </c>
      <c r="F834" t="s">
        <v>622</v>
      </c>
      <c r="G834">
        <v>4</v>
      </c>
      <c r="H834">
        <v>5</v>
      </c>
      <c r="I834">
        <v>0</v>
      </c>
      <c r="J834">
        <v>0</v>
      </c>
      <c r="K834" s="9">
        <v>5.132075471698113</v>
      </c>
    </row>
    <row r="835" spans="1:11" x14ac:dyDescent="0.45">
      <c r="A835" t="s">
        <v>94</v>
      </c>
      <c r="B835" t="s">
        <v>660</v>
      </c>
      <c r="C835" t="s">
        <v>20</v>
      </c>
      <c r="D835">
        <v>8</v>
      </c>
      <c r="E835" t="s">
        <v>379</v>
      </c>
      <c r="F835" t="s">
        <v>622</v>
      </c>
      <c r="G835">
        <v>17</v>
      </c>
      <c r="H835">
        <v>9</v>
      </c>
      <c r="I835">
        <v>1</v>
      </c>
      <c r="J835">
        <v>1</v>
      </c>
      <c r="K835" s="9">
        <v>4.924050632911392</v>
      </c>
    </row>
    <row r="836" spans="1:11" x14ac:dyDescent="0.45">
      <c r="A836" t="s">
        <v>94</v>
      </c>
      <c r="B836" t="s">
        <v>660</v>
      </c>
      <c r="C836" t="s">
        <v>20</v>
      </c>
      <c r="D836">
        <v>9</v>
      </c>
      <c r="E836" t="s">
        <v>409</v>
      </c>
      <c r="F836" t="s">
        <v>623</v>
      </c>
      <c r="G836">
        <v>2</v>
      </c>
      <c r="H836">
        <v>2</v>
      </c>
      <c r="I836">
        <v>0</v>
      </c>
      <c r="J836">
        <v>0</v>
      </c>
      <c r="K836" s="9">
        <v>6.1385542168674698</v>
      </c>
    </row>
    <row r="837" spans="1:11" x14ac:dyDescent="0.45">
      <c r="A837" t="s">
        <v>94</v>
      </c>
      <c r="B837" t="s">
        <v>660</v>
      </c>
      <c r="C837" t="s">
        <v>20</v>
      </c>
      <c r="D837">
        <v>10</v>
      </c>
      <c r="E837" t="s">
        <v>482</v>
      </c>
      <c r="F837" t="s">
        <v>622</v>
      </c>
      <c r="G837">
        <v>0</v>
      </c>
      <c r="H837">
        <v>1</v>
      </c>
      <c r="I837">
        <v>0</v>
      </c>
      <c r="J837">
        <v>0</v>
      </c>
      <c r="K837" s="9">
        <v>6.5693779904306222</v>
      </c>
    </row>
    <row r="838" spans="1:11" x14ac:dyDescent="0.45">
      <c r="A838" t="s">
        <v>94</v>
      </c>
      <c r="B838" t="s">
        <v>660</v>
      </c>
      <c r="C838" t="s">
        <v>20</v>
      </c>
      <c r="D838">
        <v>11</v>
      </c>
      <c r="E838" t="s">
        <v>483</v>
      </c>
      <c r="F838" t="s">
        <v>623</v>
      </c>
      <c r="G838">
        <v>0</v>
      </c>
      <c r="H838">
        <v>0</v>
      </c>
      <c r="I838">
        <v>0</v>
      </c>
      <c r="J838">
        <v>0</v>
      </c>
      <c r="K838" s="9">
        <v>6.2519685039370083</v>
      </c>
    </row>
    <row r="839" spans="1:11" x14ac:dyDescent="0.45">
      <c r="A839" t="s">
        <v>96</v>
      </c>
      <c r="B839" t="s">
        <v>648</v>
      </c>
      <c r="C839" t="s">
        <v>19</v>
      </c>
      <c r="D839">
        <v>1</v>
      </c>
      <c r="E839" t="s">
        <v>359</v>
      </c>
      <c r="F839" t="s">
        <v>622</v>
      </c>
      <c r="G839">
        <v>43</v>
      </c>
      <c r="H839">
        <v>32</v>
      </c>
      <c r="I839">
        <v>3</v>
      </c>
      <c r="J839">
        <v>1</v>
      </c>
      <c r="K839" s="9">
        <v>3.9375</v>
      </c>
    </row>
    <row r="840" spans="1:11" x14ac:dyDescent="0.45">
      <c r="A840" t="s">
        <v>96</v>
      </c>
      <c r="B840" t="s">
        <v>648</v>
      </c>
      <c r="C840" t="s">
        <v>19</v>
      </c>
      <c r="D840">
        <v>2</v>
      </c>
      <c r="E840" t="s">
        <v>422</v>
      </c>
      <c r="F840" t="s">
        <v>622</v>
      </c>
      <c r="G840">
        <v>2</v>
      </c>
      <c r="H840">
        <v>6</v>
      </c>
      <c r="I840">
        <v>0</v>
      </c>
      <c r="J840">
        <v>0</v>
      </c>
      <c r="K840" s="9">
        <v>5.4565217391304346</v>
      </c>
    </row>
    <row r="841" spans="1:11" x14ac:dyDescent="0.45">
      <c r="A841" t="s">
        <v>96</v>
      </c>
      <c r="B841" t="s">
        <v>648</v>
      </c>
      <c r="C841" t="s">
        <v>19</v>
      </c>
      <c r="D841">
        <v>3</v>
      </c>
      <c r="E841" t="s">
        <v>363</v>
      </c>
      <c r="F841" t="s">
        <v>622</v>
      </c>
      <c r="G841">
        <v>56</v>
      </c>
      <c r="H841">
        <v>36</v>
      </c>
      <c r="I841">
        <v>7</v>
      </c>
      <c r="J841">
        <v>2</v>
      </c>
      <c r="K841" s="9">
        <v>4.083333333333333</v>
      </c>
    </row>
    <row r="842" spans="1:11" x14ac:dyDescent="0.45">
      <c r="A842" t="s">
        <v>96</v>
      </c>
      <c r="B842" t="s">
        <v>648</v>
      </c>
      <c r="C842" t="s">
        <v>19</v>
      </c>
      <c r="D842">
        <v>4</v>
      </c>
      <c r="E842" t="s">
        <v>360</v>
      </c>
      <c r="F842" t="s">
        <v>622</v>
      </c>
      <c r="G842">
        <v>1</v>
      </c>
      <c r="H842">
        <v>3</v>
      </c>
      <c r="I842">
        <v>0</v>
      </c>
      <c r="J842">
        <v>0</v>
      </c>
      <c r="K842" s="9">
        <v>5.6607142857142856</v>
      </c>
    </row>
    <row r="843" spans="1:11" x14ac:dyDescent="0.45">
      <c r="A843" t="s">
        <v>96</v>
      </c>
      <c r="B843" t="s">
        <v>648</v>
      </c>
      <c r="C843" t="s">
        <v>19</v>
      </c>
      <c r="D843">
        <v>5</v>
      </c>
      <c r="E843" t="s">
        <v>361</v>
      </c>
      <c r="F843" t="s">
        <v>622</v>
      </c>
      <c r="G843">
        <v>15</v>
      </c>
      <c r="H843">
        <v>17</v>
      </c>
      <c r="I843">
        <v>2</v>
      </c>
      <c r="J843">
        <v>0</v>
      </c>
      <c r="K843" s="9">
        <v>4.82</v>
      </c>
    </row>
    <row r="844" spans="1:11" x14ac:dyDescent="0.45">
      <c r="A844" t="s">
        <v>96</v>
      </c>
      <c r="B844" t="s">
        <v>648</v>
      </c>
      <c r="C844" t="s">
        <v>19</v>
      </c>
      <c r="D844">
        <v>6</v>
      </c>
      <c r="E844" t="s">
        <v>362</v>
      </c>
      <c r="F844" t="s">
        <v>622</v>
      </c>
      <c r="G844">
        <v>5</v>
      </c>
      <c r="H844">
        <v>8</v>
      </c>
      <c r="I844">
        <v>1</v>
      </c>
      <c r="J844">
        <v>0</v>
      </c>
      <c r="K844" s="9">
        <v>4.9029126213592233</v>
      </c>
    </row>
    <row r="845" spans="1:11" x14ac:dyDescent="0.45">
      <c r="A845" t="s">
        <v>96</v>
      </c>
      <c r="B845" t="s">
        <v>648</v>
      </c>
      <c r="C845" t="s">
        <v>19</v>
      </c>
      <c r="D845">
        <v>7</v>
      </c>
      <c r="E845" t="s">
        <v>366</v>
      </c>
      <c r="F845" t="s">
        <v>622</v>
      </c>
      <c r="G845">
        <v>15</v>
      </c>
      <c r="H845">
        <v>9</v>
      </c>
      <c r="I845">
        <v>3</v>
      </c>
      <c r="J845">
        <v>0</v>
      </c>
      <c r="K845" s="9">
        <v>4.924050632911392</v>
      </c>
    </row>
    <row r="846" spans="1:11" x14ac:dyDescent="0.45">
      <c r="A846" t="s">
        <v>96</v>
      </c>
      <c r="B846" t="s">
        <v>648</v>
      </c>
      <c r="C846" t="s">
        <v>19</v>
      </c>
      <c r="D846">
        <v>8</v>
      </c>
      <c r="E846" t="s">
        <v>484</v>
      </c>
      <c r="F846" t="s">
        <v>622</v>
      </c>
      <c r="G846">
        <v>0</v>
      </c>
      <c r="H846">
        <v>1</v>
      </c>
      <c r="I846">
        <v>0</v>
      </c>
      <c r="J846">
        <v>0</v>
      </c>
      <c r="K846" s="9">
        <v>6.5693779904306222</v>
      </c>
    </row>
    <row r="847" spans="1:11" x14ac:dyDescent="0.45">
      <c r="A847" t="s">
        <v>96</v>
      </c>
      <c r="B847" t="s">
        <v>648</v>
      </c>
      <c r="C847" t="s">
        <v>19</v>
      </c>
      <c r="D847">
        <v>9</v>
      </c>
      <c r="E847" t="s">
        <v>435</v>
      </c>
      <c r="F847" t="s">
        <v>622</v>
      </c>
      <c r="G847">
        <v>8</v>
      </c>
      <c r="H847">
        <v>7</v>
      </c>
      <c r="I847">
        <v>0</v>
      </c>
      <c r="J847">
        <v>0</v>
      </c>
      <c r="K847" s="9">
        <v>4.927835051546392</v>
      </c>
    </row>
    <row r="848" spans="1:11" x14ac:dyDescent="0.45">
      <c r="A848" t="s">
        <v>96</v>
      </c>
      <c r="B848" t="s">
        <v>648</v>
      </c>
      <c r="C848" t="s">
        <v>19</v>
      </c>
      <c r="D848">
        <v>10</v>
      </c>
      <c r="E848" t="s">
        <v>369</v>
      </c>
      <c r="F848" t="s">
        <v>622</v>
      </c>
      <c r="G848">
        <v>0</v>
      </c>
      <c r="H848">
        <v>1</v>
      </c>
      <c r="I848">
        <v>0</v>
      </c>
      <c r="J848">
        <v>0</v>
      </c>
      <c r="K848" s="9">
        <v>6.5693779904306222</v>
      </c>
    </row>
    <row r="849" spans="1:11" x14ac:dyDescent="0.45">
      <c r="A849" t="s">
        <v>96</v>
      </c>
      <c r="B849" t="s">
        <v>648</v>
      </c>
      <c r="C849" t="s">
        <v>19</v>
      </c>
      <c r="D849">
        <v>11</v>
      </c>
      <c r="E849" t="s">
        <v>370</v>
      </c>
      <c r="F849" t="s">
        <v>623</v>
      </c>
      <c r="G849">
        <v>0</v>
      </c>
      <c r="H849">
        <v>0</v>
      </c>
      <c r="I849">
        <v>0</v>
      </c>
      <c r="J849">
        <v>0</v>
      </c>
      <c r="K849" s="9">
        <v>6.2519685039370083</v>
      </c>
    </row>
    <row r="850" spans="1:11" x14ac:dyDescent="0.45">
      <c r="A850" t="s">
        <v>96</v>
      </c>
      <c r="B850" t="s">
        <v>648</v>
      </c>
      <c r="C850" t="s">
        <v>7</v>
      </c>
      <c r="D850">
        <v>1</v>
      </c>
      <c r="E850" t="s">
        <v>306</v>
      </c>
      <c r="F850" t="s">
        <v>622</v>
      </c>
      <c r="G850">
        <v>57</v>
      </c>
      <c r="H850">
        <v>47</v>
      </c>
      <c r="I850">
        <v>6</v>
      </c>
      <c r="J850">
        <v>2</v>
      </c>
      <c r="K850" s="9">
        <v>3</v>
      </c>
    </row>
    <row r="851" spans="1:11" x14ac:dyDescent="0.45">
      <c r="A851" t="s">
        <v>96</v>
      </c>
      <c r="B851" t="s">
        <v>648</v>
      </c>
      <c r="C851" t="s">
        <v>7</v>
      </c>
      <c r="D851">
        <v>2</v>
      </c>
      <c r="E851" t="s">
        <v>302</v>
      </c>
      <c r="F851" t="s">
        <v>622</v>
      </c>
      <c r="G851">
        <v>33</v>
      </c>
      <c r="H851">
        <v>24</v>
      </c>
      <c r="I851">
        <v>5</v>
      </c>
      <c r="J851">
        <v>1</v>
      </c>
      <c r="K851" s="9">
        <v>4.0606060606060606</v>
      </c>
    </row>
    <row r="852" spans="1:11" x14ac:dyDescent="0.45">
      <c r="A852" t="s">
        <v>96</v>
      </c>
      <c r="B852" t="s">
        <v>648</v>
      </c>
      <c r="C852" t="s">
        <v>7</v>
      </c>
      <c r="D852">
        <v>3</v>
      </c>
      <c r="E852" t="s">
        <v>315</v>
      </c>
      <c r="F852" t="s">
        <v>622</v>
      </c>
      <c r="G852">
        <v>5</v>
      </c>
      <c r="H852">
        <v>5</v>
      </c>
      <c r="I852">
        <v>0</v>
      </c>
      <c r="J852">
        <v>0</v>
      </c>
      <c r="K852" s="9">
        <v>5.132075471698113</v>
      </c>
    </row>
    <row r="853" spans="1:11" x14ac:dyDescent="0.45">
      <c r="A853" t="s">
        <v>96</v>
      </c>
      <c r="B853" t="s">
        <v>648</v>
      </c>
      <c r="C853" t="s">
        <v>7</v>
      </c>
      <c r="D853">
        <v>4</v>
      </c>
      <c r="E853" t="s">
        <v>310</v>
      </c>
      <c r="F853" t="s">
        <v>622</v>
      </c>
      <c r="G853">
        <v>7</v>
      </c>
      <c r="H853">
        <v>7</v>
      </c>
      <c r="I853">
        <v>1</v>
      </c>
      <c r="J853">
        <v>0</v>
      </c>
      <c r="K853" s="9">
        <v>4.927835051546392</v>
      </c>
    </row>
    <row r="854" spans="1:11" x14ac:dyDescent="0.45">
      <c r="A854" t="s">
        <v>96</v>
      </c>
      <c r="B854" t="s">
        <v>648</v>
      </c>
      <c r="C854" t="s">
        <v>7</v>
      </c>
      <c r="D854">
        <v>5</v>
      </c>
      <c r="E854" t="s">
        <v>313</v>
      </c>
      <c r="F854" t="s">
        <v>622</v>
      </c>
      <c r="G854">
        <v>9</v>
      </c>
      <c r="H854">
        <v>9</v>
      </c>
      <c r="I854">
        <v>1</v>
      </c>
      <c r="J854">
        <v>0</v>
      </c>
      <c r="K854" s="9">
        <v>4.924050632911392</v>
      </c>
    </row>
    <row r="855" spans="1:11" x14ac:dyDescent="0.45">
      <c r="A855" t="s">
        <v>96</v>
      </c>
      <c r="B855" t="s">
        <v>648</v>
      </c>
      <c r="C855" t="s">
        <v>7</v>
      </c>
      <c r="D855">
        <v>6</v>
      </c>
      <c r="E855" t="s">
        <v>311</v>
      </c>
      <c r="F855" t="s">
        <v>623</v>
      </c>
      <c r="G855">
        <v>8</v>
      </c>
      <c r="H855">
        <v>11</v>
      </c>
      <c r="I855">
        <v>0</v>
      </c>
      <c r="J855">
        <v>0</v>
      </c>
      <c r="K855" s="9">
        <v>4.9649122807017543</v>
      </c>
    </row>
    <row r="856" spans="1:11" x14ac:dyDescent="0.45">
      <c r="A856" t="s">
        <v>96</v>
      </c>
      <c r="B856" t="s">
        <v>648</v>
      </c>
      <c r="C856" t="s">
        <v>7</v>
      </c>
      <c r="D856">
        <v>7</v>
      </c>
      <c r="E856" t="s">
        <v>440</v>
      </c>
      <c r="F856" t="s">
        <v>622</v>
      </c>
      <c r="G856">
        <v>9</v>
      </c>
      <c r="H856">
        <v>15</v>
      </c>
      <c r="I856">
        <v>1</v>
      </c>
      <c r="J856">
        <v>0</v>
      </c>
      <c r="K856" s="9">
        <v>4.7777777777777777</v>
      </c>
    </row>
    <row r="857" spans="1:11" x14ac:dyDescent="0.45">
      <c r="A857" t="s">
        <v>96</v>
      </c>
      <c r="B857" t="s">
        <v>648</v>
      </c>
      <c r="C857" t="s">
        <v>7</v>
      </c>
      <c r="D857">
        <v>8</v>
      </c>
      <c r="E857" t="s">
        <v>465</v>
      </c>
      <c r="F857" t="s">
        <v>622</v>
      </c>
      <c r="G857">
        <v>0</v>
      </c>
      <c r="H857">
        <v>1</v>
      </c>
      <c r="I857">
        <v>0</v>
      </c>
      <c r="J857">
        <v>0</v>
      </c>
      <c r="K857" s="9">
        <v>6.5693779904306222</v>
      </c>
    </row>
    <row r="858" spans="1:11" x14ac:dyDescent="0.45">
      <c r="A858" t="s">
        <v>96</v>
      </c>
      <c r="B858" t="s">
        <v>648</v>
      </c>
      <c r="C858" t="s">
        <v>7</v>
      </c>
      <c r="D858">
        <v>9</v>
      </c>
      <c r="E858" t="s">
        <v>478</v>
      </c>
      <c r="F858" t="s">
        <v>623</v>
      </c>
      <c r="G858">
        <v>2</v>
      </c>
      <c r="H858">
        <v>2</v>
      </c>
      <c r="I858">
        <v>0</v>
      </c>
      <c r="J858">
        <v>0</v>
      </c>
      <c r="K858" s="9">
        <v>6.1385542168674698</v>
      </c>
    </row>
    <row r="859" spans="1:11" x14ac:dyDescent="0.45">
      <c r="A859" t="s">
        <v>97</v>
      </c>
      <c r="B859" t="s">
        <v>661</v>
      </c>
      <c r="C859" t="s">
        <v>26</v>
      </c>
      <c r="D859">
        <v>1</v>
      </c>
      <c r="E859" t="s">
        <v>397</v>
      </c>
      <c r="F859" t="s">
        <v>622</v>
      </c>
      <c r="G859">
        <v>91</v>
      </c>
      <c r="H859">
        <v>50</v>
      </c>
      <c r="I859">
        <v>7</v>
      </c>
      <c r="J859">
        <v>5</v>
      </c>
      <c r="K859" s="9">
        <v>2.9047619047619047</v>
      </c>
    </row>
    <row r="860" spans="1:11" x14ac:dyDescent="0.45">
      <c r="A860" t="s">
        <v>97</v>
      </c>
      <c r="B860" t="s">
        <v>661</v>
      </c>
      <c r="C860" t="s">
        <v>26</v>
      </c>
      <c r="D860">
        <v>2</v>
      </c>
      <c r="E860" t="s">
        <v>398</v>
      </c>
      <c r="F860" t="s">
        <v>622</v>
      </c>
      <c r="G860">
        <v>14</v>
      </c>
      <c r="H860">
        <v>9</v>
      </c>
      <c r="I860">
        <v>2</v>
      </c>
      <c r="J860">
        <v>0</v>
      </c>
      <c r="K860" s="9">
        <v>4.924050632911392</v>
      </c>
    </row>
    <row r="861" spans="1:11" x14ac:dyDescent="0.45">
      <c r="A861" t="s">
        <v>97</v>
      </c>
      <c r="B861" t="s">
        <v>661</v>
      </c>
      <c r="C861" t="s">
        <v>26</v>
      </c>
      <c r="D861">
        <v>3</v>
      </c>
      <c r="E861" t="s">
        <v>434</v>
      </c>
      <c r="F861" t="s">
        <v>622</v>
      </c>
      <c r="G861">
        <v>40</v>
      </c>
      <c r="H861">
        <v>28</v>
      </c>
      <c r="I861">
        <v>4</v>
      </c>
      <c r="J861">
        <v>2</v>
      </c>
      <c r="K861" s="9">
        <v>3.806451612903226</v>
      </c>
    </row>
    <row r="862" spans="1:11" x14ac:dyDescent="0.45">
      <c r="A862" t="s">
        <v>97</v>
      </c>
      <c r="B862" t="s">
        <v>661</v>
      </c>
      <c r="C862" t="s">
        <v>26</v>
      </c>
      <c r="D862">
        <v>4</v>
      </c>
      <c r="E862" t="s">
        <v>426</v>
      </c>
      <c r="F862" t="s">
        <v>622</v>
      </c>
      <c r="G862">
        <v>64</v>
      </c>
      <c r="H862">
        <v>28</v>
      </c>
      <c r="I862">
        <v>4</v>
      </c>
      <c r="J862">
        <v>6</v>
      </c>
      <c r="K862" s="9">
        <v>3.806451612903226</v>
      </c>
    </row>
    <row r="863" spans="1:11" x14ac:dyDescent="0.45">
      <c r="A863" t="s">
        <v>97</v>
      </c>
      <c r="B863" t="s">
        <v>661</v>
      </c>
      <c r="C863" t="s">
        <v>26</v>
      </c>
      <c r="D863">
        <v>5</v>
      </c>
      <c r="E863" t="s">
        <v>416</v>
      </c>
      <c r="F863" t="s">
        <v>622</v>
      </c>
      <c r="G863">
        <v>0</v>
      </c>
      <c r="H863">
        <v>1</v>
      </c>
      <c r="I863">
        <v>0</v>
      </c>
      <c r="J863">
        <v>0</v>
      </c>
      <c r="K863" s="9">
        <v>6.5693779904306222</v>
      </c>
    </row>
    <row r="864" spans="1:11" x14ac:dyDescent="0.45">
      <c r="A864" t="s">
        <v>97</v>
      </c>
      <c r="B864" t="s">
        <v>661</v>
      </c>
      <c r="C864" t="s">
        <v>26</v>
      </c>
      <c r="D864">
        <v>6</v>
      </c>
      <c r="E864" t="s">
        <v>400</v>
      </c>
      <c r="F864" t="s">
        <v>623</v>
      </c>
      <c r="G864">
        <v>6</v>
      </c>
      <c r="H864">
        <v>4</v>
      </c>
      <c r="I864">
        <v>1</v>
      </c>
      <c r="J864">
        <v>0</v>
      </c>
      <c r="K864" s="9">
        <v>5.352380952380952</v>
      </c>
    </row>
    <row r="865" spans="1:11" x14ac:dyDescent="0.45">
      <c r="A865" t="s">
        <v>97</v>
      </c>
      <c r="B865" t="s">
        <v>661</v>
      </c>
      <c r="C865" t="s">
        <v>26</v>
      </c>
      <c r="D865">
        <v>7</v>
      </c>
      <c r="E865" t="s">
        <v>477</v>
      </c>
      <c r="F865" t="s">
        <v>622</v>
      </c>
      <c r="G865">
        <v>0</v>
      </c>
      <c r="H865">
        <v>2</v>
      </c>
      <c r="I865">
        <v>0</v>
      </c>
      <c r="J865">
        <v>0</v>
      </c>
      <c r="K865" s="9">
        <v>6.1385542168674698</v>
      </c>
    </row>
    <row r="866" spans="1:11" x14ac:dyDescent="0.45">
      <c r="A866" t="s">
        <v>97</v>
      </c>
      <c r="B866" t="s">
        <v>661</v>
      </c>
      <c r="C866" t="s">
        <v>23</v>
      </c>
      <c r="D866">
        <v>1</v>
      </c>
      <c r="E866" t="s">
        <v>485</v>
      </c>
      <c r="F866" t="s">
        <v>622</v>
      </c>
      <c r="G866">
        <v>0</v>
      </c>
      <c r="H866">
        <v>3</v>
      </c>
      <c r="I866">
        <v>0</v>
      </c>
      <c r="J866">
        <v>0</v>
      </c>
      <c r="K866" s="9">
        <v>5.6607142857142856</v>
      </c>
    </row>
    <row r="867" spans="1:11" x14ac:dyDescent="0.45">
      <c r="A867" t="s">
        <v>97</v>
      </c>
      <c r="B867" t="s">
        <v>661</v>
      </c>
      <c r="C867" t="s">
        <v>23</v>
      </c>
      <c r="D867">
        <v>2</v>
      </c>
      <c r="E867" t="s">
        <v>470</v>
      </c>
      <c r="F867" t="s">
        <v>622</v>
      </c>
      <c r="G867">
        <v>12</v>
      </c>
      <c r="H867">
        <v>8</v>
      </c>
      <c r="I867">
        <v>1</v>
      </c>
      <c r="J867">
        <v>1</v>
      </c>
      <c r="K867" s="9">
        <v>4.9029126213592233</v>
      </c>
    </row>
    <row r="868" spans="1:11" x14ac:dyDescent="0.45">
      <c r="A868" t="s">
        <v>97</v>
      </c>
      <c r="B868" t="s">
        <v>661</v>
      </c>
      <c r="C868" t="s">
        <v>23</v>
      </c>
      <c r="D868">
        <v>3</v>
      </c>
      <c r="E868" t="s">
        <v>386</v>
      </c>
      <c r="F868" t="s">
        <v>622</v>
      </c>
      <c r="G868">
        <v>119</v>
      </c>
      <c r="H868">
        <v>63</v>
      </c>
      <c r="I868">
        <v>12</v>
      </c>
      <c r="J868">
        <v>7</v>
      </c>
      <c r="K868" s="9">
        <v>2.75</v>
      </c>
    </row>
    <row r="869" spans="1:11" x14ac:dyDescent="0.45">
      <c r="A869" t="s">
        <v>97</v>
      </c>
      <c r="B869" t="s">
        <v>661</v>
      </c>
      <c r="C869" t="s">
        <v>23</v>
      </c>
      <c r="D869">
        <v>4</v>
      </c>
      <c r="E869" t="s">
        <v>458</v>
      </c>
      <c r="F869" t="s">
        <v>622</v>
      </c>
      <c r="G869">
        <v>25</v>
      </c>
      <c r="H869">
        <v>13</v>
      </c>
      <c r="I869">
        <v>5</v>
      </c>
      <c r="J869">
        <v>0</v>
      </c>
      <c r="K869" s="9">
        <v>4.8939393939393936</v>
      </c>
    </row>
    <row r="870" spans="1:11" x14ac:dyDescent="0.45">
      <c r="A870" t="s">
        <v>97</v>
      </c>
      <c r="B870" t="s">
        <v>661</v>
      </c>
      <c r="C870" t="s">
        <v>23</v>
      </c>
      <c r="D870">
        <v>5</v>
      </c>
      <c r="E870" t="s">
        <v>387</v>
      </c>
      <c r="F870" t="s">
        <v>622</v>
      </c>
      <c r="G870">
        <v>23</v>
      </c>
      <c r="H870">
        <v>15</v>
      </c>
      <c r="I870">
        <v>3</v>
      </c>
      <c r="J870">
        <v>0</v>
      </c>
      <c r="K870" s="9">
        <v>4.7777777777777777</v>
      </c>
    </row>
    <row r="871" spans="1:11" x14ac:dyDescent="0.45">
      <c r="A871" t="s">
        <v>97</v>
      </c>
      <c r="B871" t="s">
        <v>661</v>
      </c>
      <c r="C871" t="s">
        <v>23</v>
      </c>
      <c r="D871">
        <v>6</v>
      </c>
      <c r="E871" t="s">
        <v>431</v>
      </c>
      <c r="F871" t="s">
        <v>622</v>
      </c>
      <c r="G871">
        <v>25</v>
      </c>
      <c r="H871">
        <v>11</v>
      </c>
      <c r="I871">
        <v>1</v>
      </c>
      <c r="J871">
        <v>3</v>
      </c>
      <c r="K871" s="9">
        <v>4.9649122807017543</v>
      </c>
    </row>
    <row r="872" spans="1:11" x14ac:dyDescent="0.45">
      <c r="A872" t="s">
        <v>97</v>
      </c>
      <c r="B872" t="s">
        <v>661</v>
      </c>
      <c r="C872" t="s">
        <v>23</v>
      </c>
      <c r="D872">
        <v>7</v>
      </c>
      <c r="E872" t="s">
        <v>390</v>
      </c>
      <c r="F872" t="s">
        <v>622</v>
      </c>
      <c r="G872">
        <v>2</v>
      </c>
      <c r="H872">
        <v>4</v>
      </c>
      <c r="I872">
        <v>0</v>
      </c>
      <c r="J872">
        <v>0</v>
      </c>
      <c r="K872" s="9">
        <v>5.352380952380952</v>
      </c>
    </row>
    <row r="873" spans="1:11" x14ac:dyDescent="0.45">
      <c r="A873" t="s">
        <v>97</v>
      </c>
      <c r="B873" t="s">
        <v>661</v>
      </c>
      <c r="C873" t="s">
        <v>23</v>
      </c>
      <c r="D873">
        <v>8</v>
      </c>
      <c r="E873" t="s">
        <v>391</v>
      </c>
      <c r="F873" t="s">
        <v>623</v>
      </c>
      <c r="G873">
        <v>2</v>
      </c>
      <c r="H873">
        <v>4</v>
      </c>
      <c r="I873">
        <v>0</v>
      </c>
      <c r="J873">
        <v>0</v>
      </c>
      <c r="K873" s="9">
        <v>5.352380952380952</v>
      </c>
    </row>
    <row r="874" spans="1:11" x14ac:dyDescent="0.45">
      <c r="A874" t="s">
        <v>98</v>
      </c>
      <c r="B874" t="s">
        <v>662</v>
      </c>
      <c r="C874" t="s">
        <v>7</v>
      </c>
      <c r="D874">
        <v>1</v>
      </c>
      <c r="E874" t="s">
        <v>306</v>
      </c>
      <c r="F874" t="s">
        <v>622</v>
      </c>
      <c r="G874">
        <v>80</v>
      </c>
      <c r="H874">
        <v>56</v>
      </c>
      <c r="I874">
        <v>9</v>
      </c>
      <c r="J874">
        <v>4</v>
      </c>
      <c r="K874" s="9">
        <v>3</v>
      </c>
    </row>
    <row r="875" spans="1:11" x14ac:dyDescent="0.45">
      <c r="A875" t="s">
        <v>98</v>
      </c>
      <c r="B875" t="s">
        <v>662</v>
      </c>
      <c r="C875" t="s">
        <v>7</v>
      </c>
      <c r="D875">
        <v>2</v>
      </c>
      <c r="E875" t="s">
        <v>302</v>
      </c>
      <c r="F875" t="s">
        <v>622</v>
      </c>
      <c r="G875">
        <v>15</v>
      </c>
      <c r="H875">
        <v>13</v>
      </c>
      <c r="I875">
        <v>1</v>
      </c>
      <c r="J875">
        <v>1</v>
      </c>
      <c r="K875" s="9">
        <v>4.8939393939393936</v>
      </c>
    </row>
    <row r="876" spans="1:11" x14ac:dyDescent="0.45">
      <c r="A876" t="s">
        <v>98</v>
      </c>
      <c r="B876" t="s">
        <v>662</v>
      </c>
      <c r="C876" t="s">
        <v>7</v>
      </c>
      <c r="D876">
        <v>3</v>
      </c>
      <c r="E876" t="s">
        <v>315</v>
      </c>
      <c r="F876" t="s">
        <v>622</v>
      </c>
      <c r="G876">
        <v>53</v>
      </c>
      <c r="H876">
        <v>29</v>
      </c>
      <c r="I876">
        <v>5</v>
      </c>
      <c r="J876">
        <v>2</v>
      </c>
      <c r="K876" s="9">
        <v>4.0454545454545459</v>
      </c>
    </row>
    <row r="877" spans="1:11" x14ac:dyDescent="0.45">
      <c r="A877" t="s">
        <v>98</v>
      </c>
      <c r="B877" t="s">
        <v>662</v>
      </c>
      <c r="C877" t="s">
        <v>7</v>
      </c>
      <c r="D877">
        <v>4</v>
      </c>
      <c r="E877" t="s">
        <v>440</v>
      </c>
      <c r="F877" t="s">
        <v>622</v>
      </c>
      <c r="G877">
        <v>5</v>
      </c>
      <c r="H877">
        <v>5</v>
      </c>
      <c r="I877">
        <v>1</v>
      </c>
      <c r="J877">
        <v>0</v>
      </c>
      <c r="K877" s="9">
        <v>5.132075471698113</v>
      </c>
    </row>
    <row r="878" spans="1:11" x14ac:dyDescent="0.45">
      <c r="A878" t="s">
        <v>98</v>
      </c>
      <c r="B878" t="s">
        <v>662</v>
      </c>
      <c r="C878" t="s">
        <v>7</v>
      </c>
      <c r="D878">
        <v>5</v>
      </c>
      <c r="E878" t="s">
        <v>310</v>
      </c>
      <c r="F878" t="s">
        <v>622</v>
      </c>
      <c r="G878">
        <v>2</v>
      </c>
      <c r="H878">
        <v>3</v>
      </c>
      <c r="I878">
        <v>0</v>
      </c>
      <c r="J878">
        <v>0</v>
      </c>
      <c r="K878" s="9">
        <v>5.6607142857142856</v>
      </c>
    </row>
    <row r="879" spans="1:11" x14ac:dyDescent="0.45">
      <c r="A879" t="s">
        <v>98</v>
      </c>
      <c r="B879" t="s">
        <v>662</v>
      </c>
      <c r="C879" t="s">
        <v>7</v>
      </c>
      <c r="D879">
        <v>6</v>
      </c>
      <c r="E879" t="s">
        <v>311</v>
      </c>
      <c r="F879" t="s">
        <v>623</v>
      </c>
      <c r="G879">
        <v>22</v>
      </c>
      <c r="H879">
        <v>9</v>
      </c>
      <c r="I879">
        <v>2</v>
      </c>
      <c r="J879">
        <v>1</v>
      </c>
      <c r="K879" s="9">
        <v>4.924050632911392</v>
      </c>
    </row>
    <row r="880" spans="1:11" x14ac:dyDescent="0.45">
      <c r="A880" t="s">
        <v>98</v>
      </c>
      <c r="B880" t="s">
        <v>662</v>
      </c>
      <c r="C880" t="s">
        <v>7</v>
      </c>
      <c r="D880">
        <v>7</v>
      </c>
      <c r="E880" t="s">
        <v>313</v>
      </c>
      <c r="F880" t="s">
        <v>622</v>
      </c>
      <c r="G880">
        <v>3</v>
      </c>
      <c r="H880">
        <v>5</v>
      </c>
      <c r="I880">
        <v>0</v>
      </c>
      <c r="J880">
        <v>0</v>
      </c>
      <c r="K880" s="9">
        <v>5.132075471698113</v>
      </c>
    </row>
    <row r="881" spans="1:11" x14ac:dyDescent="0.45">
      <c r="A881" t="s">
        <v>98</v>
      </c>
      <c r="B881" t="s">
        <v>662</v>
      </c>
      <c r="C881" t="s">
        <v>20</v>
      </c>
      <c r="D881">
        <v>1</v>
      </c>
      <c r="E881" t="s">
        <v>380</v>
      </c>
      <c r="F881" t="s">
        <v>622</v>
      </c>
      <c r="G881">
        <v>7</v>
      </c>
      <c r="H881">
        <v>6</v>
      </c>
      <c r="I881">
        <v>0</v>
      </c>
      <c r="J881">
        <v>1</v>
      </c>
      <c r="K881" s="9">
        <v>5.4565217391304346</v>
      </c>
    </row>
    <row r="882" spans="1:11" x14ac:dyDescent="0.45">
      <c r="A882" t="s">
        <v>98</v>
      </c>
      <c r="B882" t="s">
        <v>662</v>
      </c>
      <c r="C882" t="s">
        <v>20</v>
      </c>
      <c r="D882">
        <v>2</v>
      </c>
      <c r="E882" t="s">
        <v>442</v>
      </c>
      <c r="F882" t="s">
        <v>622</v>
      </c>
      <c r="G882">
        <v>3</v>
      </c>
      <c r="H882">
        <v>4</v>
      </c>
      <c r="I882">
        <v>0</v>
      </c>
      <c r="J882">
        <v>0</v>
      </c>
      <c r="K882" s="9">
        <v>5.352380952380952</v>
      </c>
    </row>
    <row r="883" spans="1:11" x14ac:dyDescent="0.45">
      <c r="A883" t="s">
        <v>98</v>
      </c>
      <c r="B883" t="s">
        <v>662</v>
      </c>
      <c r="C883" t="s">
        <v>20</v>
      </c>
      <c r="D883">
        <v>3</v>
      </c>
      <c r="E883" t="s">
        <v>374</v>
      </c>
      <c r="F883" t="s">
        <v>623</v>
      </c>
      <c r="G883">
        <v>61</v>
      </c>
      <c r="H883">
        <v>44</v>
      </c>
      <c r="I883">
        <v>2</v>
      </c>
      <c r="J883">
        <v>3</v>
      </c>
      <c r="K883" s="9">
        <v>3.35</v>
      </c>
    </row>
    <row r="884" spans="1:11" x14ac:dyDescent="0.45">
      <c r="A884" t="s">
        <v>98</v>
      </c>
      <c r="B884" t="s">
        <v>662</v>
      </c>
      <c r="C884" t="s">
        <v>20</v>
      </c>
      <c r="D884">
        <v>4</v>
      </c>
      <c r="E884" t="s">
        <v>459</v>
      </c>
      <c r="F884" t="s">
        <v>622</v>
      </c>
      <c r="G884">
        <v>55</v>
      </c>
      <c r="H884">
        <v>40</v>
      </c>
      <c r="I884">
        <v>5</v>
      </c>
      <c r="J884">
        <v>3</v>
      </c>
      <c r="K884" s="9">
        <v>4</v>
      </c>
    </row>
    <row r="885" spans="1:11" x14ac:dyDescent="0.45">
      <c r="A885" t="s">
        <v>98</v>
      </c>
      <c r="B885" t="s">
        <v>662</v>
      </c>
      <c r="C885" t="s">
        <v>20</v>
      </c>
      <c r="D885">
        <v>5</v>
      </c>
      <c r="E885" t="s">
        <v>375</v>
      </c>
      <c r="F885" t="s">
        <v>622</v>
      </c>
      <c r="G885">
        <v>14</v>
      </c>
      <c r="H885">
        <v>11</v>
      </c>
      <c r="I885">
        <v>2</v>
      </c>
      <c r="J885">
        <v>0</v>
      </c>
      <c r="K885" s="9">
        <v>4.9649122807017543</v>
      </c>
    </row>
    <row r="886" spans="1:11" x14ac:dyDescent="0.45">
      <c r="A886" t="s">
        <v>98</v>
      </c>
      <c r="B886" t="s">
        <v>662</v>
      </c>
      <c r="C886" t="s">
        <v>20</v>
      </c>
      <c r="D886">
        <v>6</v>
      </c>
      <c r="E886" t="s">
        <v>460</v>
      </c>
      <c r="F886" t="s">
        <v>622</v>
      </c>
      <c r="G886">
        <v>11</v>
      </c>
      <c r="H886">
        <v>7</v>
      </c>
      <c r="I886">
        <v>0</v>
      </c>
      <c r="J886">
        <v>1</v>
      </c>
      <c r="K886" s="9">
        <v>4.927835051546392</v>
      </c>
    </row>
    <row r="887" spans="1:11" x14ac:dyDescent="0.45">
      <c r="A887" t="s">
        <v>98</v>
      </c>
      <c r="B887" t="s">
        <v>662</v>
      </c>
      <c r="C887" t="s">
        <v>20</v>
      </c>
      <c r="D887">
        <v>7</v>
      </c>
      <c r="E887" t="s">
        <v>376</v>
      </c>
      <c r="F887" t="s">
        <v>623</v>
      </c>
      <c r="G887">
        <v>19</v>
      </c>
      <c r="H887">
        <v>8</v>
      </c>
      <c r="I887">
        <v>0</v>
      </c>
      <c r="J887">
        <v>2</v>
      </c>
      <c r="K887" s="9">
        <v>4.9029126213592233</v>
      </c>
    </row>
    <row r="888" spans="1:11" x14ac:dyDescent="0.45">
      <c r="A888" t="s">
        <v>99</v>
      </c>
      <c r="B888" t="s">
        <v>633</v>
      </c>
      <c r="C888" t="s">
        <v>6</v>
      </c>
      <c r="D888">
        <v>1</v>
      </c>
      <c r="E888" t="s">
        <v>290</v>
      </c>
      <c r="F888" t="s">
        <v>622</v>
      </c>
      <c r="G888">
        <v>5</v>
      </c>
      <c r="H888">
        <v>8</v>
      </c>
      <c r="I888">
        <v>1</v>
      </c>
      <c r="J888">
        <v>0</v>
      </c>
      <c r="K888" s="9">
        <v>4.9029126213592233</v>
      </c>
    </row>
    <row r="889" spans="1:11" x14ac:dyDescent="0.45">
      <c r="A889" t="s">
        <v>99</v>
      </c>
      <c r="B889" t="s">
        <v>633</v>
      </c>
      <c r="C889" t="s">
        <v>6</v>
      </c>
      <c r="D889">
        <v>2</v>
      </c>
      <c r="E889" t="s">
        <v>294</v>
      </c>
      <c r="F889" t="s">
        <v>622</v>
      </c>
      <c r="G889">
        <v>0</v>
      </c>
      <c r="H889">
        <v>3</v>
      </c>
      <c r="I889">
        <v>0</v>
      </c>
      <c r="J889">
        <v>0</v>
      </c>
      <c r="K889" s="9">
        <v>5.6607142857142856</v>
      </c>
    </row>
    <row r="890" spans="1:11" x14ac:dyDescent="0.45">
      <c r="A890" t="s">
        <v>99</v>
      </c>
      <c r="B890" t="s">
        <v>633</v>
      </c>
      <c r="C890" t="s">
        <v>6</v>
      </c>
      <c r="D890">
        <v>3</v>
      </c>
      <c r="E890" t="s">
        <v>299</v>
      </c>
      <c r="F890" t="s">
        <v>622</v>
      </c>
      <c r="G890">
        <v>36</v>
      </c>
      <c r="H890">
        <v>24</v>
      </c>
      <c r="I890">
        <v>4</v>
      </c>
      <c r="J890">
        <v>2</v>
      </c>
      <c r="K890" s="9">
        <v>4.0606060606060606</v>
      </c>
    </row>
    <row r="891" spans="1:11" x14ac:dyDescent="0.45">
      <c r="A891" t="s">
        <v>99</v>
      </c>
      <c r="B891" t="s">
        <v>633</v>
      </c>
      <c r="C891" t="s">
        <v>6</v>
      </c>
      <c r="D891">
        <v>4</v>
      </c>
      <c r="E891" t="s">
        <v>417</v>
      </c>
      <c r="F891" t="s">
        <v>622</v>
      </c>
      <c r="G891">
        <v>54</v>
      </c>
      <c r="H891">
        <v>36</v>
      </c>
      <c r="I891">
        <v>3</v>
      </c>
      <c r="J891">
        <v>4</v>
      </c>
      <c r="K891" s="9">
        <v>4.083333333333333</v>
      </c>
    </row>
    <row r="892" spans="1:11" x14ac:dyDescent="0.45">
      <c r="A892" t="s">
        <v>99</v>
      </c>
      <c r="B892" t="s">
        <v>633</v>
      </c>
      <c r="C892" t="s">
        <v>6</v>
      </c>
      <c r="D892">
        <v>5</v>
      </c>
      <c r="E892" t="s">
        <v>355</v>
      </c>
      <c r="F892" t="s">
        <v>622</v>
      </c>
      <c r="G892">
        <v>23</v>
      </c>
      <c r="H892">
        <v>16</v>
      </c>
      <c r="I892">
        <v>1</v>
      </c>
      <c r="J892">
        <v>2</v>
      </c>
      <c r="K892" s="9">
        <v>4.7608695652173916</v>
      </c>
    </row>
    <row r="893" spans="1:11" x14ac:dyDescent="0.45">
      <c r="A893" t="s">
        <v>99</v>
      </c>
      <c r="B893" t="s">
        <v>633</v>
      </c>
      <c r="C893" t="s">
        <v>6</v>
      </c>
      <c r="D893">
        <v>6</v>
      </c>
      <c r="E893" t="s">
        <v>328</v>
      </c>
      <c r="F893" t="s">
        <v>623</v>
      </c>
      <c r="G893">
        <v>26</v>
      </c>
      <c r="H893">
        <v>17</v>
      </c>
      <c r="I893">
        <v>3</v>
      </c>
      <c r="J893">
        <v>0</v>
      </c>
      <c r="K893" s="9">
        <v>4.82</v>
      </c>
    </row>
    <row r="894" spans="1:11" x14ac:dyDescent="0.45">
      <c r="A894" t="s">
        <v>99</v>
      </c>
      <c r="B894" t="s">
        <v>633</v>
      </c>
      <c r="C894" t="s">
        <v>6</v>
      </c>
      <c r="D894">
        <v>7</v>
      </c>
      <c r="E894" t="s">
        <v>356</v>
      </c>
      <c r="F894" t="s">
        <v>622</v>
      </c>
      <c r="G894">
        <v>0</v>
      </c>
      <c r="H894">
        <v>2</v>
      </c>
      <c r="I894">
        <v>0</v>
      </c>
      <c r="J894">
        <v>0</v>
      </c>
      <c r="K894" s="9">
        <v>6.1385542168674698</v>
      </c>
    </row>
    <row r="895" spans="1:11" x14ac:dyDescent="0.45">
      <c r="A895" t="s">
        <v>99</v>
      </c>
      <c r="B895" t="s">
        <v>633</v>
      </c>
      <c r="C895" t="s">
        <v>6</v>
      </c>
      <c r="D895">
        <v>8</v>
      </c>
      <c r="E895" t="s">
        <v>420</v>
      </c>
      <c r="F895" t="s">
        <v>622</v>
      </c>
      <c r="G895">
        <v>34</v>
      </c>
      <c r="H895">
        <v>15</v>
      </c>
      <c r="I895">
        <v>4</v>
      </c>
      <c r="J895">
        <v>2</v>
      </c>
      <c r="K895" s="9">
        <v>4.7777777777777777</v>
      </c>
    </row>
    <row r="896" spans="1:11" x14ac:dyDescent="0.45">
      <c r="A896" t="s">
        <v>99</v>
      </c>
      <c r="B896" t="s">
        <v>633</v>
      </c>
      <c r="C896" t="s">
        <v>10</v>
      </c>
      <c r="D896">
        <v>1</v>
      </c>
      <c r="E896" t="s">
        <v>329</v>
      </c>
      <c r="F896" t="s">
        <v>622</v>
      </c>
      <c r="G896">
        <v>72</v>
      </c>
      <c r="H896">
        <v>38</v>
      </c>
      <c r="I896">
        <v>9</v>
      </c>
      <c r="J896">
        <v>3</v>
      </c>
      <c r="K896" s="9">
        <v>3.6842105263157894</v>
      </c>
    </row>
    <row r="897" spans="1:11" x14ac:dyDescent="0.45">
      <c r="A897" t="s">
        <v>99</v>
      </c>
      <c r="B897" t="s">
        <v>633</v>
      </c>
      <c r="C897" t="s">
        <v>10</v>
      </c>
      <c r="D897">
        <v>2</v>
      </c>
      <c r="E897" t="s">
        <v>330</v>
      </c>
      <c r="F897" t="s">
        <v>622</v>
      </c>
      <c r="G897">
        <v>85</v>
      </c>
      <c r="H897">
        <v>54</v>
      </c>
      <c r="I897">
        <v>10</v>
      </c>
      <c r="J897">
        <v>2</v>
      </c>
      <c r="K897" s="9">
        <v>3</v>
      </c>
    </row>
    <row r="898" spans="1:11" x14ac:dyDescent="0.45">
      <c r="A898" t="s">
        <v>99</v>
      </c>
      <c r="B898" t="s">
        <v>633</v>
      </c>
      <c r="C898" t="s">
        <v>10</v>
      </c>
      <c r="D898">
        <v>3</v>
      </c>
      <c r="E898" t="s">
        <v>334</v>
      </c>
      <c r="F898" t="s">
        <v>623</v>
      </c>
      <c r="G898">
        <v>15</v>
      </c>
      <c r="H898">
        <v>12</v>
      </c>
      <c r="I898">
        <v>2</v>
      </c>
      <c r="J898">
        <v>0</v>
      </c>
      <c r="K898" s="9">
        <v>4.8024691358024691</v>
      </c>
    </row>
    <row r="899" spans="1:11" x14ac:dyDescent="0.45">
      <c r="A899" t="s">
        <v>99</v>
      </c>
      <c r="B899" t="s">
        <v>633</v>
      </c>
      <c r="C899" t="s">
        <v>10</v>
      </c>
      <c r="D899">
        <v>4</v>
      </c>
      <c r="E899" t="s">
        <v>331</v>
      </c>
      <c r="F899" t="s">
        <v>622</v>
      </c>
      <c r="G899">
        <v>14</v>
      </c>
      <c r="H899">
        <v>9</v>
      </c>
      <c r="I899">
        <v>3</v>
      </c>
      <c r="J899">
        <v>0</v>
      </c>
      <c r="K899" s="9">
        <v>4.924050632911392</v>
      </c>
    </row>
    <row r="900" spans="1:11" x14ac:dyDescent="0.45">
      <c r="A900" t="s">
        <v>99</v>
      </c>
      <c r="B900" t="s">
        <v>633</v>
      </c>
      <c r="C900" t="s">
        <v>10</v>
      </c>
      <c r="D900">
        <v>5</v>
      </c>
      <c r="E900" t="s">
        <v>336</v>
      </c>
      <c r="F900" t="s">
        <v>623</v>
      </c>
      <c r="G900">
        <v>0</v>
      </c>
      <c r="H900">
        <v>0</v>
      </c>
      <c r="I900">
        <v>0</v>
      </c>
      <c r="J900">
        <v>0</v>
      </c>
      <c r="K900" s="9">
        <v>6.2519685039370083</v>
      </c>
    </row>
    <row r="901" spans="1:11" x14ac:dyDescent="0.45">
      <c r="A901" t="s">
        <v>100</v>
      </c>
      <c r="B901" t="s">
        <v>663</v>
      </c>
      <c r="C901" t="s">
        <v>19</v>
      </c>
      <c r="D901">
        <v>1</v>
      </c>
      <c r="E901" t="s">
        <v>359</v>
      </c>
      <c r="F901" t="s">
        <v>622</v>
      </c>
      <c r="G901">
        <v>19</v>
      </c>
      <c r="H901">
        <v>15</v>
      </c>
      <c r="I901">
        <v>1</v>
      </c>
      <c r="J901">
        <v>1</v>
      </c>
      <c r="K901" s="9">
        <v>4.7777777777777777</v>
      </c>
    </row>
    <row r="902" spans="1:11" x14ac:dyDescent="0.45">
      <c r="A902" t="s">
        <v>100</v>
      </c>
      <c r="B902" t="s">
        <v>663</v>
      </c>
      <c r="C902" t="s">
        <v>19</v>
      </c>
      <c r="D902">
        <v>2</v>
      </c>
      <c r="E902" t="s">
        <v>486</v>
      </c>
      <c r="F902" t="s">
        <v>622</v>
      </c>
      <c r="G902">
        <v>49</v>
      </c>
      <c r="H902">
        <v>35</v>
      </c>
      <c r="I902">
        <v>4</v>
      </c>
      <c r="J902">
        <v>3</v>
      </c>
      <c r="K902" s="9">
        <v>3.5769230769230771</v>
      </c>
    </row>
    <row r="903" spans="1:11" x14ac:dyDescent="0.45">
      <c r="A903" t="s">
        <v>100</v>
      </c>
      <c r="B903" t="s">
        <v>663</v>
      </c>
      <c r="C903" t="s">
        <v>19</v>
      </c>
      <c r="D903">
        <v>3</v>
      </c>
      <c r="E903" t="s">
        <v>363</v>
      </c>
      <c r="F903" t="s">
        <v>622</v>
      </c>
      <c r="G903">
        <v>31</v>
      </c>
      <c r="H903">
        <v>23</v>
      </c>
      <c r="I903">
        <v>4</v>
      </c>
      <c r="J903">
        <v>1</v>
      </c>
      <c r="K903" s="9">
        <v>5.1142857142857139</v>
      </c>
    </row>
    <row r="904" spans="1:11" x14ac:dyDescent="0.45">
      <c r="A904" t="s">
        <v>100</v>
      </c>
      <c r="B904" t="s">
        <v>663</v>
      </c>
      <c r="C904" t="s">
        <v>19</v>
      </c>
      <c r="D904">
        <v>4</v>
      </c>
      <c r="E904" t="s">
        <v>360</v>
      </c>
      <c r="F904" t="s">
        <v>622</v>
      </c>
      <c r="G904">
        <v>28</v>
      </c>
      <c r="H904">
        <v>19</v>
      </c>
      <c r="I904">
        <v>2</v>
      </c>
      <c r="J904">
        <v>1</v>
      </c>
      <c r="K904" s="9">
        <v>4.5660377358490569</v>
      </c>
    </row>
    <row r="905" spans="1:11" x14ac:dyDescent="0.45">
      <c r="A905" t="s">
        <v>100</v>
      </c>
      <c r="B905" t="s">
        <v>663</v>
      </c>
      <c r="C905" t="s">
        <v>19</v>
      </c>
      <c r="D905">
        <v>5</v>
      </c>
      <c r="E905" t="s">
        <v>361</v>
      </c>
      <c r="F905" t="s">
        <v>622</v>
      </c>
      <c r="G905">
        <v>13</v>
      </c>
      <c r="H905">
        <v>10</v>
      </c>
      <c r="I905">
        <v>2</v>
      </c>
      <c r="J905">
        <v>0</v>
      </c>
      <c r="K905" s="9">
        <v>4.7179487179487181</v>
      </c>
    </row>
    <row r="906" spans="1:11" x14ac:dyDescent="0.45">
      <c r="A906" t="s">
        <v>100</v>
      </c>
      <c r="B906" t="s">
        <v>663</v>
      </c>
      <c r="C906" t="s">
        <v>19</v>
      </c>
      <c r="D906">
        <v>6</v>
      </c>
      <c r="E906" t="s">
        <v>362</v>
      </c>
      <c r="F906" t="s">
        <v>622</v>
      </c>
      <c r="G906">
        <v>7</v>
      </c>
      <c r="H906">
        <v>9</v>
      </c>
      <c r="I906">
        <v>1</v>
      </c>
      <c r="J906">
        <v>0</v>
      </c>
      <c r="K906" s="9">
        <v>4.924050632911392</v>
      </c>
    </row>
    <row r="907" spans="1:11" x14ac:dyDescent="0.45">
      <c r="A907" t="s">
        <v>100</v>
      </c>
      <c r="B907" t="s">
        <v>663</v>
      </c>
      <c r="C907" t="s">
        <v>19</v>
      </c>
      <c r="D907">
        <v>7</v>
      </c>
      <c r="E907" t="s">
        <v>366</v>
      </c>
      <c r="F907" t="s">
        <v>622</v>
      </c>
      <c r="G907">
        <v>7</v>
      </c>
      <c r="H907">
        <v>7</v>
      </c>
      <c r="I907">
        <v>1</v>
      </c>
      <c r="J907">
        <v>0</v>
      </c>
      <c r="K907" s="9">
        <v>4.927835051546392</v>
      </c>
    </row>
    <row r="908" spans="1:11" x14ac:dyDescent="0.45">
      <c r="A908" t="s">
        <v>100</v>
      </c>
      <c r="B908" t="s">
        <v>663</v>
      </c>
      <c r="C908" t="s">
        <v>19</v>
      </c>
      <c r="D908">
        <v>8</v>
      </c>
      <c r="E908" t="s">
        <v>484</v>
      </c>
      <c r="F908" t="s">
        <v>622</v>
      </c>
      <c r="G908">
        <v>0</v>
      </c>
      <c r="H908">
        <v>2</v>
      </c>
      <c r="I908">
        <v>0</v>
      </c>
      <c r="J908">
        <v>0</v>
      </c>
      <c r="K908" s="9">
        <v>6.1385542168674698</v>
      </c>
    </row>
    <row r="909" spans="1:11" x14ac:dyDescent="0.45">
      <c r="A909" t="s">
        <v>100</v>
      </c>
      <c r="B909" t="s">
        <v>663</v>
      </c>
      <c r="C909" t="s">
        <v>19</v>
      </c>
      <c r="D909">
        <v>9</v>
      </c>
      <c r="E909" t="s">
        <v>435</v>
      </c>
      <c r="F909" t="s">
        <v>622</v>
      </c>
      <c r="G909">
        <v>0</v>
      </c>
      <c r="H909">
        <v>0</v>
      </c>
      <c r="I909">
        <v>0</v>
      </c>
      <c r="J909">
        <v>0</v>
      </c>
      <c r="K909" s="9">
        <v>6.2519685039370083</v>
      </c>
    </row>
    <row r="910" spans="1:11" x14ac:dyDescent="0.45">
      <c r="A910" t="s">
        <v>100</v>
      </c>
      <c r="B910" t="s">
        <v>663</v>
      </c>
      <c r="C910" t="s">
        <v>19</v>
      </c>
      <c r="D910">
        <v>10</v>
      </c>
      <c r="E910" t="s">
        <v>369</v>
      </c>
      <c r="F910" t="s">
        <v>623</v>
      </c>
      <c r="G910">
        <v>1</v>
      </c>
      <c r="H910">
        <v>2</v>
      </c>
      <c r="I910">
        <v>0</v>
      </c>
      <c r="J910">
        <v>0</v>
      </c>
      <c r="K910" s="9">
        <v>6.1385542168674698</v>
      </c>
    </row>
    <row r="911" spans="1:11" x14ac:dyDescent="0.45">
      <c r="A911" t="s">
        <v>100</v>
      </c>
      <c r="B911" t="s">
        <v>663</v>
      </c>
      <c r="C911" t="s">
        <v>13</v>
      </c>
      <c r="D911">
        <v>1</v>
      </c>
      <c r="E911" t="s">
        <v>467</v>
      </c>
      <c r="F911" t="s">
        <v>622</v>
      </c>
      <c r="G911">
        <v>10</v>
      </c>
      <c r="H911">
        <v>16</v>
      </c>
      <c r="I911">
        <v>0</v>
      </c>
      <c r="J911">
        <v>0</v>
      </c>
      <c r="K911" s="9">
        <v>4.7608695652173916</v>
      </c>
    </row>
    <row r="912" spans="1:11" x14ac:dyDescent="0.45">
      <c r="A912" t="s">
        <v>100</v>
      </c>
      <c r="B912" t="s">
        <v>663</v>
      </c>
      <c r="C912" t="s">
        <v>13</v>
      </c>
      <c r="D912">
        <v>2</v>
      </c>
      <c r="E912" t="s">
        <v>343</v>
      </c>
      <c r="F912" t="s">
        <v>622</v>
      </c>
      <c r="G912">
        <v>33</v>
      </c>
      <c r="H912">
        <v>29</v>
      </c>
      <c r="I912">
        <v>4</v>
      </c>
      <c r="J912">
        <v>0</v>
      </c>
      <c r="K912" s="9">
        <v>4.0454545454545459</v>
      </c>
    </row>
    <row r="913" spans="1:11" x14ac:dyDescent="0.45">
      <c r="A913" t="s">
        <v>100</v>
      </c>
      <c r="B913" t="s">
        <v>663</v>
      </c>
      <c r="C913" t="s">
        <v>13</v>
      </c>
      <c r="D913">
        <v>3</v>
      </c>
      <c r="E913" t="s">
        <v>463</v>
      </c>
      <c r="F913" t="s">
        <v>622</v>
      </c>
      <c r="G913">
        <v>8</v>
      </c>
      <c r="H913">
        <v>8</v>
      </c>
      <c r="I913">
        <v>1</v>
      </c>
      <c r="J913">
        <v>0</v>
      </c>
      <c r="K913" s="9">
        <v>4.9029126213592233</v>
      </c>
    </row>
    <row r="914" spans="1:11" x14ac:dyDescent="0.45">
      <c r="A914" t="s">
        <v>100</v>
      </c>
      <c r="B914" t="s">
        <v>663</v>
      </c>
      <c r="C914" t="s">
        <v>13</v>
      </c>
      <c r="D914">
        <v>4</v>
      </c>
      <c r="E914" t="s">
        <v>345</v>
      </c>
      <c r="F914" t="s">
        <v>622</v>
      </c>
      <c r="G914">
        <v>39</v>
      </c>
      <c r="H914">
        <v>28</v>
      </c>
      <c r="I914">
        <v>3</v>
      </c>
      <c r="J914">
        <v>2</v>
      </c>
      <c r="K914" s="9">
        <v>3.806451612903226</v>
      </c>
    </row>
    <row r="915" spans="1:11" x14ac:dyDescent="0.45">
      <c r="A915" t="s">
        <v>100</v>
      </c>
      <c r="B915" t="s">
        <v>663</v>
      </c>
      <c r="C915" t="s">
        <v>13</v>
      </c>
      <c r="D915">
        <v>5</v>
      </c>
      <c r="E915" t="s">
        <v>346</v>
      </c>
      <c r="F915" t="s">
        <v>622</v>
      </c>
      <c r="G915">
        <v>48</v>
      </c>
      <c r="H915">
        <v>27</v>
      </c>
      <c r="I915">
        <v>4</v>
      </c>
      <c r="J915">
        <v>2</v>
      </c>
      <c r="K915" s="9">
        <v>4.25</v>
      </c>
    </row>
    <row r="916" spans="1:11" x14ac:dyDescent="0.45">
      <c r="A916" t="s">
        <v>100</v>
      </c>
      <c r="B916" t="s">
        <v>663</v>
      </c>
      <c r="C916" t="s">
        <v>13</v>
      </c>
      <c r="D916">
        <v>6</v>
      </c>
      <c r="E916" t="s">
        <v>347</v>
      </c>
      <c r="F916" t="s">
        <v>622</v>
      </c>
      <c r="G916">
        <v>1</v>
      </c>
      <c r="H916">
        <v>2</v>
      </c>
      <c r="I916">
        <v>0</v>
      </c>
      <c r="J916">
        <v>0</v>
      </c>
      <c r="K916" s="9">
        <v>6.1385542168674698</v>
      </c>
    </row>
    <row r="917" spans="1:11" x14ac:dyDescent="0.45">
      <c r="A917" t="s">
        <v>100</v>
      </c>
      <c r="B917" t="s">
        <v>663</v>
      </c>
      <c r="C917" t="s">
        <v>13</v>
      </c>
      <c r="D917">
        <v>7</v>
      </c>
      <c r="E917" t="s">
        <v>348</v>
      </c>
      <c r="F917" t="s">
        <v>622</v>
      </c>
      <c r="G917">
        <v>1</v>
      </c>
      <c r="H917">
        <v>3</v>
      </c>
      <c r="I917">
        <v>0</v>
      </c>
      <c r="J917">
        <v>0</v>
      </c>
      <c r="K917" s="9">
        <v>5.6607142857142856</v>
      </c>
    </row>
    <row r="918" spans="1:11" x14ac:dyDescent="0.45">
      <c r="A918" t="s">
        <v>100</v>
      </c>
      <c r="B918" t="s">
        <v>663</v>
      </c>
      <c r="C918" t="s">
        <v>13</v>
      </c>
      <c r="D918">
        <v>8</v>
      </c>
      <c r="E918" t="s">
        <v>438</v>
      </c>
      <c r="F918" t="s">
        <v>622</v>
      </c>
      <c r="G918">
        <v>4</v>
      </c>
      <c r="H918">
        <v>4</v>
      </c>
      <c r="I918">
        <v>0</v>
      </c>
      <c r="J918">
        <v>0</v>
      </c>
      <c r="K918" s="9">
        <v>5.352380952380952</v>
      </c>
    </row>
    <row r="919" spans="1:11" x14ac:dyDescent="0.45">
      <c r="A919" t="s">
        <v>100</v>
      </c>
      <c r="B919" t="s">
        <v>663</v>
      </c>
      <c r="C919" t="s">
        <v>13</v>
      </c>
      <c r="D919">
        <v>9</v>
      </c>
      <c r="E919" t="s">
        <v>349</v>
      </c>
      <c r="F919" t="s">
        <v>623</v>
      </c>
      <c r="G919">
        <v>4</v>
      </c>
      <c r="H919">
        <v>3</v>
      </c>
      <c r="I919">
        <v>0</v>
      </c>
      <c r="J919">
        <v>0</v>
      </c>
      <c r="K919" s="9">
        <v>5.6607142857142856</v>
      </c>
    </row>
    <row r="920" spans="1:11" x14ac:dyDescent="0.45">
      <c r="A920" t="s">
        <v>100</v>
      </c>
      <c r="B920" t="s">
        <v>663</v>
      </c>
      <c r="C920" t="s">
        <v>13</v>
      </c>
      <c r="D920">
        <v>10</v>
      </c>
      <c r="E920" t="s">
        <v>352</v>
      </c>
      <c r="F920" t="s">
        <v>623</v>
      </c>
      <c r="G920">
        <v>0</v>
      </c>
      <c r="H920">
        <v>1</v>
      </c>
      <c r="I920">
        <v>0</v>
      </c>
      <c r="J920">
        <v>0</v>
      </c>
      <c r="K920" s="9">
        <v>6.5693779904306222</v>
      </c>
    </row>
    <row r="921" spans="1:11" x14ac:dyDescent="0.45">
      <c r="A921" t="s">
        <v>102</v>
      </c>
      <c r="B921" t="s">
        <v>664</v>
      </c>
      <c r="C921" t="s">
        <v>23</v>
      </c>
      <c r="D921">
        <v>1</v>
      </c>
      <c r="E921" t="s">
        <v>383</v>
      </c>
      <c r="F921" t="s">
        <v>622</v>
      </c>
      <c r="G921">
        <v>22</v>
      </c>
      <c r="H921">
        <v>16</v>
      </c>
      <c r="I921">
        <v>1</v>
      </c>
      <c r="J921">
        <v>2</v>
      </c>
      <c r="K921" s="9">
        <v>4.7608695652173916</v>
      </c>
    </row>
    <row r="922" spans="1:11" x14ac:dyDescent="0.45">
      <c r="A922" t="s">
        <v>102</v>
      </c>
      <c r="B922" t="s">
        <v>664</v>
      </c>
      <c r="C922" t="s">
        <v>23</v>
      </c>
      <c r="D922">
        <v>2</v>
      </c>
      <c r="E922" t="s">
        <v>458</v>
      </c>
      <c r="F922" t="s">
        <v>622</v>
      </c>
      <c r="G922">
        <v>39</v>
      </c>
      <c r="H922">
        <v>35</v>
      </c>
      <c r="I922">
        <v>5</v>
      </c>
      <c r="J922">
        <v>0</v>
      </c>
      <c r="K922" s="9">
        <v>3.5769230769230771</v>
      </c>
    </row>
    <row r="923" spans="1:11" x14ac:dyDescent="0.45">
      <c r="A923" t="s">
        <v>102</v>
      </c>
      <c r="B923" t="s">
        <v>664</v>
      </c>
      <c r="C923" t="s">
        <v>23</v>
      </c>
      <c r="D923">
        <v>3</v>
      </c>
      <c r="E923" t="s">
        <v>386</v>
      </c>
      <c r="F923" t="s">
        <v>622</v>
      </c>
      <c r="G923">
        <v>14</v>
      </c>
      <c r="H923">
        <v>11</v>
      </c>
      <c r="I923">
        <v>2</v>
      </c>
      <c r="J923">
        <v>0</v>
      </c>
      <c r="K923" s="9">
        <v>4.9649122807017543</v>
      </c>
    </row>
    <row r="924" spans="1:11" x14ac:dyDescent="0.45">
      <c r="A924" t="s">
        <v>102</v>
      </c>
      <c r="B924" t="s">
        <v>664</v>
      </c>
      <c r="C924" t="s">
        <v>23</v>
      </c>
      <c r="D924">
        <v>4</v>
      </c>
      <c r="E924" t="s">
        <v>342</v>
      </c>
      <c r="F924" t="s">
        <v>622</v>
      </c>
      <c r="G924">
        <v>2</v>
      </c>
      <c r="H924">
        <v>10</v>
      </c>
      <c r="I924">
        <v>0</v>
      </c>
      <c r="J924">
        <v>0</v>
      </c>
      <c r="K924" s="9">
        <v>4.7179487179487181</v>
      </c>
    </row>
    <row r="925" spans="1:11" x14ac:dyDescent="0.45">
      <c r="A925" t="s">
        <v>102</v>
      </c>
      <c r="B925" t="s">
        <v>664</v>
      </c>
      <c r="C925" t="s">
        <v>23</v>
      </c>
      <c r="D925">
        <v>5</v>
      </c>
      <c r="E925" t="s">
        <v>336</v>
      </c>
      <c r="F925" t="s">
        <v>622</v>
      </c>
      <c r="G925">
        <v>11</v>
      </c>
      <c r="H925">
        <v>12</v>
      </c>
      <c r="I925">
        <v>2</v>
      </c>
      <c r="J925">
        <v>0</v>
      </c>
      <c r="K925" s="9">
        <v>4.8024691358024691</v>
      </c>
    </row>
    <row r="926" spans="1:11" x14ac:dyDescent="0.45">
      <c r="A926" t="s">
        <v>102</v>
      </c>
      <c r="B926" t="s">
        <v>664</v>
      </c>
      <c r="C926" t="s">
        <v>23</v>
      </c>
      <c r="D926">
        <v>6</v>
      </c>
      <c r="E926" t="s">
        <v>339</v>
      </c>
      <c r="F926" t="s">
        <v>622</v>
      </c>
      <c r="G926">
        <v>6</v>
      </c>
      <c r="H926">
        <v>9</v>
      </c>
      <c r="I926">
        <v>0</v>
      </c>
      <c r="J926">
        <v>0</v>
      </c>
      <c r="K926" s="9">
        <v>4.924050632911392</v>
      </c>
    </row>
    <row r="927" spans="1:11" x14ac:dyDescent="0.45">
      <c r="A927" t="s">
        <v>102</v>
      </c>
      <c r="B927" t="s">
        <v>664</v>
      </c>
      <c r="C927" t="s">
        <v>23</v>
      </c>
      <c r="D927">
        <v>7</v>
      </c>
      <c r="E927" t="s">
        <v>431</v>
      </c>
      <c r="F927" t="s">
        <v>622</v>
      </c>
      <c r="G927">
        <v>15</v>
      </c>
      <c r="H927">
        <v>15</v>
      </c>
      <c r="I927">
        <v>1</v>
      </c>
      <c r="J927">
        <v>0</v>
      </c>
      <c r="K927" s="9">
        <v>4.7777777777777777</v>
      </c>
    </row>
    <row r="928" spans="1:11" x14ac:dyDescent="0.45">
      <c r="A928" t="s">
        <v>102</v>
      </c>
      <c r="B928" t="s">
        <v>664</v>
      </c>
      <c r="C928" t="s">
        <v>23</v>
      </c>
      <c r="D928">
        <v>8</v>
      </c>
      <c r="E928" t="s">
        <v>370</v>
      </c>
      <c r="F928" t="s">
        <v>622</v>
      </c>
      <c r="G928">
        <v>11</v>
      </c>
      <c r="H928">
        <v>7</v>
      </c>
      <c r="I928">
        <v>0</v>
      </c>
      <c r="J928">
        <v>1</v>
      </c>
      <c r="K928" s="9">
        <v>4.927835051546392</v>
      </c>
    </row>
    <row r="929" spans="1:11" x14ac:dyDescent="0.45">
      <c r="A929" t="s">
        <v>102</v>
      </c>
      <c r="B929" t="s">
        <v>664</v>
      </c>
      <c r="C929" t="s">
        <v>23</v>
      </c>
      <c r="D929">
        <v>9</v>
      </c>
      <c r="E929" t="s">
        <v>487</v>
      </c>
      <c r="F929" t="s">
        <v>622</v>
      </c>
      <c r="G929">
        <v>8</v>
      </c>
      <c r="H929">
        <v>5</v>
      </c>
      <c r="I929">
        <v>0</v>
      </c>
      <c r="J929">
        <v>1</v>
      </c>
      <c r="K929" s="9">
        <v>5.132075471698113</v>
      </c>
    </row>
    <row r="930" spans="1:11" x14ac:dyDescent="0.45">
      <c r="A930" t="s">
        <v>102</v>
      </c>
      <c r="B930" t="s">
        <v>664</v>
      </c>
      <c r="C930" t="s">
        <v>23</v>
      </c>
      <c r="D930">
        <v>10</v>
      </c>
      <c r="E930" t="s">
        <v>441</v>
      </c>
      <c r="F930" t="s">
        <v>623</v>
      </c>
      <c r="G930">
        <v>0</v>
      </c>
      <c r="H930">
        <v>0</v>
      </c>
      <c r="I930">
        <v>0</v>
      </c>
      <c r="J930">
        <v>0</v>
      </c>
      <c r="K930" s="9">
        <v>6.2519685039370083</v>
      </c>
    </row>
    <row r="931" spans="1:11" x14ac:dyDescent="0.45">
      <c r="A931" t="s">
        <v>102</v>
      </c>
      <c r="B931" t="s">
        <v>664</v>
      </c>
      <c r="C931" t="s">
        <v>101</v>
      </c>
      <c r="D931">
        <v>1</v>
      </c>
      <c r="E931" t="s">
        <v>380</v>
      </c>
      <c r="F931" t="s">
        <v>622</v>
      </c>
      <c r="G931">
        <v>5</v>
      </c>
      <c r="H931">
        <v>7</v>
      </c>
      <c r="I931">
        <v>1</v>
      </c>
      <c r="J931">
        <v>0</v>
      </c>
      <c r="K931" s="9">
        <v>4.927835051546392</v>
      </c>
    </row>
    <row r="932" spans="1:11" x14ac:dyDescent="0.45">
      <c r="A932" t="s">
        <v>102</v>
      </c>
      <c r="B932" t="s">
        <v>664</v>
      </c>
      <c r="C932" t="s">
        <v>101</v>
      </c>
      <c r="D932">
        <v>2</v>
      </c>
      <c r="E932" t="s">
        <v>302</v>
      </c>
      <c r="F932" t="s">
        <v>623</v>
      </c>
      <c r="G932">
        <v>45</v>
      </c>
      <c r="H932">
        <v>43</v>
      </c>
      <c r="I932">
        <v>3</v>
      </c>
      <c r="J932">
        <v>1</v>
      </c>
      <c r="K932" s="9">
        <v>2.8888888888888888</v>
      </c>
    </row>
    <row r="933" spans="1:11" x14ac:dyDescent="0.45">
      <c r="A933" t="s">
        <v>102</v>
      </c>
      <c r="B933" t="s">
        <v>664</v>
      </c>
      <c r="C933" t="s">
        <v>101</v>
      </c>
      <c r="D933">
        <v>3</v>
      </c>
      <c r="E933" t="s">
        <v>488</v>
      </c>
      <c r="F933" t="s">
        <v>622</v>
      </c>
      <c r="G933">
        <v>8</v>
      </c>
      <c r="H933">
        <v>10</v>
      </c>
      <c r="I933">
        <v>0</v>
      </c>
      <c r="J933">
        <v>1</v>
      </c>
      <c r="K933" s="9">
        <v>4.7179487179487181</v>
      </c>
    </row>
    <row r="934" spans="1:11" x14ac:dyDescent="0.45">
      <c r="A934" t="s">
        <v>102</v>
      </c>
      <c r="B934" t="s">
        <v>664</v>
      </c>
      <c r="C934" t="s">
        <v>101</v>
      </c>
      <c r="D934">
        <v>4</v>
      </c>
      <c r="E934" t="s">
        <v>361</v>
      </c>
      <c r="F934" t="s">
        <v>622</v>
      </c>
      <c r="G934">
        <v>34</v>
      </c>
      <c r="H934">
        <v>30</v>
      </c>
      <c r="I934">
        <v>3</v>
      </c>
      <c r="J934">
        <v>1</v>
      </c>
      <c r="K934" s="9">
        <v>3.6774193548387095</v>
      </c>
    </row>
    <row r="935" spans="1:11" x14ac:dyDescent="0.45">
      <c r="A935" t="s">
        <v>102</v>
      </c>
      <c r="B935" t="s">
        <v>664</v>
      </c>
      <c r="C935" t="s">
        <v>101</v>
      </c>
      <c r="D935">
        <v>5</v>
      </c>
      <c r="E935" t="s">
        <v>411</v>
      </c>
      <c r="F935" t="s">
        <v>623</v>
      </c>
      <c r="G935">
        <v>32</v>
      </c>
      <c r="H935">
        <v>19</v>
      </c>
      <c r="I935">
        <v>3</v>
      </c>
      <c r="J935">
        <v>1</v>
      </c>
      <c r="K935" s="9">
        <v>4.5660377358490569</v>
      </c>
    </row>
    <row r="936" spans="1:11" x14ac:dyDescent="0.45">
      <c r="A936" t="s">
        <v>103</v>
      </c>
      <c r="B936" t="s">
        <v>665</v>
      </c>
      <c r="C936" t="s">
        <v>13</v>
      </c>
      <c r="D936">
        <v>1</v>
      </c>
      <c r="E936" t="s">
        <v>343</v>
      </c>
      <c r="F936" t="s">
        <v>622</v>
      </c>
      <c r="G936">
        <v>7</v>
      </c>
      <c r="H936">
        <v>8</v>
      </c>
      <c r="I936">
        <v>0</v>
      </c>
      <c r="J936">
        <v>1</v>
      </c>
      <c r="K936" s="9">
        <v>4.9029126213592233</v>
      </c>
    </row>
    <row r="937" spans="1:11" x14ac:dyDescent="0.45">
      <c r="A937" t="s">
        <v>103</v>
      </c>
      <c r="B937" t="s">
        <v>665</v>
      </c>
      <c r="C937" t="s">
        <v>13</v>
      </c>
      <c r="D937">
        <v>2</v>
      </c>
      <c r="E937" t="s">
        <v>294</v>
      </c>
      <c r="F937" t="s">
        <v>622</v>
      </c>
      <c r="G937">
        <v>25</v>
      </c>
      <c r="H937">
        <v>27</v>
      </c>
      <c r="I937">
        <v>3</v>
      </c>
      <c r="J937">
        <v>0</v>
      </c>
      <c r="K937" s="9">
        <v>4.25</v>
      </c>
    </row>
    <row r="938" spans="1:11" x14ac:dyDescent="0.45">
      <c r="A938" t="s">
        <v>103</v>
      </c>
      <c r="B938" t="s">
        <v>665</v>
      </c>
      <c r="C938" t="s">
        <v>13</v>
      </c>
      <c r="D938">
        <v>3</v>
      </c>
      <c r="E938" t="s">
        <v>463</v>
      </c>
      <c r="F938" t="s">
        <v>622</v>
      </c>
      <c r="G938">
        <v>58</v>
      </c>
      <c r="H938">
        <v>42</v>
      </c>
      <c r="I938">
        <v>4</v>
      </c>
      <c r="J938">
        <v>3</v>
      </c>
      <c r="K938" s="9">
        <v>3.3913043478260869</v>
      </c>
    </row>
    <row r="939" spans="1:11" x14ac:dyDescent="0.45">
      <c r="A939" t="s">
        <v>103</v>
      </c>
      <c r="B939" t="s">
        <v>665</v>
      </c>
      <c r="C939" t="s">
        <v>13</v>
      </c>
      <c r="D939">
        <v>4</v>
      </c>
      <c r="E939" t="s">
        <v>345</v>
      </c>
      <c r="F939" t="s">
        <v>622</v>
      </c>
      <c r="G939">
        <v>24</v>
      </c>
      <c r="H939">
        <v>13</v>
      </c>
      <c r="I939">
        <v>1</v>
      </c>
      <c r="J939">
        <v>2</v>
      </c>
      <c r="K939" s="9">
        <v>4.8939393939393936</v>
      </c>
    </row>
    <row r="940" spans="1:11" x14ac:dyDescent="0.45">
      <c r="A940" t="s">
        <v>103</v>
      </c>
      <c r="B940" t="s">
        <v>665</v>
      </c>
      <c r="C940" t="s">
        <v>13</v>
      </c>
      <c r="D940">
        <v>5</v>
      </c>
      <c r="E940" t="s">
        <v>430</v>
      </c>
      <c r="F940" t="s">
        <v>622</v>
      </c>
      <c r="G940">
        <v>8</v>
      </c>
      <c r="H940">
        <v>10</v>
      </c>
      <c r="I940">
        <v>0</v>
      </c>
      <c r="J940">
        <v>0</v>
      </c>
      <c r="K940" s="9">
        <v>4.7179487179487181</v>
      </c>
    </row>
    <row r="941" spans="1:11" x14ac:dyDescent="0.45">
      <c r="A941" t="s">
        <v>103</v>
      </c>
      <c r="B941" t="s">
        <v>665</v>
      </c>
      <c r="C941" t="s">
        <v>13</v>
      </c>
      <c r="D941">
        <v>6</v>
      </c>
      <c r="E941" t="s">
        <v>311</v>
      </c>
      <c r="F941" t="s">
        <v>622</v>
      </c>
      <c r="G941">
        <v>6</v>
      </c>
      <c r="H941">
        <v>7</v>
      </c>
      <c r="I941">
        <v>0</v>
      </c>
      <c r="J941">
        <v>0</v>
      </c>
      <c r="K941" s="9">
        <v>4.927835051546392</v>
      </c>
    </row>
    <row r="942" spans="1:11" x14ac:dyDescent="0.45">
      <c r="A942" t="s">
        <v>103</v>
      </c>
      <c r="B942" t="s">
        <v>665</v>
      </c>
      <c r="C942" t="s">
        <v>13</v>
      </c>
      <c r="D942">
        <v>7</v>
      </c>
      <c r="E942" t="s">
        <v>347</v>
      </c>
      <c r="F942" t="s">
        <v>623</v>
      </c>
      <c r="G942">
        <v>12</v>
      </c>
      <c r="H942">
        <v>8</v>
      </c>
      <c r="I942">
        <v>1</v>
      </c>
      <c r="J942">
        <v>1</v>
      </c>
      <c r="K942" s="9">
        <v>4.9029126213592233</v>
      </c>
    </row>
    <row r="943" spans="1:11" x14ac:dyDescent="0.45">
      <c r="A943" t="s">
        <v>103</v>
      </c>
      <c r="B943" t="s">
        <v>665</v>
      </c>
      <c r="C943" t="s">
        <v>13</v>
      </c>
      <c r="D943">
        <v>8</v>
      </c>
      <c r="E943" t="s">
        <v>448</v>
      </c>
      <c r="F943" t="s">
        <v>622</v>
      </c>
      <c r="G943">
        <v>0</v>
      </c>
      <c r="H943">
        <v>1</v>
      </c>
      <c r="I943">
        <v>0</v>
      </c>
      <c r="J943">
        <v>0</v>
      </c>
      <c r="K943" s="9">
        <v>6.5693779904306222</v>
      </c>
    </row>
    <row r="944" spans="1:11" x14ac:dyDescent="0.45">
      <c r="A944" t="s">
        <v>103</v>
      </c>
      <c r="B944" t="s">
        <v>665</v>
      </c>
      <c r="C944" t="s">
        <v>13</v>
      </c>
      <c r="D944">
        <v>9</v>
      </c>
      <c r="E944" t="s">
        <v>349</v>
      </c>
      <c r="F944" t="s">
        <v>622</v>
      </c>
      <c r="G944">
        <v>1</v>
      </c>
      <c r="H944">
        <v>2</v>
      </c>
      <c r="I944">
        <v>0</v>
      </c>
      <c r="J944">
        <v>0</v>
      </c>
      <c r="K944" s="9">
        <v>6.1385542168674698</v>
      </c>
    </row>
    <row r="945" spans="1:11" x14ac:dyDescent="0.45">
      <c r="A945" t="s">
        <v>103</v>
      </c>
      <c r="B945" t="s">
        <v>665</v>
      </c>
      <c r="C945" t="s">
        <v>13</v>
      </c>
      <c r="D945">
        <v>10</v>
      </c>
      <c r="E945" t="s">
        <v>325</v>
      </c>
      <c r="F945" t="s">
        <v>623</v>
      </c>
      <c r="G945">
        <v>1</v>
      </c>
      <c r="H945">
        <v>2</v>
      </c>
      <c r="I945">
        <v>0</v>
      </c>
      <c r="J945">
        <v>0</v>
      </c>
      <c r="K945" s="9">
        <v>6.1385542168674698</v>
      </c>
    </row>
    <row r="946" spans="1:11" x14ac:dyDescent="0.45">
      <c r="A946" t="s">
        <v>103</v>
      </c>
      <c r="B946" t="s">
        <v>665</v>
      </c>
      <c r="C946" t="s">
        <v>23</v>
      </c>
      <c r="D946">
        <v>1</v>
      </c>
      <c r="E946" t="s">
        <v>383</v>
      </c>
      <c r="F946" t="s">
        <v>622</v>
      </c>
      <c r="G946">
        <v>21</v>
      </c>
      <c r="H946">
        <v>13</v>
      </c>
      <c r="I946">
        <v>1</v>
      </c>
      <c r="J946">
        <v>2</v>
      </c>
      <c r="K946" s="9">
        <v>4.8939393939393936</v>
      </c>
    </row>
    <row r="947" spans="1:11" x14ac:dyDescent="0.45">
      <c r="A947" t="s">
        <v>103</v>
      </c>
      <c r="B947" t="s">
        <v>665</v>
      </c>
      <c r="C947" t="s">
        <v>23</v>
      </c>
      <c r="D947">
        <v>2</v>
      </c>
      <c r="E947" t="s">
        <v>458</v>
      </c>
      <c r="F947" t="s">
        <v>623</v>
      </c>
      <c r="G947">
        <v>106</v>
      </c>
      <c r="H947">
        <v>60</v>
      </c>
      <c r="I947">
        <v>10</v>
      </c>
      <c r="J947">
        <v>6</v>
      </c>
      <c r="K947" s="9">
        <v>2</v>
      </c>
    </row>
    <row r="948" spans="1:11" x14ac:dyDescent="0.45">
      <c r="A948" t="s">
        <v>103</v>
      </c>
      <c r="B948" t="s">
        <v>665</v>
      </c>
      <c r="C948" t="s">
        <v>23</v>
      </c>
      <c r="D948">
        <v>3</v>
      </c>
      <c r="E948" t="s">
        <v>386</v>
      </c>
      <c r="F948" t="s">
        <v>622</v>
      </c>
      <c r="G948">
        <v>23</v>
      </c>
      <c r="H948">
        <v>21</v>
      </c>
      <c r="I948">
        <v>1</v>
      </c>
      <c r="J948">
        <v>2</v>
      </c>
      <c r="K948" s="9">
        <v>4.3770491803278686</v>
      </c>
    </row>
    <row r="949" spans="1:11" x14ac:dyDescent="0.45">
      <c r="A949" t="s">
        <v>103</v>
      </c>
      <c r="B949" t="s">
        <v>665</v>
      </c>
      <c r="C949" t="s">
        <v>23</v>
      </c>
      <c r="D949">
        <v>4</v>
      </c>
      <c r="E949" t="s">
        <v>342</v>
      </c>
      <c r="F949" t="s">
        <v>622</v>
      </c>
      <c r="G949">
        <v>9</v>
      </c>
      <c r="H949">
        <v>12</v>
      </c>
      <c r="I949">
        <v>0</v>
      </c>
      <c r="J949">
        <v>0</v>
      </c>
      <c r="K949" s="9">
        <v>4.8024691358024691</v>
      </c>
    </row>
    <row r="950" spans="1:11" x14ac:dyDescent="0.45">
      <c r="A950" t="s">
        <v>103</v>
      </c>
      <c r="B950" t="s">
        <v>665</v>
      </c>
      <c r="C950" t="s">
        <v>23</v>
      </c>
      <c r="D950">
        <v>5</v>
      </c>
      <c r="E950" t="s">
        <v>336</v>
      </c>
      <c r="F950" t="s">
        <v>623</v>
      </c>
      <c r="G950">
        <v>2</v>
      </c>
      <c r="H950">
        <v>3</v>
      </c>
      <c r="I950">
        <v>0</v>
      </c>
      <c r="J950">
        <v>0</v>
      </c>
      <c r="K950" s="9">
        <v>5.6607142857142856</v>
      </c>
    </row>
    <row r="951" spans="1:11" x14ac:dyDescent="0.45">
      <c r="A951" t="s">
        <v>106</v>
      </c>
      <c r="B951" t="s">
        <v>666</v>
      </c>
      <c r="C951" t="s">
        <v>13</v>
      </c>
      <c r="D951">
        <v>1</v>
      </c>
      <c r="E951" t="s">
        <v>343</v>
      </c>
      <c r="F951" t="s">
        <v>622</v>
      </c>
      <c r="G951">
        <v>25</v>
      </c>
      <c r="H951">
        <v>24</v>
      </c>
      <c r="I951">
        <v>2</v>
      </c>
      <c r="J951">
        <v>0</v>
      </c>
      <c r="K951" s="9">
        <v>4.0606060606060606</v>
      </c>
    </row>
    <row r="952" spans="1:11" x14ac:dyDescent="0.45">
      <c r="A952" t="s">
        <v>106</v>
      </c>
      <c r="B952" t="s">
        <v>666</v>
      </c>
      <c r="C952" t="s">
        <v>13</v>
      </c>
      <c r="D952">
        <v>2</v>
      </c>
      <c r="E952" t="s">
        <v>294</v>
      </c>
      <c r="F952" t="s">
        <v>622</v>
      </c>
      <c r="G952">
        <v>0</v>
      </c>
      <c r="H952">
        <v>1</v>
      </c>
      <c r="I952">
        <v>0</v>
      </c>
      <c r="J952">
        <v>0</v>
      </c>
      <c r="K952" s="9">
        <v>6.5693779904306222</v>
      </c>
    </row>
    <row r="953" spans="1:11" x14ac:dyDescent="0.45">
      <c r="A953" t="s">
        <v>106</v>
      </c>
      <c r="B953" t="s">
        <v>666</v>
      </c>
      <c r="C953" t="s">
        <v>13</v>
      </c>
      <c r="D953">
        <v>3</v>
      </c>
      <c r="E953" t="s">
        <v>463</v>
      </c>
      <c r="F953" t="s">
        <v>623</v>
      </c>
      <c r="G953">
        <v>112</v>
      </c>
      <c r="H953">
        <v>54</v>
      </c>
      <c r="I953">
        <v>12</v>
      </c>
      <c r="J953">
        <v>7</v>
      </c>
      <c r="K953" s="9">
        <v>3</v>
      </c>
    </row>
    <row r="954" spans="1:11" x14ac:dyDescent="0.45">
      <c r="A954" t="s">
        <v>106</v>
      </c>
      <c r="B954" t="s">
        <v>666</v>
      </c>
      <c r="C954" t="s">
        <v>13</v>
      </c>
      <c r="D954">
        <v>4</v>
      </c>
      <c r="E954" t="s">
        <v>345</v>
      </c>
      <c r="F954" t="s">
        <v>622</v>
      </c>
      <c r="G954">
        <v>9</v>
      </c>
      <c r="H954">
        <v>10</v>
      </c>
      <c r="I954">
        <v>0</v>
      </c>
      <c r="J954">
        <v>1</v>
      </c>
      <c r="K954" s="9">
        <v>4.7179487179487181</v>
      </c>
    </row>
    <row r="955" spans="1:11" x14ac:dyDescent="0.45">
      <c r="A955" t="s">
        <v>106</v>
      </c>
      <c r="B955" t="s">
        <v>666</v>
      </c>
      <c r="C955" t="s">
        <v>13</v>
      </c>
      <c r="D955">
        <v>5</v>
      </c>
      <c r="E955" t="s">
        <v>430</v>
      </c>
      <c r="F955" t="s">
        <v>622</v>
      </c>
      <c r="G955">
        <v>14</v>
      </c>
      <c r="H955">
        <v>9</v>
      </c>
      <c r="I955">
        <v>2</v>
      </c>
      <c r="J955">
        <v>0</v>
      </c>
      <c r="K955" s="9">
        <v>4.924050632911392</v>
      </c>
    </row>
    <row r="956" spans="1:11" x14ac:dyDescent="0.45">
      <c r="A956" t="s">
        <v>106</v>
      </c>
      <c r="B956" t="s">
        <v>666</v>
      </c>
      <c r="C956" t="s">
        <v>13</v>
      </c>
      <c r="D956">
        <v>6</v>
      </c>
      <c r="E956" t="s">
        <v>311</v>
      </c>
      <c r="F956" t="s">
        <v>623</v>
      </c>
      <c r="G956">
        <v>37</v>
      </c>
      <c r="H956">
        <v>23</v>
      </c>
      <c r="I956">
        <v>5</v>
      </c>
      <c r="J956">
        <v>1</v>
      </c>
      <c r="K956" s="9">
        <v>5.1142857142857139</v>
      </c>
    </row>
    <row r="957" spans="1:11" x14ac:dyDescent="0.45">
      <c r="A957" t="s">
        <v>106</v>
      </c>
      <c r="B957" t="s">
        <v>666</v>
      </c>
      <c r="C957" t="s">
        <v>104</v>
      </c>
      <c r="D957">
        <v>1</v>
      </c>
      <c r="E957" t="s">
        <v>422</v>
      </c>
      <c r="F957" t="s">
        <v>622</v>
      </c>
      <c r="G957">
        <v>6</v>
      </c>
      <c r="H957">
        <v>5</v>
      </c>
      <c r="I957">
        <v>0</v>
      </c>
      <c r="J957">
        <v>1</v>
      </c>
      <c r="K957" s="9">
        <v>5.132075471698113</v>
      </c>
    </row>
    <row r="958" spans="1:11" x14ac:dyDescent="0.45">
      <c r="A958" t="s">
        <v>106</v>
      </c>
      <c r="B958" t="s">
        <v>666</v>
      </c>
      <c r="C958" t="s">
        <v>104</v>
      </c>
      <c r="D958">
        <v>2</v>
      </c>
      <c r="E958" t="s">
        <v>397</v>
      </c>
      <c r="F958" t="s">
        <v>622</v>
      </c>
      <c r="G958">
        <v>79</v>
      </c>
      <c r="H958">
        <v>58</v>
      </c>
      <c r="I958">
        <v>3</v>
      </c>
      <c r="J958">
        <v>5</v>
      </c>
      <c r="K958" s="9">
        <v>3.2</v>
      </c>
    </row>
    <row r="959" spans="1:11" x14ac:dyDescent="0.45">
      <c r="A959" t="s">
        <v>106</v>
      </c>
      <c r="B959" t="s">
        <v>666</v>
      </c>
      <c r="C959" t="s">
        <v>104</v>
      </c>
      <c r="D959">
        <v>3</v>
      </c>
      <c r="E959" t="s">
        <v>470</v>
      </c>
      <c r="F959" t="s">
        <v>622</v>
      </c>
      <c r="G959">
        <v>19</v>
      </c>
      <c r="H959">
        <v>11</v>
      </c>
      <c r="I959">
        <v>1</v>
      </c>
      <c r="J959">
        <v>2</v>
      </c>
      <c r="K959" s="9">
        <v>4.9649122807017543</v>
      </c>
    </row>
    <row r="960" spans="1:11" x14ac:dyDescent="0.45">
      <c r="A960" t="s">
        <v>106</v>
      </c>
      <c r="B960" t="s">
        <v>666</v>
      </c>
      <c r="C960" t="s">
        <v>104</v>
      </c>
      <c r="D960">
        <v>4</v>
      </c>
      <c r="E960" t="s">
        <v>426</v>
      </c>
      <c r="F960" t="s">
        <v>622</v>
      </c>
      <c r="G960">
        <v>45</v>
      </c>
      <c r="H960">
        <v>26</v>
      </c>
      <c r="I960">
        <v>1</v>
      </c>
      <c r="J960">
        <v>4</v>
      </c>
      <c r="K960" s="9">
        <v>4.1568627450980395</v>
      </c>
    </row>
    <row r="961" spans="1:11" x14ac:dyDescent="0.45">
      <c r="A961" t="s">
        <v>106</v>
      </c>
      <c r="B961" t="s">
        <v>666</v>
      </c>
      <c r="C961" t="s">
        <v>104</v>
      </c>
      <c r="D961">
        <v>5</v>
      </c>
      <c r="E961" t="s">
        <v>331</v>
      </c>
      <c r="F961" t="s">
        <v>622</v>
      </c>
      <c r="G961">
        <v>9</v>
      </c>
      <c r="H961">
        <v>9</v>
      </c>
      <c r="I961">
        <v>0</v>
      </c>
      <c r="J961">
        <v>1</v>
      </c>
      <c r="K961" s="9">
        <v>4.924050632911392</v>
      </c>
    </row>
    <row r="962" spans="1:11" x14ac:dyDescent="0.45">
      <c r="A962" t="s">
        <v>106</v>
      </c>
      <c r="B962" t="s">
        <v>666</v>
      </c>
      <c r="C962" t="s">
        <v>104</v>
      </c>
      <c r="D962">
        <v>6</v>
      </c>
      <c r="E962" t="s">
        <v>410</v>
      </c>
      <c r="F962" t="s">
        <v>623</v>
      </c>
      <c r="G962">
        <v>2</v>
      </c>
      <c r="H962">
        <v>6</v>
      </c>
      <c r="I962">
        <v>0</v>
      </c>
      <c r="J962">
        <v>0</v>
      </c>
      <c r="K962" s="9">
        <v>5.4565217391304346</v>
      </c>
    </row>
    <row r="963" spans="1:11" x14ac:dyDescent="0.45">
      <c r="A963" t="s">
        <v>106</v>
      </c>
      <c r="B963" t="s">
        <v>666</v>
      </c>
      <c r="C963" t="s">
        <v>104</v>
      </c>
      <c r="D963">
        <v>7</v>
      </c>
      <c r="E963" t="s">
        <v>366</v>
      </c>
      <c r="F963" t="s">
        <v>622</v>
      </c>
      <c r="G963">
        <v>0</v>
      </c>
      <c r="H963">
        <v>1</v>
      </c>
      <c r="I963">
        <v>0</v>
      </c>
      <c r="J963">
        <v>0</v>
      </c>
      <c r="K963" s="9">
        <v>6.5693779904306222</v>
      </c>
    </row>
    <row r="964" spans="1:11" x14ac:dyDescent="0.45">
      <c r="A964" t="s">
        <v>106</v>
      </c>
      <c r="B964" t="s">
        <v>666</v>
      </c>
      <c r="C964" t="s">
        <v>104</v>
      </c>
      <c r="D964">
        <v>8</v>
      </c>
      <c r="E964" t="s">
        <v>491</v>
      </c>
      <c r="F964" t="s">
        <v>623</v>
      </c>
      <c r="G964">
        <v>11</v>
      </c>
      <c r="H964">
        <v>4</v>
      </c>
      <c r="I964">
        <v>1</v>
      </c>
      <c r="J964">
        <v>1</v>
      </c>
      <c r="K964" s="9">
        <v>5.352380952380952</v>
      </c>
    </row>
    <row r="965" spans="1:11" x14ac:dyDescent="0.45">
      <c r="A965" t="s">
        <v>107</v>
      </c>
      <c r="B965" t="s">
        <v>664</v>
      </c>
      <c r="C965" t="s">
        <v>23</v>
      </c>
      <c r="D965">
        <v>1</v>
      </c>
      <c r="E965" t="s">
        <v>383</v>
      </c>
      <c r="F965" t="s">
        <v>622</v>
      </c>
      <c r="G965">
        <v>3</v>
      </c>
      <c r="H965">
        <v>8</v>
      </c>
      <c r="I965">
        <v>0</v>
      </c>
      <c r="J965">
        <v>0</v>
      </c>
      <c r="K965" s="9">
        <v>4.9029126213592233</v>
      </c>
    </row>
    <row r="966" spans="1:11" x14ac:dyDescent="0.45">
      <c r="A966" t="s">
        <v>107</v>
      </c>
      <c r="B966" t="s">
        <v>664</v>
      </c>
      <c r="C966" t="s">
        <v>23</v>
      </c>
      <c r="D966">
        <v>2</v>
      </c>
      <c r="E966" t="s">
        <v>458</v>
      </c>
      <c r="F966" t="s">
        <v>622</v>
      </c>
      <c r="G966">
        <v>89</v>
      </c>
      <c r="H966">
        <v>56</v>
      </c>
      <c r="I966">
        <v>12</v>
      </c>
      <c r="J966">
        <v>2</v>
      </c>
      <c r="K966" s="9">
        <v>3</v>
      </c>
    </row>
    <row r="967" spans="1:11" x14ac:dyDescent="0.45">
      <c r="A967" t="s">
        <v>107</v>
      </c>
      <c r="B967" t="s">
        <v>664</v>
      </c>
      <c r="C967" t="s">
        <v>23</v>
      </c>
      <c r="D967">
        <v>3</v>
      </c>
      <c r="E967" t="s">
        <v>386</v>
      </c>
      <c r="F967" t="s">
        <v>622</v>
      </c>
      <c r="G967">
        <v>47</v>
      </c>
      <c r="H967">
        <v>26</v>
      </c>
      <c r="I967">
        <v>5</v>
      </c>
      <c r="J967">
        <v>3</v>
      </c>
      <c r="K967" s="9">
        <v>4.1568627450980395</v>
      </c>
    </row>
    <row r="968" spans="1:11" x14ac:dyDescent="0.45">
      <c r="A968" t="s">
        <v>107</v>
      </c>
      <c r="B968" t="s">
        <v>664</v>
      </c>
      <c r="C968" t="s">
        <v>23</v>
      </c>
      <c r="D968">
        <v>4</v>
      </c>
      <c r="E968" t="s">
        <v>342</v>
      </c>
      <c r="F968" t="s">
        <v>622</v>
      </c>
      <c r="G968">
        <v>28</v>
      </c>
      <c r="H968">
        <v>20</v>
      </c>
      <c r="I968">
        <v>2</v>
      </c>
      <c r="J968">
        <v>2</v>
      </c>
      <c r="K968" s="9">
        <v>4.9473684210526319</v>
      </c>
    </row>
    <row r="969" spans="1:11" x14ac:dyDescent="0.45">
      <c r="A969" t="s">
        <v>107</v>
      </c>
      <c r="B969" t="s">
        <v>664</v>
      </c>
      <c r="C969" t="s">
        <v>23</v>
      </c>
      <c r="D969">
        <v>5</v>
      </c>
      <c r="E969" t="s">
        <v>336</v>
      </c>
      <c r="F969" t="s">
        <v>622</v>
      </c>
      <c r="G969">
        <v>4</v>
      </c>
      <c r="H969">
        <v>7</v>
      </c>
      <c r="I969">
        <v>0</v>
      </c>
      <c r="J969">
        <v>0</v>
      </c>
      <c r="K969" s="9">
        <v>4.927835051546392</v>
      </c>
    </row>
    <row r="970" spans="1:11" x14ac:dyDescent="0.45">
      <c r="A970" t="s">
        <v>107</v>
      </c>
      <c r="B970" t="s">
        <v>664</v>
      </c>
      <c r="C970" t="s">
        <v>23</v>
      </c>
      <c r="D970">
        <v>6</v>
      </c>
      <c r="E970" t="s">
        <v>431</v>
      </c>
      <c r="F970" t="s">
        <v>622</v>
      </c>
      <c r="G970">
        <v>4</v>
      </c>
      <c r="H970">
        <v>3</v>
      </c>
      <c r="I970">
        <v>0</v>
      </c>
      <c r="J970">
        <v>0</v>
      </c>
      <c r="K970" s="9">
        <v>5.6607142857142856</v>
      </c>
    </row>
    <row r="971" spans="1:11" x14ac:dyDescent="0.45">
      <c r="A971" t="s">
        <v>107</v>
      </c>
      <c r="B971" t="s">
        <v>664</v>
      </c>
      <c r="C971" t="s">
        <v>23</v>
      </c>
      <c r="D971">
        <v>7</v>
      </c>
      <c r="E971" t="s">
        <v>339</v>
      </c>
      <c r="F971" t="s">
        <v>623</v>
      </c>
      <c r="G971">
        <v>2</v>
      </c>
      <c r="H971">
        <v>1</v>
      </c>
      <c r="I971">
        <v>0</v>
      </c>
      <c r="J971">
        <v>0</v>
      </c>
      <c r="K971" s="9">
        <v>6.5693779904306222</v>
      </c>
    </row>
    <row r="972" spans="1:11" x14ac:dyDescent="0.45">
      <c r="A972" t="s">
        <v>107</v>
      </c>
      <c r="B972" t="s">
        <v>664</v>
      </c>
      <c r="C972" t="s">
        <v>23</v>
      </c>
      <c r="D972">
        <v>8</v>
      </c>
      <c r="E972" t="s">
        <v>370</v>
      </c>
      <c r="F972" t="s">
        <v>623</v>
      </c>
      <c r="G972">
        <v>0</v>
      </c>
      <c r="H972">
        <v>0</v>
      </c>
      <c r="I972">
        <v>0</v>
      </c>
      <c r="J972">
        <v>0</v>
      </c>
      <c r="K972" s="9">
        <v>6.2519685039370083</v>
      </c>
    </row>
    <row r="973" spans="1:11" x14ac:dyDescent="0.45">
      <c r="A973" t="s">
        <v>107</v>
      </c>
      <c r="B973" t="s">
        <v>664</v>
      </c>
      <c r="C973" t="s">
        <v>101</v>
      </c>
      <c r="D973">
        <v>1</v>
      </c>
      <c r="E973" t="s">
        <v>380</v>
      </c>
      <c r="F973" t="s">
        <v>622</v>
      </c>
      <c r="G973">
        <v>0</v>
      </c>
      <c r="H973">
        <v>2</v>
      </c>
      <c r="I973">
        <v>0</v>
      </c>
      <c r="J973">
        <v>0</v>
      </c>
      <c r="K973" s="9">
        <v>6.1385542168674698</v>
      </c>
    </row>
    <row r="974" spans="1:11" x14ac:dyDescent="0.45">
      <c r="A974" t="s">
        <v>107</v>
      </c>
      <c r="B974" t="s">
        <v>664</v>
      </c>
      <c r="C974" t="s">
        <v>101</v>
      </c>
      <c r="D974">
        <v>2</v>
      </c>
      <c r="E974" t="s">
        <v>302</v>
      </c>
      <c r="F974" t="s">
        <v>622</v>
      </c>
      <c r="G974">
        <v>35</v>
      </c>
      <c r="H974">
        <v>21</v>
      </c>
      <c r="I974">
        <v>5</v>
      </c>
      <c r="J974">
        <v>1</v>
      </c>
      <c r="K974" s="9">
        <v>4.3770491803278686</v>
      </c>
    </row>
    <row r="975" spans="1:11" x14ac:dyDescent="0.45">
      <c r="A975" t="s">
        <v>107</v>
      </c>
      <c r="B975" t="s">
        <v>664</v>
      </c>
      <c r="C975" t="s">
        <v>101</v>
      </c>
      <c r="D975">
        <v>3</v>
      </c>
      <c r="E975" t="s">
        <v>488</v>
      </c>
      <c r="F975" t="s">
        <v>622</v>
      </c>
      <c r="G975">
        <v>35</v>
      </c>
      <c r="H975">
        <v>30</v>
      </c>
      <c r="I975">
        <v>6</v>
      </c>
      <c r="J975">
        <v>0</v>
      </c>
      <c r="K975" s="9">
        <v>3.6774193548387095</v>
      </c>
    </row>
    <row r="976" spans="1:11" x14ac:dyDescent="0.45">
      <c r="A976" t="s">
        <v>107</v>
      </c>
      <c r="B976" t="s">
        <v>664</v>
      </c>
      <c r="C976" t="s">
        <v>101</v>
      </c>
      <c r="D976">
        <v>4</v>
      </c>
      <c r="E976" t="s">
        <v>361</v>
      </c>
      <c r="F976" t="s">
        <v>623</v>
      </c>
      <c r="G976">
        <v>40</v>
      </c>
      <c r="H976">
        <v>27</v>
      </c>
      <c r="I976">
        <v>5</v>
      </c>
      <c r="J976">
        <v>0</v>
      </c>
      <c r="K976" s="9">
        <v>4.25</v>
      </c>
    </row>
    <row r="977" spans="1:11" x14ac:dyDescent="0.45">
      <c r="A977" t="s">
        <v>107</v>
      </c>
      <c r="B977" t="s">
        <v>664</v>
      </c>
      <c r="C977" t="s">
        <v>101</v>
      </c>
      <c r="D977">
        <v>5</v>
      </c>
      <c r="E977" t="s">
        <v>411</v>
      </c>
      <c r="F977" t="s">
        <v>623</v>
      </c>
      <c r="G977">
        <v>68</v>
      </c>
      <c r="H977">
        <v>38</v>
      </c>
      <c r="I977">
        <v>3</v>
      </c>
      <c r="J977">
        <v>5</v>
      </c>
      <c r="K977" s="9">
        <v>3.6842105263157894</v>
      </c>
    </row>
    <row r="978" spans="1:11" x14ac:dyDescent="0.45">
      <c r="A978" t="s">
        <v>108</v>
      </c>
      <c r="B978" t="s">
        <v>667</v>
      </c>
      <c r="C978" t="s">
        <v>20</v>
      </c>
      <c r="D978">
        <v>1</v>
      </c>
      <c r="E978" t="s">
        <v>377</v>
      </c>
      <c r="F978" t="s">
        <v>622</v>
      </c>
      <c r="G978">
        <v>4</v>
      </c>
      <c r="H978">
        <v>7</v>
      </c>
      <c r="I978">
        <v>0</v>
      </c>
      <c r="J978">
        <v>0</v>
      </c>
      <c r="K978" s="9">
        <v>4.927835051546392</v>
      </c>
    </row>
    <row r="979" spans="1:11" x14ac:dyDescent="0.45">
      <c r="A979" t="s">
        <v>108</v>
      </c>
      <c r="B979" t="s">
        <v>667</v>
      </c>
      <c r="C979" t="s">
        <v>20</v>
      </c>
      <c r="D979">
        <v>2</v>
      </c>
      <c r="E979" t="s">
        <v>373</v>
      </c>
      <c r="F979" t="s">
        <v>622</v>
      </c>
      <c r="G979">
        <v>43</v>
      </c>
      <c r="H979">
        <v>32</v>
      </c>
      <c r="I979">
        <v>5</v>
      </c>
      <c r="J979">
        <v>2</v>
      </c>
      <c r="K979" s="9">
        <v>3.9375</v>
      </c>
    </row>
    <row r="980" spans="1:11" x14ac:dyDescent="0.45">
      <c r="A980" t="s">
        <v>108</v>
      </c>
      <c r="B980" t="s">
        <v>667</v>
      </c>
      <c r="C980" t="s">
        <v>20</v>
      </c>
      <c r="D980">
        <v>3</v>
      </c>
      <c r="E980" t="s">
        <v>315</v>
      </c>
      <c r="F980" t="s">
        <v>622</v>
      </c>
      <c r="G980">
        <v>20</v>
      </c>
      <c r="H980">
        <v>18</v>
      </c>
      <c r="I980">
        <v>1</v>
      </c>
      <c r="J980">
        <v>1</v>
      </c>
      <c r="K980" s="9">
        <v>4.375</v>
      </c>
    </row>
    <row r="981" spans="1:11" x14ac:dyDescent="0.45">
      <c r="A981" t="s">
        <v>108</v>
      </c>
      <c r="B981" t="s">
        <v>667</v>
      </c>
      <c r="C981" t="s">
        <v>20</v>
      </c>
      <c r="D981">
        <v>4</v>
      </c>
      <c r="E981" t="s">
        <v>401</v>
      </c>
      <c r="F981" t="s">
        <v>622</v>
      </c>
      <c r="G981">
        <v>21</v>
      </c>
      <c r="H981">
        <v>17</v>
      </c>
      <c r="I981">
        <v>2</v>
      </c>
      <c r="J981">
        <v>0</v>
      </c>
      <c r="K981" s="9">
        <v>4.82</v>
      </c>
    </row>
    <row r="982" spans="1:11" x14ac:dyDescent="0.45">
      <c r="A982" t="s">
        <v>108</v>
      </c>
      <c r="B982" t="s">
        <v>667</v>
      </c>
      <c r="C982" t="s">
        <v>20</v>
      </c>
      <c r="D982">
        <v>5</v>
      </c>
      <c r="E982" t="s">
        <v>416</v>
      </c>
      <c r="F982" t="s">
        <v>622</v>
      </c>
      <c r="G982">
        <v>5</v>
      </c>
      <c r="H982">
        <v>10</v>
      </c>
      <c r="I982">
        <v>0</v>
      </c>
      <c r="J982">
        <v>0</v>
      </c>
      <c r="K982" s="9">
        <v>4.7179487179487181</v>
      </c>
    </row>
    <row r="983" spans="1:11" x14ac:dyDescent="0.45">
      <c r="A983" t="s">
        <v>108</v>
      </c>
      <c r="B983" t="s">
        <v>667</v>
      </c>
      <c r="C983" t="s">
        <v>20</v>
      </c>
      <c r="D983">
        <v>6</v>
      </c>
      <c r="E983" t="s">
        <v>467</v>
      </c>
      <c r="F983" t="s">
        <v>622</v>
      </c>
      <c r="G983">
        <v>25</v>
      </c>
      <c r="H983">
        <v>19</v>
      </c>
      <c r="I983">
        <v>3</v>
      </c>
      <c r="J983">
        <v>1</v>
      </c>
      <c r="K983" s="9">
        <v>4.5660377358490569</v>
      </c>
    </row>
    <row r="984" spans="1:11" x14ac:dyDescent="0.45">
      <c r="A984" t="s">
        <v>108</v>
      </c>
      <c r="B984" t="s">
        <v>667</v>
      </c>
      <c r="C984" t="s">
        <v>20</v>
      </c>
      <c r="D984">
        <v>7</v>
      </c>
      <c r="E984" t="s">
        <v>494</v>
      </c>
      <c r="F984" t="s">
        <v>623</v>
      </c>
      <c r="G984">
        <v>26</v>
      </c>
      <c r="H984">
        <v>15</v>
      </c>
      <c r="I984">
        <v>2</v>
      </c>
      <c r="J984">
        <v>2</v>
      </c>
      <c r="K984" s="9">
        <v>4.7777777777777777</v>
      </c>
    </row>
    <row r="985" spans="1:11" x14ac:dyDescent="0.45">
      <c r="A985" t="s">
        <v>108</v>
      </c>
      <c r="B985" t="s">
        <v>667</v>
      </c>
      <c r="C985" t="s">
        <v>20</v>
      </c>
      <c r="D985">
        <v>8</v>
      </c>
      <c r="E985" t="s">
        <v>466</v>
      </c>
      <c r="F985" t="s">
        <v>622</v>
      </c>
      <c r="G985">
        <v>0</v>
      </c>
      <c r="H985">
        <v>1</v>
      </c>
      <c r="I985">
        <v>0</v>
      </c>
      <c r="J985">
        <v>0</v>
      </c>
      <c r="K985" s="9">
        <v>6.5693779904306222</v>
      </c>
    </row>
    <row r="986" spans="1:11" x14ac:dyDescent="0.45">
      <c r="A986" t="s">
        <v>108</v>
      </c>
      <c r="B986" t="s">
        <v>667</v>
      </c>
      <c r="C986" t="s">
        <v>20</v>
      </c>
      <c r="D986">
        <v>9</v>
      </c>
      <c r="E986" t="s">
        <v>409</v>
      </c>
      <c r="F986" t="s">
        <v>622</v>
      </c>
      <c r="G986">
        <v>1</v>
      </c>
      <c r="H986">
        <v>1</v>
      </c>
      <c r="I986">
        <v>0</v>
      </c>
      <c r="J986">
        <v>0</v>
      </c>
      <c r="K986" s="9">
        <v>6.5693779904306222</v>
      </c>
    </row>
    <row r="987" spans="1:11" x14ac:dyDescent="0.45">
      <c r="A987" t="s">
        <v>108</v>
      </c>
      <c r="B987" t="s">
        <v>667</v>
      </c>
      <c r="C987" t="s">
        <v>20</v>
      </c>
      <c r="D987">
        <v>10</v>
      </c>
      <c r="E987" t="s">
        <v>382</v>
      </c>
      <c r="F987" t="s">
        <v>623</v>
      </c>
      <c r="G987">
        <v>0</v>
      </c>
      <c r="H987">
        <v>1</v>
      </c>
      <c r="I987">
        <v>0</v>
      </c>
      <c r="J987">
        <v>0</v>
      </c>
      <c r="K987" s="9">
        <v>6.5693779904306222</v>
      </c>
    </row>
    <row r="988" spans="1:11" x14ac:dyDescent="0.45">
      <c r="A988" t="s">
        <v>108</v>
      </c>
      <c r="B988" t="s">
        <v>667</v>
      </c>
      <c r="C988" t="s">
        <v>26</v>
      </c>
      <c r="D988">
        <v>1</v>
      </c>
      <c r="E988" t="s">
        <v>459</v>
      </c>
      <c r="F988" t="s">
        <v>622</v>
      </c>
      <c r="G988">
        <v>23</v>
      </c>
      <c r="H988">
        <v>15</v>
      </c>
      <c r="I988">
        <v>5</v>
      </c>
      <c r="J988">
        <v>0</v>
      </c>
      <c r="K988" s="9">
        <v>4.7777777777777777</v>
      </c>
    </row>
    <row r="989" spans="1:11" x14ac:dyDescent="0.45">
      <c r="A989" t="s">
        <v>108</v>
      </c>
      <c r="B989" t="s">
        <v>667</v>
      </c>
      <c r="C989" t="s">
        <v>26</v>
      </c>
      <c r="D989">
        <v>2</v>
      </c>
      <c r="E989" t="s">
        <v>330</v>
      </c>
      <c r="F989" t="s">
        <v>622</v>
      </c>
      <c r="G989">
        <v>39</v>
      </c>
      <c r="H989">
        <v>32</v>
      </c>
      <c r="I989">
        <v>2</v>
      </c>
      <c r="J989">
        <v>2</v>
      </c>
      <c r="K989" s="9">
        <v>3.9375</v>
      </c>
    </row>
    <row r="990" spans="1:11" x14ac:dyDescent="0.45">
      <c r="A990" t="s">
        <v>108</v>
      </c>
      <c r="B990" t="s">
        <v>667</v>
      </c>
      <c r="C990" t="s">
        <v>26</v>
      </c>
      <c r="D990">
        <v>3</v>
      </c>
      <c r="E990" t="s">
        <v>400</v>
      </c>
      <c r="F990" t="s">
        <v>622</v>
      </c>
      <c r="G990">
        <v>19</v>
      </c>
      <c r="H990">
        <v>10</v>
      </c>
      <c r="I990">
        <v>2</v>
      </c>
      <c r="J990">
        <v>1</v>
      </c>
      <c r="K990" s="9">
        <v>4.7179487179487181</v>
      </c>
    </row>
    <row r="991" spans="1:11" x14ac:dyDescent="0.45">
      <c r="A991" t="s">
        <v>108</v>
      </c>
      <c r="B991" t="s">
        <v>667</v>
      </c>
      <c r="C991" t="s">
        <v>26</v>
      </c>
      <c r="D991">
        <v>4</v>
      </c>
      <c r="E991" t="s">
        <v>398</v>
      </c>
      <c r="F991" t="s">
        <v>622</v>
      </c>
      <c r="G991">
        <v>1</v>
      </c>
      <c r="H991">
        <v>4</v>
      </c>
      <c r="I991">
        <v>0</v>
      </c>
      <c r="J991">
        <v>0</v>
      </c>
      <c r="K991" s="9">
        <v>5.352380952380952</v>
      </c>
    </row>
    <row r="992" spans="1:11" x14ac:dyDescent="0.45">
      <c r="A992" t="s">
        <v>108</v>
      </c>
      <c r="B992" t="s">
        <v>667</v>
      </c>
      <c r="C992" t="s">
        <v>26</v>
      </c>
      <c r="D992">
        <v>5</v>
      </c>
      <c r="E992" t="s">
        <v>384</v>
      </c>
      <c r="F992" t="s">
        <v>623</v>
      </c>
      <c r="G992">
        <v>49</v>
      </c>
      <c r="H992">
        <v>22</v>
      </c>
      <c r="I992">
        <v>2</v>
      </c>
      <c r="J992">
        <v>5</v>
      </c>
      <c r="K992" s="9">
        <v>4.4423076923076925</v>
      </c>
    </row>
    <row r="993" spans="1:11" x14ac:dyDescent="0.45">
      <c r="A993" t="s">
        <v>108</v>
      </c>
      <c r="B993" t="s">
        <v>667</v>
      </c>
      <c r="C993" t="s">
        <v>26</v>
      </c>
      <c r="D993">
        <v>6</v>
      </c>
      <c r="E993" t="s">
        <v>495</v>
      </c>
      <c r="F993" t="s">
        <v>622</v>
      </c>
      <c r="G993">
        <v>19</v>
      </c>
      <c r="H993">
        <v>7</v>
      </c>
      <c r="I993">
        <v>3</v>
      </c>
      <c r="J993">
        <v>1</v>
      </c>
      <c r="K993" s="9">
        <v>4.927835051546392</v>
      </c>
    </row>
    <row r="994" spans="1:11" x14ac:dyDescent="0.45">
      <c r="A994" t="s">
        <v>108</v>
      </c>
      <c r="B994" t="s">
        <v>667</v>
      </c>
      <c r="C994" t="s">
        <v>26</v>
      </c>
      <c r="D994">
        <v>7</v>
      </c>
      <c r="E994" t="s">
        <v>496</v>
      </c>
      <c r="F994" t="s">
        <v>623</v>
      </c>
      <c r="G994">
        <v>4</v>
      </c>
      <c r="H994">
        <v>1</v>
      </c>
      <c r="I994">
        <v>1</v>
      </c>
      <c r="J994">
        <v>0</v>
      </c>
      <c r="K994" s="9">
        <v>6.5693779904306222</v>
      </c>
    </row>
    <row r="995" spans="1:11" x14ac:dyDescent="0.45">
      <c r="A995" t="s">
        <v>109</v>
      </c>
      <c r="B995" t="s">
        <v>668</v>
      </c>
      <c r="C995" t="s">
        <v>10</v>
      </c>
      <c r="D995">
        <v>1</v>
      </c>
      <c r="E995" t="s">
        <v>329</v>
      </c>
      <c r="F995" t="s">
        <v>622</v>
      </c>
      <c r="G995">
        <v>24</v>
      </c>
      <c r="H995">
        <v>23</v>
      </c>
      <c r="I995">
        <v>2</v>
      </c>
      <c r="J995">
        <v>1</v>
      </c>
      <c r="K995" s="9">
        <v>5.1142857142857139</v>
      </c>
    </row>
    <row r="996" spans="1:11" x14ac:dyDescent="0.45">
      <c r="A996" t="s">
        <v>109</v>
      </c>
      <c r="B996" t="s">
        <v>668</v>
      </c>
      <c r="C996" t="s">
        <v>10</v>
      </c>
      <c r="D996">
        <v>2</v>
      </c>
      <c r="E996" t="s">
        <v>442</v>
      </c>
      <c r="F996" t="s">
        <v>622</v>
      </c>
      <c r="G996">
        <v>5</v>
      </c>
      <c r="H996">
        <v>6</v>
      </c>
      <c r="I996">
        <v>1</v>
      </c>
      <c r="J996">
        <v>0</v>
      </c>
      <c r="K996" s="9">
        <v>5.4565217391304346</v>
      </c>
    </row>
    <row r="997" spans="1:11" x14ac:dyDescent="0.45">
      <c r="A997" t="s">
        <v>109</v>
      </c>
      <c r="B997" t="s">
        <v>668</v>
      </c>
      <c r="C997" t="s">
        <v>10</v>
      </c>
      <c r="D997">
        <v>3</v>
      </c>
      <c r="E997" t="s">
        <v>498</v>
      </c>
      <c r="F997" t="s">
        <v>622</v>
      </c>
      <c r="G997">
        <v>0</v>
      </c>
      <c r="H997">
        <v>1</v>
      </c>
      <c r="I997">
        <v>0</v>
      </c>
      <c r="J997">
        <v>0</v>
      </c>
      <c r="K997" s="9">
        <v>6.5693779904306222</v>
      </c>
    </row>
    <row r="998" spans="1:11" x14ac:dyDescent="0.45">
      <c r="A998" t="s">
        <v>109</v>
      </c>
      <c r="B998" t="s">
        <v>668</v>
      </c>
      <c r="C998" t="s">
        <v>10</v>
      </c>
      <c r="D998">
        <v>4</v>
      </c>
      <c r="E998" t="s">
        <v>334</v>
      </c>
      <c r="F998" t="s">
        <v>622</v>
      </c>
      <c r="G998">
        <v>39</v>
      </c>
      <c r="H998">
        <v>33</v>
      </c>
      <c r="I998">
        <v>4</v>
      </c>
      <c r="J998">
        <v>1</v>
      </c>
      <c r="K998" s="9">
        <v>2.8421052631578947</v>
      </c>
    </row>
    <row r="999" spans="1:11" x14ac:dyDescent="0.45">
      <c r="A999" t="s">
        <v>109</v>
      </c>
      <c r="B999" t="s">
        <v>668</v>
      </c>
      <c r="C999" t="s">
        <v>10</v>
      </c>
      <c r="D999">
        <v>5</v>
      </c>
      <c r="E999" t="s">
        <v>399</v>
      </c>
      <c r="F999" t="s">
        <v>622</v>
      </c>
      <c r="G999">
        <v>10</v>
      </c>
      <c r="H999">
        <v>7</v>
      </c>
      <c r="I999">
        <v>0</v>
      </c>
      <c r="J999">
        <v>1</v>
      </c>
      <c r="K999" s="9">
        <v>4.927835051546392</v>
      </c>
    </row>
    <row r="1000" spans="1:11" x14ac:dyDescent="0.45">
      <c r="A1000" t="s">
        <v>109</v>
      </c>
      <c r="B1000" t="s">
        <v>668</v>
      </c>
      <c r="C1000" t="s">
        <v>10</v>
      </c>
      <c r="D1000">
        <v>6</v>
      </c>
      <c r="E1000" t="s">
        <v>499</v>
      </c>
      <c r="F1000" t="s">
        <v>622</v>
      </c>
      <c r="G1000">
        <v>43</v>
      </c>
      <c r="H1000">
        <v>34</v>
      </c>
      <c r="I1000">
        <v>1</v>
      </c>
      <c r="J1000">
        <v>4</v>
      </c>
      <c r="K1000" s="9">
        <v>4.4137931034482758</v>
      </c>
    </row>
    <row r="1001" spans="1:11" x14ac:dyDescent="0.45">
      <c r="A1001" t="s">
        <v>109</v>
      </c>
      <c r="B1001" t="s">
        <v>668</v>
      </c>
      <c r="C1001" t="s">
        <v>10</v>
      </c>
      <c r="D1001">
        <v>7</v>
      </c>
      <c r="E1001" t="s">
        <v>337</v>
      </c>
      <c r="F1001" t="s">
        <v>623</v>
      </c>
      <c r="G1001">
        <v>19</v>
      </c>
      <c r="H1001">
        <v>10</v>
      </c>
      <c r="I1001">
        <v>0</v>
      </c>
      <c r="J1001">
        <v>2</v>
      </c>
      <c r="K1001" s="9">
        <v>4.7179487179487181</v>
      </c>
    </row>
    <row r="1002" spans="1:11" x14ac:dyDescent="0.45">
      <c r="A1002" t="s">
        <v>109</v>
      </c>
      <c r="B1002" t="s">
        <v>668</v>
      </c>
      <c r="C1002" t="s">
        <v>10</v>
      </c>
      <c r="D1002">
        <v>8</v>
      </c>
      <c r="E1002" t="s">
        <v>326</v>
      </c>
      <c r="F1002" t="s">
        <v>622</v>
      </c>
      <c r="G1002">
        <v>4</v>
      </c>
      <c r="H1002">
        <v>5</v>
      </c>
      <c r="I1002">
        <v>0</v>
      </c>
      <c r="J1002">
        <v>0</v>
      </c>
      <c r="K1002" s="9">
        <v>5.132075471698113</v>
      </c>
    </row>
    <row r="1003" spans="1:11" x14ac:dyDescent="0.45">
      <c r="A1003" t="s">
        <v>109</v>
      </c>
      <c r="B1003" t="s">
        <v>668</v>
      </c>
      <c r="C1003" t="s">
        <v>10</v>
      </c>
      <c r="D1003">
        <v>9</v>
      </c>
      <c r="E1003" t="s">
        <v>500</v>
      </c>
      <c r="F1003" t="s">
        <v>623</v>
      </c>
      <c r="G1003">
        <v>1</v>
      </c>
      <c r="H1003">
        <v>1</v>
      </c>
      <c r="I1003">
        <v>0</v>
      </c>
      <c r="J1003">
        <v>0</v>
      </c>
      <c r="K1003" s="9">
        <v>6.5693779904306222</v>
      </c>
    </row>
    <row r="1004" spans="1:11" x14ac:dyDescent="0.45">
      <c r="A1004" t="s">
        <v>109</v>
      </c>
      <c r="B1004" t="s">
        <v>668</v>
      </c>
      <c r="C1004" t="s">
        <v>19</v>
      </c>
      <c r="D1004">
        <v>1</v>
      </c>
      <c r="E1004" t="s">
        <v>360</v>
      </c>
      <c r="F1004" t="s">
        <v>622</v>
      </c>
      <c r="G1004">
        <v>48</v>
      </c>
      <c r="H1004">
        <v>35</v>
      </c>
      <c r="I1004">
        <v>3</v>
      </c>
      <c r="J1004">
        <v>4</v>
      </c>
      <c r="K1004" s="9">
        <v>3.5769230769230771</v>
      </c>
    </row>
    <row r="1005" spans="1:11" x14ac:dyDescent="0.45">
      <c r="A1005" t="s">
        <v>109</v>
      </c>
      <c r="B1005" t="s">
        <v>668</v>
      </c>
      <c r="C1005" t="s">
        <v>19</v>
      </c>
      <c r="D1005">
        <v>2</v>
      </c>
      <c r="E1005" t="s">
        <v>359</v>
      </c>
      <c r="F1005" t="s">
        <v>622</v>
      </c>
      <c r="G1005">
        <v>2</v>
      </c>
      <c r="H1005">
        <v>13</v>
      </c>
      <c r="I1005">
        <v>0</v>
      </c>
      <c r="J1005">
        <v>0</v>
      </c>
      <c r="K1005" s="9">
        <v>4.8939393939393936</v>
      </c>
    </row>
    <row r="1006" spans="1:11" x14ac:dyDescent="0.45">
      <c r="A1006" t="s">
        <v>109</v>
      </c>
      <c r="B1006" t="s">
        <v>668</v>
      </c>
      <c r="C1006" t="s">
        <v>19</v>
      </c>
      <c r="D1006">
        <v>3</v>
      </c>
      <c r="E1006" t="s">
        <v>501</v>
      </c>
      <c r="F1006" t="s">
        <v>622</v>
      </c>
      <c r="G1006">
        <v>37</v>
      </c>
      <c r="H1006">
        <v>33</v>
      </c>
      <c r="I1006">
        <v>1</v>
      </c>
      <c r="J1006">
        <v>3</v>
      </c>
      <c r="K1006" s="9">
        <v>2.8421052631578947</v>
      </c>
    </row>
    <row r="1007" spans="1:11" x14ac:dyDescent="0.45">
      <c r="A1007" t="s">
        <v>109</v>
      </c>
      <c r="B1007" t="s">
        <v>668</v>
      </c>
      <c r="C1007" t="s">
        <v>19</v>
      </c>
      <c r="D1007">
        <v>4</v>
      </c>
      <c r="E1007" t="s">
        <v>502</v>
      </c>
      <c r="F1007" t="s">
        <v>622</v>
      </c>
      <c r="G1007">
        <v>21</v>
      </c>
      <c r="H1007">
        <v>17</v>
      </c>
      <c r="I1007">
        <v>1</v>
      </c>
      <c r="J1007">
        <v>1</v>
      </c>
      <c r="K1007" s="9">
        <v>4.82</v>
      </c>
    </row>
    <row r="1008" spans="1:11" x14ac:dyDescent="0.45">
      <c r="A1008" t="s">
        <v>109</v>
      </c>
      <c r="B1008" t="s">
        <v>668</v>
      </c>
      <c r="C1008" t="s">
        <v>19</v>
      </c>
      <c r="D1008">
        <v>5</v>
      </c>
      <c r="E1008" t="s">
        <v>447</v>
      </c>
      <c r="F1008" t="s">
        <v>622</v>
      </c>
      <c r="G1008">
        <v>34</v>
      </c>
      <c r="H1008">
        <v>11</v>
      </c>
      <c r="I1008">
        <v>2</v>
      </c>
      <c r="J1008">
        <v>4</v>
      </c>
      <c r="K1008" s="9">
        <v>4.9649122807017543</v>
      </c>
    </row>
    <row r="1009" spans="1:11" x14ac:dyDescent="0.45">
      <c r="A1009" t="s">
        <v>109</v>
      </c>
      <c r="B1009" t="s">
        <v>668</v>
      </c>
      <c r="C1009" t="s">
        <v>19</v>
      </c>
      <c r="D1009">
        <v>6</v>
      </c>
      <c r="E1009" t="s">
        <v>503</v>
      </c>
      <c r="F1009" t="s">
        <v>623</v>
      </c>
      <c r="G1009">
        <v>13</v>
      </c>
      <c r="H1009">
        <v>6</v>
      </c>
      <c r="I1009">
        <v>2</v>
      </c>
      <c r="J1009">
        <v>0</v>
      </c>
      <c r="K1009" s="9">
        <v>5.4565217391304346</v>
      </c>
    </row>
    <row r="1010" spans="1:11" x14ac:dyDescent="0.45">
      <c r="A1010" t="s">
        <v>109</v>
      </c>
      <c r="B1010" t="s">
        <v>668</v>
      </c>
      <c r="C1010" t="s">
        <v>19</v>
      </c>
      <c r="D1010">
        <v>7</v>
      </c>
      <c r="E1010" t="s">
        <v>464</v>
      </c>
      <c r="F1010" t="s">
        <v>623</v>
      </c>
      <c r="G1010">
        <v>0</v>
      </c>
      <c r="H1010">
        <v>1</v>
      </c>
      <c r="I1010">
        <v>0</v>
      </c>
      <c r="J1010">
        <v>0</v>
      </c>
      <c r="K1010" s="9">
        <v>6.5693779904306222</v>
      </c>
    </row>
    <row r="1011" spans="1:11" x14ac:dyDescent="0.45">
      <c r="A1011" t="s">
        <v>110</v>
      </c>
      <c r="B1011" t="s">
        <v>636</v>
      </c>
      <c r="C1011" t="s">
        <v>6</v>
      </c>
      <c r="D1011">
        <v>1</v>
      </c>
      <c r="E1011" t="s">
        <v>290</v>
      </c>
      <c r="F1011" t="s">
        <v>622</v>
      </c>
      <c r="G1011">
        <v>2</v>
      </c>
      <c r="H1011">
        <v>6</v>
      </c>
      <c r="I1011">
        <v>0</v>
      </c>
      <c r="J1011">
        <v>0</v>
      </c>
      <c r="K1011" s="9">
        <v>5.4565217391304346</v>
      </c>
    </row>
    <row r="1012" spans="1:11" x14ac:dyDescent="0.45">
      <c r="A1012" t="s">
        <v>110</v>
      </c>
      <c r="B1012" t="s">
        <v>636</v>
      </c>
      <c r="C1012" t="s">
        <v>6</v>
      </c>
      <c r="D1012">
        <v>2</v>
      </c>
      <c r="E1012" t="s">
        <v>505</v>
      </c>
      <c r="F1012" t="s">
        <v>622</v>
      </c>
      <c r="G1012">
        <v>16</v>
      </c>
      <c r="H1012">
        <v>14</v>
      </c>
      <c r="I1012">
        <v>1</v>
      </c>
      <c r="J1012">
        <v>1</v>
      </c>
      <c r="K1012" s="9">
        <v>4.8461538461538458</v>
      </c>
    </row>
    <row r="1013" spans="1:11" x14ac:dyDescent="0.45">
      <c r="A1013" t="s">
        <v>110</v>
      </c>
      <c r="B1013" t="s">
        <v>636</v>
      </c>
      <c r="C1013" t="s">
        <v>6</v>
      </c>
      <c r="D1013">
        <v>3</v>
      </c>
      <c r="E1013" t="s">
        <v>299</v>
      </c>
      <c r="F1013" t="s">
        <v>622</v>
      </c>
      <c r="G1013">
        <v>93</v>
      </c>
      <c r="H1013">
        <v>57</v>
      </c>
      <c r="I1013">
        <v>13</v>
      </c>
      <c r="J1013">
        <v>3</v>
      </c>
      <c r="K1013" s="9">
        <v>2.8823529411764706</v>
      </c>
    </row>
    <row r="1014" spans="1:11" x14ac:dyDescent="0.45">
      <c r="A1014" t="s">
        <v>110</v>
      </c>
      <c r="B1014" t="s">
        <v>636</v>
      </c>
      <c r="C1014" t="s">
        <v>6</v>
      </c>
      <c r="D1014">
        <v>4</v>
      </c>
      <c r="E1014" t="s">
        <v>506</v>
      </c>
      <c r="F1014" t="s">
        <v>622</v>
      </c>
      <c r="G1014">
        <v>1</v>
      </c>
      <c r="H1014">
        <v>4</v>
      </c>
      <c r="I1014">
        <v>0</v>
      </c>
      <c r="J1014">
        <v>0</v>
      </c>
      <c r="K1014" s="9">
        <v>5.352380952380952</v>
      </c>
    </row>
    <row r="1015" spans="1:11" x14ac:dyDescent="0.45">
      <c r="A1015" t="s">
        <v>110</v>
      </c>
      <c r="B1015" t="s">
        <v>636</v>
      </c>
      <c r="C1015" t="s">
        <v>6</v>
      </c>
      <c r="D1015">
        <v>5</v>
      </c>
      <c r="E1015" t="s">
        <v>355</v>
      </c>
      <c r="F1015" t="s">
        <v>622</v>
      </c>
      <c r="G1015">
        <v>3</v>
      </c>
      <c r="H1015">
        <v>6</v>
      </c>
      <c r="I1015">
        <v>0</v>
      </c>
      <c r="J1015">
        <v>0</v>
      </c>
      <c r="K1015" s="9">
        <v>5.4565217391304346</v>
      </c>
    </row>
    <row r="1016" spans="1:11" x14ac:dyDescent="0.45">
      <c r="A1016" t="s">
        <v>110</v>
      </c>
      <c r="B1016" t="s">
        <v>636</v>
      </c>
      <c r="C1016" t="s">
        <v>6</v>
      </c>
      <c r="D1016">
        <v>6</v>
      </c>
      <c r="E1016" t="s">
        <v>356</v>
      </c>
      <c r="F1016" t="s">
        <v>622</v>
      </c>
      <c r="G1016">
        <v>26</v>
      </c>
      <c r="H1016">
        <v>28</v>
      </c>
      <c r="I1016">
        <v>1</v>
      </c>
      <c r="J1016">
        <v>1</v>
      </c>
      <c r="K1016" s="9">
        <v>3.806451612903226</v>
      </c>
    </row>
    <row r="1017" spans="1:11" x14ac:dyDescent="0.45">
      <c r="A1017" t="s">
        <v>110</v>
      </c>
      <c r="B1017" t="s">
        <v>636</v>
      </c>
      <c r="C1017" t="s">
        <v>6</v>
      </c>
      <c r="D1017">
        <v>7</v>
      </c>
      <c r="E1017" t="s">
        <v>507</v>
      </c>
      <c r="F1017" t="s">
        <v>623</v>
      </c>
      <c r="G1017">
        <v>1</v>
      </c>
      <c r="H1017">
        <v>2</v>
      </c>
      <c r="I1017">
        <v>0</v>
      </c>
      <c r="J1017">
        <v>0</v>
      </c>
      <c r="K1017" s="9">
        <v>6.1385542168674698</v>
      </c>
    </row>
    <row r="1018" spans="1:11" x14ac:dyDescent="0.45">
      <c r="A1018" t="s">
        <v>110</v>
      </c>
      <c r="B1018" t="s">
        <v>636</v>
      </c>
      <c r="C1018" t="s">
        <v>6</v>
      </c>
      <c r="D1018">
        <v>8</v>
      </c>
      <c r="E1018" t="s">
        <v>508</v>
      </c>
      <c r="F1018" t="s">
        <v>623</v>
      </c>
      <c r="G1018">
        <v>3</v>
      </c>
      <c r="H1018">
        <v>3</v>
      </c>
      <c r="I1018">
        <v>0</v>
      </c>
      <c r="J1018">
        <v>0</v>
      </c>
      <c r="K1018" s="9">
        <v>5.6607142857142856</v>
      </c>
    </row>
    <row r="1019" spans="1:11" x14ac:dyDescent="0.45">
      <c r="A1019" t="s">
        <v>110</v>
      </c>
      <c r="B1019" t="s">
        <v>636</v>
      </c>
      <c r="C1019" t="s">
        <v>23</v>
      </c>
      <c r="D1019">
        <v>1</v>
      </c>
      <c r="E1019" t="s">
        <v>383</v>
      </c>
      <c r="F1019" t="s">
        <v>622</v>
      </c>
      <c r="G1019">
        <v>59</v>
      </c>
      <c r="H1019">
        <v>44</v>
      </c>
      <c r="I1019">
        <v>8</v>
      </c>
      <c r="J1019">
        <v>1</v>
      </c>
      <c r="K1019" s="9">
        <v>3.35</v>
      </c>
    </row>
    <row r="1020" spans="1:11" x14ac:dyDescent="0.45">
      <c r="A1020" t="s">
        <v>110</v>
      </c>
      <c r="B1020" t="s">
        <v>636</v>
      </c>
      <c r="C1020" t="s">
        <v>23</v>
      </c>
      <c r="D1020">
        <v>2</v>
      </c>
      <c r="E1020" t="s">
        <v>458</v>
      </c>
      <c r="F1020" t="s">
        <v>622</v>
      </c>
      <c r="G1020">
        <v>2</v>
      </c>
      <c r="H1020">
        <v>5</v>
      </c>
      <c r="I1020">
        <v>0</v>
      </c>
      <c r="J1020">
        <v>0</v>
      </c>
      <c r="K1020" s="9">
        <v>5.132075471698113</v>
      </c>
    </row>
    <row r="1021" spans="1:11" x14ac:dyDescent="0.45">
      <c r="A1021" t="s">
        <v>110</v>
      </c>
      <c r="B1021" t="s">
        <v>636</v>
      </c>
      <c r="C1021" t="s">
        <v>23</v>
      </c>
      <c r="D1021">
        <v>3</v>
      </c>
      <c r="E1021" t="s">
        <v>386</v>
      </c>
      <c r="F1021" t="s">
        <v>622</v>
      </c>
      <c r="G1021">
        <v>15</v>
      </c>
      <c r="H1021">
        <v>20</v>
      </c>
      <c r="I1021">
        <v>2</v>
      </c>
      <c r="J1021">
        <v>0</v>
      </c>
      <c r="K1021" s="9">
        <v>4.9473684210526319</v>
      </c>
    </row>
    <row r="1022" spans="1:11" x14ac:dyDescent="0.45">
      <c r="A1022" t="s">
        <v>110</v>
      </c>
      <c r="B1022" t="s">
        <v>636</v>
      </c>
      <c r="C1022" t="s">
        <v>23</v>
      </c>
      <c r="D1022">
        <v>4</v>
      </c>
      <c r="E1022" t="s">
        <v>342</v>
      </c>
      <c r="F1022" t="s">
        <v>622</v>
      </c>
      <c r="G1022">
        <v>3</v>
      </c>
      <c r="H1022">
        <v>9</v>
      </c>
      <c r="I1022">
        <v>0</v>
      </c>
      <c r="J1022">
        <v>0</v>
      </c>
      <c r="K1022" s="9">
        <v>4.924050632911392</v>
      </c>
    </row>
    <row r="1023" spans="1:11" x14ac:dyDescent="0.45">
      <c r="A1023" t="s">
        <v>110</v>
      </c>
      <c r="B1023" t="s">
        <v>636</v>
      </c>
      <c r="C1023" t="s">
        <v>23</v>
      </c>
      <c r="D1023">
        <v>5</v>
      </c>
      <c r="E1023" t="s">
        <v>339</v>
      </c>
      <c r="F1023" t="s">
        <v>623</v>
      </c>
      <c r="G1023">
        <v>40</v>
      </c>
      <c r="H1023">
        <v>23</v>
      </c>
      <c r="I1023">
        <v>2</v>
      </c>
      <c r="J1023">
        <v>3</v>
      </c>
      <c r="K1023" s="9">
        <v>5.1142857142857139</v>
      </c>
    </row>
    <row r="1024" spans="1:11" x14ac:dyDescent="0.45">
      <c r="A1024" t="s">
        <v>110</v>
      </c>
      <c r="B1024" t="s">
        <v>636</v>
      </c>
      <c r="C1024" t="s">
        <v>23</v>
      </c>
      <c r="D1024">
        <v>6</v>
      </c>
      <c r="E1024" t="s">
        <v>336</v>
      </c>
      <c r="F1024" t="s">
        <v>622</v>
      </c>
      <c r="G1024">
        <v>6</v>
      </c>
      <c r="H1024">
        <v>7</v>
      </c>
      <c r="I1024">
        <v>1</v>
      </c>
      <c r="J1024">
        <v>0</v>
      </c>
      <c r="K1024" s="9">
        <v>4.927835051546392</v>
      </c>
    </row>
    <row r="1025" spans="1:11" x14ac:dyDescent="0.45">
      <c r="A1025" t="s">
        <v>110</v>
      </c>
      <c r="B1025" t="s">
        <v>636</v>
      </c>
      <c r="C1025" t="s">
        <v>23</v>
      </c>
      <c r="D1025">
        <v>7</v>
      </c>
      <c r="E1025" t="s">
        <v>431</v>
      </c>
      <c r="F1025" t="s">
        <v>623</v>
      </c>
      <c r="G1025">
        <v>10</v>
      </c>
      <c r="H1025">
        <v>10</v>
      </c>
      <c r="I1025">
        <v>1</v>
      </c>
      <c r="J1025">
        <v>0</v>
      </c>
      <c r="K1025" s="9">
        <v>4.7179487179487181</v>
      </c>
    </row>
    <row r="1026" spans="1:11" x14ac:dyDescent="0.45">
      <c r="A1026" t="s">
        <v>111</v>
      </c>
      <c r="B1026" t="s">
        <v>669</v>
      </c>
      <c r="C1026" t="s">
        <v>101</v>
      </c>
      <c r="D1026">
        <v>1</v>
      </c>
      <c r="E1026" t="s">
        <v>380</v>
      </c>
      <c r="F1026" t="s">
        <v>622</v>
      </c>
      <c r="G1026">
        <v>31</v>
      </c>
      <c r="H1026">
        <v>22</v>
      </c>
      <c r="I1026">
        <v>4</v>
      </c>
      <c r="J1026">
        <v>1</v>
      </c>
      <c r="K1026" s="9">
        <v>4.4423076923076925</v>
      </c>
    </row>
    <row r="1027" spans="1:11" x14ac:dyDescent="0.45">
      <c r="A1027" t="s">
        <v>111</v>
      </c>
      <c r="B1027" t="s">
        <v>669</v>
      </c>
      <c r="C1027" t="s">
        <v>101</v>
      </c>
      <c r="D1027">
        <v>2</v>
      </c>
      <c r="E1027" t="s">
        <v>302</v>
      </c>
      <c r="F1027" t="s">
        <v>622</v>
      </c>
      <c r="G1027">
        <v>1</v>
      </c>
      <c r="H1027">
        <v>4</v>
      </c>
      <c r="I1027">
        <v>0</v>
      </c>
      <c r="J1027">
        <v>0</v>
      </c>
      <c r="K1027" s="9">
        <v>5.352380952380952</v>
      </c>
    </row>
    <row r="1028" spans="1:11" x14ac:dyDescent="0.45">
      <c r="A1028" t="s">
        <v>111</v>
      </c>
      <c r="B1028" t="s">
        <v>669</v>
      </c>
      <c r="C1028" t="s">
        <v>101</v>
      </c>
      <c r="D1028">
        <v>3</v>
      </c>
      <c r="E1028" t="s">
        <v>488</v>
      </c>
      <c r="F1028" t="s">
        <v>622</v>
      </c>
      <c r="G1028">
        <v>16</v>
      </c>
      <c r="H1028">
        <v>13</v>
      </c>
      <c r="I1028">
        <v>2</v>
      </c>
      <c r="J1028">
        <v>1</v>
      </c>
      <c r="K1028" s="9">
        <v>4.8939393939393936</v>
      </c>
    </row>
    <row r="1029" spans="1:11" x14ac:dyDescent="0.45">
      <c r="A1029" t="s">
        <v>111</v>
      </c>
      <c r="B1029" t="s">
        <v>669</v>
      </c>
      <c r="C1029" t="s">
        <v>101</v>
      </c>
      <c r="D1029">
        <v>4</v>
      </c>
      <c r="E1029" t="s">
        <v>361</v>
      </c>
      <c r="F1029" t="s">
        <v>623</v>
      </c>
      <c r="G1029">
        <v>62</v>
      </c>
      <c r="H1029">
        <v>47</v>
      </c>
      <c r="I1029">
        <v>4</v>
      </c>
      <c r="J1029">
        <v>3</v>
      </c>
      <c r="K1029" s="9">
        <v>3</v>
      </c>
    </row>
    <row r="1030" spans="1:11" x14ac:dyDescent="0.45">
      <c r="A1030" t="s">
        <v>111</v>
      </c>
      <c r="B1030" t="s">
        <v>669</v>
      </c>
      <c r="C1030" t="s">
        <v>101</v>
      </c>
      <c r="D1030">
        <v>5</v>
      </c>
      <c r="E1030" t="s">
        <v>411</v>
      </c>
      <c r="F1030" t="s">
        <v>622</v>
      </c>
      <c r="G1030">
        <v>34</v>
      </c>
      <c r="H1030">
        <v>25</v>
      </c>
      <c r="I1030">
        <v>0</v>
      </c>
      <c r="J1030">
        <v>3</v>
      </c>
      <c r="K1030" s="9">
        <v>4.4782608695652177</v>
      </c>
    </row>
    <row r="1031" spans="1:11" x14ac:dyDescent="0.45">
      <c r="A1031" t="s">
        <v>111</v>
      </c>
      <c r="B1031" t="s">
        <v>669</v>
      </c>
      <c r="C1031" t="s">
        <v>101</v>
      </c>
      <c r="D1031">
        <v>6</v>
      </c>
      <c r="E1031" t="s">
        <v>390</v>
      </c>
      <c r="F1031" t="s">
        <v>622</v>
      </c>
      <c r="G1031">
        <v>2</v>
      </c>
      <c r="H1031">
        <v>3</v>
      </c>
      <c r="I1031">
        <v>0</v>
      </c>
      <c r="J1031">
        <v>0</v>
      </c>
      <c r="K1031" s="9">
        <v>5.6607142857142856</v>
      </c>
    </row>
    <row r="1032" spans="1:11" x14ac:dyDescent="0.45">
      <c r="A1032" t="s">
        <v>111</v>
      </c>
      <c r="B1032" t="s">
        <v>669</v>
      </c>
      <c r="C1032" t="s">
        <v>101</v>
      </c>
      <c r="D1032">
        <v>7</v>
      </c>
      <c r="E1032" t="s">
        <v>379</v>
      </c>
      <c r="F1032" t="s">
        <v>623</v>
      </c>
      <c r="G1032">
        <v>19</v>
      </c>
      <c r="H1032">
        <v>6</v>
      </c>
      <c r="I1032">
        <v>1</v>
      </c>
      <c r="J1032">
        <v>2</v>
      </c>
      <c r="K1032" s="9">
        <v>5.4565217391304346</v>
      </c>
    </row>
    <row r="1033" spans="1:11" x14ac:dyDescent="0.45">
      <c r="A1033" t="s">
        <v>111</v>
      </c>
      <c r="B1033" t="s">
        <v>669</v>
      </c>
      <c r="C1033" t="s">
        <v>13</v>
      </c>
      <c r="D1033">
        <v>1</v>
      </c>
      <c r="E1033" t="s">
        <v>343</v>
      </c>
      <c r="F1033" t="s">
        <v>622</v>
      </c>
      <c r="G1033">
        <v>73</v>
      </c>
      <c r="H1033">
        <v>54</v>
      </c>
      <c r="I1033">
        <v>8</v>
      </c>
      <c r="J1033">
        <v>2</v>
      </c>
      <c r="K1033" s="9">
        <v>3</v>
      </c>
    </row>
    <row r="1034" spans="1:11" x14ac:dyDescent="0.45">
      <c r="A1034" t="s">
        <v>111</v>
      </c>
      <c r="B1034" t="s">
        <v>669</v>
      </c>
      <c r="C1034" t="s">
        <v>13</v>
      </c>
      <c r="D1034">
        <v>2</v>
      </c>
      <c r="E1034" t="s">
        <v>294</v>
      </c>
      <c r="F1034" t="s">
        <v>622</v>
      </c>
      <c r="G1034">
        <v>44</v>
      </c>
      <c r="H1034">
        <v>38</v>
      </c>
      <c r="I1034">
        <v>5</v>
      </c>
      <c r="J1034">
        <v>0</v>
      </c>
      <c r="K1034" s="9">
        <v>3.6842105263157894</v>
      </c>
    </row>
    <row r="1035" spans="1:11" x14ac:dyDescent="0.45">
      <c r="A1035" t="s">
        <v>111</v>
      </c>
      <c r="B1035" t="s">
        <v>669</v>
      </c>
      <c r="C1035" t="s">
        <v>13</v>
      </c>
      <c r="D1035">
        <v>3</v>
      </c>
      <c r="E1035" t="s">
        <v>345</v>
      </c>
      <c r="F1035" t="s">
        <v>623</v>
      </c>
      <c r="G1035">
        <v>40</v>
      </c>
      <c r="H1035">
        <v>18</v>
      </c>
      <c r="I1035">
        <v>5</v>
      </c>
      <c r="J1035">
        <v>2</v>
      </c>
      <c r="K1035" s="9">
        <v>4.375</v>
      </c>
    </row>
    <row r="1036" spans="1:11" x14ac:dyDescent="0.45">
      <c r="A1036" t="s">
        <v>111</v>
      </c>
      <c r="B1036" t="s">
        <v>669</v>
      </c>
      <c r="C1036" t="s">
        <v>13</v>
      </c>
      <c r="D1036">
        <v>4</v>
      </c>
      <c r="E1036" t="s">
        <v>311</v>
      </c>
      <c r="F1036" t="s">
        <v>623</v>
      </c>
      <c r="G1036">
        <v>2</v>
      </c>
      <c r="H1036">
        <v>2</v>
      </c>
      <c r="I1036">
        <v>0</v>
      </c>
      <c r="J1036">
        <v>0</v>
      </c>
      <c r="K1036" s="9">
        <v>6.1385542168674698</v>
      </c>
    </row>
    <row r="1037" spans="1:11" x14ac:dyDescent="0.45">
      <c r="A1037" t="s">
        <v>112</v>
      </c>
      <c r="B1037" t="s">
        <v>670</v>
      </c>
      <c r="C1037" t="s">
        <v>104</v>
      </c>
      <c r="D1037">
        <v>1</v>
      </c>
      <c r="E1037" t="s">
        <v>422</v>
      </c>
      <c r="F1037" t="s">
        <v>623</v>
      </c>
      <c r="G1037">
        <v>140</v>
      </c>
      <c r="H1037">
        <v>70</v>
      </c>
      <c r="I1037">
        <v>10</v>
      </c>
      <c r="J1037">
        <v>10</v>
      </c>
      <c r="K1037" s="9">
        <v>2.5555555555555554</v>
      </c>
    </row>
    <row r="1038" spans="1:11" x14ac:dyDescent="0.45">
      <c r="A1038" t="s">
        <v>112</v>
      </c>
      <c r="B1038" t="s">
        <v>670</v>
      </c>
      <c r="C1038" t="s">
        <v>104</v>
      </c>
      <c r="D1038">
        <v>2</v>
      </c>
      <c r="E1038" t="s">
        <v>397</v>
      </c>
      <c r="F1038" t="s">
        <v>623</v>
      </c>
      <c r="G1038">
        <v>68</v>
      </c>
      <c r="H1038">
        <v>51</v>
      </c>
      <c r="I1038">
        <v>3</v>
      </c>
      <c r="J1038">
        <v>4</v>
      </c>
      <c r="K1038" s="9">
        <v>3.2352941176470589</v>
      </c>
    </row>
    <row r="1039" spans="1:11" x14ac:dyDescent="0.45">
      <c r="A1039" t="s">
        <v>112</v>
      </c>
      <c r="B1039" t="s">
        <v>670</v>
      </c>
      <c r="C1039" t="s">
        <v>7</v>
      </c>
      <c r="D1039">
        <v>1</v>
      </c>
      <c r="E1039" t="s">
        <v>304</v>
      </c>
      <c r="F1039" t="s">
        <v>622</v>
      </c>
      <c r="G1039">
        <v>0</v>
      </c>
      <c r="H1039">
        <v>4</v>
      </c>
      <c r="I1039">
        <v>0</v>
      </c>
      <c r="J1039">
        <v>0</v>
      </c>
      <c r="K1039" s="9">
        <v>5.352380952380952</v>
      </c>
    </row>
    <row r="1040" spans="1:11" x14ac:dyDescent="0.45">
      <c r="A1040" t="s">
        <v>112</v>
      </c>
      <c r="B1040" t="s">
        <v>670</v>
      </c>
      <c r="C1040" t="s">
        <v>7</v>
      </c>
      <c r="D1040">
        <v>2</v>
      </c>
      <c r="E1040" t="s">
        <v>512</v>
      </c>
      <c r="F1040" t="s">
        <v>622</v>
      </c>
      <c r="G1040">
        <v>4</v>
      </c>
      <c r="H1040">
        <v>8</v>
      </c>
      <c r="I1040">
        <v>1</v>
      </c>
      <c r="J1040">
        <v>0</v>
      </c>
      <c r="K1040" s="9">
        <v>4.9029126213592233</v>
      </c>
    </row>
    <row r="1041" spans="1:11" x14ac:dyDescent="0.45">
      <c r="A1041" t="s">
        <v>112</v>
      </c>
      <c r="B1041" t="s">
        <v>670</v>
      </c>
      <c r="C1041" t="s">
        <v>7</v>
      </c>
      <c r="D1041">
        <v>3</v>
      </c>
      <c r="E1041" t="s">
        <v>306</v>
      </c>
      <c r="F1041" t="s">
        <v>622</v>
      </c>
      <c r="G1041">
        <v>42</v>
      </c>
      <c r="H1041">
        <v>22</v>
      </c>
      <c r="I1041">
        <v>9</v>
      </c>
      <c r="J1041">
        <v>0</v>
      </c>
      <c r="K1041" s="9">
        <v>4.4423076923076925</v>
      </c>
    </row>
    <row r="1042" spans="1:11" x14ac:dyDescent="0.45">
      <c r="A1042" t="s">
        <v>112</v>
      </c>
      <c r="B1042" t="s">
        <v>670</v>
      </c>
      <c r="C1042" t="s">
        <v>7</v>
      </c>
      <c r="D1042">
        <v>4</v>
      </c>
      <c r="E1042" t="s">
        <v>332</v>
      </c>
      <c r="F1042" t="s">
        <v>622</v>
      </c>
      <c r="G1042">
        <v>50</v>
      </c>
      <c r="H1042">
        <v>29</v>
      </c>
      <c r="I1042">
        <v>4</v>
      </c>
      <c r="J1042">
        <v>3</v>
      </c>
      <c r="K1042" s="9">
        <v>4.0454545454545459</v>
      </c>
    </row>
    <row r="1043" spans="1:11" x14ac:dyDescent="0.45">
      <c r="A1043" t="s">
        <v>112</v>
      </c>
      <c r="B1043" t="s">
        <v>670</v>
      </c>
      <c r="C1043" t="s">
        <v>7</v>
      </c>
      <c r="D1043">
        <v>5</v>
      </c>
      <c r="E1043" t="s">
        <v>513</v>
      </c>
      <c r="F1043" t="s">
        <v>622</v>
      </c>
      <c r="G1043">
        <v>36</v>
      </c>
      <c r="H1043">
        <v>24</v>
      </c>
      <c r="I1043">
        <v>2</v>
      </c>
      <c r="J1043">
        <v>3</v>
      </c>
      <c r="K1043" s="9">
        <v>4.0606060606060606</v>
      </c>
    </row>
    <row r="1044" spans="1:11" x14ac:dyDescent="0.45">
      <c r="A1044" t="s">
        <v>112</v>
      </c>
      <c r="B1044" t="s">
        <v>670</v>
      </c>
      <c r="C1044" t="s">
        <v>7</v>
      </c>
      <c r="D1044">
        <v>6</v>
      </c>
      <c r="E1044" t="s">
        <v>440</v>
      </c>
      <c r="F1044" t="s">
        <v>622</v>
      </c>
      <c r="G1044">
        <v>5</v>
      </c>
      <c r="H1044">
        <v>11</v>
      </c>
      <c r="I1044">
        <v>0</v>
      </c>
      <c r="J1044">
        <v>0</v>
      </c>
      <c r="K1044" s="9">
        <v>4.9649122807017543</v>
      </c>
    </row>
    <row r="1045" spans="1:11" x14ac:dyDescent="0.45">
      <c r="A1045" t="s">
        <v>112</v>
      </c>
      <c r="B1045" t="s">
        <v>670</v>
      </c>
      <c r="C1045" t="s">
        <v>7</v>
      </c>
      <c r="D1045">
        <v>7</v>
      </c>
      <c r="E1045" t="s">
        <v>514</v>
      </c>
      <c r="F1045" t="s">
        <v>622</v>
      </c>
      <c r="G1045">
        <v>40</v>
      </c>
      <c r="H1045">
        <v>15</v>
      </c>
      <c r="I1045">
        <v>2</v>
      </c>
      <c r="J1045">
        <v>4</v>
      </c>
      <c r="K1045" s="9">
        <v>4.7777777777777777</v>
      </c>
    </row>
    <row r="1046" spans="1:11" x14ac:dyDescent="0.45">
      <c r="A1046" t="s">
        <v>112</v>
      </c>
      <c r="B1046" t="s">
        <v>670</v>
      </c>
      <c r="C1046" t="s">
        <v>7</v>
      </c>
      <c r="D1046">
        <v>8</v>
      </c>
      <c r="E1046" t="s">
        <v>308</v>
      </c>
      <c r="F1046" t="s">
        <v>623</v>
      </c>
      <c r="G1046">
        <v>21</v>
      </c>
      <c r="H1046">
        <v>7</v>
      </c>
      <c r="I1046">
        <v>0</v>
      </c>
      <c r="J1046">
        <v>3</v>
      </c>
      <c r="K1046" s="9">
        <v>4.927835051546392</v>
      </c>
    </row>
    <row r="1047" spans="1:11" x14ac:dyDescent="0.45">
      <c r="A1047" t="s">
        <v>112</v>
      </c>
      <c r="B1047" t="s">
        <v>670</v>
      </c>
      <c r="C1047" t="s">
        <v>7</v>
      </c>
      <c r="D1047">
        <v>9</v>
      </c>
      <c r="E1047" t="s">
        <v>515</v>
      </c>
      <c r="F1047" t="s">
        <v>622</v>
      </c>
      <c r="G1047">
        <v>0</v>
      </c>
      <c r="H1047">
        <v>1</v>
      </c>
      <c r="I1047">
        <v>0</v>
      </c>
      <c r="J1047">
        <v>0</v>
      </c>
      <c r="K1047" s="9">
        <v>6.5693779904306222</v>
      </c>
    </row>
    <row r="1048" spans="1:11" x14ac:dyDescent="0.45">
      <c r="A1048" t="s">
        <v>114</v>
      </c>
      <c r="B1048" t="s">
        <v>671</v>
      </c>
      <c r="C1048" t="s">
        <v>20</v>
      </c>
      <c r="D1048">
        <v>1</v>
      </c>
      <c r="E1048" t="s">
        <v>373</v>
      </c>
      <c r="F1048" t="s">
        <v>622</v>
      </c>
      <c r="G1048">
        <v>9</v>
      </c>
      <c r="H1048">
        <v>10</v>
      </c>
      <c r="I1048">
        <v>1</v>
      </c>
      <c r="J1048">
        <v>0</v>
      </c>
      <c r="K1048" s="9">
        <v>4.7179487179487181</v>
      </c>
    </row>
    <row r="1049" spans="1:11" x14ac:dyDescent="0.45">
      <c r="A1049" t="s">
        <v>114</v>
      </c>
      <c r="B1049" t="s">
        <v>671</v>
      </c>
      <c r="C1049" t="s">
        <v>20</v>
      </c>
      <c r="D1049">
        <v>2</v>
      </c>
      <c r="E1049" t="s">
        <v>377</v>
      </c>
      <c r="F1049" t="s">
        <v>622</v>
      </c>
      <c r="G1049">
        <v>42</v>
      </c>
      <c r="H1049">
        <v>26</v>
      </c>
      <c r="I1049">
        <v>4</v>
      </c>
      <c r="J1049">
        <v>2</v>
      </c>
      <c r="K1049" s="9">
        <v>4.1568627450980395</v>
      </c>
    </row>
    <row r="1050" spans="1:11" x14ac:dyDescent="0.45">
      <c r="A1050" t="s">
        <v>114</v>
      </c>
      <c r="B1050" t="s">
        <v>671</v>
      </c>
      <c r="C1050" t="s">
        <v>20</v>
      </c>
      <c r="D1050">
        <v>3</v>
      </c>
      <c r="E1050" t="s">
        <v>315</v>
      </c>
      <c r="F1050" t="s">
        <v>622</v>
      </c>
      <c r="G1050">
        <v>76</v>
      </c>
      <c r="H1050">
        <v>44</v>
      </c>
      <c r="I1050">
        <v>9</v>
      </c>
      <c r="J1050">
        <v>3</v>
      </c>
      <c r="K1050" s="9">
        <v>3.35</v>
      </c>
    </row>
    <row r="1051" spans="1:11" x14ac:dyDescent="0.45">
      <c r="A1051" t="s">
        <v>114</v>
      </c>
      <c r="B1051" t="s">
        <v>671</v>
      </c>
      <c r="C1051" t="s">
        <v>20</v>
      </c>
      <c r="D1051">
        <v>4</v>
      </c>
      <c r="E1051" t="s">
        <v>416</v>
      </c>
      <c r="F1051" t="s">
        <v>622</v>
      </c>
      <c r="G1051">
        <v>38</v>
      </c>
      <c r="H1051">
        <v>22</v>
      </c>
      <c r="I1051">
        <v>2</v>
      </c>
      <c r="J1051">
        <v>3</v>
      </c>
      <c r="K1051" s="9">
        <v>4.4423076923076925</v>
      </c>
    </row>
    <row r="1052" spans="1:11" x14ac:dyDescent="0.45">
      <c r="A1052" t="s">
        <v>114</v>
      </c>
      <c r="B1052" t="s">
        <v>671</v>
      </c>
      <c r="C1052" t="s">
        <v>20</v>
      </c>
      <c r="D1052">
        <v>5</v>
      </c>
      <c r="E1052" t="s">
        <v>401</v>
      </c>
      <c r="F1052" t="s">
        <v>622</v>
      </c>
      <c r="G1052">
        <v>2</v>
      </c>
      <c r="H1052">
        <v>4</v>
      </c>
      <c r="I1052">
        <v>0</v>
      </c>
      <c r="J1052">
        <v>0</v>
      </c>
      <c r="K1052" s="9">
        <v>5.352380952380952</v>
      </c>
    </row>
    <row r="1053" spans="1:11" x14ac:dyDescent="0.45">
      <c r="A1053" t="s">
        <v>114</v>
      </c>
      <c r="B1053" t="s">
        <v>671</v>
      </c>
      <c r="C1053" t="s">
        <v>20</v>
      </c>
      <c r="D1053">
        <v>6</v>
      </c>
      <c r="E1053" t="s">
        <v>408</v>
      </c>
      <c r="F1053" t="s">
        <v>623</v>
      </c>
      <c r="G1053">
        <v>8</v>
      </c>
      <c r="H1053">
        <v>7</v>
      </c>
      <c r="I1053">
        <v>1</v>
      </c>
      <c r="J1053">
        <v>0</v>
      </c>
      <c r="K1053" s="9">
        <v>4.927835051546392</v>
      </c>
    </row>
    <row r="1054" spans="1:11" x14ac:dyDescent="0.45">
      <c r="A1054" t="s">
        <v>114</v>
      </c>
      <c r="B1054" t="s">
        <v>671</v>
      </c>
      <c r="C1054" t="s">
        <v>20</v>
      </c>
      <c r="D1054">
        <v>7</v>
      </c>
      <c r="E1054" t="s">
        <v>467</v>
      </c>
      <c r="F1054" t="s">
        <v>622</v>
      </c>
      <c r="G1054">
        <v>9</v>
      </c>
      <c r="H1054">
        <v>7</v>
      </c>
      <c r="I1054">
        <v>0</v>
      </c>
      <c r="J1054">
        <v>0</v>
      </c>
      <c r="K1054" s="9">
        <v>4.927835051546392</v>
      </c>
    </row>
    <row r="1055" spans="1:11" x14ac:dyDescent="0.45">
      <c r="A1055" t="s">
        <v>114</v>
      </c>
      <c r="B1055" t="s">
        <v>671</v>
      </c>
      <c r="C1055" t="s">
        <v>19</v>
      </c>
      <c r="D1055">
        <v>1</v>
      </c>
      <c r="E1055" t="s">
        <v>359</v>
      </c>
      <c r="F1055" t="s">
        <v>622</v>
      </c>
      <c r="G1055">
        <v>48</v>
      </c>
      <c r="H1055">
        <v>36</v>
      </c>
      <c r="I1055">
        <v>2</v>
      </c>
      <c r="J1055">
        <v>4</v>
      </c>
      <c r="K1055" s="9">
        <v>4.083333333333333</v>
      </c>
    </row>
    <row r="1056" spans="1:11" x14ac:dyDescent="0.45">
      <c r="A1056" t="s">
        <v>114</v>
      </c>
      <c r="B1056" t="s">
        <v>671</v>
      </c>
      <c r="C1056" t="s">
        <v>19</v>
      </c>
      <c r="D1056">
        <v>2</v>
      </c>
      <c r="E1056" t="s">
        <v>360</v>
      </c>
      <c r="F1056" t="s">
        <v>622</v>
      </c>
      <c r="G1056">
        <v>43</v>
      </c>
      <c r="H1056">
        <v>34</v>
      </c>
      <c r="I1056">
        <v>5</v>
      </c>
      <c r="J1056">
        <v>1</v>
      </c>
      <c r="K1056" s="9">
        <v>4.4137931034482758</v>
      </c>
    </row>
    <row r="1057" spans="1:11" x14ac:dyDescent="0.45">
      <c r="A1057" t="s">
        <v>114</v>
      </c>
      <c r="B1057" t="s">
        <v>671</v>
      </c>
      <c r="C1057" t="s">
        <v>19</v>
      </c>
      <c r="D1057">
        <v>3</v>
      </c>
      <c r="E1057" t="s">
        <v>464</v>
      </c>
      <c r="F1057" t="s">
        <v>622</v>
      </c>
      <c r="G1057">
        <v>15</v>
      </c>
      <c r="H1057">
        <v>11</v>
      </c>
      <c r="I1057">
        <v>0</v>
      </c>
      <c r="J1057">
        <v>1</v>
      </c>
      <c r="K1057" s="9">
        <v>4.9649122807017543</v>
      </c>
    </row>
    <row r="1058" spans="1:11" x14ac:dyDescent="0.45">
      <c r="A1058" t="s">
        <v>114</v>
      </c>
      <c r="B1058" t="s">
        <v>671</v>
      </c>
      <c r="C1058" t="s">
        <v>19</v>
      </c>
      <c r="D1058">
        <v>4</v>
      </c>
      <c r="E1058" t="s">
        <v>502</v>
      </c>
      <c r="F1058" t="s">
        <v>622</v>
      </c>
      <c r="G1058">
        <v>8</v>
      </c>
      <c r="H1058">
        <v>9</v>
      </c>
      <c r="I1058">
        <v>1</v>
      </c>
      <c r="J1058">
        <v>0</v>
      </c>
      <c r="K1058" s="9">
        <v>4.924050632911392</v>
      </c>
    </row>
    <row r="1059" spans="1:11" x14ac:dyDescent="0.45">
      <c r="A1059" t="s">
        <v>114</v>
      </c>
      <c r="B1059" t="s">
        <v>671</v>
      </c>
      <c r="C1059" t="s">
        <v>19</v>
      </c>
      <c r="D1059">
        <v>5</v>
      </c>
      <c r="E1059" t="s">
        <v>447</v>
      </c>
      <c r="F1059" t="s">
        <v>622</v>
      </c>
      <c r="G1059">
        <v>46</v>
      </c>
      <c r="H1059">
        <v>18</v>
      </c>
      <c r="I1059">
        <v>3</v>
      </c>
      <c r="J1059">
        <v>4</v>
      </c>
      <c r="K1059" s="9">
        <v>4.375</v>
      </c>
    </row>
    <row r="1060" spans="1:11" x14ac:dyDescent="0.45">
      <c r="A1060" t="s">
        <v>114</v>
      </c>
      <c r="B1060" t="s">
        <v>671</v>
      </c>
      <c r="C1060" t="s">
        <v>19</v>
      </c>
      <c r="D1060">
        <v>6</v>
      </c>
      <c r="E1060" t="s">
        <v>517</v>
      </c>
      <c r="F1060" t="s">
        <v>622</v>
      </c>
      <c r="G1060">
        <v>2</v>
      </c>
      <c r="H1060">
        <v>2</v>
      </c>
      <c r="I1060">
        <v>0</v>
      </c>
      <c r="J1060">
        <v>0</v>
      </c>
      <c r="K1060" s="9">
        <v>6.1385542168674698</v>
      </c>
    </row>
    <row r="1061" spans="1:11" x14ac:dyDescent="0.45">
      <c r="A1061" t="s">
        <v>114</v>
      </c>
      <c r="B1061" t="s">
        <v>671</v>
      </c>
      <c r="C1061" t="s">
        <v>19</v>
      </c>
      <c r="D1061">
        <v>7</v>
      </c>
      <c r="E1061" t="s">
        <v>503</v>
      </c>
      <c r="F1061" t="s">
        <v>623</v>
      </c>
      <c r="G1061">
        <v>14</v>
      </c>
      <c r="H1061">
        <v>6</v>
      </c>
      <c r="I1061">
        <v>1</v>
      </c>
      <c r="J1061">
        <v>1</v>
      </c>
      <c r="K1061" s="9">
        <v>5.4565217391304346</v>
      </c>
    </row>
    <row r="1062" spans="1:11" x14ac:dyDescent="0.45">
      <c r="A1062" t="s">
        <v>114</v>
      </c>
      <c r="B1062" t="s">
        <v>671</v>
      </c>
      <c r="C1062" t="s">
        <v>19</v>
      </c>
      <c r="D1062">
        <v>8</v>
      </c>
      <c r="E1062" t="s">
        <v>518</v>
      </c>
      <c r="F1062" t="s">
        <v>622</v>
      </c>
      <c r="G1062">
        <v>0</v>
      </c>
      <c r="H1062">
        <v>2</v>
      </c>
      <c r="I1062">
        <v>0</v>
      </c>
      <c r="J1062">
        <v>0</v>
      </c>
      <c r="K1062" s="9">
        <v>6.1385542168674698</v>
      </c>
    </row>
    <row r="1063" spans="1:11" x14ac:dyDescent="0.45">
      <c r="A1063" t="s">
        <v>114</v>
      </c>
      <c r="B1063" t="s">
        <v>671</v>
      </c>
      <c r="C1063" t="s">
        <v>19</v>
      </c>
      <c r="D1063">
        <v>9</v>
      </c>
      <c r="E1063" t="s">
        <v>369</v>
      </c>
      <c r="F1063" t="s">
        <v>623</v>
      </c>
      <c r="G1063">
        <v>0</v>
      </c>
      <c r="H1063">
        <v>4</v>
      </c>
      <c r="I1063">
        <v>0</v>
      </c>
      <c r="J1063">
        <v>0</v>
      </c>
      <c r="K1063" s="9">
        <v>5.352380952380952</v>
      </c>
    </row>
    <row r="1064" spans="1:11" x14ac:dyDescent="0.45">
      <c r="A1064" t="s">
        <v>116</v>
      </c>
      <c r="B1064" t="s">
        <v>672</v>
      </c>
      <c r="C1064" t="s">
        <v>10</v>
      </c>
      <c r="D1064">
        <v>1</v>
      </c>
      <c r="E1064" t="s">
        <v>442</v>
      </c>
      <c r="F1064" t="s">
        <v>622</v>
      </c>
      <c r="G1064">
        <v>0</v>
      </c>
      <c r="H1064">
        <v>1</v>
      </c>
      <c r="I1064">
        <v>0</v>
      </c>
      <c r="J1064">
        <v>0</v>
      </c>
      <c r="K1064" s="9">
        <v>6.5693779904306222</v>
      </c>
    </row>
    <row r="1065" spans="1:11" x14ac:dyDescent="0.45">
      <c r="A1065" t="s">
        <v>116</v>
      </c>
      <c r="B1065" t="s">
        <v>672</v>
      </c>
      <c r="C1065" t="s">
        <v>10</v>
      </c>
      <c r="D1065">
        <v>2</v>
      </c>
      <c r="E1065" t="s">
        <v>399</v>
      </c>
      <c r="F1065" t="s">
        <v>622</v>
      </c>
      <c r="G1065">
        <v>32</v>
      </c>
      <c r="H1065">
        <v>16</v>
      </c>
      <c r="I1065">
        <v>5</v>
      </c>
      <c r="J1065">
        <v>1</v>
      </c>
      <c r="K1065" s="9">
        <v>4.7608695652173916</v>
      </c>
    </row>
    <row r="1066" spans="1:11" x14ac:dyDescent="0.45">
      <c r="A1066" t="s">
        <v>116</v>
      </c>
      <c r="B1066" t="s">
        <v>672</v>
      </c>
      <c r="C1066" t="s">
        <v>10</v>
      </c>
      <c r="D1066">
        <v>3</v>
      </c>
      <c r="E1066" t="s">
        <v>498</v>
      </c>
      <c r="F1066" t="s">
        <v>622</v>
      </c>
      <c r="G1066">
        <v>63</v>
      </c>
      <c r="H1066">
        <v>48</v>
      </c>
      <c r="I1066">
        <v>4</v>
      </c>
      <c r="J1066">
        <v>3</v>
      </c>
      <c r="K1066" s="9">
        <v>3.2105263157894739</v>
      </c>
    </row>
    <row r="1067" spans="1:11" x14ac:dyDescent="0.45">
      <c r="A1067" t="s">
        <v>116</v>
      </c>
      <c r="B1067" t="s">
        <v>672</v>
      </c>
      <c r="C1067" t="s">
        <v>10</v>
      </c>
      <c r="D1067">
        <v>4</v>
      </c>
      <c r="E1067" t="s">
        <v>436</v>
      </c>
      <c r="F1067" t="s">
        <v>622</v>
      </c>
      <c r="G1067">
        <v>24</v>
      </c>
      <c r="H1067">
        <v>21</v>
      </c>
      <c r="I1067">
        <v>1</v>
      </c>
      <c r="J1067">
        <v>1</v>
      </c>
      <c r="K1067" s="9">
        <v>4.3770491803278686</v>
      </c>
    </row>
    <row r="1068" spans="1:11" x14ac:dyDescent="0.45">
      <c r="A1068" t="s">
        <v>116</v>
      </c>
      <c r="B1068" t="s">
        <v>672</v>
      </c>
      <c r="C1068" t="s">
        <v>10</v>
      </c>
      <c r="D1068">
        <v>5</v>
      </c>
      <c r="E1068" t="s">
        <v>334</v>
      </c>
      <c r="F1068" t="s">
        <v>622</v>
      </c>
      <c r="G1068">
        <v>7</v>
      </c>
      <c r="H1068">
        <v>3</v>
      </c>
      <c r="I1068">
        <v>0</v>
      </c>
      <c r="J1068">
        <v>1</v>
      </c>
      <c r="K1068" s="9">
        <v>5.6607142857142856</v>
      </c>
    </row>
    <row r="1069" spans="1:11" x14ac:dyDescent="0.45">
      <c r="A1069" t="s">
        <v>116</v>
      </c>
      <c r="B1069" t="s">
        <v>672</v>
      </c>
      <c r="C1069" t="s">
        <v>10</v>
      </c>
      <c r="D1069">
        <v>6</v>
      </c>
      <c r="E1069" t="s">
        <v>499</v>
      </c>
      <c r="F1069" t="s">
        <v>622</v>
      </c>
      <c r="G1069">
        <v>2</v>
      </c>
      <c r="H1069">
        <v>6</v>
      </c>
      <c r="I1069">
        <v>0</v>
      </c>
      <c r="J1069">
        <v>0</v>
      </c>
      <c r="K1069" s="9">
        <v>5.4565217391304346</v>
      </c>
    </row>
    <row r="1070" spans="1:11" x14ac:dyDescent="0.45">
      <c r="A1070" t="s">
        <v>116</v>
      </c>
      <c r="B1070" t="s">
        <v>672</v>
      </c>
      <c r="C1070" t="s">
        <v>10</v>
      </c>
      <c r="D1070">
        <v>7</v>
      </c>
      <c r="E1070" t="s">
        <v>337</v>
      </c>
      <c r="F1070" t="s">
        <v>623</v>
      </c>
      <c r="G1070">
        <v>17</v>
      </c>
      <c r="H1070">
        <v>20</v>
      </c>
      <c r="I1070">
        <v>2</v>
      </c>
      <c r="J1070">
        <v>0</v>
      </c>
      <c r="K1070" s="9">
        <v>4.9473684210526319</v>
      </c>
    </row>
    <row r="1071" spans="1:11" x14ac:dyDescent="0.45">
      <c r="A1071" t="s">
        <v>116</v>
      </c>
      <c r="B1071" t="s">
        <v>672</v>
      </c>
      <c r="C1071" t="s">
        <v>10</v>
      </c>
      <c r="D1071">
        <v>8</v>
      </c>
      <c r="E1071" t="s">
        <v>326</v>
      </c>
      <c r="F1071" t="s">
        <v>622</v>
      </c>
      <c r="G1071">
        <v>3</v>
      </c>
      <c r="H1071">
        <v>4</v>
      </c>
      <c r="I1071">
        <v>0</v>
      </c>
      <c r="J1071">
        <v>0</v>
      </c>
      <c r="K1071" s="9">
        <v>5.352380952380952</v>
      </c>
    </row>
    <row r="1072" spans="1:11" x14ac:dyDescent="0.45">
      <c r="A1072" t="s">
        <v>116</v>
      </c>
      <c r="B1072" t="s">
        <v>672</v>
      </c>
      <c r="C1072" t="s">
        <v>10</v>
      </c>
      <c r="D1072">
        <v>9</v>
      </c>
      <c r="E1072" t="s">
        <v>500</v>
      </c>
      <c r="F1072" t="s">
        <v>623</v>
      </c>
      <c r="G1072">
        <v>2</v>
      </c>
      <c r="H1072">
        <v>2</v>
      </c>
      <c r="I1072">
        <v>0</v>
      </c>
      <c r="J1072">
        <v>0</v>
      </c>
      <c r="K1072" s="9">
        <v>6.1385542168674698</v>
      </c>
    </row>
    <row r="1073" spans="1:11" x14ac:dyDescent="0.45">
      <c r="A1073" t="s">
        <v>116</v>
      </c>
      <c r="B1073" t="s">
        <v>672</v>
      </c>
      <c r="C1073" t="s">
        <v>26</v>
      </c>
      <c r="D1073">
        <v>1</v>
      </c>
      <c r="E1073" t="s">
        <v>459</v>
      </c>
      <c r="F1073" t="s">
        <v>622</v>
      </c>
      <c r="G1073">
        <v>28</v>
      </c>
      <c r="H1073">
        <v>15</v>
      </c>
      <c r="I1073">
        <v>4</v>
      </c>
      <c r="J1073">
        <v>1</v>
      </c>
      <c r="K1073" s="9">
        <v>4.7777777777777777</v>
      </c>
    </row>
    <row r="1074" spans="1:11" x14ac:dyDescent="0.45">
      <c r="A1074" t="s">
        <v>116</v>
      </c>
      <c r="B1074" t="s">
        <v>672</v>
      </c>
      <c r="C1074" t="s">
        <v>26</v>
      </c>
      <c r="D1074">
        <v>2</v>
      </c>
      <c r="E1074" t="s">
        <v>330</v>
      </c>
      <c r="F1074" t="s">
        <v>622</v>
      </c>
      <c r="G1074">
        <v>19</v>
      </c>
      <c r="H1074">
        <v>16</v>
      </c>
      <c r="I1074">
        <v>3</v>
      </c>
      <c r="J1074">
        <v>0</v>
      </c>
      <c r="K1074" s="9">
        <v>4.7608695652173916</v>
      </c>
    </row>
    <row r="1075" spans="1:11" x14ac:dyDescent="0.45">
      <c r="A1075" t="s">
        <v>116</v>
      </c>
      <c r="B1075" t="s">
        <v>672</v>
      </c>
      <c r="C1075" t="s">
        <v>26</v>
      </c>
      <c r="D1075">
        <v>3</v>
      </c>
      <c r="E1075" t="s">
        <v>519</v>
      </c>
      <c r="F1075" t="s">
        <v>622</v>
      </c>
      <c r="G1075">
        <v>4</v>
      </c>
      <c r="H1075">
        <v>5</v>
      </c>
      <c r="I1075">
        <v>1</v>
      </c>
      <c r="J1075">
        <v>0</v>
      </c>
      <c r="K1075" s="9">
        <v>5.132075471698113</v>
      </c>
    </row>
    <row r="1076" spans="1:11" x14ac:dyDescent="0.45">
      <c r="A1076" t="s">
        <v>116</v>
      </c>
      <c r="B1076" t="s">
        <v>672</v>
      </c>
      <c r="C1076" t="s">
        <v>26</v>
      </c>
      <c r="D1076">
        <v>4</v>
      </c>
      <c r="E1076" t="s">
        <v>384</v>
      </c>
      <c r="F1076" t="s">
        <v>622</v>
      </c>
      <c r="G1076">
        <v>3</v>
      </c>
      <c r="H1076">
        <v>5</v>
      </c>
      <c r="I1076">
        <v>0</v>
      </c>
      <c r="J1076">
        <v>0</v>
      </c>
      <c r="K1076" s="9">
        <v>5.132075471698113</v>
      </c>
    </row>
    <row r="1077" spans="1:11" x14ac:dyDescent="0.45">
      <c r="A1077" t="s">
        <v>116</v>
      </c>
      <c r="B1077" t="s">
        <v>672</v>
      </c>
      <c r="C1077" t="s">
        <v>26</v>
      </c>
      <c r="D1077">
        <v>5</v>
      </c>
      <c r="E1077" t="s">
        <v>398</v>
      </c>
      <c r="F1077" t="s">
        <v>622</v>
      </c>
      <c r="G1077">
        <v>0</v>
      </c>
      <c r="H1077">
        <v>2</v>
      </c>
      <c r="I1077">
        <v>0</v>
      </c>
      <c r="J1077">
        <v>0</v>
      </c>
      <c r="K1077" s="9">
        <v>6.1385542168674698</v>
      </c>
    </row>
    <row r="1078" spans="1:11" x14ac:dyDescent="0.45">
      <c r="A1078" t="s">
        <v>116</v>
      </c>
      <c r="B1078" t="s">
        <v>672</v>
      </c>
      <c r="C1078" t="s">
        <v>26</v>
      </c>
      <c r="D1078">
        <v>6</v>
      </c>
      <c r="E1078" t="s">
        <v>495</v>
      </c>
      <c r="F1078" t="s">
        <v>622</v>
      </c>
      <c r="G1078">
        <v>44</v>
      </c>
      <c r="H1078">
        <v>34</v>
      </c>
      <c r="I1078">
        <v>3</v>
      </c>
      <c r="J1078">
        <v>2</v>
      </c>
      <c r="K1078" s="9">
        <v>4.4137931034482758</v>
      </c>
    </row>
    <row r="1079" spans="1:11" x14ac:dyDescent="0.45">
      <c r="A1079" t="s">
        <v>116</v>
      </c>
      <c r="B1079" t="s">
        <v>672</v>
      </c>
      <c r="C1079" t="s">
        <v>26</v>
      </c>
      <c r="D1079">
        <v>7</v>
      </c>
      <c r="E1079" t="s">
        <v>404</v>
      </c>
      <c r="F1079" t="s">
        <v>622</v>
      </c>
      <c r="G1079">
        <v>1</v>
      </c>
      <c r="H1079">
        <v>2</v>
      </c>
      <c r="I1079">
        <v>0</v>
      </c>
      <c r="J1079">
        <v>0</v>
      </c>
      <c r="K1079" s="9">
        <v>6.1385542168674698</v>
      </c>
    </row>
    <row r="1080" spans="1:11" x14ac:dyDescent="0.45">
      <c r="A1080" t="s">
        <v>116</v>
      </c>
      <c r="B1080" t="s">
        <v>672</v>
      </c>
      <c r="C1080" t="s">
        <v>26</v>
      </c>
      <c r="D1080">
        <v>8</v>
      </c>
      <c r="E1080" t="s">
        <v>520</v>
      </c>
      <c r="F1080" t="s">
        <v>622</v>
      </c>
      <c r="G1080">
        <v>4</v>
      </c>
      <c r="H1080">
        <v>13</v>
      </c>
      <c r="I1080">
        <v>0</v>
      </c>
      <c r="J1080">
        <v>0</v>
      </c>
      <c r="K1080" s="9">
        <v>4.8939393939393936</v>
      </c>
    </row>
    <row r="1081" spans="1:11" x14ac:dyDescent="0.45">
      <c r="A1081" t="s">
        <v>116</v>
      </c>
      <c r="B1081" t="s">
        <v>672</v>
      </c>
      <c r="C1081" t="s">
        <v>26</v>
      </c>
      <c r="D1081">
        <v>9</v>
      </c>
      <c r="E1081" t="s">
        <v>435</v>
      </c>
      <c r="F1081" t="s">
        <v>623</v>
      </c>
      <c r="G1081">
        <v>25</v>
      </c>
      <c r="H1081">
        <v>24</v>
      </c>
      <c r="I1081">
        <v>2</v>
      </c>
      <c r="J1081">
        <v>1</v>
      </c>
      <c r="K1081" s="9">
        <v>4.0606060606060606</v>
      </c>
    </row>
    <row r="1082" spans="1:11" x14ac:dyDescent="0.45">
      <c r="A1082" t="s">
        <v>116</v>
      </c>
      <c r="B1082" t="s">
        <v>672</v>
      </c>
      <c r="C1082" t="s">
        <v>26</v>
      </c>
      <c r="D1082">
        <v>10</v>
      </c>
      <c r="E1082" t="s">
        <v>341</v>
      </c>
      <c r="F1082" t="s">
        <v>622</v>
      </c>
      <c r="G1082">
        <v>6</v>
      </c>
      <c r="H1082">
        <v>2</v>
      </c>
      <c r="I1082">
        <v>0</v>
      </c>
      <c r="J1082">
        <v>1</v>
      </c>
      <c r="K1082" s="9">
        <v>6.1385542168674698</v>
      </c>
    </row>
    <row r="1083" spans="1:11" x14ac:dyDescent="0.45">
      <c r="A1083" t="s">
        <v>116</v>
      </c>
      <c r="B1083" t="s">
        <v>672</v>
      </c>
      <c r="C1083" t="s">
        <v>26</v>
      </c>
      <c r="D1083">
        <v>11</v>
      </c>
      <c r="E1083" t="s">
        <v>405</v>
      </c>
      <c r="F1083" t="s">
        <v>623</v>
      </c>
      <c r="G1083">
        <v>2</v>
      </c>
      <c r="H1083">
        <v>3</v>
      </c>
      <c r="I1083">
        <v>0</v>
      </c>
      <c r="J1083">
        <v>0</v>
      </c>
      <c r="K1083" s="9">
        <v>5.6607142857142856</v>
      </c>
    </row>
    <row r="1084" spans="1:11" x14ac:dyDescent="0.45">
      <c r="A1084" t="s">
        <v>118</v>
      </c>
      <c r="B1084" t="s">
        <v>673</v>
      </c>
      <c r="C1084" t="s">
        <v>23</v>
      </c>
      <c r="D1084">
        <v>1</v>
      </c>
      <c r="E1084" t="s">
        <v>383</v>
      </c>
      <c r="F1084" t="s">
        <v>622</v>
      </c>
      <c r="G1084">
        <v>41</v>
      </c>
      <c r="H1084">
        <v>29</v>
      </c>
      <c r="I1084">
        <v>6</v>
      </c>
      <c r="J1084">
        <v>1</v>
      </c>
      <c r="K1084" s="9">
        <v>4.0454545454545459</v>
      </c>
    </row>
    <row r="1085" spans="1:11" x14ac:dyDescent="0.45">
      <c r="A1085" t="s">
        <v>118</v>
      </c>
      <c r="B1085" t="s">
        <v>673</v>
      </c>
      <c r="C1085" t="s">
        <v>23</v>
      </c>
      <c r="D1085">
        <v>2</v>
      </c>
      <c r="E1085" t="s">
        <v>458</v>
      </c>
      <c r="F1085" t="s">
        <v>622</v>
      </c>
      <c r="G1085">
        <v>2</v>
      </c>
      <c r="H1085">
        <v>6</v>
      </c>
      <c r="I1085">
        <v>0</v>
      </c>
      <c r="J1085">
        <v>0</v>
      </c>
      <c r="K1085" s="9">
        <v>5.4565217391304346</v>
      </c>
    </row>
    <row r="1086" spans="1:11" x14ac:dyDescent="0.45">
      <c r="A1086" t="s">
        <v>118</v>
      </c>
      <c r="B1086" t="s">
        <v>673</v>
      </c>
      <c r="C1086" t="s">
        <v>23</v>
      </c>
      <c r="D1086">
        <v>3</v>
      </c>
      <c r="E1086" t="s">
        <v>386</v>
      </c>
      <c r="F1086" t="s">
        <v>622</v>
      </c>
      <c r="G1086">
        <v>32</v>
      </c>
      <c r="H1086">
        <v>24</v>
      </c>
      <c r="I1086">
        <v>6</v>
      </c>
      <c r="J1086">
        <v>0</v>
      </c>
      <c r="K1086" s="9">
        <v>4.0606060606060606</v>
      </c>
    </row>
    <row r="1087" spans="1:11" x14ac:dyDescent="0.45">
      <c r="A1087" t="s">
        <v>118</v>
      </c>
      <c r="B1087" t="s">
        <v>673</v>
      </c>
      <c r="C1087" t="s">
        <v>23</v>
      </c>
      <c r="D1087">
        <v>4</v>
      </c>
      <c r="E1087" t="s">
        <v>342</v>
      </c>
      <c r="F1087" t="s">
        <v>622</v>
      </c>
      <c r="G1087">
        <v>39</v>
      </c>
      <c r="H1087">
        <v>18</v>
      </c>
      <c r="I1087">
        <v>5</v>
      </c>
      <c r="J1087">
        <v>2</v>
      </c>
      <c r="K1087" s="9">
        <v>4.375</v>
      </c>
    </row>
    <row r="1088" spans="1:11" x14ac:dyDescent="0.45">
      <c r="A1088" t="s">
        <v>118</v>
      </c>
      <c r="B1088" t="s">
        <v>673</v>
      </c>
      <c r="C1088" t="s">
        <v>23</v>
      </c>
      <c r="D1088">
        <v>5</v>
      </c>
      <c r="E1088" t="s">
        <v>431</v>
      </c>
      <c r="F1088" t="s">
        <v>622</v>
      </c>
      <c r="G1088">
        <v>19</v>
      </c>
      <c r="H1088">
        <v>16</v>
      </c>
      <c r="I1088">
        <v>0</v>
      </c>
      <c r="J1088">
        <v>1</v>
      </c>
      <c r="K1088" s="9">
        <v>4.7608695652173916</v>
      </c>
    </row>
    <row r="1089" spans="1:11" x14ac:dyDescent="0.45">
      <c r="A1089" t="s">
        <v>118</v>
      </c>
      <c r="B1089" t="s">
        <v>673</v>
      </c>
      <c r="C1089" t="s">
        <v>23</v>
      </c>
      <c r="D1089">
        <v>6</v>
      </c>
      <c r="E1089" t="s">
        <v>365</v>
      </c>
      <c r="F1089" t="s">
        <v>622</v>
      </c>
      <c r="G1089">
        <v>14</v>
      </c>
      <c r="H1089">
        <v>12</v>
      </c>
      <c r="I1089">
        <v>2</v>
      </c>
      <c r="J1089">
        <v>0</v>
      </c>
      <c r="K1089" s="9">
        <v>4.8024691358024691</v>
      </c>
    </row>
    <row r="1090" spans="1:11" x14ac:dyDescent="0.45">
      <c r="A1090" t="s">
        <v>118</v>
      </c>
      <c r="B1090" t="s">
        <v>673</v>
      </c>
      <c r="C1090" t="s">
        <v>23</v>
      </c>
      <c r="D1090">
        <v>7</v>
      </c>
      <c r="E1090" t="s">
        <v>339</v>
      </c>
      <c r="F1090" t="s">
        <v>623</v>
      </c>
      <c r="G1090">
        <v>10</v>
      </c>
      <c r="H1090">
        <v>7</v>
      </c>
      <c r="I1090">
        <v>1</v>
      </c>
      <c r="J1090">
        <v>0</v>
      </c>
      <c r="K1090" s="9">
        <v>4.927835051546392</v>
      </c>
    </row>
    <row r="1091" spans="1:11" x14ac:dyDescent="0.45">
      <c r="A1091" t="s">
        <v>118</v>
      </c>
      <c r="B1091" t="s">
        <v>673</v>
      </c>
      <c r="C1091" t="s">
        <v>23</v>
      </c>
      <c r="D1091">
        <v>8</v>
      </c>
      <c r="E1091" t="s">
        <v>370</v>
      </c>
      <c r="F1091" t="s">
        <v>623</v>
      </c>
      <c r="G1091">
        <v>17</v>
      </c>
      <c r="H1091">
        <v>9</v>
      </c>
      <c r="I1091">
        <v>2</v>
      </c>
      <c r="J1091">
        <v>0</v>
      </c>
      <c r="K1091" s="9">
        <v>4.924050632911392</v>
      </c>
    </row>
    <row r="1092" spans="1:11" x14ac:dyDescent="0.45">
      <c r="A1092" t="s">
        <v>118</v>
      </c>
      <c r="B1092" t="s">
        <v>673</v>
      </c>
      <c r="C1092" t="s">
        <v>104</v>
      </c>
      <c r="D1092">
        <v>1</v>
      </c>
      <c r="E1092" t="s">
        <v>422</v>
      </c>
      <c r="F1092" t="s">
        <v>622</v>
      </c>
      <c r="G1092">
        <v>7</v>
      </c>
      <c r="H1092">
        <v>8</v>
      </c>
      <c r="I1092">
        <v>1</v>
      </c>
      <c r="J1092">
        <v>0</v>
      </c>
      <c r="K1092" s="9">
        <v>4.9029126213592233</v>
      </c>
    </row>
    <row r="1093" spans="1:11" x14ac:dyDescent="0.45">
      <c r="A1093" t="s">
        <v>118</v>
      </c>
      <c r="B1093" t="s">
        <v>673</v>
      </c>
      <c r="C1093" t="s">
        <v>104</v>
      </c>
      <c r="D1093">
        <v>2</v>
      </c>
      <c r="E1093" t="s">
        <v>397</v>
      </c>
      <c r="F1093" t="s">
        <v>622</v>
      </c>
      <c r="G1093">
        <v>10</v>
      </c>
      <c r="H1093">
        <v>19</v>
      </c>
      <c r="I1093">
        <v>0</v>
      </c>
      <c r="J1093">
        <v>1</v>
      </c>
      <c r="K1093" s="9">
        <v>4.5660377358490569</v>
      </c>
    </row>
    <row r="1094" spans="1:11" x14ac:dyDescent="0.45">
      <c r="A1094" t="s">
        <v>118</v>
      </c>
      <c r="B1094" t="s">
        <v>673</v>
      </c>
      <c r="C1094" t="s">
        <v>104</v>
      </c>
      <c r="D1094">
        <v>3</v>
      </c>
      <c r="E1094" t="s">
        <v>521</v>
      </c>
      <c r="F1094" t="s">
        <v>622</v>
      </c>
      <c r="G1094">
        <v>0</v>
      </c>
      <c r="H1094">
        <v>1</v>
      </c>
      <c r="I1094">
        <v>0</v>
      </c>
      <c r="J1094">
        <v>0</v>
      </c>
      <c r="K1094" s="9">
        <v>6.5693779904306222</v>
      </c>
    </row>
    <row r="1095" spans="1:11" x14ac:dyDescent="0.45">
      <c r="A1095" t="s">
        <v>118</v>
      </c>
      <c r="B1095" t="s">
        <v>673</v>
      </c>
      <c r="C1095" t="s">
        <v>104</v>
      </c>
      <c r="D1095">
        <v>4</v>
      </c>
      <c r="E1095" t="s">
        <v>426</v>
      </c>
      <c r="F1095" t="s">
        <v>622</v>
      </c>
      <c r="G1095">
        <v>59</v>
      </c>
      <c r="H1095">
        <v>39</v>
      </c>
      <c r="I1095">
        <v>5</v>
      </c>
      <c r="J1095">
        <v>2</v>
      </c>
      <c r="K1095" s="9">
        <v>2.7083333333333335</v>
      </c>
    </row>
    <row r="1096" spans="1:11" x14ac:dyDescent="0.45">
      <c r="A1096" t="s">
        <v>118</v>
      </c>
      <c r="B1096" t="s">
        <v>673</v>
      </c>
      <c r="C1096" t="s">
        <v>104</v>
      </c>
      <c r="D1096">
        <v>5</v>
      </c>
      <c r="E1096" t="s">
        <v>366</v>
      </c>
      <c r="F1096" t="s">
        <v>622</v>
      </c>
      <c r="G1096">
        <v>25</v>
      </c>
      <c r="H1096">
        <v>23</v>
      </c>
      <c r="I1096">
        <v>1</v>
      </c>
      <c r="J1096">
        <v>1</v>
      </c>
      <c r="K1096" s="9">
        <v>5.1142857142857139</v>
      </c>
    </row>
    <row r="1097" spans="1:11" x14ac:dyDescent="0.45">
      <c r="A1097" t="s">
        <v>118</v>
      </c>
      <c r="B1097" t="s">
        <v>673</v>
      </c>
      <c r="C1097" t="s">
        <v>104</v>
      </c>
      <c r="D1097">
        <v>6</v>
      </c>
      <c r="E1097" t="s">
        <v>331</v>
      </c>
      <c r="F1097" t="s">
        <v>622</v>
      </c>
      <c r="G1097">
        <v>27</v>
      </c>
      <c r="H1097">
        <v>17</v>
      </c>
      <c r="I1097">
        <v>1</v>
      </c>
      <c r="J1097">
        <v>2</v>
      </c>
      <c r="K1097" s="9">
        <v>4.82</v>
      </c>
    </row>
    <row r="1098" spans="1:11" x14ac:dyDescent="0.45">
      <c r="A1098" t="s">
        <v>118</v>
      </c>
      <c r="B1098" t="s">
        <v>673</v>
      </c>
      <c r="C1098" t="s">
        <v>104</v>
      </c>
      <c r="D1098">
        <v>7</v>
      </c>
      <c r="E1098" t="s">
        <v>378</v>
      </c>
      <c r="F1098" t="s">
        <v>622</v>
      </c>
      <c r="G1098">
        <v>1</v>
      </c>
      <c r="H1098">
        <v>2</v>
      </c>
      <c r="I1098">
        <v>0</v>
      </c>
      <c r="J1098">
        <v>0</v>
      </c>
      <c r="K1098" s="9">
        <v>6.1385542168674698</v>
      </c>
    </row>
    <row r="1099" spans="1:11" x14ac:dyDescent="0.45">
      <c r="A1099" t="s">
        <v>118</v>
      </c>
      <c r="B1099" t="s">
        <v>673</v>
      </c>
      <c r="C1099" t="s">
        <v>104</v>
      </c>
      <c r="D1099">
        <v>8</v>
      </c>
      <c r="E1099" t="s">
        <v>491</v>
      </c>
      <c r="F1099" t="s">
        <v>622</v>
      </c>
      <c r="G1099">
        <v>0</v>
      </c>
      <c r="H1099">
        <v>2</v>
      </c>
      <c r="I1099">
        <v>0</v>
      </c>
      <c r="J1099">
        <v>0</v>
      </c>
      <c r="K1099" s="9">
        <v>6.1385542168674698</v>
      </c>
    </row>
    <row r="1100" spans="1:11" x14ac:dyDescent="0.45">
      <c r="A1100" t="s">
        <v>118</v>
      </c>
      <c r="B1100" t="s">
        <v>673</v>
      </c>
      <c r="C1100" t="s">
        <v>104</v>
      </c>
      <c r="D1100">
        <v>9</v>
      </c>
      <c r="E1100" t="s">
        <v>492</v>
      </c>
      <c r="F1100" t="s">
        <v>623</v>
      </c>
      <c r="G1100">
        <v>9</v>
      </c>
      <c r="H1100">
        <v>7</v>
      </c>
      <c r="I1100">
        <v>1</v>
      </c>
      <c r="J1100">
        <v>0</v>
      </c>
      <c r="K1100" s="9">
        <v>4.927835051546392</v>
      </c>
    </row>
    <row r="1101" spans="1:11" x14ac:dyDescent="0.45">
      <c r="A1101" t="s">
        <v>118</v>
      </c>
      <c r="B1101" t="s">
        <v>673</v>
      </c>
      <c r="C1101" t="s">
        <v>104</v>
      </c>
      <c r="D1101">
        <v>10</v>
      </c>
      <c r="E1101" t="s">
        <v>340</v>
      </c>
      <c r="F1101" t="s">
        <v>623</v>
      </c>
      <c r="G1101">
        <v>1</v>
      </c>
      <c r="H1101">
        <v>2</v>
      </c>
      <c r="I1101">
        <v>0</v>
      </c>
      <c r="J1101">
        <v>0</v>
      </c>
      <c r="K1101" s="9">
        <v>6.1385542168674698</v>
      </c>
    </row>
    <row r="1102" spans="1:11" x14ac:dyDescent="0.45">
      <c r="A1102" t="s">
        <v>119</v>
      </c>
      <c r="B1102" t="s">
        <v>674</v>
      </c>
      <c r="C1102" t="s">
        <v>6</v>
      </c>
      <c r="D1102">
        <v>1</v>
      </c>
      <c r="E1102" t="s">
        <v>290</v>
      </c>
      <c r="F1102" t="s">
        <v>622</v>
      </c>
      <c r="G1102">
        <v>53</v>
      </c>
      <c r="H1102">
        <v>49</v>
      </c>
      <c r="I1102">
        <v>4</v>
      </c>
      <c r="J1102">
        <v>1</v>
      </c>
      <c r="K1102" s="9">
        <v>3.5714285714285716</v>
      </c>
    </row>
    <row r="1103" spans="1:11" x14ac:dyDescent="0.45">
      <c r="A1103" t="s">
        <v>119</v>
      </c>
      <c r="B1103" t="s">
        <v>674</v>
      </c>
      <c r="C1103" t="s">
        <v>6</v>
      </c>
      <c r="D1103">
        <v>2</v>
      </c>
      <c r="E1103" t="s">
        <v>505</v>
      </c>
      <c r="F1103" t="s">
        <v>622</v>
      </c>
      <c r="G1103">
        <v>5</v>
      </c>
      <c r="H1103">
        <v>9</v>
      </c>
      <c r="I1103">
        <v>0</v>
      </c>
      <c r="J1103">
        <v>0</v>
      </c>
      <c r="K1103" s="9">
        <v>4.924050632911392</v>
      </c>
    </row>
    <row r="1104" spans="1:11" x14ac:dyDescent="0.45">
      <c r="A1104" t="s">
        <v>119</v>
      </c>
      <c r="B1104" t="s">
        <v>674</v>
      </c>
      <c r="C1104" t="s">
        <v>6</v>
      </c>
      <c r="D1104">
        <v>3</v>
      </c>
      <c r="E1104" t="s">
        <v>299</v>
      </c>
      <c r="F1104" t="s">
        <v>622</v>
      </c>
      <c r="G1104">
        <v>21</v>
      </c>
      <c r="H1104">
        <v>17</v>
      </c>
      <c r="I1104">
        <v>0</v>
      </c>
      <c r="J1104">
        <v>2</v>
      </c>
      <c r="K1104" s="9">
        <v>4.82</v>
      </c>
    </row>
    <row r="1105" spans="1:11" x14ac:dyDescent="0.45">
      <c r="A1105" t="s">
        <v>119</v>
      </c>
      <c r="B1105" t="s">
        <v>674</v>
      </c>
      <c r="C1105" t="s">
        <v>6</v>
      </c>
      <c r="D1105">
        <v>4</v>
      </c>
      <c r="E1105" t="s">
        <v>506</v>
      </c>
      <c r="F1105" t="s">
        <v>623</v>
      </c>
      <c r="G1105">
        <v>39</v>
      </c>
      <c r="H1105">
        <v>33</v>
      </c>
      <c r="I1105">
        <v>3</v>
      </c>
      <c r="J1105">
        <v>1</v>
      </c>
      <c r="K1105" s="9">
        <v>2.8421052631578947</v>
      </c>
    </row>
    <row r="1106" spans="1:11" x14ac:dyDescent="0.45">
      <c r="A1106" t="s">
        <v>119</v>
      </c>
      <c r="B1106" t="s">
        <v>674</v>
      </c>
      <c r="C1106" t="s">
        <v>6</v>
      </c>
      <c r="D1106">
        <v>5</v>
      </c>
      <c r="E1106" t="s">
        <v>387</v>
      </c>
      <c r="F1106" t="s">
        <v>622</v>
      </c>
      <c r="G1106">
        <v>0</v>
      </c>
      <c r="H1106">
        <v>2</v>
      </c>
      <c r="I1106">
        <v>0</v>
      </c>
      <c r="J1106">
        <v>0</v>
      </c>
      <c r="K1106" s="9">
        <v>6.1385542168674698</v>
      </c>
    </row>
    <row r="1107" spans="1:11" x14ac:dyDescent="0.45">
      <c r="A1107" t="s">
        <v>119</v>
      </c>
      <c r="B1107" t="s">
        <v>674</v>
      </c>
      <c r="C1107" t="s">
        <v>6</v>
      </c>
      <c r="D1107">
        <v>6</v>
      </c>
      <c r="E1107" t="s">
        <v>356</v>
      </c>
      <c r="F1107" t="s">
        <v>622</v>
      </c>
      <c r="G1107">
        <v>7</v>
      </c>
      <c r="H1107">
        <v>10</v>
      </c>
      <c r="I1107">
        <v>0</v>
      </c>
      <c r="J1107">
        <v>0</v>
      </c>
      <c r="K1107" s="9">
        <v>4.7179487179487181</v>
      </c>
    </row>
    <row r="1108" spans="1:11" x14ac:dyDescent="0.45">
      <c r="A1108" t="s">
        <v>119</v>
      </c>
      <c r="B1108" t="s">
        <v>674</v>
      </c>
      <c r="C1108" t="s">
        <v>6</v>
      </c>
      <c r="D1108">
        <v>7</v>
      </c>
      <c r="E1108" t="s">
        <v>507</v>
      </c>
      <c r="F1108" t="s">
        <v>623</v>
      </c>
      <c r="G1108">
        <v>1</v>
      </c>
      <c r="H1108">
        <v>1</v>
      </c>
      <c r="I1108">
        <v>0</v>
      </c>
      <c r="J1108">
        <v>0</v>
      </c>
      <c r="K1108" s="9">
        <v>6.5693779904306222</v>
      </c>
    </row>
    <row r="1109" spans="1:11" x14ac:dyDescent="0.45">
      <c r="A1109" t="s">
        <v>119</v>
      </c>
      <c r="B1109" t="s">
        <v>674</v>
      </c>
      <c r="C1109" t="s">
        <v>101</v>
      </c>
      <c r="D1109">
        <v>1</v>
      </c>
      <c r="E1109" t="s">
        <v>380</v>
      </c>
      <c r="F1109" t="s">
        <v>623</v>
      </c>
      <c r="G1109">
        <v>67</v>
      </c>
      <c r="H1109">
        <v>57</v>
      </c>
      <c r="I1109">
        <v>8</v>
      </c>
      <c r="J1109">
        <v>1</v>
      </c>
      <c r="K1109" s="9">
        <v>2.8823529411764706</v>
      </c>
    </row>
    <row r="1110" spans="1:11" x14ac:dyDescent="0.45">
      <c r="A1110" t="s">
        <v>119</v>
      </c>
      <c r="B1110" t="s">
        <v>674</v>
      </c>
      <c r="C1110" t="s">
        <v>101</v>
      </c>
      <c r="D1110">
        <v>2</v>
      </c>
      <c r="E1110" t="s">
        <v>302</v>
      </c>
      <c r="F1110" t="s">
        <v>622</v>
      </c>
      <c r="G1110">
        <v>18</v>
      </c>
      <c r="H1110">
        <v>17</v>
      </c>
      <c r="I1110">
        <v>3</v>
      </c>
      <c r="J1110">
        <v>0</v>
      </c>
      <c r="K1110" s="9">
        <v>4.82</v>
      </c>
    </row>
    <row r="1111" spans="1:11" x14ac:dyDescent="0.45">
      <c r="A1111" t="s">
        <v>119</v>
      </c>
      <c r="B1111" t="s">
        <v>674</v>
      </c>
      <c r="C1111" t="s">
        <v>101</v>
      </c>
      <c r="D1111">
        <v>3</v>
      </c>
      <c r="E1111" t="s">
        <v>488</v>
      </c>
      <c r="F1111" t="s">
        <v>622</v>
      </c>
      <c r="G1111">
        <v>20</v>
      </c>
      <c r="H1111">
        <v>15</v>
      </c>
      <c r="I1111">
        <v>2</v>
      </c>
      <c r="J1111">
        <v>0</v>
      </c>
      <c r="K1111" s="9">
        <v>4.7777777777777777</v>
      </c>
    </row>
    <row r="1112" spans="1:11" x14ac:dyDescent="0.45">
      <c r="A1112" t="s">
        <v>119</v>
      </c>
      <c r="B1112" t="s">
        <v>674</v>
      </c>
      <c r="C1112" t="s">
        <v>101</v>
      </c>
      <c r="D1112">
        <v>4</v>
      </c>
      <c r="E1112" t="s">
        <v>361</v>
      </c>
      <c r="F1112" t="s">
        <v>622</v>
      </c>
      <c r="G1112">
        <v>7</v>
      </c>
      <c r="H1112">
        <v>6</v>
      </c>
      <c r="I1112">
        <v>1</v>
      </c>
      <c r="J1112">
        <v>0</v>
      </c>
      <c r="K1112" s="9">
        <v>5.4565217391304346</v>
      </c>
    </row>
    <row r="1113" spans="1:11" x14ac:dyDescent="0.45">
      <c r="A1113" t="s">
        <v>119</v>
      </c>
      <c r="B1113" t="s">
        <v>674</v>
      </c>
      <c r="C1113" t="s">
        <v>101</v>
      </c>
      <c r="D1113">
        <v>5</v>
      </c>
      <c r="E1113" t="s">
        <v>411</v>
      </c>
      <c r="F1113" t="s">
        <v>623</v>
      </c>
      <c r="G1113">
        <v>15</v>
      </c>
      <c r="H1113">
        <v>20</v>
      </c>
      <c r="I1113">
        <v>1</v>
      </c>
      <c r="J1113">
        <v>0</v>
      </c>
      <c r="K1113" s="9">
        <v>4.9473684210526319</v>
      </c>
    </row>
    <row r="1114" spans="1:11" x14ac:dyDescent="0.45">
      <c r="A1114" t="s">
        <v>120</v>
      </c>
      <c r="B1114" t="s">
        <v>662</v>
      </c>
      <c r="C1114" t="s">
        <v>7</v>
      </c>
      <c r="D1114">
        <v>1</v>
      </c>
      <c r="E1114" t="s">
        <v>304</v>
      </c>
      <c r="F1114" t="s">
        <v>622</v>
      </c>
      <c r="G1114">
        <v>7</v>
      </c>
      <c r="H1114">
        <v>6</v>
      </c>
      <c r="I1114">
        <v>1</v>
      </c>
      <c r="J1114">
        <v>0</v>
      </c>
      <c r="K1114" s="9">
        <v>5.4565217391304346</v>
      </c>
    </row>
    <row r="1115" spans="1:11" x14ac:dyDescent="0.45">
      <c r="A1115" t="s">
        <v>120</v>
      </c>
      <c r="B1115" t="s">
        <v>662</v>
      </c>
      <c r="C1115" t="s">
        <v>7</v>
      </c>
      <c r="D1115">
        <v>2</v>
      </c>
      <c r="E1115" t="s">
        <v>481</v>
      </c>
      <c r="F1115" t="s">
        <v>622</v>
      </c>
      <c r="G1115">
        <v>28</v>
      </c>
      <c r="H1115">
        <v>24</v>
      </c>
      <c r="I1115">
        <v>0</v>
      </c>
      <c r="J1115">
        <v>3</v>
      </c>
      <c r="K1115" s="9">
        <v>4.0606060606060606</v>
      </c>
    </row>
    <row r="1116" spans="1:11" x14ac:dyDescent="0.45">
      <c r="A1116" t="s">
        <v>120</v>
      </c>
      <c r="B1116" t="s">
        <v>662</v>
      </c>
      <c r="C1116" t="s">
        <v>7</v>
      </c>
      <c r="D1116">
        <v>3</v>
      </c>
      <c r="E1116" t="s">
        <v>306</v>
      </c>
      <c r="F1116" t="s">
        <v>622</v>
      </c>
      <c r="G1116">
        <v>26</v>
      </c>
      <c r="H1116">
        <v>16</v>
      </c>
      <c r="I1116">
        <v>1</v>
      </c>
      <c r="J1116">
        <v>3</v>
      </c>
      <c r="K1116" s="9">
        <v>4.7608695652173916</v>
      </c>
    </row>
    <row r="1117" spans="1:11" x14ac:dyDescent="0.45">
      <c r="A1117" t="s">
        <v>120</v>
      </c>
      <c r="B1117" t="s">
        <v>662</v>
      </c>
      <c r="C1117" t="s">
        <v>7</v>
      </c>
      <c r="D1117">
        <v>4</v>
      </c>
      <c r="E1117" t="s">
        <v>332</v>
      </c>
      <c r="F1117" t="s">
        <v>622</v>
      </c>
      <c r="G1117">
        <v>15</v>
      </c>
      <c r="H1117">
        <v>9</v>
      </c>
      <c r="I1117">
        <v>2</v>
      </c>
      <c r="J1117">
        <v>0</v>
      </c>
      <c r="K1117" s="9">
        <v>4.924050632911392</v>
      </c>
    </row>
    <row r="1118" spans="1:11" x14ac:dyDescent="0.45">
      <c r="A1118" t="s">
        <v>120</v>
      </c>
      <c r="B1118" t="s">
        <v>662</v>
      </c>
      <c r="C1118" t="s">
        <v>7</v>
      </c>
      <c r="D1118">
        <v>5</v>
      </c>
      <c r="E1118" t="s">
        <v>513</v>
      </c>
      <c r="F1118" t="s">
        <v>622</v>
      </c>
      <c r="G1118">
        <v>34</v>
      </c>
      <c r="H1118">
        <v>29</v>
      </c>
      <c r="I1118">
        <v>3</v>
      </c>
      <c r="J1118">
        <v>1</v>
      </c>
      <c r="K1118" s="9">
        <v>4.0454545454545459</v>
      </c>
    </row>
    <row r="1119" spans="1:11" x14ac:dyDescent="0.45">
      <c r="A1119" t="s">
        <v>120</v>
      </c>
      <c r="B1119" t="s">
        <v>662</v>
      </c>
      <c r="C1119" t="s">
        <v>7</v>
      </c>
      <c r="D1119">
        <v>6</v>
      </c>
      <c r="E1119" t="s">
        <v>514</v>
      </c>
      <c r="F1119" t="s">
        <v>622</v>
      </c>
      <c r="G1119">
        <v>5</v>
      </c>
      <c r="H1119">
        <v>6</v>
      </c>
      <c r="I1119">
        <v>0</v>
      </c>
      <c r="J1119">
        <v>0</v>
      </c>
      <c r="K1119" s="9">
        <v>5.4565217391304346</v>
      </c>
    </row>
    <row r="1120" spans="1:11" x14ac:dyDescent="0.45">
      <c r="A1120" t="s">
        <v>120</v>
      </c>
      <c r="B1120" t="s">
        <v>662</v>
      </c>
      <c r="C1120" t="s">
        <v>7</v>
      </c>
      <c r="D1120">
        <v>7</v>
      </c>
      <c r="E1120" t="s">
        <v>440</v>
      </c>
      <c r="F1120" t="s">
        <v>623</v>
      </c>
      <c r="G1120">
        <v>49</v>
      </c>
      <c r="H1120">
        <v>28</v>
      </c>
      <c r="I1120">
        <v>3</v>
      </c>
      <c r="J1120">
        <v>4</v>
      </c>
      <c r="K1120" s="9">
        <v>3.806451612903226</v>
      </c>
    </row>
    <row r="1121" spans="1:11" x14ac:dyDescent="0.45">
      <c r="A1121" t="s">
        <v>120</v>
      </c>
      <c r="B1121" t="s">
        <v>662</v>
      </c>
      <c r="C1121" t="s">
        <v>7</v>
      </c>
      <c r="D1121">
        <v>8</v>
      </c>
      <c r="E1121" t="s">
        <v>308</v>
      </c>
      <c r="F1121" t="s">
        <v>623</v>
      </c>
      <c r="G1121">
        <v>1</v>
      </c>
      <c r="H1121">
        <v>2</v>
      </c>
      <c r="I1121">
        <v>0</v>
      </c>
      <c r="J1121">
        <v>0</v>
      </c>
      <c r="K1121" s="9">
        <v>6.1385542168674698</v>
      </c>
    </row>
    <row r="1122" spans="1:11" x14ac:dyDescent="0.45">
      <c r="A1122" t="s">
        <v>120</v>
      </c>
      <c r="B1122" t="s">
        <v>662</v>
      </c>
      <c r="C1122" t="s">
        <v>20</v>
      </c>
      <c r="D1122">
        <v>1</v>
      </c>
      <c r="E1122" t="s">
        <v>373</v>
      </c>
      <c r="F1122" t="s">
        <v>622</v>
      </c>
      <c r="G1122">
        <v>43</v>
      </c>
      <c r="H1122">
        <v>28</v>
      </c>
      <c r="I1122">
        <v>4</v>
      </c>
      <c r="J1122">
        <v>2</v>
      </c>
      <c r="K1122" s="9">
        <v>3.806451612903226</v>
      </c>
    </row>
    <row r="1123" spans="1:11" x14ac:dyDescent="0.45">
      <c r="A1123" t="s">
        <v>120</v>
      </c>
      <c r="B1123" t="s">
        <v>662</v>
      </c>
      <c r="C1123" t="s">
        <v>20</v>
      </c>
      <c r="D1123">
        <v>2</v>
      </c>
      <c r="E1123" t="s">
        <v>408</v>
      </c>
      <c r="F1123" t="s">
        <v>622</v>
      </c>
      <c r="G1123">
        <v>9</v>
      </c>
      <c r="H1123">
        <v>17</v>
      </c>
      <c r="I1123">
        <v>1</v>
      </c>
      <c r="J1123">
        <v>0</v>
      </c>
      <c r="K1123" s="9">
        <v>4.82</v>
      </c>
    </row>
    <row r="1124" spans="1:11" x14ac:dyDescent="0.45">
      <c r="A1124" t="s">
        <v>120</v>
      </c>
      <c r="B1124" t="s">
        <v>662</v>
      </c>
      <c r="C1124" t="s">
        <v>20</v>
      </c>
      <c r="D1124">
        <v>3</v>
      </c>
      <c r="E1124" t="s">
        <v>315</v>
      </c>
      <c r="F1124" t="s">
        <v>622</v>
      </c>
      <c r="G1124">
        <v>9</v>
      </c>
      <c r="H1124">
        <v>12</v>
      </c>
      <c r="I1124">
        <v>1</v>
      </c>
      <c r="J1124">
        <v>0</v>
      </c>
      <c r="K1124" s="9">
        <v>4.8024691358024691</v>
      </c>
    </row>
    <row r="1125" spans="1:11" x14ac:dyDescent="0.45">
      <c r="A1125" t="s">
        <v>120</v>
      </c>
      <c r="B1125" t="s">
        <v>662</v>
      </c>
      <c r="C1125" t="s">
        <v>20</v>
      </c>
      <c r="D1125">
        <v>4</v>
      </c>
      <c r="E1125" t="s">
        <v>401</v>
      </c>
      <c r="F1125" t="s">
        <v>622</v>
      </c>
      <c r="G1125">
        <v>32</v>
      </c>
      <c r="H1125">
        <v>25</v>
      </c>
      <c r="I1125">
        <v>0</v>
      </c>
      <c r="J1125">
        <v>3</v>
      </c>
      <c r="K1125" s="9">
        <v>4.4782608695652177</v>
      </c>
    </row>
    <row r="1126" spans="1:11" x14ac:dyDescent="0.45">
      <c r="A1126" t="s">
        <v>120</v>
      </c>
      <c r="B1126" t="s">
        <v>662</v>
      </c>
      <c r="C1126" t="s">
        <v>20</v>
      </c>
      <c r="D1126">
        <v>5</v>
      </c>
      <c r="E1126" t="s">
        <v>416</v>
      </c>
      <c r="F1126" t="s">
        <v>622</v>
      </c>
      <c r="G1126">
        <v>2</v>
      </c>
      <c r="H1126">
        <v>3</v>
      </c>
      <c r="I1126">
        <v>0</v>
      </c>
      <c r="J1126">
        <v>0</v>
      </c>
      <c r="K1126" s="9">
        <v>5.6607142857142856</v>
      </c>
    </row>
    <row r="1127" spans="1:11" x14ac:dyDescent="0.45">
      <c r="A1127" t="s">
        <v>120</v>
      </c>
      <c r="B1127" t="s">
        <v>662</v>
      </c>
      <c r="C1127" t="s">
        <v>20</v>
      </c>
      <c r="D1127">
        <v>6</v>
      </c>
      <c r="E1127" t="s">
        <v>467</v>
      </c>
      <c r="F1127" t="s">
        <v>622</v>
      </c>
      <c r="G1127">
        <v>4</v>
      </c>
      <c r="H1127">
        <v>9</v>
      </c>
      <c r="I1127">
        <v>0</v>
      </c>
      <c r="J1127">
        <v>0</v>
      </c>
      <c r="K1127" s="9">
        <v>4.924050632911392</v>
      </c>
    </row>
    <row r="1128" spans="1:11" x14ac:dyDescent="0.45">
      <c r="A1128" t="s">
        <v>120</v>
      </c>
      <c r="B1128" t="s">
        <v>662</v>
      </c>
      <c r="C1128" t="s">
        <v>20</v>
      </c>
      <c r="D1128">
        <v>7</v>
      </c>
      <c r="E1128" t="s">
        <v>522</v>
      </c>
      <c r="F1128" t="s">
        <v>622</v>
      </c>
      <c r="G1128">
        <v>11</v>
      </c>
      <c r="H1128">
        <v>12</v>
      </c>
      <c r="I1128">
        <v>1</v>
      </c>
      <c r="J1128">
        <v>0</v>
      </c>
      <c r="K1128" s="9">
        <v>4.8024691358024691</v>
      </c>
    </row>
    <row r="1129" spans="1:11" x14ac:dyDescent="0.45">
      <c r="A1129" t="s">
        <v>120</v>
      </c>
      <c r="B1129" t="s">
        <v>662</v>
      </c>
      <c r="C1129" t="s">
        <v>20</v>
      </c>
      <c r="D1129">
        <v>8</v>
      </c>
      <c r="E1129" t="s">
        <v>484</v>
      </c>
      <c r="F1129" t="s">
        <v>622</v>
      </c>
      <c r="G1129">
        <v>1</v>
      </c>
      <c r="H1129">
        <v>2</v>
      </c>
      <c r="I1129">
        <v>0</v>
      </c>
      <c r="J1129">
        <v>0</v>
      </c>
      <c r="K1129" s="9">
        <v>6.1385542168674698</v>
      </c>
    </row>
    <row r="1130" spans="1:11" x14ac:dyDescent="0.45">
      <c r="A1130" t="s">
        <v>120</v>
      </c>
      <c r="B1130" t="s">
        <v>662</v>
      </c>
      <c r="C1130" t="s">
        <v>20</v>
      </c>
      <c r="D1130">
        <v>9</v>
      </c>
      <c r="E1130" t="s">
        <v>409</v>
      </c>
      <c r="F1130" t="s">
        <v>623</v>
      </c>
      <c r="G1130">
        <v>6</v>
      </c>
      <c r="H1130">
        <v>7</v>
      </c>
      <c r="I1130">
        <v>1</v>
      </c>
      <c r="J1130">
        <v>0</v>
      </c>
      <c r="K1130" s="9">
        <v>4.927835051546392</v>
      </c>
    </row>
    <row r="1131" spans="1:11" x14ac:dyDescent="0.45">
      <c r="A1131" t="s">
        <v>120</v>
      </c>
      <c r="B1131" t="s">
        <v>662</v>
      </c>
      <c r="C1131" t="s">
        <v>20</v>
      </c>
      <c r="D1131">
        <v>10</v>
      </c>
      <c r="E1131" t="s">
        <v>382</v>
      </c>
      <c r="F1131" t="s">
        <v>623</v>
      </c>
      <c r="G1131">
        <v>3</v>
      </c>
      <c r="H1131">
        <v>5</v>
      </c>
      <c r="I1131">
        <v>0</v>
      </c>
      <c r="J1131">
        <v>0</v>
      </c>
      <c r="K1131" s="9">
        <v>5.132075471698113</v>
      </c>
    </row>
    <row r="1132" spans="1:11" x14ac:dyDescent="0.45">
      <c r="A1132" t="s">
        <v>121</v>
      </c>
      <c r="B1132" t="s">
        <v>653</v>
      </c>
      <c r="C1132" t="s">
        <v>26</v>
      </c>
      <c r="D1132">
        <v>1</v>
      </c>
      <c r="E1132" t="s">
        <v>459</v>
      </c>
      <c r="F1132" t="s">
        <v>622</v>
      </c>
      <c r="G1132">
        <v>66</v>
      </c>
      <c r="H1132">
        <v>29</v>
      </c>
      <c r="I1132">
        <v>4</v>
      </c>
      <c r="J1132">
        <v>7</v>
      </c>
      <c r="K1132" s="9">
        <v>4.0454545454545459</v>
      </c>
    </row>
    <row r="1133" spans="1:11" x14ac:dyDescent="0.45">
      <c r="A1133" t="s">
        <v>121</v>
      </c>
      <c r="B1133" t="s">
        <v>653</v>
      </c>
      <c r="C1133" t="s">
        <v>26</v>
      </c>
      <c r="D1133">
        <v>2</v>
      </c>
      <c r="E1133" t="s">
        <v>330</v>
      </c>
      <c r="F1133" t="s">
        <v>622</v>
      </c>
      <c r="G1133">
        <v>21</v>
      </c>
      <c r="H1133">
        <v>15</v>
      </c>
      <c r="I1133">
        <v>2</v>
      </c>
      <c r="J1133">
        <v>1</v>
      </c>
      <c r="K1133" s="9">
        <v>4.7777777777777777</v>
      </c>
    </row>
    <row r="1134" spans="1:11" x14ac:dyDescent="0.45">
      <c r="A1134" t="s">
        <v>121</v>
      </c>
      <c r="B1134" t="s">
        <v>653</v>
      </c>
      <c r="C1134" t="s">
        <v>26</v>
      </c>
      <c r="D1134">
        <v>3</v>
      </c>
      <c r="E1134" t="s">
        <v>519</v>
      </c>
      <c r="F1134" t="s">
        <v>622</v>
      </c>
      <c r="G1134">
        <v>1</v>
      </c>
      <c r="H1134">
        <v>3</v>
      </c>
      <c r="I1134">
        <v>0</v>
      </c>
      <c r="J1134">
        <v>0</v>
      </c>
      <c r="K1134" s="9">
        <v>5.6607142857142856</v>
      </c>
    </row>
    <row r="1135" spans="1:11" x14ac:dyDescent="0.45">
      <c r="A1135" t="s">
        <v>121</v>
      </c>
      <c r="B1135" t="s">
        <v>653</v>
      </c>
      <c r="C1135" t="s">
        <v>26</v>
      </c>
      <c r="D1135">
        <v>4</v>
      </c>
      <c r="E1135" t="s">
        <v>384</v>
      </c>
      <c r="F1135" t="s">
        <v>622</v>
      </c>
      <c r="G1135">
        <v>70</v>
      </c>
      <c r="H1135">
        <v>42</v>
      </c>
      <c r="I1135">
        <v>5</v>
      </c>
      <c r="J1135">
        <v>4</v>
      </c>
      <c r="K1135" s="9">
        <v>3.3913043478260869</v>
      </c>
    </row>
    <row r="1136" spans="1:11" x14ac:dyDescent="0.45">
      <c r="A1136" t="s">
        <v>121</v>
      </c>
      <c r="B1136" t="s">
        <v>653</v>
      </c>
      <c r="C1136" t="s">
        <v>26</v>
      </c>
      <c r="D1136">
        <v>5</v>
      </c>
      <c r="E1136" t="s">
        <v>398</v>
      </c>
      <c r="F1136" t="s">
        <v>622</v>
      </c>
      <c r="G1136">
        <v>19</v>
      </c>
      <c r="H1136">
        <v>16</v>
      </c>
      <c r="I1136">
        <v>3</v>
      </c>
      <c r="J1136">
        <v>0</v>
      </c>
      <c r="K1136" s="9">
        <v>4.7608695652173916</v>
      </c>
    </row>
    <row r="1137" spans="1:11" x14ac:dyDescent="0.45">
      <c r="A1137" t="s">
        <v>121</v>
      </c>
      <c r="B1137" t="s">
        <v>653</v>
      </c>
      <c r="C1137" t="s">
        <v>26</v>
      </c>
      <c r="D1137">
        <v>6</v>
      </c>
      <c r="E1137" t="s">
        <v>495</v>
      </c>
      <c r="F1137" t="s">
        <v>622</v>
      </c>
      <c r="G1137">
        <v>9</v>
      </c>
      <c r="H1137">
        <v>5</v>
      </c>
      <c r="I1137">
        <v>2</v>
      </c>
      <c r="J1137">
        <v>0</v>
      </c>
      <c r="K1137" s="9">
        <v>5.132075471698113</v>
      </c>
    </row>
    <row r="1138" spans="1:11" x14ac:dyDescent="0.45">
      <c r="A1138" t="s">
        <v>121</v>
      </c>
      <c r="B1138" t="s">
        <v>653</v>
      </c>
      <c r="C1138" t="s">
        <v>26</v>
      </c>
      <c r="D1138">
        <v>7</v>
      </c>
      <c r="E1138" t="s">
        <v>404</v>
      </c>
      <c r="F1138" t="s">
        <v>622</v>
      </c>
      <c r="G1138">
        <v>7</v>
      </c>
      <c r="H1138">
        <v>5</v>
      </c>
      <c r="I1138">
        <v>0</v>
      </c>
      <c r="J1138">
        <v>1</v>
      </c>
      <c r="K1138" s="9">
        <v>5.132075471698113</v>
      </c>
    </row>
    <row r="1139" spans="1:11" x14ac:dyDescent="0.45">
      <c r="A1139" t="s">
        <v>121</v>
      </c>
      <c r="B1139" t="s">
        <v>653</v>
      </c>
      <c r="C1139" t="s">
        <v>26</v>
      </c>
      <c r="D1139">
        <v>8</v>
      </c>
      <c r="E1139" t="s">
        <v>520</v>
      </c>
      <c r="F1139" t="s">
        <v>622</v>
      </c>
      <c r="G1139">
        <v>7</v>
      </c>
      <c r="H1139">
        <v>3</v>
      </c>
      <c r="I1139">
        <v>0</v>
      </c>
      <c r="J1139">
        <v>1</v>
      </c>
      <c r="K1139" s="9">
        <v>5.6607142857142856</v>
      </c>
    </row>
    <row r="1140" spans="1:11" x14ac:dyDescent="0.45">
      <c r="A1140" t="s">
        <v>121</v>
      </c>
      <c r="B1140" t="s">
        <v>653</v>
      </c>
      <c r="C1140" t="s">
        <v>26</v>
      </c>
      <c r="D1140">
        <v>9</v>
      </c>
      <c r="E1140" t="s">
        <v>435</v>
      </c>
      <c r="F1140" t="s">
        <v>622</v>
      </c>
      <c r="G1140">
        <v>2</v>
      </c>
      <c r="H1140">
        <v>2</v>
      </c>
      <c r="I1140">
        <v>0</v>
      </c>
      <c r="J1140">
        <v>0</v>
      </c>
      <c r="K1140" s="9">
        <v>6.1385542168674698</v>
      </c>
    </row>
    <row r="1141" spans="1:11" x14ac:dyDescent="0.45">
      <c r="A1141" t="s">
        <v>121</v>
      </c>
      <c r="B1141" t="s">
        <v>653</v>
      </c>
      <c r="C1141" t="s">
        <v>26</v>
      </c>
      <c r="D1141">
        <v>10</v>
      </c>
      <c r="E1141" t="s">
        <v>341</v>
      </c>
      <c r="F1141" t="s">
        <v>623</v>
      </c>
      <c r="G1141">
        <v>0</v>
      </c>
      <c r="H1141">
        <v>1</v>
      </c>
      <c r="I1141">
        <v>0</v>
      </c>
      <c r="J1141">
        <v>0</v>
      </c>
      <c r="K1141" s="9">
        <v>6.5693779904306222</v>
      </c>
    </row>
    <row r="1142" spans="1:11" x14ac:dyDescent="0.45">
      <c r="A1142" t="s">
        <v>121</v>
      </c>
      <c r="B1142" t="s">
        <v>653</v>
      </c>
      <c r="C1142" t="s">
        <v>13</v>
      </c>
      <c r="D1142">
        <v>1</v>
      </c>
      <c r="E1142" t="s">
        <v>343</v>
      </c>
      <c r="F1142" t="s">
        <v>622</v>
      </c>
      <c r="G1142">
        <v>20</v>
      </c>
      <c r="H1142">
        <v>14</v>
      </c>
      <c r="I1142">
        <v>2</v>
      </c>
      <c r="J1142">
        <v>1</v>
      </c>
      <c r="K1142" s="9">
        <v>4.8461538461538458</v>
      </c>
    </row>
    <row r="1143" spans="1:11" x14ac:dyDescent="0.45">
      <c r="A1143" t="s">
        <v>121</v>
      </c>
      <c r="B1143" t="s">
        <v>653</v>
      </c>
      <c r="C1143" t="s">
        <v>13</v>
      </c>
      <c r="D1143">
        <v>2</v>
      </c>
      <c r="E1143" t="s">
        <v>294</v>
      </c>
      <c r="F1143" t="s">
        <v>622</v>
      </c>
      <c r="G1143">
        <v>10</v>
      </c>
      <c r="H1143">
        <v>8</v>
      </c>
      <c r="I1143">
        <v>2</v>
      </c>
      <c r="J1143">
        <v>0</v>
      </c>
      <c r="K1143" s="9">
        <v>4.9029126213592233</v>
      </c>
    </row>
    <row r="1144" spans="1:11" x14ac:dyDescent="0.45">
      <c r="A1144" t="s">
        <v>121</v>
      </c>
      <c r="B1144" t="s">
        <v>653</v>
      </c>
      <c r="C1144" t="s">
        <v>13</v>
      </c>
      <c r="D1144">
        <v>3</v>
      </c>
      <c r="E1144" t="s">
        <v>463</v>
      </c>
      <c r="F1144" t="s">
        <v>622</v>
      </c>
      <c r="G1144">
        <v>26</v>
      </c>
      <c r="H1144">
        <v>21</v>
      </c>
      <c r="I1144">
        <v>1</v>
      </c>
      <c r="J1144">
        <v>2</v>
      </c>
      <c r="K1144" s="9">
        <v>4.3770491803278686</v>
      </c>
    </row>
    <row r="1145" spans="1:11" x14ac:dyDescent="0.45">
      <c r="A1145" t="s">
        <v>121</v>
      </c>
      <c r="B1145" t="s">
        <v>653</v>
      </c>
      <c r="C1145" t="s">
        <v>13</v>
      </c>
      <c r="D1145">
        <v>4</v>
      </c>
      <c r="E1145" t="s">
        <v>430</v>
      </c>
      <c r="F1145" t="s">
        <v>622</v>
      </c>
      <c r="G1145">
        <v>6</v>
      </c>
      <c r="H1145">
        <v>3</v>
      </c>
      <c r="I1145">
        <v>0</v>
      </c>
      <c r="J1145">
        <v>1</v>
      </c>
      <c r="K1145" s="9">
        <v>5.6607142857142856</v>
      </c>
    </row>
    <row r="1146" spans="1:11" x14ac:dyDescent="0.45">
      <c r="A1146" t="s">
        <v>121</v>
      </c>
      <c r="B1146" t="s">
        <v>653</v>
      </c>
      <c r="C1146" t="s">
        <v>13</v>
      </c>
      <c r="D1146">
        <v>5</v>
      </c>
      <c r="E1146" t="s">
        <v>345</v>
      </c>
      <c r="F1146" t="s">
        <v>622</v>
      </c>
      <c r="G1146">
        <v>35</v>
      </c>
      <c r="H1146">
        <v>22</v>
      </c>
      <c r="I1146">
        <v>3</v>
      </c>
      <c r="J1146">
        <v>1</v>
      </c>
      <c r="K1146" s="9">
        <v>4.4423076923076925</v>
      </c>
    </row>
    <row r="1147" spans="1:11" x14ac:dyDescent="0.45">
      <c r="A1147" t="s">
        <v>121</v>
      </c>
      <c r="B1147" t="s">
        <v>653</v>
      </c>
      <c r="C1147" t="s">
        <v>13</v>
      </c>
      <c r="D1147">
        <v>6</v>
      </c>
      <c r="E1147" t="s">
        <v>311</v>
      </c>
      <c r="F1147" t="s">
        <v>622</v>
      </c>
      <c r="G1147">
        <v>11</v>
      </c>
      <c r="H1147">
        <v>11</v>
      </c>
      <c r="I1147">
        <v>1</v>
      </c>
      <c r="J1147">
        <v>0</v>
      </c>
      <c r="K1147" s="9">
        <v>4.9649122807017543</v>
      </c>
    </row>
    <row r="1148" spans="1:11" x14ac:dyDescent="0.45">
      <c r="A1148" t="s">
        <v>121</v>
      </c>
      <c r="B1148" t="s">
        <v>653</v>
      </c>
      <c r="C1148" t="s">
        <v>13</v>
      </c>
      <c r="D1148">
        <v>7</v>
      </c>
      <c r="E1148" t="s">
        <v>347</v>
      </c>
      <c r="F1148" t="s">
        <v>622</v>
      </c>
      <c r="G1148">
        <v>9</v>
      </c>
      <c r="H1148">
        <v>14</v>
      </c>
      <c r="I1148">
        <v>0</v>
      </c>
      <c r="J1148">
        <v>0</v>
      </c>
      <c r="K1148" s="9">
        <v>4.8461538461538458</v>
      </c>
    </row>
    <row r="1149" spans="1:11" x14ac:dyDescent="0.45">
      <c r="A1149" t="s">
        <v>121</v>
      </c>
      <c r="B1149" t="s">
        <v>653</v>
      </c>
      <c r="C1149" t="s">
        <v>13</v>
      </c>
      <c r="D1149">
        <v>8</v>
      </c>
      <c r="E1149" t="s">
        <v>349</v>
      </c>
      <c r="F1149" t="s">
        <v>622</v>
      </c>
      <c r="G1149">
        <v>11</v>
      </c>
      <c r="H1149">
        <v>7</v>
      </c>
      <c r="I1149">
        <v>2</v>
      </c>
      <c r="J1149">
        <v>0</v>
      </c>
      <c r="K1149" s="9">
        <v>4.927835051546392</v>
      </c>
    </row>
    <row r="1150" spans="1:11" x14ac:dyDescent="0.45">
      <c r="A1150" t="s">
        <v>121</v>
      </c>
      <c r="B1150" t="s">
        <v>653</v>
      </c>
      <c r="C1150" t="s">
        <v>13</v>
      </c>
      <c r="D1150">
        <v>9</v>
      </c>
      <c r="E1150" t="s">
        <v>448</v>
      </c>
      <c r="F1150" t="s">
        <v>622</v>
      </c>
      <c r="G1150">
        <v>1</v>
      </c>
      <c r="H1150">
        <v>3</v>
      </c>
      <c r="I1150">
        <v>0</v>
      </c>
      <c r="J1150">
        <v>0</v>
      </c>
      <c r="K1150" s="9">
        <v>5.6607142857142856</v>
      </c>
    </row>
    <row r="1151" spans="1:11" x14ac:dyDescent="0.45">
      <c r="A1151" t="s">
        <v>121</v>
      </c>
      <c r="B1151" t="s">
        <v>653</v>
      </c>
      <c r="C1151" t="s">
        <v>13</v>
      </c>
      <c r="D1151">
        <v>10</v>
      </c>
      <c r="E1151" t="s">
        <v>352</v>
      </c>
      <c r="F1151" t="s">
        <v>623</v>
      </c>
      <c r="G1151">
        <v>9</v>
      </c>
      <c r="H1151">
        <v>13</v>
      </c>
      <c r="I1151">
        <v>1</v>
      </c>
      <c r="J1151">
        <v>0</v>
      </c>
      <c r="K1151" s="9">
        <v>4.8939393939393936</v>
      </c>
    </row>
    <row r="1152" spans="1:11" x14ac:dyDescent="0.45">
      <c r="A1152" t="s">
        <v>121</v>
      </c>
      <c r="B1152" t="s">
        <v>653</v>
      </c>
      <c r="C1152" t="s">
        <v>13</v>
      </c>
      <c r="D1152">
        <v>11</v>
      </c>
      <c r="E1152" t="s">
        <v>325</v>
      </c>
      <c r="F1152" t="s">
        <v>623</v>
      </c>
      <c r="G1152">
        <v>7</v>
      </c>
      <c r="H1152">
        <v>4</v>
      </c>
      <c r="I1152">
        <v>1</v>
      </c>
      <c r="J1152">
        <v>0</v>
      </c>
      <c r="K1152" s="9">
        <v>5.352380952380952</v>
      </c>
    </row>
    <row r="1153" spans="1:11" x14ac:dyDescent="0.45">
      <c r="A1153" t="s">
        <v>122</v>
      </c>
      <c r="B1153" t="s">
        <v>651</v>
      </c>
      <c r="C1153" t="s">
        <v>6</v>
      </c>
      <c r="D1153">
        <v>1</v>
      </c>
      <c r="E1153" t="s">
        <v>290</v>
      </c>
      <c r="F1153" t="s">
        <v>622</v>
      </c>
      <c r="G1153">
        <v>7</v>
      </c>
      <c r="H1153">
        <v>6</v>
      </c>
      <c r="I1153">
        <v>1</v>
      </c>
      <c r="J1153">
        <v>0</v>
      </c>
      <c r="K1153" s="9">
        <v>5.4565217391304346</v>
      </c>
    </row>
    <row r="1154" spans="1:11" x14ac:dyDescent="0.45">
      <c r="A1154" t="s">
        <v>122</v>
      </c>
      <c r="B1154" t="s">
        <v>651</v>
      </c>
      <c r="C1154" t="s">
        <v>6</v>
      </c>
      <c r="D1154">
        <v>2</v>
      </c>
      <c r="E1154" t="s">
        <v>505</v>
      </c>
      <c r="F1154" t="s">
        <v>622</v>
      </c>
      <c r="G1154">
        <v>0</v>
      </c>
      <c r="H1154">
        <v>1</v>
      </c>
      <c r="I1154">
        <v>0</v>
      </c>
      <c r="J1154">
        <v>0</v>
      </c>
      <c r="K1154" s="9">
        <v>6.5693779904306222</v>
      </c>
    </row>
    <row r="1155" spans="1:11" x14ac:dyDescent="0.45">
      <c r="A1155" t="s">
        <v>122</v>
      </c>
      <c r="B1155" t="s">
        <v>651</v>
      </c>
      <c r="C1155" t="s">
        <v>6</v>
      </c>
      <c r="D1155">
        <v>3</v>
      </c>
      <c r="E1155" t="s">
        <v>299</v>
      </c>
      <c r="F1155" t="s">
        <v>622</v>
      </c>
      <c r="G1155">
        <v>0</v>
      </c>
      <c r="H1155">
        <v>2</v>
      </c>
      <c r="I1155">
        <v>0</v>
      </c>
      <c r="J1155">
        <v>0</v>
      </c>
      <c r="K1155" s="9">
        <v>6.1385542168674698</v>
      </c>
    </row>
    <row r="1156" spans="1:11" x14ac:dyDescent="0.45">
      <c r="A1156" t="s">
        <v>122</v>
      </c>
      <c r="B1156" t="s">
        <v>651</v>
      </c>
      <c r="C1156" t="s">
        <v>6</v>
      </c>
      <c r="D1156">
        <v>4</v>
      </c>
      <c r="E1156" t="s">
        <v>297</v>
      </c>
      <c r="F1156" t="s">
        <v>622</v>
      </c>
      <c r="G1156">
        <v>1</v>
      </c>
      <c r="H1156">
        <v>6</v>
      </c>
      <c r="I1156">
        <v>0</v>
      </c>
      <c r="J1156">
        <v>0</v>
      </c>
      <c r="K1156" s="9">
        <v>5.4565217391304346</v>
      </c>
    </row>
    <row r="1157" spans="1:11" x14ac:dyDescent="0.45">
      <c r="A1157" t="s">
        <v>122</v>
      </c>
      <c r="B1157" t="s">
        <v>651</v>
      </c>
      <c r="C1157" t="s">
        <v>6</v>
      </c>
      <c r="D1157">
        <v>5</v>
      </c>
      <c r="E1157" t="s">
        <v>355</v>
      </c>
      <c r="F1157" t="s">
        <v>622</v>
      </c>
      <c r="G1157">
        <v>10</v>
      </c>
      <c r="H1157">
        <v>14</v>
      </c>
      <c r="I1157">
        <v>2</v>
      </c>
      <c r="J1157">
        <v>0</v>
      </c>
      <c r="K1157" s="9">
        <v>4.8461538461538458</v>
      </c>
    </row>
    <row r="1158" spans="1:11" x14ac:dyDescent="0.45">
      <c r="A1158" t="s">
        <v>122</v>
      </c>
      <c r="B1158" t="s">
        <v>651</v>
      </c>
      <c r="C1158" t="s">
        <v>6</v>
      </c>
      <c r="D1158">
        <v>6</v>
      </c>
      <c r="E1158" t="s">
        <v>356</v>
      </c>
      <c r="F1158" t="s">
        <v>623</v>
      </c>
      <c r="G1158">
        <v>36</v>
      </c>
      <c r="H1158">
        <v>33</v>
      </c>
      <c r="I1158">
        <v>4</v>
      </c>
      <c r="J1158">
        <v>2</v>
      </c>
      <c r="K1158" s="9">
        <v>2.8421052631578947</v>
      </c>
    </row>
    <row r="1159" spans="1:11" x14ac:dyDescent="0.45">
      <c r="A1159" t="s">
        <v>122</v>
      </c>
      <c r="B1159" t="s">
        <v>651</v>
      </c>
      <c r="C1159" t="s">
        <v>6</v>
      </c>
      <c r="D1159">
        <v>7</v>
      </c>
      <c r="E1159" t="s">
        <v>387</v>
      </c>
      <c r="F1159" t="s">
        <v>622</v>
      </c>
      <c r="G1159">
        <v>10</v>
      </c>
      <c r="H1159">
        <v>9</v>
      </c>
      <c r="I1159">
        <v>1</v>
      </c>
      <c r="J1159">
        <v>0</v>
      </c>
      <c r="K1159" s="9">
        <v>4.924050632911392</v>
      </c>
    </row>
    <row r="1160" spans="1:11" x14ac:dyDescent="0.45">
      <c r="A1160" t="s">
        <v>122</v>
      </c>
      <c r="B1160" t="s">
        <v>651</v>
      </c>
      <c r="C1160" t="s">
        <v>6</v>
      </c>
      <c r="D1160">
        <v>8</v>
      </c>
      <c r="E1160" t="s">
        <v>327</v>
      </c>
      <c r="F1160" t="s">
        <v>622</v>
      </c>
      <c r="G1160">
        <v>12</v>
      </c>
      <c r="H1160">
        <v>15</v>
      </c>
      <c r="I1160">
        <v>0</v>
      </c>
      <c r="J1160">
        <v>1</v>
      </c>
      <c r="K1160" s="9">
        <v>4.7777777777777777</v>
      </c>
    </row>
    <row r="1161" spans="1:11" x14ac:dyDescent="0.45">
      <c r="A1161" t="s">
        <v>122</v>
      </c>
      <c r="B1161" t="s">
        <v>651</v>
      </c>
      <c r="C1161" t="s">
        <v>6</v>
      </c>
      <c r="D1161">
        <v>9</v>
      </c>
      <c r="E1161" t="s">
        <v>508</v>
      </c>
      <c r="F1161" t="s">
        <v>622</v>
      </c>
      <c r="G1161">
        <v>2</v>
      </c>
      <c r="H1161">
        <v>3</v>
      </c>
      <c r="I1161">
        <v>0</v>
      </c>
      <c r="J1161">
        <v>0</v>
      </c>
      <c r="K1161" s="9">
        <v>5.6607142857142856</v>
      </c>
    </row>
    <row r="1162" spans="1:11" x14ac:dyDescent="0.45">
      <c r="A1162" t="s">
        <v>122</v>
      </c>
      <c r="B1162" t="s">
        <v>651</v>
      </c>
      <c r="C1162" t="s">
        <v>6</v>
      </c>
      <c r="D1162">
        <v>10</v>
      </c>
      <c r="E1162" t="s">
        <v>523</v>
      </c>
      <c r="F1162" t="s">
        <v>622</v>
      </c>
      <c r="G1162">
        <v>0</v>
      </c>
      <c r="H1162">
        <v>3</v>
      </c>
      <c r="I1162">
        <v>0</v>
      </c>
      <c r="J1162">
        <v>0</v>
      </c>
      <c r="K1162" s="9">
        <v>5.6607142857142856</v>
      </c>
    </row>
    <row r="1163" spans="1:11" x14ac:dyDescent="0.45">
      <c r="A1163" t="s">
        <v>122</v>
      </c>
      <c r="B1163" t="s">
        <v>651</v>
      </c>
      <c r="C1163" t="s">
        <v>6</v>
      </c>
      <c r="D1163">
        <v>11</v>
      </c>
      <c r="E1163" t="s">
        <v>509</v>
      </c>
      <c r="F1163" t="s">
        <v>622</v>
      </c>
      <c r="G1163">
        <v>4</v>
      </c>
      <c r="H1163">
        <v>4</v>
      </c>
      <c r="I1163">
        <v>1</v>
      </c>
      <c r="J1163">
        <v>0</v>
      </c>
      <c r="K1163" s="9">
        <v>5.352380952380952</v>
      </c>
    </row>
    <row r="1164" spans="1:11" x14ac:dyDescent="0.45">
      <c r="A1164" t="s">
        <v>122</v>
      </c>
      <c r="B1164" t="s">
        <v>651</v>
      </c>
      <c r="C1164" t="s">
        <v>19</v>
      </c>
      <c r="D1164">
        <v>1</v>
      </c>
      <c r="E1164" t="s">
        <v>360</v>
      </c>
      <c r="F1164" t="s">
        <v>622</v>
      </c>
      <c r="G1164">
        <v>6</v>
      </c>
      <c r="H1164">
        <v>5</v>
      </c>
      <c r="I1164">
        <v>1</v>
      </c>
      <c r="J1164">
        <v>0</v>
      </c>
      <c r="K1164" s="9">
        <v>5.132075471698113</v>
      </c>
    </row>
    <row r="1165" spans="1:11" x14ac:dyDescent="0.45">
      <c r="A1165" t="s">
        <v>122</v>
      </c>
      <c r="B1165" t="s">
        <v>651</v>
      </c>
      <c r="C1165" t="s">
        <v>19</v>
      </c>
      <c r="D1165">
        <v>2</v>
      </c>
      <c r="E1165" t="s">
        <v>359</v>
      </c>
      <c r="F1165" t="s">
        <v>622</v>
      </c>
      <c r="G1165">
        <v>18</v>
      </c>
      <c r="H1165">
        <v>14</v>
      </c>
      <c r="I1165">
        <v>4</v>
      </c>
      <c r="J1165">
        <v>0</v>
      </c>
      <c r="K1165" s="9">
        <v>4.8461538461538458</v>
      </c>
    </row>
    <row r="1166" spans="1:11" x14ac:dyDescent="0.45">
      <c r="A1166" t="s">
        <v>122</v>
      </c>
      <c r="B1166" t="s">
        <v>651</v>
      </c>
      <c r="C1166" t="s">
        <v>19</v>
      </c>
      <c r="D1166">
        <v>3</v>
      </c>
      <c r="E1166" t="s">
        <v>464</v>
      </c>
      <c r="F1166" t="s">
        <v>622</v>
      </c>
      <c r="G1166">
        <v>1</v>
      </c>
      <c r="H1166">
        <v>6</v>
      </c>
      <c r="I1166">
        <v>0</v>
      </c>
      <c r="J1166">
        <v>0</v>
      </c>
      <c r="K1166" s="9">
        <v>5.4565217391304346</v>
      </c>
    </row>
    <row r="1167" spans="1:11" x14ac:dyDescent="0.45">
      <c r="A1167" t="s">
        <v>122</v>
      </c>
      <c r="B1167" t="s">
        <v>651</v>
      </c>
      <c r="C1167" t="s">
        <v>19</v>
      </c>
      <c r="D1167">
        <v>4</v>
      </c>
      <c r="E1167" t="s">
        <v>502</v>
      </c>
      <c r="F1167" t="s">
        <v>623</v>
      </c>
      <c r="G1167">
        <v>34</v>
      </c>
      <c r="H1167">
        <v>32</v>
      </c>
      <c r="I1167">
        <v>4</v>
      </c>
      <c r="J1167">
        <v>0</v>
      </c>
      <c r="K1167" s="9">
        <v>3.9375</v>
      </c>
    </row>
    <row r="1168" spans="1:11" x14ac:dyDescent="0.45">
      <c r="A1168" t="s">
        <v>122</v>
      </c>
      <c r="B1168" t="s">
        <v>651</v>
      </c>
      <c r="C1168" t="s">
        <v>19</v>
      </c>
      <c r="D1168">
        <v>5</v>
      </c>
      <c r="E1168" t="s">
        <v>517</v>
      </c>
      <c r="F1168" t="s">
        <v>622</v>
      </c>
      <c r="G1168">
        <v>0</v>
      </c>
      <c r="H1168">
        <v>2</v>
      </c>
      <c r="I1168">
        <v>0</v>
      </c>
      <c r="J1168">
        <v>0</v>
      </c>
      <c r="K1168" s="9">
        <v>6.1385542168674698</v>
      </c>
    </row>
    <row r="1169" spans="1:11" x14ac:dyDescent="0.45">
      <c r="A1169" t="s">
        <v>122</v>
      </c>
      <c r="B1169" t="s">
        <v>651</v>
      </c>
      <c r="C1169" t="s">
        <v>19</v>
      </c>
      <c r="D1169">
        <v>6</v>
      </c>
      <c r="E1169" t="s">
        <v>504</v>
      </c>
      <c r="F1169" t="s">
        <v>622</v>
      </c>
      <c r="G1169">
        <v>18</v>
      </c>
      <c r="H1169">
        <v>23</v>
      </c>
      <c r="I1169">
        <v>2</v>
      </c>
      <c r="J1169">
        <v>0</v>
      </c>
      <c r="K1169" s="9">
        <v>5.1142857142857139</v>
      </c>
    </row>
    <row r="1170" spans="1:11" x14ac:dyDescent="0.45">
      <c r="A1170" t="s">
        <v>122</v>
      </c>
      <c r="B1170" t="s">
        <v>651</v>
      </c>
      <c r="C1170" t="s">
        <v>19</v>
      </c>
      <c r="D1170">
        <v>7</v>
      </c>
      <c r="E1170" t="s">
        <v>447</v>
      </c>
      <c r="F1170" t="s">
        <v>623</v>
      </c>
      <c r="G1170">
        <v>16</v>
      </c>
      <c r="H1170">
        <v>7</v>
      </c>
      <c r="I1170">
        <v>0</v>
      </c>
      <c r="J1170">
        <v>2</v>
      </c>
      <c r="K1170" s="9">
        <v>4.927835051546392</v>
      </c>
    </row>
    <row r="1171" spans="1:11" x14ac:dyDescent="0.45">
      <c r="A1171" t="s">
        <v>123</v>
      </c>
      <c r="B1171" t="s">
        <v>675</v>
      </c>
      <c r="C1171" t="s">
        <v>23</v>
      </c>
      <c r="D1171">
        <v>1</v>
      </c>
      <c r="E1171" t="s">
        <v>383</v>
      </c>
      <c r="F1171" t="s">
        <v>622</v>
      </c>
      <c r="G1171">
        <v>19</v>
      </c>
      <c r="H1171">
        <v>19</v>
      </c>
      <c r="I1171">
        <v>1</v>
      </c>
      <c r="J1171">
        <v>1</v>
      </c>
      <c r="K1171" s="9">
        <v>4.5660377358490569</v>
      </c>
    </row>
    <row r="1172" spans="1:11" x14ac:dyDescent="0.45">
      <c r="A1172" t="s">
        <v>123</v>
      </c>
      <c r="B1172" t="s">
        <v>675</v>
      </c>
      <c r="C1172" t="s">
        <v>23</v>
      </c>
      <c r="D1172">
        <v>2</v>
      </c>
      <c r="E1172" t="s">
        <v>458</v>
      </c>
      <c r="F1172" t="s">
        <v>622</v>
      </c>
      <c r="G1172">
        <v>7</v>
      </c>
      <c r="H1172">
        <v>11</v>
      </c>
      <c r="I1172">
        <v>1</v>
      </c>
      <c r="J1172">
        <v>0</v>
      </c>
      <c r="K1172" s="9">
        <v>4.9649122807017543</v>
      </c>
    </row>
    <row r="1173" spans="1:11" x14ac:dyDescent="0.45">
      <c r="A1173" t="s">
        <v>123</v>
      </c>
      <c r="B1173" t="s">
        <v>675</v>
      </c>
      <c r="C1173" t="s">
        <v>23</v>
      </c>
      <c r="D1173">
        <v>3</v>
      </c>
      <c r="E1173" t="s">
        <v>339</v>
      </c>
      <c r="F1173" t="s">
        <v>622</v>
      </c>
      <c r="G1173">
        <v>50</v>
      </c>
      <c r="H1173">
        <v>38</v>
      </c>
      <c r="I1173">
        <v>4</v>
      </c>
      <c r="J1173">
        <v>2</v>
      </c>
      <c r="K1173" s="9">
        <v>3.6842105263157894</v>
      </c>
    </row>
    <row r="1174" spans="1:11" x14ac:dyDescent="0.45">
      <c r="A1174" t="s">
        <v>123</v>
      </c>
      <c r="B1174" t="s">
        <v>675</v>
      </c>
      <c r="C1174" t="s">
        <v>23</v>
      </c>
      <c r="D1174">
        <v>4</v>
      </c>
      <c r="E1174" t="s">
        <v>342</v>
      </c>
      <c r="F1174" t="s">
        <v>622</v>
      </c>
      <c r="G1174">
        <v>48</v>
      </c>
      <c r="H1174">
        <v>30</v>
      </c>
      <c r="I1174">
        <v>6</v>
      </c>
      <c r="J1174">
        <v>2</v>
      </c>
      <c r="K1174" s="9">
        <v>3.6774193548387095</v>
      </c>
    </row>
    <row r="1175" spans="1:11" x14ac:dyDescent="0.45">
      <c r="A1175" t="s">
        <v>123</v>
      </c>
      <c r="B1175" t="s">
        <v>675</v>
      </c>
      <c r="C1175" t="s">
        <v>23</v>
      </c>
      <c r="D1175">
        <v>5</v>
      </c>
      <c r="E1175" t="s">
        <v>386</v>
      </c>
      <c r="F1175" t="s">
        <v>622</v>
      </c>
      <c r="G1175">
        <v>6</v>
      </c>
      <c r="H1175">
        <v>4</v>
      </c>
      <c r="I1175">
        <v>1</v>
      </c>
      <c r="J1175">
        <v>0</v>
      </c>
      <c r="K1175" s="9">
        <v>5.352380952380952</v>
      </c>
    </row>
    <row r="1176" spans="1:11" x14ac:dyDescent="0.45">
      <c r="A1176" t="s">
        <v>123</v>
      </c>
      <c r="B1176" t="s">
        <v>675</v>
      </c>
      <c r="C1176" t="s">
        <v>23</v>
      </c>
      <c r="D1176">
        <v>6</v>
      </c>
      <c r="E1176" t="s">
        <v>431</v>
      </c>
      <c r="F1176" t="s">
        <v>622</v>
      </c>
      <c r="G1176">
        <v>9</v>
      </c>
      <c r="H1176">
        <v>5</v>
      </c>
      <c r="I1176">
        <v>0</v>
      </c>
      <c r="J1176">
        <v>1</v>
      </c>
      <c r="K1176" s="9">
        <v>5.132075471698113</v>
      </c>
    </row>
    <row r="1177" spans="1:11" x14ac:dyDescent="0.45">
      <c r="A1177" t="s">
        <v>123</v>
      </c>
      <c r="B1177" t="s">
        <v>675</v>
      </c>
      <c r="C1177" t="s">
        <v>23</v>
      </c>
      <c r="D1177">
        <v>7</v>
      </c>
      <c r="E1177" t="s">
        <v>526</v>
      </c>
      <c r="F1177" t="s">
        <v>623</v>
      </c>
      <c r="G1177">
        <v>12</v>
      </c>
      <c r="H1177">
        <v>10</v>
      </c>
      <c r="I1177">
        <v>1</v>
      </c>
      <c r="J1177">
        <v>0</v>
      </c>
      <c r="K1177" s="9">
        <v>4.7179487179487181</v>
      </c>
    </row>
    <row r="1178" spans="1:11" x14ac:dyDescent="0.45">
      <c r="A1178" t="s">
        <v>123</v>
      </c>
      <c r="B1178" t="s">
        <v>675</v>
      </c>
      <c r="C1178" t="s">
        <v>23</v>
      </c>
      <c r="D1178">
        <v>8</v>
      </c>
      <c r="E1178" t="s">
        <v>370</v>
      </c>
      <c r="F1178" t="s">
        <v>623</v>
      </c>
      <c r="G1178">
        <v>3</v>
      </c>
      <c r="H1178">
        <v>3</v>
      </c>
      <c r="I1178">
        <v>0</v>
      </c>
      <c r="J1178">
        <v>0</v>
      </c>
      <c r="K1178" s="9">
        <v>5.6607142857142856</v>
      </c>
    </row>
    <row r="1179" spans="1:11" x14ac:dyDescent="0.45">
      <c r="A1179" t="s">
        <v>123</v>
      </c>
      <c r="B1179" t="s">
        <v>675</v>
      </c>
      <c r="C1179" t="s">
        <v>10</v>
      </c>
      <c r="D1179">
        <v>1</v>
      </c>
      <c r="E1179" t="s">
        <v>344</v>
      </c>
      <c r="F1179" t="s">
        <v>622</v>
      </c>
      <c r="G1179">
        <v>0</v>
      </c>
      <c r="H1179">
        <v>2</v>
      </c>
      <c r="I1179">
        <v>0</v>
      </c>
      <c r="J1179">
        <v>0</v>
      </c>
      <c r="K1179" s="9">
        <v>6.1385542168674698</v>
      </c>
    </row>
    <row r="1180" spans="1:11" x14ac:dyDescent="0.45">
      <c r="A1180" t="s">
        <v>123</v>
      </c>
      <c r="B1180" t="s">
        <v>675</v>
      </c>
      <c r="C1180" t="s">
        <v>10</v>
      </c>
      <c r="D1180">
        <v>2</v>
      </c>
      <c r="E1180" t="s">
        <v>442</v>
      </c>
      <c r="F1180" t="s">
        <v>623</v>
      </c>
      <c r="G1180">
        <v>52</v>
      </c>
      <c r="H1180">
        <v>41</v>
      </c>
      <c r="I1180">
        <v>5</v>
      </c>
      <c r="J1180">
        <v>1</v>
      </c>
      <c r="K1180" s="9">
        <v>3.0909090909090908</v>
      </c>
    </row>
    <row r="1181" spans="1:11" x14ac:dyDescent="0.45">
      <c r="A1181" t="s">
        <v>123</v>
      </c>
      <c r="B1181" t="s">
        <v>675</v>
      </c>
      <c r="C1181" t="s">
        <v>10</v>
      </c>
      <c r="D1181">
        <v>3</v>
      </c>
      <c r="E1181" t="s">
        <v>498</v>
      </c>
      <c r="F1181" t="s">
        <v>622</v>
      </c>
      <c r="G1181">
        <v>89</v>
      </c>
      <c r="H1181">
        <v>62</v>
      </c>
      <c r="I1181">
        <v>5</v>
      </c>
      <c r="J1181">
        <v>7</v>
      </c>
      <c r="K1181" s="9">
        <v>3.7777777777777777</v>
      </c>
    </row>
    <row r="1182" spans="1:11" x14ac:dyDescent="0.45">
      <c r="A1182" t="s">
        <v>123</v>
      </c>
      <c r="B1182" t="s">
        <v>675</v>
      </c>
      <c r="C1182" t="s">
        <v>10</v>
      </c>
      <c r="D1182">
        <v>4</v>
      </c>
      <c r="E1182" t="s">
        <v>334</v>
      </c>
      <c r="F1182" t="s">
        <v>623</v>
      </c>
      <c r="G1182">
        <v>13</v>
      </c>
      <c r="H1182">
        <v>4</v>
      </c>
      <c r="I1182">
        <v>0</v>
      </c>
      <c r="J1182">
        <v>2</v>
      </c>
      <c r="K1182" s="9">
        <v>5.352380952380952</v>
      </c>
    </row>
    <row r="1183" spans="1:11" x14ac:dyDescent="0.45">
      <c r="A1183" t="s">
        <v>125</v>
      </c>
      <c r="B1183" t="s">
        <v>676</v>
      </c>
      <c r="C1183" t="s">
        <v>101</v>
      </c>
      <c r="D1183">
        <v>1</v>
      </c>
      <c r="E1183" t="s">
        <v>380</v>
      </c>
      <c r="F1183" t="s">
        <v>622</v>
      </c>
      <c r="G1183">
        <v>5</v>
      </c>
      <c r="H1183">
        <v>11</v>
      </c>
      <c r="I1183">
        <v>1</v>
      </c>
      <c r="J1183">
        <v>0</v>
      </c>
      <c r="K1183" s="9">
        <v>4.9649122807017543</v>
      </c>
    </row>
    <row r="1184" spans="1:11" x14ac:dyDescent="0.45">
      <c r="A1184" t="s">
        <v>125</v>
      </c>
      <c r="B1184" t="s">
        <v>676</v>
      </c>
      <c r="C1184" t="s">
        <v>101</v>
      </c>
      <c r="D1184">
        <v>2</v>
      </c>
      <c r="E1184" t="s">
        <v>302</v>
      </c>
      <c r="F1184" t="s">
        <v>623</v>
      </c>
      <c r="G1184">
        <v>63</v>
      </c>
      <c r="H1184">
        <v>49</v>
      </c>
      <c r="I1184">
        <v>7</v>
      </c>
      <c r="J1184">
        <v>0</v>
      </c>
      <c r="K1184" s="9">
        <v>3.5714285714285716</v>
      </c>
    </row>
    <row r="1185" spans="1:11" x14ac:dyDescent="0.45">
      <c r="A1185" t="s">
        <v>125</v>
      </c>
      <c r="B1185" t="s">
        <v>676</v>
      </c>
      <c r="C1185" t="s">
        <v>101</v>
      </c>
      <c r="D1185">
        <v>3</v>
      </c>
      <c r="E1185" t="s">
        <v>488</v>
      </c>
      <c r="F1185" t="s">
        <v>622</v>
      </c>
      <c r="G1185">
        <v>10</v>
      </c>
      <c r="H1185">
        <v>7</v>
      </c>
      <c r="I1185">
        <v>2</v>
      </c>
      <c r="J1185">
        <v>0</v>
      </c>
      <c r="K1185" s="9">
        <v>4.927835051546392</v>
      </c>
    </row>
    <row r="1186" spans="1:11" x14ac:dyDescent="0.45">
      <c r="A1186" t="s">
        <v>125</v>
      </c>
      <c r="B1186" t="s">
        <v>676</v>
      </c>
      <c r="C1186" t="s">
        <v>101</v>
      </c>
      <c r="D1186">
        <v>4</v>
      </c>
      <c r="E1186" t="s">
        <v>361</v>
      </c>
      <c r="F1186" t="s">
        <v>622</v>
      </c>
      <c r="G1186">
        <v>11</v>
      </c>
      <c r="H1186">
        <v>13</v>
      </c>
      <c r="I1186">
        <v>0</v>
      </c>
      <c r="J1186">
        <v>0</v>
      </c>
      <c r="K1186" s="9">
        <v>4.8939393939393936</v>
      </c>
    </row>
    <row r="1187" spans="1:11" x14ac:dyDescent="0.45">
      <c r="A1187" t="s">
        <v>125</v>
      </c>
      <c r="B1187" t="s">
        <v>676</v>
      </c>
      <c r="C1187" t="s">
        <v>101</v>
      </c>
      <c r="D1187">
        <v>5</v>
      </c>
      <c r="E1187" t="s">
        <v>411</v>
      </c>
      <c r="F1187" t="s">
        <v>622</v>
      </c>
      <c r="G1187">
        <v>26</v>
      </c>
      <c r="H1187">
        <v>24</v>
      </c>
      <c r="I1187">
        <v>1</v>
      </c>
      <c r="J1187">
        <v>1</v>
      </c>
      <c r="K1187" s="9">
        <v>4.0606060606060606</v>
      </c>
    </row>
    <row r="1188" spans="1:11" x14ac:dyDescent="0.45">
      <c r="A1188" t="s">
        <v>125</v>
      </c>
      <c r="B1188" t="s">
        <v>676</v>
      </c>
      <c r="C1188" t="s">
        <v>101</v>
      </c>
      <c r="D1188">
        <v>6</v>
      </c>
      <c r="E1188" t="s">
        <v>390</v>
      </c>
      <c r="F1188" t="s">
        <v>623</v>
      </c>
      <c r="G1188">
        <v>22</v>
      </c>
      <c r="H1188">
        <v>16</v>
      </c>
      <c r="I1188">
        <v>4</v>
      </c>
      <c r="J1188">
        <v>0</v>
      </c>
      <c r="K1188" s="9">
        <v>4.7608695652173916</v>
      </c>
    </row>
    <row r="1189" spans="1:11" x14ac:dyDescent="0.45">
      <c r="A1189" t="s">
        <v>125</v>
      </c>
      <c r="B1189" t="s">
        <v>676</v>
      </c>
      <c r="C1189" t="s">
        <v>104</v>
      </c>
      <c r="D1189">
        <v>1</v>
      </c>
      <c r="E1189" t="s">
        <v>422</v>
      </c>
      <c r="F1189" t="s">
        <v>622</v>
      </c>
      <c r="G1189">
        <v>11</v>
      </c>
      <c r="H1189">
        <v>10</v>
      </c>
      <c r="I1189">
        <v>0</v>
      </c>
      <c r="J1189">
        <v>1</v>
      </c>
      <c r="K1189" s="9">
        <v>4.7179487179487181</v>
      </c>
    </row>
    <row r="1190" spans="1:11" x14ac:dyDescent="0.45">
      <c r="A1190" t="s">
        <v>125</v>
      </c>
      <c r="B1190" t="s">
        <v>676</v>
      </c>
      <c r="C1190" t="s">
        <v>104</v>
      </c>
      <c r="D1190">
        <v>2</v>
      </c>
      <c r="E1190" t="s">
        <v>397</v>
      </c>
      <c r="F1190" t="s">
        <v>622</v>
      </c>
      <c r="G1190">
        <v>8</v>
      </c>
      <c r="H1190">
        <v>16</v>
      </c>
      <c r="I1190">
        <v>1</v>
      </c>
      <c r="J1190">
        <v>0</v>
      </c>
      <c r="K1190" s="9">
        <v>4.7608695652173916</v>
      </c>
    </row>
    <row r="1191" spans="1:11" x14ac:dyDescent="0.45">
      <c r="A1191" t="s">
        <v>125</v>
      </c>
      <c r="B1191" t="s">
        <v>676</v>
      </c>
      <c r="C1191" t="s">
        <v>104</v>
      </c>
      <c r="D1191">
        <v>3</v>
      </c>
      <c r="E1191" t="s">
        <v>426</v>
      </c>
      <c r="F1191" t="s">
        <v>622</v>
      </c>
      <c r="G1191">
        <v>27</v>
      </c>
      <c r="H1191">
        <v>26</v>
      </c>
      <c r="I1191">
        <v>3</v>
      </c>
      <c r="J1191">
        <v>0</v>
      </c>
      <c r="K1191" s="9">
        <v>4.1568627450980395</v>
      </c>
    </row>
    <row r="1192" spans="1:11" x14ac:dyDescent="0.45">
      <c r="A1192" t="s">
        <v>125</v>
      </c>
      <c r="B1192" t="s">
        <v>676</v>
      </c>
      <c r="C1192" t="s">
        <v>104</v>
      </c>
      <c r="D1192">
        <v>4</v>
      </c>
      <c r="E1192" t="s">
        <v>528</v>
      </c>
      <c r="F1192" t="s">
        <v>622</v>
      </c>
      <c r="G1192">
        <v>4</v>
      </c>
      <c r="H1192">
        <v>4</v>
      </c>
      <c r="I1192">
        <v>1</v>
      </c>
      <c r="J1192">
        <v>0</v>
      </c>
      <c r="K1192" s="9">
        <v>5.352380952380952</v>
      </c>
    </row>
    <row r="1193" spans="1:11" x14ac:dyDescent="0.45">
      <c r="A1193" t="s">
        <v>125</v>
      </c>
      <c r="B1193" t="s">
        <v>676</v>
      </c>
      <c r="C1193" t="s">
        <v>104</v>
      </c>
      <c r="D1193">
        <v>5</v>
      </c>
      <c r="E1193" t="s">
        <v>366</v>
      </c>
      <c r="F1193" t="s">
        <v>622</v>
      </c>
      <c r="G1193">
        <v>5</v>
      </c>
      <c r="H1193">
        <v>5</v>
      </c>
      <c r="I1193">
        <v>1</v>
      </c>
      <c r="J1193">
        <v>0</v>
      </c>
      <c r="K1193" s="9">
        <v>5.132075471698113</v>
      </c>
    </row>
    <row r="1194" spans="1:11" x14ac:dyDescent="0.45">
      <c r="A1194" t="s">
        <v>125</v>
      </c>
      <c r="B1194" t="s">
        <v>676</v>
      </c>
      <c r="C1194" t="s">
        <v>104</v>
      </c>
      <c r="D1194">
        <v>6</v>
      </c>
      <c r="E1194" t="s">
        <v>521</v>
      </c>
      <c r="F1194" t="s">
        <v>622</v>
      </c>
      <c r="G1194">
        <v>8</v>
      </c>
      <c r="H1194">
        <v>11</v>
      </c>
      <c r="I1194">
        <v>1</v>
      </c>
      <c r="J1194">
        <v>0</v>
      </c>
      <c r="K1194" s="9">
        <v>4.9649122807017543</v>
      </c>
    </row>
    <row r="1195" spans="1:11" x14ac:dyDescent="0.45">
      <c r="A1195" t="s">
        <v>125</v>
      </c>
      <c r="B1195" t="s">
        <v>676</v>
      </c>
      <c r="C1195" t="s">
        <v>104</v>
      </c>
      <c r="D1195">
        <v>7</v>
      </c>
      <c r="E1195" t="s">
        <v>331</v>
      </c>
      <c r="F1195" t="s">
        <v>622</v>
      </c>
      <c r="G1195">
        <v>2</v>
      </c>
      <c r="H1195">
        <v>2</v>
      </c>
      <c r="I1195">
        <v>0</v>
      </c>
      <c r="J1195">
        <v>0</v>
      </c>
      <c r="K1195" s="9">
        <v>6.1385542168674698</v>
      </c>
    </row>
    <row r="1196" spans="1:11" x14ac:dyDescent="0.45">
      <c r="A1196" t="s">
        <v>125</v>
      </c>
      <c r="B1196" t="s">
        <v>676</v>
      </c>
      <c r="C1196" t="s">
        <v>104</v>
      </c>
      <c r="D1196">
        <v>8</v>
      </c>
      <c r="E1196" t="s">
        <v>378</v>
      </c>
      <c r="F1196" t="s">
        <v>622</v>
      </c>
      <c r="G1196">
        <v>1</v>
      </c>
      <c r="H1196">
        <v>2</v>
      </c>
      <c r="I1196">
        <v>0</v>
      </c>
      <c r="J1196">
        <v>0</v>
      </c>
      <c r="K1196" s="9">
        <v>6.1385542168674698</v>
      </c>
    </row>
    <row r="1197" spans="1:11" x14ac:dyDescent="0.45">
      <c r="A1197" t="s">
        <v>125</v>
      </c>
      <c r="B1197" t="s">
        <v>676</v>
      </c>
      <c r="C1197" t="s">
        <v>104</v>
      </c>
      <c r="D1197">
        <v>9</v>
      </c>
      <c r="E1197" t="s">
        <v>492</v>
      </c>
      <c r="F1197" t="s">
        <v>622</v>
      </c>
      <c r="G1197">
        <v>1</v>
      </c>
      <c r="H1197">
        <v>3</v>
      </c>
      <c r="I1197">
        <v>0</v>
      </c>
      <c r="J1197">
        <v>0</v>
      </c>
      <c r="K1197" s="9">
        <v>5.6607142857142856</v>
      </c>
    </row>
    <row r="1198" spans="1:11" x14ac:dyDescent="0.45">
      <c r="A1198" t="s">
        <v>125</v>
      </c>
      <c r="B1198" t="s">
        <v>676</v>
      </c>
      <c r="C1198" t="s">
        <v>104</v>
      </c>
      <c r="D1198">
        <v>10</v>
      </c>
      <c r="E1198" t="s">
        <v>491</v>
      </c>
      <c r="F1198" t="s">
        <v>623</v>
      </c>
      <c r="G1198">
        <v>0</v>
      </c>
      <c r="H1198">
        <v>0</v>
      </c>
      <c r="I1198">
        <v>0</v>
      </c>
      <c r="J1198">
        <v>0</v>
      </c>
      <c r="K1198" s="9">
        <v>6.2519685039370083</v>
      </c>
    </row>
    <row r="1199" spans="1:11" x14ac:dyDescent="0.45">
      <c r="A1199" t="s">
        <v>125</v>
      </c>
      <c r="B1199" t="s">
        <v>676</v>
      </c>
      <c r="C1199" t="s">
        <v>104</v>
      </c>
      <c r="D1199">
        <v>11</v>
      </c>
      <c r="E1199" t="s">
        <v>340</v>
      </c>
      <c r="F1199" t="s">
        <v>622</v>
      </c>
      <c r="G1199">
        <v>12</v>
      </c>
      <c r="H1199">
        <v>4</v>
      </c>
      <c r="I1199">
        <v>0</v>
      </c>
      <c r="J1199">
        <v>2</v>
      </c>
      <c r="K1199" s="9">
        <v>5.352380952380952</v>
      </c>
    </row>
    <row r="1200" spans="1:11" x14ac:dyDescent="0.45">
      <c r="A1200" t="s">
        <v>127</v>
      </c>
      <c r="B1200" t="s">
        <v>677</v>
      </c>
      <c r="C1200" t="s">
        <v>7</v>
      </c>
      <c r="D1200">
        <v>1</v>
      </c>
      <c r="E1200" t="s">
        <v>304</v>
      </c>
      <c r="F1200" t="s">
        <v>622</v>
      </c>
      <c r="G1200">
        <v>43</v>
      </c>
      <c r="H1200">
        <v>24</v>
      </c>
      <c r="I1200">
        <v>3</v>
      </c>
      <c r="J1200">
        <v>4</v>
      </c>
      <c r="K1200" s="9">
        <v>4.0606060606060606</v>
      </c>
    </row>
    <row r="1201" spans="1:11" x14ac:dyDescent="0.45">
      <c r="A1201" t="s">
        <v>127</v>
      </c>
      <c r="B1201" t="s">
        <v>677</v>
      </c>
      <c r="C1201" t="s">
        <v>7</v>
      </c>
      <c r="D1201">
        <v>2</v>
      </c>
      <c r="E1201" t="s">
        <v>481</v>
      </c>
      <c r="F1201" t="s">
        <v>622</v>
      </c>
      <c r="G1201">
        <v>25</v>
      </c>
      <c r="H1201">
        <v>24</v>
      </c>
      <c r="I1201">
        <v>3</v>
      </c>
      <c r="J1201">
        <v>0</v>
      </c>
      <c r="K1201" s="9">
        <v>4.0606060606060606</v>
      </c>
    </row>
    <row r="1202" spans="1:11" x14ac:dyDescent="0.45">
      <c r="A1202" t="s">
        <v>127</v>
      </c>
      <c r="B1202" t="s">
        <v>677</v>
      </c>
      <c r="C1202" t="s">
        <v>7</v>
      </c>
      <c r="D1202">
        <v>3</v>
      </c>
      <c r="E1202" t="s">
        <v>306</v>
      </c>
      <c r="F1202" t="s">
        <v>622</v>
      </c>
      <c r="G1202">
        <v>43</v>
      </c>
      <c r="H1202">
        <v>26</v>
      </c>
      <c r="I1202">
        <v>3</v>
      </c>
      <c r="J1202">
        <v>4</v>
      </c>
      <c r="K1202" s="9">
        <v>4.1568627450980395</v>
      </c>
    </row>
    <row r="1203" spans="1:11" x14ac:dyDescent="0.45">
      <c r="A1203" t="s">
        <v>127</v>
      </c>
      <c r="B1203" t="s">
        <v>677</v>
      </c>
      <c r="C1203" t="s">
        <v>7</v>
      </c>
      <c r="D1203">
        <v>4</v>
      </c>
      <c r="E1203" t="s">
        <v>332</v>
      </c>
      <c r="F1203" t="s">
        <v>622</v>
      </c>
      <c r="G1203">
        <v>6</v>
      </c>
      <c r="H1203">
        <v>8</v>
      </c>
      <c r="I1203">
        <v>1</v>
      </c>
      <c r="J1203">
        <v>0</v>
      </c>
      <c r="K1203" s="9">
        <v>4.9029126213592233</v>
      </c>
    </row>
    <row r="1204" spans="1:11" x14ac:dyDescent="0.45">
      <c r="A1204" t="s">
        <v>127</v>
      </c>
      <c r="B1204" t="s">
        <v>677</v>
      </c>
      <c r="C1204" t="s">
        <v>7</v>
      </c>
      <c r="D1204">
        <v>5</v>
      </c>
      <c r="E1204" t="s">
        <v>440</v>
      </c>
      <c r="F1204" t="s">
        <v>622</v>
      </c>
      <c r="G1204">
        <v>9</v>
      </c>
      <c r="H1204">
        <v>5</v>
      </c>
      <c r="I1204">
        <v>0</v>
      </c>
      <c r="J1204">
        <v>1</v>
      </c>
      <c r="K1204" s="9">
        <v>5.132075471698113</v>
      </c>
    </row>
    <row r="1205" spans="1:11" x14ac:dyDescent="0.45">
      <c r="A1205" t="s">
        <v>127</v>
      </c>
      <c r="B1205" t="s">
        <v>677</v>
      </c>
      <c r="C1205" t="s">
        <v>7</v>
      </c>
      <c r="D1205">
        <v>6</v>
      </c>
      <c r="E1205" t="s">
        <v>514</v>
      </c>
      <c r="F1205" t="s">
        <v>623</v>
      </c>
      <c r="G1205">
        <v>23</v>
      </c>
      <c r="H1205">
        <v>19</v>
      </c>
      <c r="I1205">
        <v>2</v>
      </c>
      <c r="J1205">
        <v>1</v>
      </c>
      <c r="K1205" s="9">
        <v>4.5660377358490569</v>
      </c>
    </row>
    <row r="1206" spans="1:11" x14ac:dyDescent="0.45">
      <c r="A1206" t="s">
        <v>127</v>
      </c>
      <c r="B1206" t="s">
        <v>677</v>
      </c>
      <c r="C1206" t="s">
        <v>7</v>
      </c>
      <c r="D1206">
        <v>7</v>
      </c>
      <c r="E1206" t="s">
        <v>529</v>
      </c>
      <c r="F1206" t="s">
        <v>622</v>
      </c>
      <c r="G1206">
        <v>5</v>
      </c>
      <c r="H1206">
        <v>7</v>
      </c>
      <c r="I1206">
        <v>0</v>
      </c>
      <c r="J1206">
        <v>0</v>
      </c>
      <c r="K1206" s="9">
        <v>4.927835051546392</v>
      </c>
    </row>
    <row r="1207" spans="1:11" x14ac:dyDescent="0.45">
      <c r="A1207" t="s">
        <v>127</v>
      </c>
      <c r="B1207" t="s">
        <v>677</v>
      </c>
      <c r="C1207" t="s">
        <v>7</v>
      </c>
      <c r="D1207">
        <v>8</v>
      </c>
      <c r="E1207" t="s">
        <v>465</v>
      </c>
      <c r="F1207" t="s">
        <v>622</v>
      </c>
      <c r="G1207">
        <v>0</v>
      </c>
      <c r="H1207">
        <v>2</v>
      </c>
      <c r="I1207">
        <v>0</v>
      </c>
      <c r="J1207">
        <v>0</v>
      </c>
      <c r="K1207" s="9">
        <v>6.1385542168674698</v>
      </c>
    </row>
    <row r="1208" spans="1:11" x14ac:dyDescent="0.45">
      <c r="A1208" t="s">
        <v>127</v>
      </c>
      <c r="B1208" t="s">
        <v>677</v>
      </c>
      <c r="C1208" t="s">
        <v>7</v>
      </c>
      <c r="D1208">
        <v>9</v>
      </c>
      <c r="E1208" t="s">
        <v>308</v>
      </c>
      <c r="F1208" t="s">
        <v>622</v>
      </c>
      <c r="G1208">
        <v>0</v>
      </c>
      <c r="H1208">
        <v>1</v>
      </c>
      <c r="I1208">
        <v>0</v>
      </c>
      <c r="J1208">
        <v>0</v>
      </c>
      <c r="K1208" s="9">
        <v>6.5693779904306222</v>
      </c>
    </row>
    <row r="1209" spans="1:11" x14ac:dyDescent="0.45">
      <c r="A1209" t="s">
        <v>127</v>
      </c>
      <c r="B1209" t="s">
        <v>677</v>
      </c>
      <c r="C1209" t="s">
        <v>7</v>
      </c>
      <c r="D1209">
        <v>10</v>
      </c>
      <c r="E1209" t="s">
        <v>415</v>
      </c>
      <c r="F1209" t="s">
        <v>622</v>
      </c>
      <c r="G1209">
        <v>0</v>
      </c>
      <c r="H1209">
        <v>4</v>
      </c>
      <c r="I1209">
        <v>0</v>
      </c>
      <c r="J1209">
        <v>0</v>
      </c>
      <c r="K1209" s="9">
        <v>5.352380952380952</v>
      </c>
    </row>
    <row r="1210" spans="1:11" x14ac:dyDescent="0.45">
      <c r="A1210" t="s">
        <v>127</v>
      </c>
      <c r="B1210" t="s">
        <v>677</v>
      </c>
      <c r="C1210" t="s">
        <v>7</v>
      </c>
      <c r="D1210">
        <v>11</v>
      </c>
      <c r="E1210" t="s">
        <v>322</v>
      </c>
      <c r="F1210" t="s">
        <v>623</v>
      </c>
      <c r="G1210">
        <v>0</v>
      </c>
      <c r="H1210">
        <v>0</v>
      </c>
      <c r="I1210">
        <v>0</v>
      </c>
      <c r="J1210">
        <v>0</v>
      </c>
      <c r="K1210" s="9">
        <v>6.2519685039370083</v>
      </c>
    </row>
    <row r="1211" spans="1:11" x14ac:dyDescent="0.45">
      <c r="A1211" t="s">
        <v>127</v>
      </c>
      <c r="B1211" t="s">
        <v>677</v>
      </c>
      <c r="C1211" t="s">
        <v>19</v>
      </c>
      <c r="D1211">
        <v>1</v>
      </c>
      <c r="E1211" t="s">
        <v>359</v>
      </c>
      <c r="F1211" t="s">
        <v>622</v>
      </c>
      <c r="G1211">
        <v>2</v>
      </c>
      <c r="H1211">
        <v>6</v>
      </c>
      <c r="I1211">
        <v>0</v>
      </c>
      <c r="J1211">
        <v>0</v>
      </c>
      <c r="K1211" s="9">
        <v>5.4565217391304346</v>
      </c>
    </row>
    <row r="1212" spans="1:11" x14ac:dyDescent="0.45">
      <c r="A1212" t="s">
        <v>127</v>
      </c>
      <c r="B1212" t="s">
        <v>677</v>
      </c>
      <c r="C1212" t="s">
        <v>19</v>
      </c>
      <c r="D1212">
        <v>2</v>
      </c>
      <c r="E1212" t="s">
        <v>360</v>
      </c>
      <c r="F1212" t="s">
        <v>622</v>
      </c>
      <c r="G1212">
        <v>51</v>
      </c>
      <c r="H1212">
        <v>43</v>
      </c>
      <c r="I1212">
        <v>5</v>
      </c>
      <c r="J1212">
        <v>1</v>
      </c>
      <c r="K1212" s="9">
        <v>2.8888888888888888</v>
      </c>
    </row>
    <row r="1213" spans="1:11" x14ac:dyDescent="0.45">
      <c r="A1213" t="s">
        <v>127</v>
      </c>
      <c r="B1213" t="s">
        <v>677</v>
      </c>
      <c r="C1213" t="s">
        <v>19</v>
      </c>
      <c r="D1213">
        <v>3</v>
      </c>
      <c r="E1213" t="s">
        <v>502</v>
      </c>
      <c r="F1213" t="s">
        <v>622</v>
      </c>
      <c r="G1213">
        <v>6</v>
      </c>
      <c r="H1213">
        <v>5</v>
      </c>
      <c r="I1213">
        <v>1</v>
      </c>
      <c r="J1213">
        <v>0</v>
      </c>
      <c r="K1213" s="9">
        <v>5.132075471698113</v>
      </c>
    </row>
    <row r="1214" spans="1:11" x14ac:dyDescent="0.45">
      <c r="A1214" t="s">
        <v>127</v>
      </c>
      <c r="B1214" t="s">
        <v>677</v>
      </c>
      <c r="C1214" t="s">
        <v>19</v>
      </c>
      <c r="D1214">
        <v>4</v>
      </c>
      <c r="E1214" t="s">
        <v>503</v>
      </c>
      <c r="F1214" t="s">
        <v>622</v>
      </c>
      <c r="G1214">
        <v>12</v>
      </c>
      <c r="H1214">
        <v>16</v>
      </c>
      <c r="I1214">
        <v>0</v>
      </c>
      <c r="J1214">
        <v>0</v>
      </c>
      <c r="K1214" s="9">
        <v>4.7608695652173916</v>
      </c>
    </row>
    <row r="1215" spans="1:11" x14ac:dyDescent="0.45">
      <c r="A1215" t="s">
        <v>127</v>
      </c>
      <c r="B1215" t="s">
        <v>677</v>
      </c>
      <c r="C1215" t="s">
        <v>19</v>
      </c>
      <c r="D1215">
        <v>5</v>
      </c>
      <c r="E1215" t="s">
        <v>447</v>
      </c>
      <c r="F1215" t="s">
        <v>622</v>
      </c>
      <c r="G1215">
        <v>13</v>
      </c>
      <c r="H1215">
        <v>9</v>
      </c>
      <c r="I1215">
        <v>3</v>
      </c>
      <c r="J1215">
        <v>0</v>
      </c>
      <c r="K1215" s="9">
        <v>4.924050632911392</v>
      </c>
    </row>
    <row r="1216" spans="1:11" x14ac:dyDescent="0.45">
      <c r="A1216" t="s">
        <v>127</v>
      </c>
      <c r="B1216" t="s">
        <v>677</v>
      </c>
      <c r="C1216" t="s">
        <v>19</v>
      </c>
      <c r="D1216">
        <v>6</v>
      </c>
      <c r="E1216" t="s">
        <v>362</v>
      </c>
      <c r="F1216" t="s">
        <v>622</v>
      </c>
      <c r="G1216">
        <v>15</v>
      </c>
      <c r="H1216">
        <v>16</v>
      </c>
      <c r="I1216">
        <v>0</v>
      </c>
      <c r="J1216">
        <v>1</v>
      </c>
      <c r="K1216" s="9">
        <v>4.7608695652173916</v>
      </c>
    </row>
    <row r="1217" spans="1:11" x14ac:dyDescent="0.45">
      <c r="A1217" t="s">
        <v>127</v>
      </c>
      <c r="B1217" t="s">
        <v>677</v>
      </c>
      <c r="C1217" t="s">
        <v>19</v>
      </c>
      <c r="D1217">
        <v>7</v>
      </c>
      <c r="E1217" t="s">
        <v>464</v>
      </c>
      <c r="F1217" t="s">
        <v>622</v>
      </c>
      <c r="G1217">
        <v>1</v>
      </c>
      <c r="H1217">
        <v>2</v>
      </c>
      <c r="I1217">
        <v>0</v>
      </c>
      <c r="J1217">
        <v>0</v>
      </c>
      <c r="K1217" s="9">
        <v>6.1385542168674698</v>
      </c>
    </row>
    <row r="1218" spans="1:11" x14ac:dyDescent="0.45">
      <c r="A1218" t="s">
        <v>127</v>
      </c>
      <c r="B1218" t="s">
        <v>677</v>
      </c>
      <c r="C1218" t="s">
        <v>19</v>
      </c>
      <c r="D1218">
        <v>8</v>
      </c>
      <c r="E1218" t="s">
        <v>473</v>
      </c>
      <c r="F1218" t="s">
        <v>622</v>
      </c>
      <c r="G1218">
        <v>0</v>
      </c>
      <c r="H1218">
        <v>2</v>
      </c>
      <c r="I1218">
        <v>0</v>
      </c>
      <c r="J1218">
        <v>0</v>
      </c>
      <c r="K1218" s="9">
        <v>6.1385542168674698</v>
      </c>
    </row>
    <row r="1219" spans="1:11" x14ac:dyDescent="0.45">
      <c r="A1219" t="s">
        <v>127</v>
      </c>
      <c r="B1219" t="s">
        <v>677</v>
      </c>
      <c r="C1219" t="s">
        <v>19</v>
      </c>
      <c r="D1219">
        <v>9</v>
      </c>
      <c r="E1219" t="s">
        <v>524</v>
      </c>
      <c r="F1219" t="s">
        <v>622</v>
      </c>
      <c r="G1219">
        <v>3</v>
      </c>
      <c r="H1219">
        <v>5</v>
      </c>
      <c r="I1219">
        <v>0</v>
      </c>
      <c r="J1219">
        <v>0</v>
      </c>
      <c r="K1219" s="9">
        <v>5.132075471698113</v>
      </c>
    </row>
    <row r="1220" spans="1:11" x14ac:dyDescent="0.45">
      <c r="A1220" t="s">
        <v>127</v>
      </c>
      <c r="B1220" t="s">
        <v>677</v>
      </c>
      <c r="C1220" t="s">
        <v>19</v>
      </c>
      <c r="D1220">
        <v>10</v>
      </c>
      <c r="E1220" t="s">
        <v>369</v>
      </c>
      <c r="F1220" t="s">
        <v>622</v>
      </c>
      <c r="G1220">
        <v>0</v>
      </c>
      <c r="H1220">
        <v>0</v>
      </c>
      <c r="I1220">
        <v>0</v>
      </c>
      <c r="J1220">
        <v>0</v>
      </c>
      <c r="K1220" s="9">
        <v>6.2519685039370083</v>
      </c>
    </row>
    <row r="1221" spans="1:11" x14ac:dyDescent="0.45">
      <c r="A1221" t="s">
        <v>127</v>
      </c>
      <c r="B1221" t="s">
        <v>677</v>
      </c>
      <c r="C1221" t="s">
        <v>19</v>
      </c>
      <c r="D1221">
        <v>11</v>
      </c>
      <c r="E1221" t="s">
        <v>457</v>
      </c>
      <c r="F1221" t="s">
        <v>623</v>
      </c>
      <c r="G1221">
        <v>0</v>
      </c>
      <c r="H1221">
        <v>1</v>
      </c>
      <c r="I1221">
        <v>0</v>
      </c>
      <c r="J1221">
        <v>0</v>
      </c>
      <c r="K1221" s="9">
        <v>6.5693779904306222</v>
      </c>
    </row>
    <row r="1222" spans="1:11" x14ac:dyDescent="0.45">
      <c r="A1222" t="s">
        <v>129</v>
      </c>
      <c r="B1222" t="s">
        <v>633</v>
      </c>
      <c r="C1222" t="s">
        <v>6</v>
      </c>
      <c r="D1222">
        <v>1</v>
      </c>
      <c r="E1222" t="s">
        <v>290</v>
      </c>
      <c r="F1222" t="s">
        <v>622</v>
      </c>
      <c r="G1222">
        <v>41</v>
      </c>
      <c r="H1222">
        <v>33</v>
      </c>
      <c r="I1222">
        <v>4</v>
      </c>
      <c r="J1222">
        <v>1</v>
      </c>
      <c r="K1222" s="9">
        <v>2.8421052631578947</v>
      </c>
    </row>
    <row r="1223" spans="1:11" x14ac:dyDescent="0.45">
      <c r="A1223" t="s">
        <v>129</v>
      </c>
      <c r="B1223" t="s">
        <v>633</v>
      </c>
      <c r="C1223" t="s">
        <v>6</v>
      </c>
      <c r="D1223">
        <v>2</v>
      </c>
      <c r="E1223" t="s">
        <v>505</v>
      </c>
      <c r="F1223" t="s">
        <v>622</v>
      </c>
      <c r="G1223">
        <v>87</v>
      </c>
      <c r="H1223">
        <v>49</v>
      </c>
      <c r="I1223">
        <v>7</v>
      </c>
      <c r="J1223">
        <v>5</v>
      </c>
      <c r="K1223" s="9">
        <v>3.5714285714285716</v>
      </c>
    </row>
    <row r="1224" spans="1:11" x14ac:dyDescent="0.45">
      <c r="A1224" t="s">
        <v>129</v>
      </c>
      <c r="B1224" t="s">
        <v>633</v>
      </c>
      <c r="C1224" t="s">
        <v>6</v>
      </c>
      <c r="D1224">
        <v>3</v>
      </c>
      <c r="E1224" t="s">
        <v>387</v>
      </c>
      <c r="F1224" t="s">
        <v>622</v>
      </c>
      <c r="G1224">
        <v>32</v>
      </c>
      <c r="H1224">
        <v>19</v>
      </c>
      <c r="I1224">
        <v>2</v>
      </c>
      <c r="J1224">
        <v>2</v>
      </c>
      <c r="K1224" s="9">
        <v>4.5660377358490569</v>
      </c>
    </row>
    <row r="1225" spans="1:11" x14ac:dyDescent="0.45">
      <c r="A1225" t="s">
        <v>129</v>
      </c>
      <c r="B1225" t="s">
        <v>633</v>
      </c>
      <c r="C1225" t="s">
        <v>6</v>
      </c>
      <c r="D1225">
        <v>4</v>
      </c>
      <c r="E1225" t="s">
        <v>355</v>
      </c>
      <c r="F1225" t="s">
        <v>622</v>
      </c>
      <c r="G1225">
        <v>5</v>
      </c>
      <c r="H1225">
        <v>6</v>
      </c>
      <c r="I1225">
        <v>1</v>
      </c>
      <c r="J1225">
        <v>0</v>
      </c>
      <c r="K1225" s="9">
        <v>5.4565217391304346</v>
      </c>
    </row>
    <row r="1226" spans="1:11" x14ac:dyDescent="0.45">
      <c r="A1226" t="s">
        <v>129</v>
      </c>
      <c r="B1226" t="s">
        <v>633</v>
      </c>
      <c r="C1226" t="s">
        <v>6</v>
      </c>
      <c r="D1226">
        <v>5</v>
      </c>
      <c r="E1226" t="s">
        <v>356</v>
      </c>
      <c r="F1226" t="s">
        <v>623</v>
      </c>
      <c r="G1226">
        <v>21</v>
      </c>
      <c r="H1226">
        <v>8</v>
      </c>
      <c r="I1226">
        <v>1</v>
      </c>
      <c r="J1226">
        <v>2</v>
      </c>
      <c r="K1226" s="9">
        <v>4.9029126213592233</v>
      </c>
    </row>
    <row r="1227" spans="1:11" x14ac:dyDescent="0.45">
      <c r="A1227" t="s">
        <v>129</v>
      </c>
      <c r="B1227" t="s">
        <v>633</v>
      </c>
      <c r="C1227" t="s">
        <v>6</v>
      </c>
      <c r="D1227">
        <v>6</v>
      </c>
      <c r="E1227" t="s">
        <v>299</v>
      </c>
      <c r="F1227" t="s">
        <v>622</v>
      </c>
      <c r="G1227">
        <v>9</v>
      </c>
      <c r="H1227">
        <v>4</v>
      </c>
      <c r="I1227">
        <v>2</v>
      </c>
      <c r="J1227">
        <v>0</v>
      </c>
      <c r="K1227" s="9">
        <v>5.352380952380952</v>
      </c>
    </row>
    <row r="1228" spans="1:11" x14ac:dyDescent="0.45">
      <c r="A1228" t="s">
        <v>129</v>
      </c>
      <c r="B1228" t="s">
        <v>633</v>
      </c>
      <c r="C1228" t="s">
        <v>6</v>
      </c>
      <c r="D1228">
        <v>7</v>
      </c>
      <c r="E1228" t="s">
        <v>297</v>
      </c>
      <c r="F1228" t="s">
        <v>622</v>
      </c>
      <c r="G1228">
        <v>0</v>
      </c>
      <c r="H1228">
        <v>1</v>
      </c>
      <c r="I1228">
        <v>0</v>
      </c>
      <c r="J1228">
        <v>0</v>
      </c>
      <c r="K1228" s="9">
        <v>6.5693779904306222</v>
      </c>
    </row>
    <row r="1229" spans="1:11" x14ac:dyDescent="0.45">
      <c r="A1229" t="s">
        <v>129</v>
      </c>
      <c r="B1229" t="s">
        <v>633</v>
      </c>
      <c r="C1229" t="s">
        <v>6</v>
      </c>
      <c r="D1229">
        <v>8</v>
      </c>
      <c r="E1229" t="s">
        <v>327</v>
      </c>
      <c r="F1229" t="s">
        <v>623</v>
      </c>
      <c r="G1229">
        <v>1</v>
      </c>
      <c r="H1229">
        <v>1</v>
      </c>
      <c r="I1229">
        <v>0</v>
      </c>
      <c r="J1229">
        <v>0</v>
      </c>
      <c r="K1229" s="9">
        <v>6.5693779904306222</v>
      </c>
    </row>
    <row r="1230" spans="1:11" x14ac:dyDescent="0.45">
      <c r="A1230" t="s">
        <v>129</v>
      </c>
      <c r="B1230" t="s">
        <v>633</v>
      </c>
      <c r="C1230" t="s">
        <v>10</v>
      </c>
      <c r="D1230">
        <v>1</v>
      </c>
      <c r="E1230" t="s">
        <v>442</v>
      </c>
      <c r="F1230" t="s">
        <v>622</v>
      </c>
      <c r="G1230">
        <v>19</v>
      </c>
      <c r="H1230">
        <v>12</v>
      </c>
      <c r="I1230">
        <v>1</v>
      </c>
      <c r="J1230">
        <v>2</v>
      </c>
      <c r="K1230" s="9">
        <v>4.8024691358024691</v>
      </c>
    </row>
    <row r="1231" spans="1:11" x14ac:dyDescent="0.45">
      <c r="A1231" t="s">
        <v>129</v>
      </c>
      <c r="B1231" t="s">
        <v>633</v>
      </c>
      <c r="C1231" t="s">
        <v>10</v>
      </c>
      <c r="D1231">
        <v>2</v>
      </c>
      <c r="E1231" t="s">
        <v>344</v>
      </c>
      <c r="F1231" t="s">
        <v>622</v>
      </c>
      <c r="G1231">
        <v>8</v>
      </c>
      <c r="H1231">
        <v>5</v>
      </c>
      <c r="I1231">
        <v>2</v>
      </c>
      <c r="J1231">
        <v>0</v>
      </c>
      <c r="K1231" s="9">
        <v>5.132075471698113</v>
      </c>
    </row>
    <row r="1232" spans="1:11" x14ac:dyDescent="0.45">
      <c r="A1232" t="s">
        <v>129</v>
      </c>
      <c r="B1232" t="s">
        <v>633</v>
      </c>
      <c r="C1232" t="s">
        <v>10</v>
      </c>
      <c r="D1232">
        <v>3</v>
      </c>
      <c r="E1232" t="s">
        <v>498</v>
      </c>
      <c r="F1232" t="s">
        <v>622</v>
      </c>
      <c r="G1232">
        <v>25</v>
      </c>
      <c r="H1232">
        <v>20</v>
      </c>
      <c r="I1232">
        <v>3</v>
      </c>
      <c r="J1232">
        <v>1</v>
      </c>
      <c r="K1232" s="9">
        <v>4.9473684210526319</v>
      </c>
    </row>
    <row r="1233" spans="1:11" x14ac:dyDescent="0.45">
      <c r="A1233" t="s">
        <v>129</v>
      </c>
      <c r="B1233" t="s">
        <v>633</v>
      </c>
      <c r="C1233" t="s">
        <v>10</v>
      </c>
      <c r="D1233">
        <v>4</v>
      </c>
      <c r="E1233" t="s">
        <v>334</v>
      </c>
      <c r="F1233" t="s">
        <v>622</v>
      </c>
      <c r="G1233">
        <v>21</v>
      </c>
      <c r="H1233">
        <v>11</v>
      </c>
      <c r="I1233">
        <v>4</v>
      </c>
      <c r="J1233">
        <v>0</v>
      </c>
      <c r="K1233" s="9">
        <v>4.9649122807017543</v>
      </c>
    </row>
    <row r="1234" spans="1:11" x14ac:dyDescent="0.45">
      <c r="A1234" t="s">
        <v>129</v>
      </c>
      <c r="B1234" t="s">
        <v>633</v>
      </c>
      <c r="C1234" t="s">
        <v>10</v>
      </c>
      <c r="D1234">
        <v>5</v>
      </c>
      <c r="E1234" t="s">
        <v>499</v>
      </c>
      <c r="F1234" t="s">
        <v>622</v>
      </c>
      <c r="G1234">
        <v>3</v>
      </c>
      <c r="H1234">
        <v>9</v>
      </c>
      <c r="I1234">
        <v>0</v>
      </c>
      <c r="J1234">
        <v>0</v>
      </c>
      <c r="K1234" s="9">
        <v>4.924050632911392</v>
      </c>
    </row>
    <row r="1235" spans="1:11" x14ac:dyDescent="0.45">
      <c r="A1235" t="s">
        <v>129</v>
      </c>
      <c r="B1235" t="s">
        <v>633</v>
      </c>
      <c r="C1235" t="s">
        <v>10</v>
      </c>
      <c r="D1235">
        <v>6</v>
      </c>
      <c r="E1235" t="s">
        <v>357</v>
      </c>
      <c r="F1235" t="s">
        <v>622</v>
      </c>
      <c r="G1235">
        <v>6</v>
      </c>
      <c r="H1235">
        <v>3</v>
      </c>
      <c r="I1235">
        <v>0</v>
      </c>
      <c r="J1235">
        <v>1</v>
      </c>
      <c r="K1235" s="9">
        <v>5.6607142857142856</v>
      </c>
    </row>
    <row r="1236" spans="1:11" x14ac:dyDescent="0.45">
      <c r="A1236" t="s">
        <v>129</v>
      </c>
      <c r="B1236" t="s">
        <v>633</v>
      </c>
      <c r="C1236" t="s">
        <v>10</v>
      </c>
      <c r="D1236">
        <v>7</v>
      </c>
      <c r="E1236" t="s">
        <v>337</v>
      </c>
      <c r="F1236" t="s">
        <v>622</v>
      </c>
      <c r="G1236">
        <v>1</v>
      </c>
      <c r="H1236">
        <v>3</v>
      </c>
      <c r="I1236">
        <v>0</v>
      </c>
      <c r="J1236">
        <v>0</v>
      </c>
      <c r="K1236" s="9">
        <v>5.6607142857142856</v>
      </c>
    </row>
    <row r="1237" spans="1:11" x14ac:dyDescent="0.45">
      <c r="A1237" t="s">
        <v>129</v>
      </c>
      <c r="B1237" t="s">
        <v>633</v>
      </c>
      <c r="C1237" t="s">
        <v>10</v>
      </c>
      <c r="D1237">
        <v>8</v>
      </c>
      <c r="E1237" t="s">
        <v>326</v>
      </c>
      <c r="F1237" t="s">
        <v>622</v>
      </c>
      <c r="G1237">
        <v>24</v>
      </c>
      <c r="H1237">
        <v>19</v>
      </c>
      <c r="I1237">
        <v>2</v>
      </c>
      <c r="J1237">
        <v>1</v>
      </c>
      <c r="K1237" s="9">
        <v>4.5660377358490569</v>
      </c>
    </row>
    <row r="1238" spans="1:11" x14ac:dyDescent="0.45">
      <c r="A1238" t="s">
        <v>129</v>
      </c>
      <c r="B1238" t="s">
        <v>633</v>
      </c>
      <c r="C1238" t="s">
        <v>10</v>
      </c>
      <c r="D1238">
        <v>9</v>
      </c>
      <c r="E1238" t="s">
        <v>500</v>
      </c>
      <c r="F1238" t="s">
        <v>622</v>
      </c>
      <c r="G1238">
        <v>5</v>
      </c>
      <c r="H1238">
        <v>17</v>
      </c>
      <c r="I1238">
        <v>0</v>
      </c>
      <c r="J1238">
        <v>0</v>
      </c>
      <c r="K1238" s="9">
        <v>4.82</v>
      </c>
    </row>
    <row r="1239" spans="1:11" x14ac:dyDescent="0.45">
      <c r="A1239" t="s">
        <v>129</v>
      </c>
      <c r="B1239" t="s">
        <v>633</v>
      </c>
      <c r="C1239" t="s">
        <v>10</v>
      </c>
      <c r="D1239">
        <v>10</v>
      </c>
      <c r="E1239" t="s">
        <v>338</v>
      </c>
      <c r="F1239" t="s">
        <v>623</v>
      </c>
      <c r="G1239">
        <v>1</v>
      </c>
      <c r="H1239">
        <v>6</v>
      </c>
      <c r="I1239">
        <v>0</v>
      </c>
      <c r="J1239">
        <v>0</v>
      </c>
      <c r="K1239" s="9">
        <v>5.4565217391304346</v>
      </c>
    </row>
    <row r="1240" spans="1:11" x14ac:dyDescent="0.45">
      <c r="A1240" t="s">
        <v>129</v>
      </c>
      <c r="B1240" t="s">
        <v>633</v>
      </c>
      <c r="C1240" t="s">
        <v>10</v>
      </c>
      <c r="D1240">
        <v>11</v>
      </c>
      <c r="E1240" t="s">
        <v>444</v>
      </c>
      <c r="F1240" t="s">
        <v>622</v>
      </c>
      <c r="G1240">
        <v>0</v>
      </c>
      <c r="H1240">
        <v>1</v>
      </c>
      <c r="I1240">
        <v>0</v>
      </c>
      <c r="J1240">
        <v>0</v>
      </c>
      <c r="K1240" s="9">
        <v>6.5693779904306222</v>
      </c>
    </row>
    <row r="1241" spans="1:11" x14ac:dyDescent="0.45">
      <c r="A1241" t="s">
        <v>131</v>
      </c>
      <c r="B1241" t="s">
        <v>660</v>
      </c>
      <c r="C1241" t="s">
        <v>13</v>
      </c>
      <c r="D1241">
        <v>1</v>
      </c>
      <c r="E1241" t="s">
        <v>343</v>
      </c>
      <c r="F1241" t="s">
        <v>622</v>
      </c>
      <c r="G1241">
        <v>0</v>
      </c>
      <c r="H1241">
        <v>1</v>
      </c>
      <c r="I1241">
        <v>0</v>
      </c>
      <c r="J1241">
        <v>0</v>
      </c>
      <c r="K1241" s="9">
        <v>6.5693779904306222</v>
      </c>
    </row>
    <row r="1242" spans="1:11" x14ac:dyDescent="0.45">
      <c r="A1242" t="s">
        <v>131</v>
      </c>
      <c r="B1242" t="s">
        <v>660</v>
      </c>
      <c r="C1242" t="s">
        <v>13</v>
      </c>
      <c r="D1242">
        <v>2</v>
      </c>
      <c r="E1242" t="s">
        <v>294</v>
      </c>
      <c r="F1242" t="s">
        <v>623</v>
      </c>
      <c r="G1242">
        <v>73</v>
      </c>
      <c r="H1242">
        <v>50</v>
      </c>
      <c r="I1242">
        <v>8</v>
      </c>
      <c r="J1242">
        <v>2</v>
      </c>
      <c r="K1242" s="9">
        <v>2.9047619047619047</v>
      </c>
    </row>
    <row r="1243" spans="1:11" x14ac:dyDescent="0.45">
      <c r="A1243" t="s">
        <v>131</v>
      </c>
      <c r="B1243" t="s">
        <v>660</v>
      </c>
      <c r="C1243" t="s">
        <v>13</v>
      </c>
      <c r="D1243">
        <v>3</v>
      </c>
      <c r="E1243" t="s">
        <v>463</v>
      </c>
      <c r="F1243" t="s">
        <v>622</v>
      </c>
      <c r="G1243">
        <v>48</v>
      </c>
      <c r="H1243">
        <v>38</v>
      </c>
      <c r="I1243">
        <v>4</v>
      </c>
      <c r="J1243">
        <v>2</v>
      </c>
      <c r="K1243" s="9">
        <v>3.6842105263157894</v>
      </c>
    </row>
    <row r="1244" spans="1:11" x14ac:dyDescent="0.45">
      <c r="A1244" t="s">
        <v>131</v>
      </c>
      <c r="B1244" t="s">
        <v>660</v>
      </c>
      <c r="C1244" t="s">
        <v>13</v>
      </c>
      <c r="D1244">
        <v>4</v>
      </c>
      <c r="E1244" t="s">
        <v>345</v>
      </c>
      <c r="F1244" t="s">
        <v>622</v>
      </c>
      <c r="G1244">
        <v>33</v>
      </c>
      <c r="H1244">
        <v>24</v>
      </c>
      <c r="I1244">
        <v>3</v>
      </c>
      <c r="J1244">
        <v>2</v>
      </c>
      <c r="K1244" s="9">
        <v>4.0606060606060606</v>
      </c>
    </row>
    <row r="1245" spans="1:11" x14ac:dyDescent="0.45">
      <c r="A1245" t="s">
        <v>131</v>
      </c>
      <c r="B1245" t="s">
        <v>660</v>
      </c>
      <c r="C1245" t="s">
        <v>13</v>
      </c>
      <c r="D1245">
        <v>5</v>
      </c>
      <c r="E1245" t="s">
        <v>311</v>
      </c>
      <c r="F1245" t="s">
        <v>623</v>
      </c>
      <c r="G1245">
        <v>30</v>
      </c>
      <c r="H1245">
        <v>8</v>
      </c>
      <c r="I1245">
        <v>1</v>
      </c>
      <c r="J1245">
        <v>4</v>
      </c>
      <c r="K1245" s="9">
        <v>4.9029126213592233</v>
      </c>
    </row>
    <row r="1246" spans="1:11" x14ac:dyDescent="0.45">
      <c r="A1246" t="s">
        <v>131</v>
      </c>
      <c r="B1246" t="s">
        <v>660</v>
      </c>
      <c r="C1246" t="s">
        <v>20</v>
      </c>
      <c r="D1246">
        <v>1</v>
      </c>
      <c r="E1246" t="s">
        <v>373</v>
      </c>
      <c r="F1246" t="s">
        <v>622</v>
      </c>
      <c r="G1246">
        <v>0</v>
      </c>
      <c r="H1246">
        <v>3</v>
      </c>
      <c r="I1246">
        <v>0</v>
      </c>
      <c r="J1246">
        <v>0</v>
      </c>
      <c r="K1246" s="9">
        <v>5.6607142857142856</v>
      </c>
    </row>
    <row r="1247" spans="1:11" x14ac:dyDescent="0.45">
      <c r="A1247" t="s">
        <v>131</v>
      </c>
      <c r="B1247" t="s">
        <v>660</v>
      </c>
      <c r="C1247" t="s">
        <v>20</v>
      </c>
      <c r="D1247">
        <v>2</v>
      </c>
      <c r="E1247" t="s">
        <v>408</v>
      </c>
      <c r="F1247" t="s">
        <v>622</v>
      </c>
      <c r="G1247">
        <v>0</v>
      </c>
      <c r="H1247">
        <v>0</v>
      </c>
      <c r="I1247">
        <v>0</v>
      </c>
      <c r="J1247">
        <v>0</v>
      </c>
      <c r="K1247" s="9">
        <v>6.2519685039370083</v>
      </c>
    </row>
    <row r="1248" spans="1:11" x14ac:dyDescent="0.45">
      <c r="A1248" t="s">
        <v>131</v>
      </c>
      <c r="B1248" t="s">
        <v>660</v>
      </c>
      <c r="C1248" t="s">
        <v>20</v>
      </c>
      <c r="D1248">
        <v>3</v>
      </c>
      <c r="E1248" t="s">
        <v>315</v>
      </c>
      <c r="F1248" t="s">
        <v>622</v>
      </c>
      <c r="G1248">
        <v>58</v>
      </c>
      <c r="H1248">
        <v>37</v>
      </c>
      <c r="I1248">
        <v>6</v>
      </c>
      <c r="J1248">
        <v>2</v>
      </c>
      <c r="K1248" s="9">
        <v>3.5555555555555554</v>
      </c>
    </row>
    <row r="1249" spans="1:11" x14ac:dyDescent="0.45">
      <c r="A1249" t="s">
        <v>131</v>
      </c>
      <c r="B1249" t="s">
        <v>660</v>
      </c>
      <c r="C1249" t="s">
        <v>20</v>
      </c>
      <c r="D1249">
        <v>4</v>
      </c>
      <c r="E1249" t="s">
        <v>401</v>
      </c>
      <c r="F1249" t="s">
        <v>622</v>
      </c>
      <c r="G1249">
        <v>21</v>
      </c>
      <c r="H1249">
        <v>27</v>
      </c>
      <c r="I1249">
        <v>1</v>
      </c>
      <c r="J1249">
        <v>1</v>
      </c>
      <c r="K1249" s="9">
        <v>4.25</v>
      </c>
    </row>
    <row r="1250" spans="1:11" x14ac:dyDescent="0.45">
      <c r="A1250" t="s">
        <v>131</v>
      </c>
      <c r="B1250" t="s">
        <v>660</v>
      </c>
      <c r="C1250" t="s">
        <v>20</v>
      </c>
      <c r="D1250">
        <v>5</v>
      </c>
      <c r="E1250" t="s">
        <v>416</v>
      </c>
      <c r="F1250" t="s">
        <v>622</v>
      </c>
      <c r="G1250">
        <v>19</v>
      </c>
      <c r="H1250">
        <v>14</v>
      </c>
      <c r="I1250">
        <v>2</v>
      </c>
      <c r="J1250">
        <v>1</v>
      </c>
      <c r="K1250" s="9">
        <v>4.8461538461538458</v>
      </c>
    </row>
    <row r="1251" spans="1:11" x14ac:dyDescent="0.45">
      <c r="A1251" t="s">
        <v>131</v>
      </c>
      <c r="B1251" t="s">
        <v>660</v>
      </c>
      <c r="C1251" t="s">
        <v>20</v>
      </c>
      <c r="D1251">
        <v>6</v>
      </c>
      <c r="E1251" t="s">
        <v>466</v>
      </c>
      <c r="F1251" t="s">
        <v>622</v>
      </c>
      <c r="G1251">
        <v>2</v>
      </c>
      <c r="H1251">
        <v>7</v>
      </c>
      <c r="I1251">
        <v>0</v>
      </c>
      <c r="J1251">
        <v>0</v>
      </c>
      <c r="K1251" s="9">
        <v>4.927835051546392</v>
      </c>
    </row>
    <row r="1252" spans="1:11" x14ac:dyDescent="0.45">
      <c r="A1252" t="s">
        <v>131</v>
      </c>
      <c r="B1252" t="s">
        <v>660</v>
      </c>
      <c r="C1252" t="s">
        <v>20</v>
      </c>
      <c r="D1252">
        <v>7</v>
      </c>
      <c r="E1252" t="s">
        <v>522</v>
      </c>
      <c r="F1252" t="s">
        <v>622</v>
      </c>
      <c r="G1252">
        <v>8</v>
      </c>
      <c r="H1252">
        <v>9</v>
      </c>
      <c r="I1252">
        <v>0</v>
      </c>
      <c r="J1252">
        <v>1</v>
      </c>
      <c r="K1252" s="9">
        <v>4.924050632911392</v>
      </c>
    </row>
    <row r="1253" spans="1:11" x14ac:dyDescent="0.45">
      <c r="A1253" t="s">
        <v>131</v>
      </c>
      <c r="B1253" t="s">
        <v>660</v>
      </c>
      <c r="C1253" t="s">
        <v>20</v>
      </c>
      <c r="D1253">
        <v>8</v>
      </c>
      <c r="E1253" t="s">
        <v>432</v>
      </c>
      <c r="F1253" t="s">
        <v>622</v>
      </c>
      <c r="G1253">
        <v>0</v>
      </c>
      <c r="H1253">
        <v>1</v>
      </c>
      <c r="I1253">
        <v>0</v>
      </c>
      <c r="J1253">
        <v>0</v>
      </c>
      <c r="K1253" s="9">
        <v>6.5693779904306222</v>
      </c>
    </row>
    <row r="1254" spans="1:11" x14ac:dyDescent="0.45">
      <c r="A1254" t="s">
        <v>131</v>
      </c>
      <c r="B1254" t="s">
        <v>660</v>
      </c>
      <c r="C1254" t="s">
        <v>20</v>
      </c>
      <c r="D1254">
        <v>9</v>
      </c>
      <c r="E1254" t="s">
        <v>409</v>
      </c>
      <c r="F1254" t="s">
        <v>622</v>
      </c>
      <c r="G1254">
        <v>8</v>
      </c>
      <c r="H1254">
        <v>9</v>
      </c>
      <c r="I1254">
        <v>1</v>
      </c>
      <c r="J1254">
        <v>0</v>
      </c>
      <c r="K1254" s="9">
        <v>4.924050632911392</v>
      </c>
    </row>
    <row r="1255" spans="1:11" x14ac:dyDescent="0.45">
      <c r="A1255" t="s">
        <v>131</v>
      </c>
      <c r="B1255" t="s">
        <v>660</v>
      </c>
      <c r="C1255" t="s">
        <v>20</v>
      </c>
      <c r="D1255">
        <v>10</v>
      </c>
      <c r="E1255" t="s">
        <v>382</v>
      </c>
      <c r="F1255" t="s">
        <v>622</v>
      </c>
      <c r="G1255">
        <v>0</v>
      </c>
      <c r="H1255">
        <v>1</v>
      </c>
      <c r="I1255">
        <v>0</v>
      </c>
      <c r="J1255">
        <v>0</v>
      </c>
      <c r="K1255" s="9">
        <v>6.5693779904306222</v>
      </c>
    </row>
    <row r="1256" spans="1:11" x14ac:dyDescent="0.45">
      <c r="A1256" t="s">
        <v>131</v>
      </c>
      <c r="B1256" t="s">
        <v>660</v>
      </c>
      <c r="C1256" t="s">
        <v>20</v>
      </c>
      <c r="D1256">
        <v>11</v>
      </c>
      <c r="E1256" t="s">
        <v>497</v>
      </c>
      <c r="F1256" t="s">
        <v>623</v>
      </c>
      <c r="G1256">
        <v>2</v>
      </c>
      <c r="H1256">
        <v>8</v>
      </c>
      <c r="I1256">
        <v>0</v>
      </c>
      <c r="J1256">
        <v>0</v>
      </c>
      <c r="K1256" s="9">
        <v>4.9029126213592233</v>
      </c>
    </row>
    <row r="1257" spans="1:11" x14ac:dyDescent="0.45">
      <c r="A1257" t="s">
        <v>133</v>
      </c>
      <c r="B1257" t="s">
        <v>670</v>
      </c>
      <c r="C1257" t="s">
        <v>104</v>
      </c>
      <c r="D1257">
        <v>1</v>
      </c>
      <c r="E1257" t="s">
        <v>422</v>
      </c>
      <c r="F1257" t="s">
        <v>622</v>
      </c>
      <c r="G1257">
        <v>50</v>
      </c>
      <c r="H1257">
        <v>29</v>
      </c>
      <c r="I1257">
        <v>4</v>
      </c>
      <c r="J1257">
        <v>3</v>
      </c>
      <c r="K1257" s="9">
        <v>4.0454545454545459</v>
      </c>
    </row>
    <row r="1258" spans="1:11" x14ac:dyDescent="0.45">
      <c r="A1258" t="s">
        <v>133</v>
      </c>
      <c r="B1258" t="s">
        <v>670</v>
      </c>
      <c r="C1258" t="s">
        <v>104</v>
      </c>
      <c r="D1258">
        <v>2</v>
      </c>
      <c r="E1258" t="s">
        <v>397</v>
      </c>
      <c r="F1258" t="s">
        <v>622</v>
      </c>
      <c r="G1258">
        <v>0</v>
      </c>
      <c r="H1258">
        <v>0</v>
      </c>
      <c r="I1258">
        <v>0</v>
      </c>
      <c r="J1258">
        <v>0</v>
      </c>
      <c r="K1258" s="9">
        <v>6.2519685039370083</v>
      </c>
    </row>
    <row r="1259" spans="1:11" x14ac:dyDescent="0.45">
      <c r="A1259" t="s">
        <v>133</v>
      </c>
      <c r="B1259" t="s">
        <v>670</v>
      </c>
      <c r="C1259" t="s">
        <v>104</v>
      </c>
      <c r="D1259">
        <v>3</v>
      </c>
      <c r="E1259" t="s">
        <v>426</v>
      </c>
      <c r="F1259" t="s">
        <v>622</v>
      </c>
      <c r="G1259">
        <v>41</v>
      </c>
      <c r="H1259">
        <v>27</v>
      </c>
      <c r="I1259">
        <v>4</v>
      </c>
      <c r="J1259">
        <v>2</v>
      </c>
      <c r="K1259" s="9">
        <v>4.25</v>
      </c>
    </row>
    <row r="1260" spans="1:11" x14ac:dyDescent="0.45">
      <c r="A1260" t="s">
        <v>133</v>
      </c>
      <c r="B1260" t="s">
        <v>670</v>
      </c>
      <c r="C1260" t="s">
        <v>104</v>
      </c>
      <c r="D1260">
        <v>4</v>
      </c>
      <c r="E1260" t="s">
        <v>366</v>
      </c>
      <c r="F1260" t="s">
        <v>622</v>
      </c>
      <c r="G1260">
        <v>25</v>
      </c>
      <c r="H1260">
        <v>27</v>
      </c>
      <c r="I1260">
        <v>2</v>
      </c>
      <c r="J1260">
        <v>0</v>
      </c>
      <c r="K1260" s="9">
        <v>4.25</v>
      </c>
    </row>
    <row r="1261" spans="1:11" x14ac:dyDescent="0.45">
      <c r="A1261" t="s">
        <v>133</v>
      </c>
      <c r="B1261" t="s">
        <v>670</v>
      </c>
      <c r="C1261" t="s">
        <v>104</v>
      </c>
      <c r="D1261">
        <v>5</v>
      </c>
      <c r="E1261" t="s">
        <v>521</v>
      </c>
      <c r="F1261" t="s">
        <v>623</v>
      </c>
      <c r="G1261">
        <v>15</v>
      </c>
      <c r="H1261">
        <v>18</v>
      </c>
      <c r="I1261">
        <v>0</v>
      </c>
      <c r="J1261">
        <v>0</v>
      </c>
      <c r="K1261" s="9">
        <v>4.375</v>
      </c>
    </row>
    <row r="1262" spans="1:11" x14ac:dyDescent="0.45">
      <c r="A1262" t="s">
        <v>133</v>
      </c>
      <c r="B1262" t="s">
        <v>670</v>
      </c>
      <c r="C1262" t="s">
        <v>104</v>
      </c>
      <c r="D1262">
        <v>6</v>
      </c>
      <c r="E1262" t="s">
        <v>331</v>
      </c>
      <c r="F1262" t="s">
        <v>622</v>
      </c>
      <c r="G1262">
        <v>28</v>
      </c>
      <c r="H1262">
        <v>14</v>
      </c>
      <c r="I1262">
        <v>1</v>
      </c>
      <c r="J1262">
        <v>3</v>
      </c>
      <c r="K1262" s="9">
        <v>4.8461538461538458</v>
      </c>
    </row>
    <row r="1263" spans="1:11" x14ac:dyDescent="0.45">
      <c r="A1263" t="s">
        <v>133</v>
      </c>
      <c r="B1263" t="s">
        <v>670</v>
      </c>
      <c r="C1263" t="s">
        <v>104</v>
      </c>
      <c r="D1263">
        <v>7</v>
      </c>
      <c r="E1263" t="s">
        <v>378</v>
      </c>
      <c r="F1263" t="s">
        <v>622</v>
      </c>
      <c r="G1263">
        <v>13</v>
      </c>
      <c r="H1263">
        <v>4</v>
      </c>
      <c r="I1263">
        <v>0</v>
      </c>
      <c r="J1263">
        <v>2</v>
      </c>
      <c r="K1263" s="9">
        <v>5.352380952380952</v>
      </c>
    </row>
    <row r="1264" spans="1:11" x14ac:dyDescent="0.45">
      <c r="A1264" t="s">
        <v>133</v>
      </c>
      <c r="B1264" t="s">
        <v>670</v>
      </c>
      <c r="C1264" t="s">
        <v>104</v>
      </c>
      <c r="D1264">
        <v>8</v>
      </c>
      <c r="E1264" t="s">
        <v>491</v>
      </c>
      <c r="F1264" t="s">
        <v>622</v>
      </c>
      <c r="G1264">
        <v>0</v>
      </c>
      <c r="H1264">
        <v>1</v>
      </c>
      <c r="I1264">
        <v>0</v>
      </c>
      <c r="J1264">
        <v>0</v>
      </c>
      <c r="K1264" s="9">
        <v>6.5693779904306222</v>
      </c>
    </row>
    <row r="1265" spans="1:11" x14ac:dyDescent="0.45">
      <c r="A1265" t="s">
        <v>133</v>
      </c>
      <c r="B1265" t="s">
        <v>670</v>
      </c>
      <c r="C1265" t="s">
        <v>7</v>
      </c>
      <c r="D1265">
        <v>1</v>
      </c>
      <c r="E1265" t="s">
        <v>530</v>
      </c>
      <c r="F1265" t="s">
        <v>622</v>
      </c>
      <c r="G1265">
        <v>0</v>
      </c>
      <c r="H1265">
        <v>6</v>
      </c>
      <c r="I1265">
        <v>0</v>
      </c>
      <c r="J1265">
        <v>0</v>
      </c>
      <c r="K1265" s="9">
        <v>5.4565217391304346</v>
      </c>
    </row>
    <row r="1266" spans="1:11" x14ac:dyDescent="0.45">
      <c r="A1266" t="s">
        <v>133</v>
      </c>
      <c r="B1266" t="s">
        <v>670</v>
      </c>
      <c r="C1266" t="s">
        <v>7</v>
      </c>
      <c r="D1266">
        <v>2</v>
      </c>
      <c r="E1266" t="s">
        <v>531</v>
      </c>
      <c r="F1266" t="s">
        <v>622</v>
      </c>
      <c r="G1266">
        <v>14</v>
      </c>
      <c r="H1266">
        <v>14</v>
      </c>
      <c r="I1266">
        <v>1</v>
      </c>
      <c r="J1266">
        <v>0</v>
      </c>
      <c r="K1266" s="9">
        <v>4.8461538461538458</v>
      </c>
    </row>
    <row r="1267" spans="1:11" x14ac:dyDescent="0.45">
      <c r="A1267" t="s">
        <v>133</v>
      </c>
      <c r="B1267" t="s">
        <v>670</v>
      </c>
      <c r="C1267" t="s">
        <v>7</v>
      </c>
      <c r="D1267">
        <v>3</v>
      </c>
      <c r="E1267" t="s">
        <v>332</v>
      </c>
      <c r="F1267" t="s">
        <v>622</v>
      </c>
      <c r="G1267">
        <v>6</v>
      </c>
      <c r="H1267">
        <v>9</v>
      </c>
      <c r="I1267">
        <v>1</v>
      </c>
      <c r="J1267">
        <v>0</v>
      </c>
      <c r="K1267" s="9">
        <v>4.924050632911392</v>
      </c>
    </row>
    <row r="1268" spans="1:11" x14ac:dyDescent="0.45">
      <c r="A1268" t="s">
        <v>133</v>
      </c>
      <c r="B1268" t="s">
        <v>670</v>
      </c>
      <c r="C1268" t="s">
        <v>7</v>
      </c>
      <c r="D1268">
        <v>4</v>
      </c>
      <c r="E1268" t="s">
        <v>306</v>
      </c>
      <c r="F1268" t="s">
        <v>622</v>
      </c>
      <c r="G1268">
        <v>2</v>
      </c>
      <c r="H1268">
        <v>11</v>
      </c>
      <c r="I1268">
        <v>0</v>
      </c>
      <c r="J1268">
        <v>0</v>
      </c>
      <c r="K1268" s="9">
        <v>4.9649122807017543</v>
      </c>
    </row>
    <row r="1269" spans="1:11" x14ac:dyDescent="0.45">
      <c r="A1269" t="s">
        <v>133</v>
      </c>
      <c r="B1269" t="s">
        <v>670</v>
      </c>
      <c r="C1269" t="s">
        <v>7</v>
      </c>
      <c r="D1269">
        <v>5</v>
      </c>
      <c r="E1269" t="s">
        <v>514</v>
      </c>
      <c r="F1269" t="s">
        <v>622</v>
      </c>
      <c r="G1269">
        <v>6</v>
      </c>
      <c r="H1269">
        <v>10</v>
      </c>
      <c r="I1269">
        <v>0</v>
      </c>
      <c r="J1269">
        <v>0</v>
      </c>
      <c r="K1269" s="9">
        <v>4.7179487179487181</v>
      </c>
    </row>
    <row r="1270" spans="1:11" x14ac:dyDescent="0.45">
      <c r="A1270" t="s">
        <v>133</v>
      </c>
      <c r="B1270" t="s">
        <v>670</v>
      </c>
      <c r="C1270" t="s">
        <v>7</v>
      </c>
      <c r="D1270">
        <v>6</v>
      </c>
      <c r="E1270" t="s">
        <v>440</v>
      </c>
      <c r="F1270" t="s">
        <v>622</v>
      </c>
      <c r="G1270">
        <v>45</v>
      </c>
      <c r="H1270">
        <v>19</v>
      </c>
      <c r="I1270">
        <v>3</v>
      </c>
      <c r="J1270">
        <v>5</v>
      </c>
      <c r="K1270" s="9">
        <v>4.5660377358490569</v>
      </c>
    </row>
    <row r="1271" spans="1:11" x14ac:dyDescent="0.45">
      <c r="A1271" t="s">
        <v>133</v>
      </c>
      <c r="B1271" t="s">
        <v>670</v>
      </c>
      <c r="C1271" t="s">
        <v>7</v>
      </c>
      <c r="D1271">
        <v>7</v>
      </c>
      <c r="E1271" t="s">
        <v>308</v>
      </c>
      <c r="F1271" t="s">
        <v>622</v>
      </c>
      <c r="G1271">
        <v>22</v>
      </c>
      <c r="H1271">
        <v>12</v>
      </c>
      <c r="I1271">
        <v>3</v>
      </c>
      <c r="J1271">
        <v>1</v>
      </c>
      <c r="K1271" s="9">
        <v>4.8024691358024691</v>
      </c>
    </row>
    <row r="1272" spans="1:11" x14ac:dyDescent="0.45">
      <c r="A1272" t="s">
        <v>133</v>
      </c>
      <c r="B1272" t="s">
        <v>670</v>
      </c>
      <c r="C1272" t="s">
        <v>7</v>
      </c>
      <c r="D1272">
        <v>8</v>
      </c>
      <c r="E1272" t="s">
        <v>532</v>
      </c>
      <c r="F1272" t="s">
        <v>622</v>
      </c>
      <c r="G1272">
        <v>0</v>
      </c>
      <c r="H1272">
        <v>2</v>
      </c>
      <c r="I1272">
        <v>0</v>
      </c>
      <c r="J1272">
        <v>0</v>
      </c>
      <c r="K1272" s="9">
        <v>6.1385542168674698</v>
      </c>
    </row>
    <row r="1273" spans="1:11" x14ac:dyDescent="0.45">
      <c r="A1273" t="s">
        <v>133</v>
      </c>
      <c r="B1273" t="s">
        <v>670</v>
      </c>
      <c r="C1273" t="s">
        <v>7</v>
      </c>
      <c r="D1273">
        <v>9</v>
      </c>
      <c r="E1273" t="s">
        <v>320</v>
      </c>
      <c r="F1273" t="s">
        <v>623</v>
      </c>
      <c r="G1273">
        <v>1</v>
      </c>
      <c r="H1273">
        <v>2</v>
      </c>
      <c r="I1273">
        <v>0</v>
      </c>
      <c r="J1273">
        <v>0</v>
      </c>
      <c r="K1273" s="9">
        <v>6.1385542168674698</v>
      </c>
    </row>
    <row r="1274" spans="1:11" x14ac:dyDescent="0.45">
      <c r="A1274" t="s">
        <v>133</v>
      </c>
      <c r="B1274" t="s">
        <v>670</v>
      </c>
      <c r="C1274" t="s">
        <v>7</v>
      </c>
      <c r="D1274">
        <v>10</v>
      </c>
      <c r="E1274" t="s">
        <v>415</v>
      </c>
      <c r="F1274" t="s">
        <v>622</v>
      </c>
      <c r="G1274">
        <v>0</v>
      </c>
      <c r="H1274">
        <v>1</v>
      </c>
      <c r="I1274">
        <v>0</v>
      </c>
      <c r="J1274">
        <v>0</v>
      </c>
      <c r="K1274" s="9">
        <v>6.5693779904306222</v>
      </c>
    </row>
    <row r="1275" spans="1:11" x14ac:dyDescent="0.45">
      <c r="A1275" t="s">
        <v>133</v>
      </c>
      <c r="B1275" t="s">
        <v>670</v>
      </c>
      <c r="C1275" t="s">
        <v>7</v>
      </c>
      <c r="D1275">
        <v>11</v>
      </c>
      <c r="E1275" t="s">
        <v>533</v>
      </c>
      <c r="F1275" t="s">
        <v>622</v>
      </c>
      <c r="G1275">
        <v>2</v>
      </c>
      <c r="H1275">
        <v>1</v>
      </c>
      <c r="I1275">
        <v>0</v>
      </c>
      <c r="J1275">
        <v>0</v>
      </c>
      <c r="K1275" s="9">
        <v>6.5693779904306222</v>
      </c>
    </row>
    <row r="1276" spans="1:11" x14ac:dyDescent="0.45">
      <c r="A1276" t="s">
        <v>134</v>
      </c>
      <c r="B1276" t="s">
        <v>661</v>
      </c>
      <c r="C1276" t="s">
        <v>26</v>
      </c>
      <c r="D1276">
        <v>1</v>
      </c>
      <c r="E1276" t="s">
        <v>459</v>
      </c>
      <c r="F1276" t="s">
        <v>622</v>
      </c>
      <c r="G1276">
        <v>56</v>
      </c>
      <c r="H1276">
        <v>40</v>
      </c>
      <c r="I1276">
        <v>8</v>
      </c>
      <c r="J1276">
        <v>1</v>
      </c>
      <c r="K1276" s="9">
        <v>4</v>
      </c>
    </row>
    <row r="1277" spans="1:11" x14ac:dyDescent="0.45">
      <c r="A1277" t="s">
        <v>134</v>
      </c>
      <c r="B1277" t="s">
        <v>661</v>
      </c>
      <c r="C1277" t="s">
        <v>26</v>
      </c>
      <c r="D1277">
        <v>2</v>
      </c>
      <c r="E1277" t="s">
        <v>330</v>
      </c>
      <c r="F1277" t="s">
        <v>622</v>
      </c>
      <c r="G1277">
        <v>12</v>
      </c>
      <c r="H1277">
        <v>16</v>
      </c>
      <c r="I1277">
        <v>2</v>
      </c>
      <c r="J1277">
        <v>0</v>
      </c>
      <c r="K1277" s="9">
        <v>4.7608695652173916</v>
      </c>
    </row>
    <row r="1278" spans="1:11" x14ac:dyDescent="0.45">
      <c r="A1278" t="s">
        <v>134</v>
      </c>
      <c r="B1278" t="s">
        <v>661</v>
      </c>
      <c r="C1278" t="s">
        <v>26</v>
      </c>
      <c r="D1278">
        <v>3</v>
      </c>
      <c r="E1278" t="s">
        <v>519</v>
      </c>
      <c r="F1278" t="s">
        <v>622</v>
      </c>
      <c r="G1278">
        <v>27</v>
      </c>
      <c r="H1278">
        <v>18</v>
      </c>
      <c r="I1278">
        <v>2</v>
      </c>
      <c r="J1278">
        <v>2</v>
      </c>
      <c r="K1278" s="9">
        <v>4.375</v>
      </c>
    </row>
    <row r="1279" spans="1:11" x14ac:dyDescent="0.45">
      <c r="A1279" t="s">
        <v>134</v>
      </c>
      <c r="B1279" t="s">
        <v>661</v>
      </c>
      <c r="C1279" t="s">
        <v>26</v>
      </c>
      <c r="D1279">
        <v>4</v>
      </c>
      <c r="E1279" t="s">
        <v>398</v>
      </c>
      <c r="F1279" t="s">
        <v>622</v>
      </c>
      <c r="G1279">
        <v>15</v>
      </c>
      <c r="H1279">
        <v>13</v>
      </c>
      <c r="I1279">
        <v>2</v>
      </c>
      <c r="J1279">
        <v>0</v>
      </c>
      <c r="K1279" s="9">
        <v>4.8939393939393936</v>
      </c>
    </row>
    <row r="1280" spans="1:11" x14ac:dyDescent="0.45">
      <c r="A1280" t="s">
        <v>134</v>
      </c>
      <c r="B1280" t="s">
        <v>661</v>
      </c>
      <c r="C1280" t="s">
        <v>26</v>
      </c>
      <c r="D1280">
        <v>5</v>
      </c>
      <c r="E1280" t="s">
        <v>495</v>
      </c>
      <c r="F1280" t="s">
        <v>623</v>
      </c>
      <c r="G1280">
        <v>38</v>
      </c>
      <c r="H1280">
        <v>18</v>
      </c>
      <c r="I1280">
        <v>4</v>
      </c>
      <c r="J1280">
        <v>2</v>
      </c>
      <c r="K1280" s="9">
        <v>4.375</v>
      </c>
    </row>
    <row r="1281" spans="1:11" x14ac:dyDescent="0.45">
      <c r="A1281" t="s">
        <v>134</v>
      </c>
      <c r="B1281" t="s">
        <v>661</v>
      </c>
      <c r="C1281" t="s">
        <v>26</v>
      </c>
      <c r="D1281">
        <v>6</v>
      </c>
      <c r="E1281" t="s">
        <v>384</v>
      </c>
      <c r="F1281" t="s">
        <v>622</v>
      </c>
      <c r="G1281">
        <v>22</v>
      </c>
      <c r="H1281">
        <v>14</v>
      </c>
      <c r="I1281">
        <v>1</v>
      </c>
      <c r="J1281">
        <v>2</v>
      </c>
      <c r="K1281" s="9">
        <v>4.8461538461538458</v>
      </c>
    </row>
    <row r="1282" spans="1:11" x14ac:dyDescent="0.45">
      <c r="A1282" t="s">
        <v>134</v>
      </c>
      <c r="B1282" t="s">
        <v>661</v>
      </c>
      <c r="C1282" t="s">
        <v>26</v>
      </c>
      <c r="D1282">
        <v>7</v>
      </c>
      <c r="E1282" t="s">
        <v>520</v>
      </c>
      <c r="F1282" t="s">
        <v>623</v>
      </c>
      <c r="G1282">
        <v>5</v>
      </c>
      <c r="H1282">
        <v>2</v>
      </c>
      <c r="I1282">
        <v>1</v>
      </c>
      <c r="J1282">
        <v>0</v>
      </c>
      <c r="K1282" s="9">
        <v>6.1385542168674698</v>
      </c>
    </row>
    <row r="1283" spans="1:11" x14ac:dyDescent="0.45">
      <c r="A1283" t="s">
        <v>134</v>
      </c>
      <c r="B1283" t="s">
        <v>661</v>
      </c>
      <c r="C1283" t="s">
        <v>23</v>
      </c>
      <c r="D1283">
        <v>1</v>
      </c>
      <c r="E1283" t="s">
        <v>383</v>
      </c>
      <c r="F1283" t="s">
        <v>622</v>
      </c>
      <c r="G1283">
        <v>68</v>
      </c>
      <c r="H1283">
        <v>41</v>
      </c>
      <c r="I1283">
        <v>9</v>
      </c>
      <c r="J1283">
        <v>2</v>
      </c>
      <c r="K1283" s="9">
        <v>3.0909090909090908</v>
      </c>
    </row>
    <row r="1284" spans="1:11" x14ac:dyDescent="0.45">
      <c r="A1284" t="s">
        <v>134</v>
      </c>
      <c r="B1284" t="s">
        <v>661</v>
      </c>
      <c r="C1284" t="s">
        <v>23</v>
      </c>
      <c r="D1284">
        <v>2</v>
      </c>
      <c r="E1284" t="s">
        <v>458</v>
      </c>
      <c r="F1284" t="s">
        <v>622</v>
      </c>
      <c r="G1284">
        <v>30</v>
      </c>
      <c r="H1284">
        <v>16</v>
      </c>
      <c r="I1284">
        <v>5</v>
      </c>
      <c r="J1284">
        <v>1</v>
      </c>
      <c r="K1284" s="9">
        <v>4.7608695652173916</v>
      </c>
    </row>
    <row r="1285" spans="1:11" x14ac:dyDescent="0.45">
      <c r="A1285" t="s">
        <v>134</v>
      </c>
      <c r="B1285" t="s">
        <v>661</v>
      </c>
      <c r="C1285" t="s">
        <v>23</v>
      </c>
      <c r="D1285">
        <v>3</v>
      </c>
      <c r="E1285" t="s">
        <v>386</v>
      </c>
      <c r="F1285" t="s">
        <v>622</v>
      </c>
      <c r="G1285">
        <v>23</v>
      </c>
      <c r="H1285">
        <v>12</v>
      </c>
      <c r="I1285">
        <v>4</v>
      </c>
      <c r="J1285">
        <v>0</v>
      </c>
      <c r="K1285" s="9">
        <v>4.8024691358024691</v>
      </c>
    </row>
    <row r="1286" spans="1:11" x14ac:dyDescent="0.45">
      <c r="A1286" t="s">
        <v>134</v>
      </c>
      <c r="B1286" t="s">
        <v>661</v>
      </c>
      <c r="C1286" t="s">
        <v>23</v>
      </c>
      <c r="D1286">
        <v>4</v>
      </c>
      <c r="E1286" t="s">
        <v>342</v>
      </c>
      <c r="F1286" t="s">
        <v>622</v>
      </c>
      <c r="G1286">
        <v>31</v>
      </c>
      <c r="H1286">
        <v>32</v>
      </c>
      <c r="I1286">
        <v>3</v>
      </c>
      <c r="J1286">
        <v>0</v>
      </c>
      <c r="K1286" s="9">
        <v>3.9375</v>
      </c>
    </row>
    <row r="1287" spans="1:11" x14ac:dyDescent="0.45">
      <c r="A1287" t="s">
        <v>134</v>
      </c>
      <c r="B1287" t="s">
        <v>661</v>
      </c>
      <c r="C1287" t="s">
        <v>23</v>
      </c>
      <c r="D1287">
        <v>5</v>
      </c>
      <c r="E1287" t="s">
        <v>336</v>
      </c>
      <c r="F1287" t="s">
        <v>623</v>
      </c>
      <c r="G1287">
        <v>31</v>
      </c>
      <c r="H1287">
        <v>16</v>
      </c>
      <c r="I1287">
        <v>3</v>
      </c>
      <c r="J1287">
        <v>2</v>
      </c>
      <c r="K1287" s="9">
        <v>4.7608695652173916</v>
      </c>
    </row>
    <row r="1288" spans="1:11" x14ac:dyDescent="0.45">
      <c r="A1288" t="s">
        <v>134</v>
      </c>
      <c r="B1288" t="s">
        <v>661</v>
      </c>
      <c r="C1288" t="s">
        <v>23</v>
      </c>
      <c r="D1288">
        <v>6</v>
      </c>
      <c r="E1288" t="s">
        <v>431</v>
      </c>
      <c r="F1288" t="s">
        <v>623</v>
      </c>
      <c r="G1288">
        <v>0</v>
      </c>
      <c r="H1288">
        <v>1</v>
      </c>
      <c r="I1288">
        <v>0</v>
      </c>
      <c r="J1288">
        <v>0</v>
      </c>
      <c r="K1288" s="9">
        <v>6.5693779904306222</v>
      </c>
    </row>
    <row r="1289" spans="1:11" x14ac:dyDescent="0.45">
      <c r="A1289" t="s">
        <v>135</v>
      </c>
      <c r="B1289" t="s">
        <v>678</v>
      </c>
      <c r="C1289" t="s">
        <v>19</v>
      </c>
      <c r="D1289">
        <v>1</v>
      </c>
      <c r="E1289" t="s">
        <v>360</v>
      </c>
      <c r="F1289" t="s">
        <v>622</v>
      </c>
      <c r="G1289">
        <v>45</v>
      </c>
      <c r="H1289">
        <v>29</v>
      </c>
      <c r="I1289">
        <v>5</v>
      </c>
      <c r="J1289">
        <v>1</v>
      </c>
      <c r="K1289" s="9">
        <v>4.0454545454545459</v>
      </c>
    </row>
    <row r="1290" spans="1:11" x14ac:dyDescent="0.45">
      <c r="A1290" t="s">
        <v>135</v>
      </c>
      <c r="B1290" t="s">
        <v>678</v>
      </c>
      <c r="C1290" t="s">
        <v>19</v>
      </c>
      <c r="D1290">
        <v>2</v>
      </c>
      <c r="E1290" t="s">
        <v>359</v>
      </c>
      <c r="F1290" t="s">
        <v>622</v>
      </c>
      <c r="G1290">
        <v>43</v>
      </c>
      <c r="H1290">
        <v>28</v>
      </c>
      <c r="I1290">
        <v>5</v>
      </c>
      <c r="J1290">
        <v>2</v>
      </c>
      <c r="K1290" s="9">
        <v>3.806451612903226</v>
      </c>
    </row>
    <row r="1291" spans="1:11" x14ac:dyDescent="0.45">
      <c r="A1291" t="s">
        <v>135</v>
      </c>
      <c r="B1291" t="s">
        <v>678</v>
      </c>
      <c r="C1291" t="s">
        <v>19</v>
      </c>
      <c r="D1291">
        <v>3</v>
      </c>
      <c r="E1291" t="s">
        <v>363</v>
      </c>
      <c r="F1291" t="s">
        <v>622</v>
      </c>
      <c r="G1291">
        <v>13</v>
      </c>
      <c r="H1291">
        <v>11</v>
      </c>
      <c r="I1291">
        <v>0</v>
      </c>
      <c r="J1291">
        <v>1</v>
      </c>
      <c r="K1291" s="9">
        <v>4.9649122807017543</v>
      </c>
    </row>
    <row r="1292" spans="1:11" x14ac:dyDescent="0.45">
      <c r="A1292" t="s">
        <v>135</v>
      </c>
      <c r="B1292" t="s">
        <v>678</v>
      </c>
      <c r="C1292" t="s">
        <v>19</v>
      </c>
      <c r="D1292">
        <v>4</v>
      </c>
      <c r="E1292" t="s">
        <v>502</v>
      </c>
      <c r="F1292" t="s">
        <v>622</v>
      </c>
      <c r="G1292">
        <v>21</v>
      </c>
      <c r="H1292">
        <v>16</v>
      </c>
      <c r="I1292">
        <v>2</v>
      </c>
      <c r="J1292">
        <v>0</v>
      </c>
      <c r="K1292" s="9">
        <v>4.7608695652173916</v>
      </c>
    </row>
    <row r="1293" spans="1:11" x14ac:dyDescent="0.45">
      <c r="A1293" t="s">
        <v>135</v>
      </c>
      <c r="B1293" t="s">
        <v>678</v>
      </c>
      <c r="C1293" t="s">
        <v>19</v>
      </c>
      <c r="D1293">
        <v>5</v>
      </c>
      <c r="E1293" t="s">
        <v>362</v>
      </c>
      <c r="F1293" t="s">
        <v>622</v>
      </c>
      <c r="G1293">
        <v>4</v>
      </c>
      <c r="H1293">
        <v>14</v>
      </c>
      <c r="I1293">
        <v>0</v>
      </c>
      <c r="J1293">
        <v>0</v>
      </c>
      <c r="K1293" s="9">
        <v>4.8461538461538458</v>
      </c>
    </row>
    <row r="1294" spans="1:11" x14ac:dyDescent="0.45">
      <c r="A1294" t="s">
        <v>135</v>
      </c>
      <c r="B1294" t="s">
        <v>678</v>
      </c>
      <c r="C1294" t="s">
        <v>19</v>
      </c>
      <c r="D1294">
        <v>6</v>
      </c>
      <c r="E1294" t="s">
        <v>447</v>
      </c>
      <c r="F1294" t="s">
        <v>623</v>
      </c>
      <c r="G1294">
        <v>44</v>
      </c>
      <c r="H1294">
        <v>21</v>
      </c>
      <c r="I1294">
        <v>2</v>
      </c>
      <c r="J1294">
        <v>4</v>
      </c>
      <c r="K1294" s="9">
        <v>4.3770491803278686</v>
      </c>
    </row>
    <row r="1295" spans="1:11" x14ac:dyDescent="0.45">
      <c r="A1295" t="s">
        <v>135</v>
      </c>
      <c r="B1295" t="s">
        <v>678</v>
      </c>
      <c r="C1295" t="s">
        <v>19</v>
      </c>
      <c r="D1295">
        <v>7</v>
      </c>
      <c r="E1295" t="s">
        <v>464</v>
      </c>
      <c r="F1295" t="s">
        <v>622</v>
      </c>
      <c r="G1295">
        <v>0</v>
      </c>
      <c r="H1295">
        <v>2</v>
      </c>
      <c r="I1295">
        <v>0</v>
      </c>
      <c r="J1295">
        <v>0</v>
      </c>
      <c r="K1295" s="9">
        <v>6.1385542168674698</v>
      </c>
    </row>
    <row r="1296" spans="1:11" x14ac:dyDescent="0.45">
      <c r="A1296" t="s">
        <v>135</v>
      </c>
      <c r="B1296" t="s">
        <v>678</v>
      </c>
      <c r="C1296" t="s">
        <v>19</v>
      </c>
      <c r="D1296">
        <v>8</v>
      </c>
      <c r="E1296" t="s">
        <v>473</v>
      </c>
      <c r="F1296" t="s">
        <v>623</v>
      </c>
      <c r="G1296">
        <v>0</v>
      </c>
      <c r="H1296">
        <v>0</v>
      </c>
      <c r="I1296">
        <v>0</v>
      </c>
      <c r="J1296">
        <v>0</v>
      </c>
      <c r="K1296" s="9">
        <v>6.2519685039370083</v>
      </c>
    </row>
    <row r="1297" spans="1:11" x14ac:dyDescent="0.45">
      <c r="A1297" t="s">
        <v>135</v>
      </c>
      <c r="B1297" t="s">
        <v>678</v>
      </c>
      <c r="C1297" t="s">
        <v>101</v>
      </c>
      <c r="D1297">
        <v>1</v>
      </c>
      <c r="E1297" t="s">
        <v>380</v>
      </c>
      <c r="F1297" t="s">
        <v>622</v>
      </c>
      <c r="G1297">
        <v>55</v>
      </c>
      <c r="H1297">
        <v>40</v>
      </c>
      <c r="I1297">
        <v>6</v>
      </c>
      <c r="J1297">
        <v>2</v>
      </c>
      <c r="K1297" s="9">
        <v>4</v>
      </c>
    </row>
    <row r="1298" spans="1:11" x14ac:dyDescent="0.45">
      <c r="A1298" t="s">
        <v>135</v>
      </c>
      <c r="B1298" t="s">
        <v>678</v>
      </c>
      <c r="C1298" t="s">
        <v>101</v>
      </c>
      <c r="D1298">
        <v>2</v>
      </c>
      <c r="E1298" t="s">
        <v>302</v>
      </c>
      <c r="F1298" t="s">
        <v>622</v>
      </c>
      <c r="G1298">
        <v>52</v>
      </c>
      <c r="H1298">
        <v>36</v>
      </c>
      <c r="I1298">
        <v>6</v>
      </c>
      <c r="J1298">
        <v>2</v>
      </c>
      <c r="K1298" s="9">
        <v>4.083333333333333</v>
      </c>
    </row>
    <row r="1299" spans="1:11" x14ac:dyDescent="0.45">
      <c r="A1299" t="s">
        <v>135</v>
      </c>
      <c r="B1299" t="s">
        <v>678</v>
      </c>
      <c r="C1299" t="s">
        <v>101</v>
      </c>
      <c r="D1299">
        <v>3</v>
      </c>
      <c r="E1299" t="s">
        <v>361</v>
      </c>
      <c r="F1299" t="s">
        <v>622</v>
      </c>
      <c r="G1299">
        <v>24</v>
      </c>
      <c r="H1299">
        <v>14</v>
      </c>
      <c r="I1299">
        <v>4</v>
      </c>
      <c r="J1299">
        <v>0</v>
      </c>
      <c r="K1299" s="9">
        <v>4.8461538461538458</v>
      </c>
    </row>
    <row r="1300" spans="1:11" x14ac:dyDescent="0.45">
      <c r="A1300" t="s">
        <v>135</v>
      </c>
      <c r="B1300" t="s">
        <v>678</v>
      </c>
      <c r="C1300" t="s">
        <v>101</v>
      </c>
      <c r="D1300">
        <v>4</v>
      </c>
      <c r="E1300" t="s">
        <v>534</v>
      </c>
      <c r="F1300" t="s">
        <v>622</v>
      </c>
      <c r="G1300">
        <v>14</v>
      </c>
      <c r="H1300">
        <v>11</v>
      </c>
      <c r="I1300">
        <v>1</v>
      </c>
      <c r="J1300">
        <v>1</v>
      </c>
      <c r="K1300" s="9">
        <v>4.9649122807017543</v>
      </c>
    </row>
    <row r="1301" spans="1:11" x14ac:dyDescent="0.45">
      <c r="A1301" t="s">
        <v>135</v>
      </c>
      <c r="B1301" t="s">
        <v>678</v>
      </c>
      <c r="C1301" t="s">
        <v>101</v>
      </c>
      <c r="D1301">
        <v>5</v>
      </c>
      <c r="E1301" t="s">
        <v>411</v>
      </c>
      <c r="F1301" t="s">
        <v>623</v>
      </c>
      <c r="G1301">
        <v>19</v>
      </c>
      <c r="H1301">
        <v>14</v>
      </c>
      <c r="I1301">
        <v>1</v>
      </c>
      <c r="J1301">
        <v>1</v>
      </c>
      <c r="K1301" s="9">
        <v>4.8461538461538458</v>
      </c>
    </row>
    <row r="1302" spans="1:11" x14ac:dyDescent="0.45">
      <c r="A1302" t="s">
        <v>135</v>
      </c>
      <c r="B1302" t="s">
        <v>678</v>
      </c>
      <c r="C1302" t="s">
        <v>101</v>
      </c>
      <c r="D1302">
        <v>6</v>
      </c>
      <c r="E1302" t="s">
        <v>390</v>
      </c>
      <c r="F1302" t="s">
        <v>622</v>
      </c>
      <c r="G1302">
        <v>3</v>
      </c>
      <c r="H1302">
        <v>4</v>
      </c>
      <c r="I1302">
        <v>0</v>
      </c>
      <c r="J1302">
        <v>0</v>
      </c>
      <c r="K1302" s="9">
        <v>5.352380952380952</v>
      </c>
    </row>
    <row r="1303" spans="1:11" x14ac:dyDescent="0.45">
      <c r="A1303" t="s">
        <v>135</v>
      </c>
      <c r="B1303" t="s">
        <v>678</v>
      </c>
      <c r="C1303" t="s">
        <v>101</v>
      </c>
      <c r="D1303">
        <v>7</v>
      </c>
      <c r="E1303" t="s">
        <v>379</v>
      </c>
      <c r="F1303" t="s">
        <v>623</v>
      </c>
      <c r="G1303">
        <v>1</v>
      </c>
      <c r="H1303">
        <v>1</v>
      </c>
      <c r="I1303">
        <v>0</v>
      </c>
      <c r="J1303">
        <v>0</v>
      </c>
      <c r="K1303" s="9">
        <v>6.5693779904306222</v>
      </c>
    </row>
    <row r="1304" spans="1:11" x14ac:dyDescent="0.45">
      <c r="A1304" t="s">
        <v>137</v>
      </c>
      <c r="B1304" t="s">
        <v>679</v>
      </c>
      <c r="C1304" t="s">
        <v>10</v>
      </c>
      <c r="D1304">
        <v>1</v>
      </c>
      <c r="E1304" t="s">
        <v>433</v>
      </c>
      <c r="F1304" t="s">
        <v>622</v>
      </c>
      <c r="G1304">
        <v>0</v>
      </c>
      <c r="H1304">
        <v>5</v>
      </c>
      <c r="I1304">
        <v>0</v>
      </c>
      <c r="J1304">
        <v>0</v>
      </c>
      <c r="K1304" s="9">
        <v>5.132075471698113</v>
      </c>
    </row>
    <row r="1305" spans="1:11" x14ac:dyDescent="0.45">
      <c r="A1305" t="s">
        <v>137</v>
      </c>
      <c r="B1305" t="s">
        <v>679</v>
      </c>
      <c r="C1305" t="s">
        <v>10</v>
      </c>
      <c r="D1305">
        <v>2</v>
      </c>
      <c r="E1305" t="s">
        <v>442</v>
      </c>
      <c r="F1305" t="s">
        <v>623</v>
      </c>
      <c r="G1305">
        <v>92</v>
      </c>
      <c r="H1305">
        <v>58</v>
      </c>
      <c r="I1305">
        <v>12</v>
      </c>
      <c r="J1305">
        <v>3</v>
      </c>
      <c r="K1305" s="9">
        <v>3.2</v>
      </c>
    </row>
    <row r="1306" spans="1:11" x14ac:dyDescent="0.45">
      <c r="A1306" t="s">
        <v>137</v>
      </c>
      <c r="B1306" t="s">
        <v>679</v>
      </c>
      <c r="C1306" t="s">
        <v>10</v>
      </c>
      <c r="D1306">
        <v>3</v>
      </c>
      <c r="E1306" t="s">
        <v>498</v>
      </c>
      <c r="F1306" t="s">
        <v>622</v>
      </c>
      <c r="G1306">
        <v>10</v>
      </c>
      <c r="H1306">
        <v>7</v>
      </c>
      <c r="I1306">
        <v>2</v>
      </c>
      <c r="J1306">
        <v>0</v>
      </c>
      <c r="K1306" s="9">
        <v>4.927835051546392</v>
      </c>
    </row>
    <row r="1307" spans="1:11" x14ac:dyDescent="0.45">
      <c r="A1307" t="s">
        <v>137</v>
      </c>
      <c r="B1307" t="s">
        <v>679</v>
      </c>
      <c r="C1307" t="s">
        <v>10</v>
      </c>
      <c r="D1307">
        <v>4</v>
      </c>
      <c r="E1307" t="s">
        <v>334</v>
      </c>
      <c r="F1307" t="s">
        <v>622</v>
      </c>
      <c r="G1307">
        <v>26</v>
      </c>
      <c r="H1307">
        <v>16</v>
      </c>
      <c r="I1307">
        <v>1</v>
      </c>
      <c r="J1307">
        <v>3</v>
      </c>
      <c r="K1307" s="9">
        <v>4.7608695652173916</v>
      </c>
    </row>
    <row r="1308" spans="1:11" x14ac:dyDescent="0.45">
      <c r="A1308" t="s">
        <v>137</v>
      </c>
      <c r="B1308" t="s">
        <v>679</v>
      </c>
      <c r="C1308" t="s">
        <v>10</v>
      </c>
      <c r="D1308">
        <v>5</v>
      </c>
      <c r="E1308" t="s">
        <v>499</v>
      </c>
      <c r="F1308" t="s">
        <v>623</v>
      </c>
      <c r="G1308">
        <v>67</v>
      </c>
      <c r="H1308">
        <v>35</v>
      </c>
      <c r="I1308">
        <v>3</v>
      </c>
      <c r="J1308">
        <v>6</v>
      </c>
      <c r="K1308" s="9">
        <v>3.5769230769230771</v>
      </c>
    </row>
    <row r="1309" spans="1:11" x14ac:dyDescent="0.45">
      <c r="A1309" t="s">
        <v>137</v>
      </c>
      <c r="B1309" t="s">
        <v>679</v>
      </c>
      <c r="C1309" t="s">
        <v>20</v>
      </c>
      <c r="D1309">
        <v>1</v>
      </c>
      <c r="E1309" t="s">
        <v>373</v>
      </c>
      <c r="F1309" t="s">
        <v>622</v>
      </c>
      <c r="G1309">
        <v>7</v>
      </c>
      <c r="H1309">
        <v>6</v>
      </c>
      <c r="I1309">
        <v>1</v>
      </c>
      <c r="J1309">
        <v>0</v>
      </c>
      <c r="K1309" s="9">
        <v>5.4565217391304346</v>
      </c>
    </row>
    <row r="1310" spans="1:11" x14ac:dyDescent="0.45">
      <c r="A1310" t="s">
        <v>137</v>
      </c>
      <c r="B1310" t="s">
        <v>679</v>
      </c>
      <c r="C1310" t="s">
        <v>20</v>
      </c>
      <c r="D1310">
        <v>2</v>
      </c>
      <c r="E1310" t="s">
        <v>408</v>
      </c>
      <c r="F1310" t="s">
        <v>622</v>
      </c>
      <c r="G1310">
        <v>4</v>
      </c>
      <c r="H1310">
        <v>11</v>
      </c>
      <c r="I1310">
        <v>1</v>
      </c>
      <c r="J1310">
        <v>0</v>
      </c>
      <c r="K1310" s="9">
        <v>4.9649122807017543</v>
      </c>
    </row>
    <row r="1311" spans="1:11" x14ac:dyDescent="0.45">
      <c r="A1311" t="s">
        <v>137</v>
      </c>
      <c r="B1311" t="s">
        <v>679</v>
      </c>
      <c r="C1311" t="s">
        <v>20</v>
      </c>
      <c r="D1311">
        <v>3</v>
      </c>
      <c r="E1311" t="s">
        <v>315</v>
      </c>
      <c r="F1311" t="s">
        <v>622</v>
      </c>
      <c r="G1311">
        <v>22</v>
      </c>
      <c r="H1311">
        <v>18</v>
      </c>
      <c r="I1311">
        <v>2</v>
      </c>
      <c r="J1311">
        <v>1</v>
      </c>
      <c r="K1311" s="9">
        <v>4.375</v>
      </c>
    </row>
    <row r="1312" spans="1:11" x14ac:dyDescent="0.45">
      <c r="A1312" t="s">
        <v>137</v>
      </c>
      <c r="B1312" t="s">
        <v>679</v>
      </c>
      <c r="C1312" t="s">
        <v>20</v>
      </c>
      <c r="D1312">
        <v>4</v>
      </c>
      <c r="E1312" t="s">
        <v>401</v>
      </c>
      <c r="F1312" t="s">
        <v>622</v>
      </c>
      <c r="G1312">
        <v>42</v>
      </c>
      <c r="H1312">
        <v>25</v>
      </c>
      <c r="I1312">
        <v>4</v>
      </c>
      <c r="J1312">
        <v>3</v>
      </c>
      <c r="K1312" s="9">
        <v>4.4782608695652177</v>
      </c>
    </row>
    <row r="1313" spans="1:11" x14ac:dyDescent="0.45">
      <c r="A1313" t="s">
        <v>137</v>
      </c>
      <c r="B1313" t="s">
        <v>679</v>
      </c>
      <c r="C1313" t="s">
        <v>20</v>
      </c>
      <c r="D1313">
        <v>5</v>
      </c>
      <c r="E1313" t="s">
        <v>416</v>
      </c>
      <c r="F1313" t="s">
        <v>622</v>
      </c>
      <c r="G1313">
        <v>62</v>
      </c>
      <c r="H1313">
        <v>34</v>
      </c>
      <c r="I1313">
        <v>2</v>
      </c>
      <c r="J1313">
        <v>6</v>
      </c>
      <c r="K1313" s="9">
        <v>4.4137931034482758</v>
      </c>
    </row>
    <row r="1314" spans="1:11" x14ac:dyDescent="0.45">
      <c r="A1314" t="s">
        <v>137</v>
      </c>
      <c r="B1314" t="s">
        <v>679</v>
      </c>
      <c r="C1314" t="s">
        <v>20</v>
      </c>
      <c r="D1314">
        <v>6</v>
      </c>
      <c r="E1314" t="s">
        <v>522</v>
      </c>
      <c r="F1314" t="s">
        <v>622</v>
      </c>
      <c r="G1314">
        <v>10</v>
      </c>
      <c r="H1314">
        <v>6</v>
      </c>
      <c r="I1314">
        <v>2</v>
      </c>
      <c r="J1314">
        <v>0</v>
      </c>
      <c r="K1314" s="9">
        <v>5.4565217391304346</v>
      </c>
    </row>
    <row r="1315" spans="1:11" x14ac:dyDescent="0.45">
      <c r="A1315" t="s">
        <v>137</v>
      </c>
      <c r="B1315" t="s">
        <v>679</v>
      </c>
      <c r="C1315" t="s">
        <v>20</v>
      </c>
      <c r="D1315">
        <v>7</v>
      </c>
      <c r="E1315" t="s">
        <v>536</v>
      </c>
      <c r="F1315" t="s">
        <v>622</v>
      </c>
      <c r="G1315">
        <v>7</v>
      </c>
      <c r="H1315">
        <v>5</v>
      </c>
      <c r="I1315">
        <v>0</v>
      </c>
      <c r="J1315">
        <v>1</v>
      </c>
      <c r="K1315" s="9">
        <v>5.132075471698113</v>
      </c>
    </row>
    <row r="1316" spans="1:11" x14ac:dyDescent="0.45">
      <c r="A1316" t="s">
        <v>137</v>
      </c>
      <c r="B1316" t="s">
        <v>679</v>
      </c>
      <c r="C1316" t="s">
        <v>20</v>
      </c>
      <c r="D1316">
        <v>8</v>
      </c>
      <c r="E1316" t="s">
        <v>412</v>
      </c>
      <c r="F1316" t="s">
        <v>623</v>
      </c>
      <c r="G1316">
        <v>9</v>
      </c>
      <c r="H1316">
        <v>7</v>
      </c>
      <c r="I1316">
        <v>2</v>
      </c>
      <c r="J1316">
        <v>0</v>
      </c>
      <c r="K1316" s="9">
        <v>4.927835051546392</v>
      </c>
    </row>
    <row r="1317" spans="1:11" x14ac:dyDescent="0.45">
      <c r="A1317" t="s">
        <v>137</v>
      </c>
      <c r="B1317" t="s">
        <v>679</v>
      </c>
      <c r="C1317" t="s">
        <v>20</v>
      </c>
      <c r="D1317">
        <v>9</v>
      </c>
      <c r="E1317" t="s">
        <v>432</v>
      </c>
      <c r="F1317" t="s">
        <v>622</v>
      </c>
      <c r="G1317">
        <v>7</v>
      </c>
      <c r="H1317">
        <v>5</v>
      </c>
      <c r="I1317">
        <v>1</v>
      </c>
      <c r="J1317">
        <v>0</v>
      </c>
      <c r="K1317" s="9">
        <v>5.132075471698113</v>
      </c>
    </row>
    <row r="1318" spans="1:11" x14ac:dyDescent="0.45">
      <c r="A1318" t="s">
        <v>137</v>
      </c>
      <c r="B1318" t="s">
        <v>679</v>
      </c>
      <c r="C1318" t="s">
        <v>20</v>
      </c>
      <c r="D1318">
        <v>10</v>
      </c>
      <c r="E1318" t="s">
        <v>409</v>
      </c>
      <c r="F1318" t="s">
        <v>623</v>
      </c>
      <c r="G1318">
        <v>5</v>
      </c>
      <c r="H1318">
        <v>3</v>
      </c>
      <c r="I1318">
        <v>1</v>
      </c>
      <c r="J1318">
        <v>0</v>
      </c>
      <c r="K1318" s="9">
        <v>5.6607142857142856</v>
      </c>
    </row>
    <row r="1319" spans="1:11" x14ac:dyDescent="0.45">
      <c r="A1319" t="s">
        <v>138</v>
      </c>
      <c r="B1319" t="s">
        <v>647</v>
      </c>
      <c r="C1319" t="s">
        <v>13</v>
      </c>
      <c r="D1319">
        <v>1</v>
      </c>
      <c r="E1319" t="s">
        <v>343</v>
      </c>
      <c r="F1319" t="s">
        <v>622</v>
      </c>
      <c r="G1319">
        <v>30</v>
      </c>
      <c r="H1319">
        <v>33</v>
      </c>
      <c r="I1319">
        <v>3</v>
      </c>
      <c r="J1319">
        <v>1</v>
      </c>
      <c r="K1319" s="9">
        <v>2.8421052631578947</v>
      </c>
    </row>
    <row r="1320" spans="1:11" x14ac:dyDescent="0.45">
      <c r="A1320" t="s">
        <v>138</v>
      </c>
      <c r="B1320" t="s">
        <v>647</v>
      </c>
      <c r="C1320" t="s">
        <v>13</v>
      </c>
      <c r="D1320">
        <v>2</v>
      </c>
      <c r="E1320" t="s">
        <v>294</v>
      </c>
      <c r="F1320" t="s">
        <v>622</v>
      </c>
      <c r="G1320">
        <v>38</v>
      </c>
      <c r="H1320">
        <v>22</v>
      </c>
      <c r="I1320">
        <v>4</v>
      </c>
      <c r="J1320">
        <v>1</v>
      </c>
      <c r="K1320" s="9">
        <v>4.4423076923076925</v>
      </c>
    </row>
    <row r="1321" spans="1:11" x14ac:dyDescent="0.45">
      <c r="A1321" t="s">
        <v>138</v>
      </c>
      <c r="B1321" t="s">
        <v>647</v>
      </c>
      <c r="C1321" t="s">
        <v>13</v>
      </c>
      <c r="D1321">
        <v>3</v>
      </c>
      <c r="E1321" t="s">
        <v>345</v>
      </c>
      <c r="F1321" t="s">
        <v>622</v>
      </c>
      <c r="G1321">
        <v>3</v>
      </c>
      <c r="H1321">
        <v>3</v>
      </c>
      <c r="I1321">
        <v>0</v>
      </c>
      <c r="J1321">
        <v>0</v>
      </c>
      <c r="K1321" s="9">
        <v>5.6607142857142856</v>
      </c>
    </row>
    <row r="1322" spans="1:11" x14ac:dyDescent="0.45">
      <c r="A1322" t="s">
        <v>138</v>
      </c>
      <c r="B1322" t="s">
        <v>647</v>
      </c>
      <c r="C1322" t="s">
        <v>13</v>
      </c>
      <c r="D1322">
        <v>4</v>
      </c>
      <c r="E1322" t="s">
        <v>430</v>
      </c>
      <c r="F1322" t="s">
        <v>622</v>
      </c>
      <c r="G1322">
        <v>42</v>
      </c>
      <c r="H1322">
        <v>27</v>
      </c>
      <c r="I1322">
        <v>3</v>
      </c>
      <c r="J1322">
        <v>2</v>
      </c>
      <c r="K1322" s="9">
        <v>4.25</v>
      </c>
    </row>
    <row r="1323" spans="1:11" x14ac:dyDescent="0.45">
      <c r="A1323" t="s">
        <v>138</v>
      </c>
      <c r="B1323" t="s">
        <v>647</v>
      </c>
      <c r="C1323" t="s">
        <v>13</v>
      </c>
      <c r="D1323">
        <v>5</v>
      </c>
      <c r="E1323" t="s">
        <v>463</v>
      </c>
      <c r="F1323" t="s">
        <v>622</v>
      </c>
      <c r="G1323">
        <v>21</v>
      </c>
      <c r="H1323">
        <v>15</v>
      </c>
      <c r="I1323">
        <v>1</v>
      </c>
      <c r="J1323">
        <v>1</v>
      </c>
      <c r="K1323" s="9">
        <v>4.7777777777777777</v>
      </c>
    </row>
    <row r="1324" spans="1:11" x14ac:dyDescent="0.45">
      <c r="A1324" t="s">
        <v>138</v>
      </c>
      <c r="B1324" t="s">
        <v>647</v>
      </c>
      <c r="C1324" t="s">
        <v>13</v>
      </c>
      <c r="D1324">
        <v>6</v>
      </c>
      <c r="E1324" t="s">
        <v>311</v>
      </c>
      <c r="F1324" t="s">
        <v>623</v>
      </c>
      <c r="G1324">
        <v>26</v>
      </c>
      <c r="H1324">
        <v>17</v>
      </c>
      <c r="I1324">
        <v>1</v>
      </c>
      <c r="J1324">
        <v>2</v>
      </c>
      <c r="K1324" s="9">
        <v>4.82</v>
      </c>
    </row>
    <row r="1325" spans="1:11" x14ac:dyDescent="0.45">
      <c r="A1325" t="s">
        <v>138</v>
      </c>
      <c r="B1325" t="s">
        <v>647</v>
      </c>
      <c r="C1325" t="s">
        <v>13</v>
      </c>
      <c r="D1325">
        <v>7</v>
      </c>
      <c r="E1325" t="s">
        <v>448</v>
      </c>
      <c r="F1325" t="s">
        <v>622</v>
      </c>
      <c r="G1325">
        <v>0</v>
      </c>
      <c r="H1325">
        <v>1</v>
      </c>
      <c r="I1325">
        <v>0</v>
      </c>
      <c r="J1325">
        <v>0</v>
      </c>
      <c r="K1325" s="9">
        <v>6.5693779904306222</v>
      </c>
    </row>
    <row r="1326" spans="1:11" x14ac:dyDescent="0.45">
      <c r="A1326" t="s">
        <v>138</v>
      </c>
      <c r="B1326" t="s">
        <v>647</v>
      </c>
      <c r="C1326" t="s">
        <v>13</v>
      </c>
      <c r="D1326">
        <v>8</v>
      </c>
      <c r="E1326" t="s">
        <v>347</v>
      </c>
      <c r="F1326" t="s">
        <v>622</v>
      </c>
      <c r="G1326">
        <v>1</v>
      </c>
      <c r="H1326">
        <v>2</v>
      </c>
      <c r="I1326">
        <v>0</v>
      </c>
      <c r="J1326">
        <v>0</v>
      </c>
      <c r="K1326" s="9">
        <v>6.1385542168674698</v>
      </c>
    </row>
    <row r="1327" spans="1:11" x14ac:dyDescent="0.45">
      <c r="A1327" t="s">
        <v>138</v>
      </c>
      <c r="B1327" t="s">
        <v>647</v>
      </c>
      <c r="C1327" t="s">
        <v>13</v>
      </c>
      <c r="D1327">
        <v>9</v>
      </c>
      <c r="E1327" t="s">
        <v>349</v>
      </c>
      <c r="F1327" t="s">
        <v>622</v>
      </c>
      <c r="G1327">
        <v>0</v>
      </c>
      <c r="H1327">
        <v>0</v>
      </c>
      <c r="I1327">
        <v>0</v>
      </c>
      <c r="J1327">
        <v>0</v>
      </c>
      <c r="K1327" s="9">
        <v>6.2519685039370083</v>
      </c>
    </row>
    <row r="1328" spans="1:11" x14ac:dyDescent="0.45">
      <c r="A1328" t="s">
        <v>138</v>
      </c>
      <c r="B1328" t="s">
        <v>647</v>
      </c>
      <c r="C1328" t="s">
        <v>13</v>
      </c>
      <c r="D1328">
        <v>10</v>
      </c>
      <c r="E1328" t="s">
        <v>352</v>
      </c>
      <c r="F1328" t="s">
        <v>623</v>
      </c>
      <c r="G1328">
        <v>0</v>
      </c>
      <c r="H1328">
        <v>0</v>
      </c>
      <c r="I1328">
        <v>0</v>
      </c>
      <c r="J1328">
        <v>0</v>
      </c>
      <c r="K1328" s="9">
        <v>6.2519685039370083</v>
      </c>
    </row>
    <row r="1329" spans="1:11" x14ac:dyDescent="0.45">
      <c r="A1329" t="s">
        <v>138</v>
      </c>
      <c r="B1329" t="s">
        <v>647</v>
      </c>
      <c r="C1329" t="s">
        <v>6</v>
      </c>
      <c r="D1329">
        <v>1</v>
      </c>
      <c r="E1329" t="s">
        <v>290</v>
      </c>
      <c r="F1329" t="s">
        <v>622</v>
      </c>
      <c r="G1329">
        <v>28</v>
      </c>
      <c r="H1329">
        <v>23</v>
      </c>
      <c r="I1329">
        <v>3</v>
      </c>
      <c r="J1329">
        <v>1</v>
      </c>
      <c r="K1329" s="9">
        <v>5.1142857142857139</v>
      </c>
    </row>
    <row r="1330" spans="1:11" x14ac:dyDescent="0.45">
      <c r="A1330" t="s">
        <v>138</v>
      </c>
      <c r="B1330" t="s">
        <v>647</v>
      </c>
      <c r="C1330" t="s">
        <v>6</v>
      </c>
      <c r="D1330">
        <v>2</v>
      </c>
      <c r="E1330" t="s">
        <v>505</v>
      </c>
      <c r="F1330" t="s">
        <v>622</v>
      </c>
      <c r="G1330">
        <v>56</v>
      </c>
      <c r="H1330">
        <v>37</v>
      </c>
      <c r="I1330">
        <v>6</v>
      </c>
      <c r="J1330">
        <v>2</v>
      </c>
      <c r="K1330" s="9">
        <v>3.5555555555555554</v>
      </c>
    </row>
    <row r="1331" spans="1:11" x14ac:dyDescent="0.45">
      <c r="A1331" t="s">
        <v>138</v>
      </c>
      <c r="B1331" t="s">
        <v>647</v>
      </c>
      <c r="C1331" t="s">
        <v>6</v>
      </c>
      <c r="D1331">
        <v>3</v>
      </c>
      <c r="E1331" t="s">
        <v>297</v>
      </c>
      <c r="F1331" t="s">
        <v>622</v>
      </c>
      <c r="G1331">
        <v>1</v>
      </c>
      <c r="H1331">
        <v>3</v>
      </c>
      <c r="I1331">
        <v>0</v>
      </c>
      <c r="J1331">
        <v>0</v>
      </c>
      <c r="K1331" s="9">
        <v>5.6607142857142856</v>
      </c>
    </row>
    <row r="1332" spans="1:11" x14ac:dyDescent="0.45">
      <c r="A1332" t="s">
        <v>138</v>
      </c>
      <c r="B1332" t="s">
        <v>647</v>
      </c>
      <c r="C1332" t="s">
        <v>6</v>
      </c>
      <c r="D1332">
        <v>4</v>
      </c>
      <c r="E1332" t="s">
        <v>355</v>
      </c>
      <c r="F1332" t="s">
        <v>622</v>
      </c>
      <c r="G1332">
        <v>10</v>
      </c>
      <c r="H1332">
        <v>8</v>
      </c>
      <c r="I1332">
        <v>0</v>
      </c>
      <c r="J1332">
        <v>1</v>
      </c>
      <c r="K1332" s="9">
        <v>4.9029126213592233</v>
      </c>
    </row>
    <row r="1333" spans="1:11" x14ac:dyDescent="0.45">
      <c r="A1333" t="s">
        <v>138</v>
      </c>
      <c r="B1333" t="s">
        <v>647</v>
      </c>
      <c r="C1333" t="s">
        <v>6</v>
      </c>
      <c r="D1333">
        <v>5</v>
      </c>
      <c r="E1333" t="s">
        <v>299</v>
      </c>
      <c r="F1333" t="s">
        <v>622</v>
      </c>
      <c r="G1333">
        <v>34</v>
      </c>
      <c r="H1333">
        <v>27</v>
      </c>
      <c r="I1333">
        <v>2</v>
      </c>
      <c r="J1333">
        <v>2</v>
      </c>
      <c r="K1333" s="9">
        <v>4.25</v>
      </c>
    </row>
    <row r="1334" spans="1:11" x14ac:dyDescent="0.45">
      <c r="A1334" t="s">
        <v>138</v>
      </c>
      <c r="B1334" t="s">
        <v>647</v>
      </c>
      <c r="C1334" t="s">
        <v>6</v>
      </c>
      <c r="D1334">
        <v>6</v>
      </c>
      <c r="E1334" t="s">
        <v>328</v>
      </c>
      <c r="F1334" t="s">
        <v>622</v>
      </c>
      <c r="G1334">
        <v>3</v>
      </c>
      <c r="H1334">
        <v>5</v>
      </c>
      <c r="I1334">
        <v>0</v>
      </c>
      <c r="J1334">
        <v>0</v>
      </c>
      <c r="K1334" s="9">
        <v>5.132075471698113</v>
      </c>
    </row>
    <row r="1335" spans="1:11" x14ac:dyDescent="0.45">
      <c r="A1335" t="s">
        <v>138</v>
      </c>
      <c r="B1335" t="s">
        <v>647</v>
      </c>
      <c r="C1335" t="s">
        <v>6</v>
      </c>
      <c r="D1335">
        <v>7</v>
      </c>
      <c r="E1335" t="s">
        <v>356</v>
      </c>
      <c r="F1335" t="s">
        <v>622</v>
      </c>
      <c r="G1335">
        <v>2</v>
      </c>
      <c r="H1335">
        <v>3</v>
      </c>
      <c r="I1335">
        <v>0</v>
      </c>
      <c r="J1335">
        <v>0</v>
      </c>
      <c r="K1335" s="9">
        <v>5.6607142857142856</v>
      </c>
    </row>
    <row r="1336" spans="1:11" x14ac:dyDescent="0.45">
      <c r="A1336" t="s">
        <v>138</v>
      </c>
      <c r="B1336" t="s">
        <v>647</v>
      </c>
      <c r="C1336" t="s">
        <v>6</v>
      </c>
      <c r="D1336">
        <v>8</v>
      </c>
      <c r="E1336" t="s">
        <v>537</v>
      </c>
      <c r="F1336" t="s">
        <v>622</v>
      </c>
      <c r="G1336">
        <v>13</v>
      </c>
      <c r="H1336">
        <v>8</v>
      </c>
      <c r="I1336">
        <v>1</v>
      </c>
      <c r="J1336">
        <v>1</v>
      </c>
      <c r="K1336" s="9">
        <v>4.9029126213592233</v>
      </c>
    </row>
    <row r="1337" spans="1:11" x14ac:dyDescent="0.45">
      <c r="A1337" t="s">
        <v>138</v>
      </c>
      <c r="B1337" t="s">
        <v>647</v>
      </c>
      <c r="C1337" t="s">
        <v>6</v>
      </c>
      <c r="D1337">
        <v>9</v>
      </c>
      <c r="E1337" t="s">
        <v>508</v>
      </c>
      <c r="F1337" t="s">
        <v>623</v>
      </c>
      <c r="G1337">
        <v>2</v>
      </c>
      <c r="H1337">
        <v>2</v>
      </c>
      <c r="I1337">
        <v>0</v>
      </c>
      <c r="J1337">
        <v>0</v>
      </c>
      <c r="K1337" s="9">
        <v>6.1385542168674698</v>
      </c>
    </row>
    <row r="1338" spans="1:11" x14ac:dyDescent="0.45">
      <c r="A1338" t="s">
        <v>138</v>
      </c>
      <c r="B1338" t="s">
        <v>647</v>
      </c>
      <c r="C1338" t="s">
        <v>6</v>
      </c>
      <c r="D1338">
        <v>10</v>
      </c>
      <c r="E1338" t="s">
        <v>523</v>
      </c>
      <c r="F1338" t="s">
        <v>623</v>
      </c>
      <c r="G1338">
        <v>7</v>
      </c>
      <c r="H1338">
        <v>4</v>
      </c>
      <c r="I1338">
        <v>0</v>
      </c>
      <c r="J1338">
        <v>1</v>
      </c>
      <c r="K1338" s="9">
        <v>5.352380952380952</v>
      </c>
    </row>
    <row r="1339" spans="1:11" x14ac:dyDescent="0.45">
      <c r="A1339" t="s">
        <v>139</v>
      </c>
      <c r="B1339" t="s">
        <v>680</v>
      </c>
      <c r="C1339" t="s">
        <v>101</v>
      </c>
      <c r="D1339">
        <v>1</v>
      </c>
      <c r="E1339" t="s">
        <v>380</v>
      </c>
      <c r="F1339" t="s">
        <v>622</v>
      </c>
      <c r="G1339">
        <v>21</v>
      </c>
      <c r="H1339">
        <v>17</v>
      </c>
      <c r="I1339">
        <v>3</v>
      </c>
      <c r="J1339">
        <v>1</v>
      </c>
      <c r="K1339" s="9">
        <v>4.82</v>
      </c>
    </row>
    <row r="1340" spans="1:11" x14ac:dyDescent="0.45">
      <c r="A1340" t="s">
        <v>139</v>
      </c>
      <c r="B1340" t="s">
        <v>680</v>
      </c>
      <c r="C1340" t="s">
        <v>101</v>
      </c>
      <c r="D1340">
        <v>2</v>
      </c>
      <c r="E1340" t="s">
        <v>302</v>
      </c>
      <c r="F1340" t="s">
        <v>622</v>
      </c>
      <c r="G1340">
        <v>9</v>
      </c>
      <c r="H1340">
        <v>6</v>
      </c>
      <c r="I1340">
        <v>2</v>
      </c>
      <c r="J1340">
        <v>0</v>
      </c>
      <c r="K1340" s="9">
        <v>5.4565217391304346</v>
      </c>
    </row>
    <row r="1341" spans="1:11" x14ac:dyDescent="0.45">
      <c r="A1341" t="s">
        <v>139</v>
      </c>
      <c r="B1341" t="s">
        <v>680</v>
      </c>
      <c r="C1341" t="s">
        <v>101</v>
      </c>
      <c r="D1341">
        <v>3</v>
      </c>
      <c r="E1341" t="s">
        <v>534</v>
      </c>
      <c r="F1341" t="s">
        <v>623</v>
      </c>
      <c r="G1341">
        <v>65</v>
      </c>
      <c r="H1341">
        <v>50</v>
      </c>
      <c r="I1341">
        <v>5</v>
      </c>
      <c r="J1341">
        <v>1</v>
      </c>
      <c r="K1341" s="9">
        <v>2.9047619047619047</v>
      </c>
    </row>
    <row r="1342" spans="1:11" x14ac:dyDescent="0.45">
      <c r="A1342" t="s">
        <v>139</v>
      </c>
      <c r="B1342" t="s">
        <v>680</v>
      </c>
      <c r="C1342" t="s">
        <v>101</v>
      </c>
      <c r="D1342">
        <v>4</v>
      </c>
      <c r="E1342" t="s">
        <v>361</v>
      </c>
      <c r="F1342" t="s">
        <v>622</v>
      </c>
      <c r="G1342">
        <v>1</v>
      </c>
      <c r="H1342">
        <v>7</v>
      </c>
      <c r="I1342">
        <v>0</v>
      </c>
      <c r="J1342">
        <v>0</v>
      </c>
      <c r="K1342" s="9">
        <v>4.927835051546392</v>
      </c>
    </row>
    <row r="1343" spans="1:11" x14ac:dyDescent="0.45">
      <c r="A1343" t="s">
        <v>139</v>
      </c>
      <c r="B1343" t="s">
        <v>680</v>
      </c>
      <c r="C1343" t="s">
        <v>101</v>
      </c>
      <c r="D1343">
        <v>5</v>
      </c>
      <c r="E1343" t="s">
        <v>411</v>
      </c>
      <c r="F1343" t="s">
        <v>622</v>
      </c>
      <c r="G1343">
        <v>11</v>
      </c>
      <c r="H1343">
        <v>14</v>
      </c>
      <c r="I1343">
        <v>0</v>
      </c>
      <c r="J1343">
        <v>0</v>
      </c>
      <c r="K1343" s="9">
        <v>4.8461538461538458</v>
      </c>
    </row>
    <row r="1344" spans="1:11" x14ac:dyDescent="0.45">
      <c r="A1344" t="s">
        <v>139</v>
      </c>
      <c r="B1344" t="s">
        <v>680</v>
      </c>
      <c r="C1344" t="s">
        <v>101</v>
      </c>
      <c r="D1344">
        <v>6</v>
      </c>
      <c r="E1344" t="s">
        <v>390</v>
      </c>
      <c r="F1344" t="s">
        <v>622</v>
      </c>
      <c r="G1344">
        <v>11</v>
      </c>
      <c r="H1344">
        <v>13</v>
      </c>
      <c r="I1344">
        <v>0</v>
      </c>
      <c r="J1344">
        <v>0</v>
      </c>
      <c r="K1344" s="9">
        <v>4.8939393939393936</v>
      </c>
    </row>
    <row r="1345" spans="1:11" x14ac:dyDescent="0.45">
      <c r="A1345" t="s">
        <v>139</v>
      </c>
      <c r="B1345" t="s">
        <v>680</v>
      </c>
      <c r="C1345" t="s">
        <v>101</v>
      </c>
      <c r="D1345">
        <v>7</v>
      </c>
      <c r="E1345" t="s">
        <v>379</v>
      </c>
      <c r="F1345" t="s">
        <v>622</v>
      </c>
      <c r="G1345">
        <v>0</v>
      </c>
      <c r="H1345">
        <v>1</v>
      </c>
      <c r="I1345">
        <v>0</v>
      </c>
      <c r="J1345">
        <v>0</v>
      </c>
      <c r="K1345" s="9">
        <v>6.5693779904306222</v>
      </c>
    </row>
    <row r="1346" spans="1:11" x14ac:dyDescent="0.45">
      <c r="A1346" t="s">
        <v>139</v>
      </c>
      <c r="B1346" t="s">
        <v>680</v>
      </c>
      <c r="C1346" t="s">
        <v>101</v>
      </c>
      <c r="D1346">
        <v>8</v>
      </c>
      <c r="E1346" t="s">
        <v>535</v>
      </c>
      <c r="F1346" t="s">
        <v>622</v>
      </c>
      <c r="G1346">
        <v>2</v>
      </c>
      <c r="H1346">
        <v>5</v>
      </c>
      <c r="I1346">
        <v>0</v>
      </c>
      <c r="J1346">
        <v>0</v>
      </c>
      <c r="K1346" s="9">
        <v>5.132075471698113</v>
      </c>
    </row>
    <row r="1347" spans="1:11" x14ac:dyDescent="0.45">
      <c r="A1347" t="s">
        <v>139</v>
      </c>
      <c r="B1347" t="s">
        <v>680</v>
      </c>
      <c r="C1347" t="s">
        <v>101</v>
      </c>
      <c r="D1347">
        <v>9</v>
      </c>
      <c r="E1347" t="s">
        <v>317</v>
      </c>
      <c r="F1347" t="s">
        <v>622</v>
      </c>
      <c r="G1347">
        <v>5</v>
      </c>
      <c r="H1347">
        <v>3</v>
      </c>
      <c r="I1347">
        <v>1</v>
      </c>
      <c r="J1347">
        <v>0</v>
      </c>
      <c r="K1347" s="9">
        <v>5.6607142857142856</v>
      </c>
    </row>
    <row r="1348" spans="1:11" x14ac:dyDescent="0.45">
      <c r="A1348" t="s">
        <v>139</v>
      </c>
      <c r="B1348" t="s">
        <v>680</v>
      </c>
      <c r="C1348" t="s">
        <v>101</v>
      </c>
      <c r="D1348">
        <v>10</v>
      </c>
      <c r="E1348" t="s">
        <v>493</v>
      </c>
      <c r="F1348" t="s">
        <v>623</v>
      </c>
      <c r="G1348">
        <v>4</v>
      </c>
      <c r="H1348">
        <v>5</v>
      </c>
      <c r="I1348">
        <v>0</v>
      </c>
      <c r="J1348">
        <v>0</v>
      </c>
      <c r="K1348" s="9">
        <v>5.132075471698113</v>
      </c>
    </row>
    <row r="1349" spans="1:11" x14ac:dyDescent="0.45">
      <c r="A1349" t="s">
        <v>139</v>
      </c>
      <c r="B1349" t="s">
        <v>680</v>
      </c>
      <c r="C1349" t="s">
        <v>26</v>
      </c>
      <c r="D1349">
        <v>1</v>
      </c>
      <c r="E1349" t="s">
        <v>459</v>
      </c>
      <c r="F1349" t="s">
        <v>622</v>
      </c>
      <c r="G1349">
        <v>1</v>
      </c>
      <c r="H1349">
        <v>6</v>
      </c>
      <c r="I1349">
        <v>0</v>
      </c>
      <c r="J1349">
        <v>0</v>
      </c>
      <c r="K1349" s="9">
        <v>5.4565217391304346</v>
      </c>
    </row>
    <row r="1350" spans="1:11" x14ac:dyDescent="0.45">
      <c r="A1350" t="s">
        <v>139</v>
      </c>
      <c r="B1350" t="s">
        <v>680</v>
      </c>
      <c r="C1350" t="s">
        <v>26</v>
      </c>
      <c r="D1350">
        <v>2</v>
      </c>
      <c r="E1350" t="s">
        <v>330</v>
      </c>
      <c r="F1350" t="s">
        <v>623</v>
      </c>
      <c r="G1350">
        <v>62</v>
      </c>
      <c r="H1350">
        <v>53</v>
      </c>
      <c r="I1350">
        <v>8</v>
      </c>
      <c r="J1350">
        <v>1</v>
      </c>
      <c r="K1350" s="9">
        <v>3.3</v>
      </c>
    </row>
    <row r="1351" spans="1:11" x14ac:dyDescent="0.45">
      <c r="A1351" t="s">
        <v>139</v>
      </c>
      <c r="B1351" t="s">
        <v>680</v>
      </c>
      <c r="C1351" t="s">
        <v>26</v>
      </c>
      <c r="D1351">
        <v>3</v>
      </c>
      <c r="E1351" t="s">
        <v>519</v>
      </c>
      <c r="F1351" t="s">
        <v>622</v>
      </c>
      <c r="G1351">
        <v>40</v>
      </c>
      <c r="H1351">
        <v>28</v>
      </c>
      <c r="I1351">
        <v>5</v>
      </c>
      <c r="J1351">
        <v>1</v>
      </c>
      <c r="K1351" s="9">
        <v>3.806451612903226</v>
      </c>
    </row>
    <row r="1352" spans="1:11" x14ac:dyDescent="0.45">
      <c r="A1352" t="s">
        <v>139</v>
      </c>
      <c r="B1352" t="s">
        <v>680</v>
      </c>
      <c r="C1352" t="s">
        <v>26</v>
      </c>
      <c r="D1352">
        <v>4</v>
      </c>
      <c r="E1352" t="s">
        <v>384</v>
      </c>
      <c r="F1352" t="s">
        <v>623</v>
      </c>
      <c r="G1352">
        <v>30</v>
      </c>
      <c r="H1352">
        <v>10</v>
      </c>
      <c r="I1352">
        <v>2</v>
      </c>
      <c r="J1352">
        <v>3</v>
      </c>
      <c r="K1352" s="9">
        <v>4.7179487179487181</v>
      </c>
    </row>
    <row r="1353" spans="1:11" x14ac:dyDescent="0.45">
      <c r="A1353" t="s">
        <v>140</v>
      </c>
      <c r="B1353" t="s">
        <v>681</v>
      </c>
      <c r="C1353" t="s">
        <v>23</v>
      </c>
      <c r="D1353">
        <v>1</v>
      </c>
      <c r="E1353" t="s">
        <v>458</v>
      </c>
      <c r="F1353" t="s">
        <v>622</v>
      </c>
      <c r="G1353">
        <v>22</v>
      </c>
      <c r="H1353">
        <v>25</v>
      </c>
      <c r="I1353">
        <v>3</v>
      </c>
      <c r="J1353">
        <v>0</v>
      </c>
      <c r="K1353" s="9">
        <v>4.4782608695652177</v>
      </c>
    </row>
    <row r="1354" spans="1:11" x14ac:dyDescent="0.45">
      <c r="A1354" t="s">
        <v>140</v>
      </c>
      <c r="B1354" t="s">
        <v>681</v>
      </c>
      <c r="C1354" t="s">
        <v>23</v>
      </c>
      <c r="D1354">
        <v>2</v>
      </c>
      <c r="E1354" t="s">
        <v>342</v>
      </c>
      <c r="F1354" t="s">
        <v>622</v>
      </c>
      <c r="G1354">
        <v>2</v>
      </c>
      <c r="H1354">
        <v>5</v>
      </c>
      <c r="I1354">
        <v>0</v>
      </c>
      <c r="J1354">
        <v>0</v>
      </c>
      <c r="K1354" s="9">
        <v>5.132075471698113</v>
      </c>
    </row>
    <row r="1355" spans="1:11" x14ac:dyDescent="0.45">
      <c r="A1355" t="s">
        <v>140</v>
      </c>
      <c r="B1355" t="s">
        <v>681</v>
      </c>
      <c r="C1355" t="s">
        <v>23</v>
      </c>
      <c r="D1355">
        <v>3</v>
      </c>
      <c r="E1355" t="s">
        <v>386</v>
      </c>
      <c r="F1355" t="s">
        <v>622</v>
      </c>
      <c r="G1355">
        <v>54</v>
      </c>
      <c r="H1355">
        <v>49</v>
      </c>
      <c r="I1355">
        <v>7</v>
      </c>
      <c r="J1355">
        <v>1</v>
      </c>
      <c r="K1355" s="9">
        <v>3.5714285714285716</v>
      </c>
    </row>
    <row r="1356" spans="1:11" x14ac:dyDescent="0.45">
      <c r="A1356" t="s">
        <v>140</v>
      </c>
      <c r="B1356" t="s">
        <v>681</v>
      </c>
      <c r="C1356" t="s">
        <v>23</v>
      </c>
      <c r="D1356">
        <v>4</v>
      </c>
      <c r="E1356" t="s">
        <v>538</v>
      </c>
      <c r="F1356" t="s">
        <v>622</v>
      </c>
      <c r="G1356">
        <v>13</v>
      </c>
      <c r="H1356">
        <v>13</v>
      </c>
      <c r="I1356">
        <v>1</v>
      </c>
      <c r="J1356">
        <v>0</v>
      </c>
      <c r="K1356" s="9">
        <v>4.8939393939393936</v>
      </c>
    </row>
    <row r="1357" spans="1:11" x14ac:dyDescent="0.45">
      <c r="A1357" t="s">
        <v>140</v>
      </c>
      <c r="B1357" t="s">
        <v>681</v>
      </c>
      <c r="C1357" t="s">
        <v>23</v>
      </c>
      <c r="D1357">
        <v>5</v>
      </c>
      <c r="E1357" t="s">
        <v>431</v>
      </c>
      <c r="F1357" t="s">
        <v>622</v>
      </c>
      <c r="G1357">
        <v>19</v>
      </c>
      <c r="H1357">
        <v>12</v>
      </c>
      <c r="I1357">
        <v>1</v>
      </c>
      <c r="J1357">
        <v>2</v>
      </c>
      <c r="K1357" s="9">
        <v>4.8024691358024691</v>
      </c>
    </row>
    <row r="1358" spans="1:11" x14ac:dyDescent="0.45">
      <c r="A1358" t="s">
        <v>140</v>
      </c>
      <c r="B1358" t="s">
        <v>681</v>
      </c>
      <c r="C1358" t="s">
        <v>23</v>
      </c>
      <c r="D1358">
        <v>6</v>
      </c>
      <c r="E1358" t="s">
        <v>336</v>
      </c>
      <c r="F1358" t="s">
        <v>623</v>
      </c>
      <c r="G1358">
        <v>27</v>
      </c>
      <c r="H1358">
        <v>13</v>
      </c>
      <c r="I1358">
        <v>1</v>
      </c>
      <c r="J1358">
        <v>2</v>
      </c>
      <c r="K1358" s="9">
        <v>4.8939393939393936</v>
      </c>
    </row>
    <row r="1359" spans="1:11" x14ac:dyDescent="0.45">
      <c r="A1359" t="s">
        <v>140</v>
      </c>
      <c r="B1359" t="s">
        <v>681</v>
      </c>
      <c r="C1359" t="s">
        <v>23</v>
      </c>
      <c r="D1359">
        <v>7</v>
      </c>
      <c r="E1359" t="s">
        <v>339</v>
      </c>
      <c r="F1359" t="s">
        <v>623</v>
      </c>
      <c r="G1359">
        <v>6</v>
      </c>
      <c r="H1359">
        <v>5</v>
      </c>
      <c r="I1359">
        <v>0</v>
      </c>
      <c r="J1359">
        <v>0</v>
      </c>
      <c r="K1359" s="9">
        <v>5.132075471698113</v>
      </c>
    </row>
    <row r="1360" spans="1:11" x14ac:dyDescent="0.45">
      <c r="A1360" t="s">
        <v>140</v>
      </c>
      <c r="B1360" t="s">
        <v>681</v>
      </c>
      <c r="C1360" t="s">
        <v>7</v>
      </c>
      <c r="D1360">
        <v>1</v>
      </c>
      <c r="E1360" t="s">
        <v>530</v>
      </c>
      <c r="F1360" t="s">
        <v>622</v>
      </c>
      <c r="G1360">
        <v>15</v>
      </c>
      <c r="H1360">
        <v>16</v>
      </c>
      <c r="I1360">
        <v>2</v>
      </c>
      <c r="J1360">
        <v>0</v>
      </c>
      <c r="K1360" s="9">
        <v>4.7608695652173916</v>
      </c>
    </row>
    <row r="1361" spans="1:11" x14ac:dyDescent="0.45">
      <c r="A1361" t="s">
        <v>140</v>
      </c>
      <c r="B1361" t="s">
        <v>681</v>
      </c>
      <c r="C1361" t="s">
        <v>7</v>
      </c>
      <c r="D1361">
        <v>2</v>
      </c>
      <c r="E1361" t="s">
        <v>531</v>
      </c>
      <c r="F1361" t="s">
        <v>622</v>
      </c>
      <c r="G1361">
        <v>4</v>
      </c>
      <c r="H1361">
        <v>7</v>
      </c>
      <c r="I1361">
        <v>0</v>
      </c>
      <c r="J1361">
        <v>0</v>
      </c>
      <c r="K1361" s="9">
        <v>4.927835051546392</v>
      </c>
    </row>
    <row r="1362" spans="1:11" x14ac:dyDescent="0.45">
      <c r="A1362" t="s">
        <v>140</v>
      </c>
      <c r="B1362" t="s">
        <v>681</v>
      </c>
      <c r="C1362" t="s">
        <v>7</v>
      </c>
      <c r="D1362">
        <v>3</v>
      </c>
      <c r="E1362" t="s">
        <v>332</v>
      </c>
      <c r="F1362" t="s">
        <v>622</v>
      </c>
      <c r="G1362">
        <v>34</v>
      </c>
      <c r="H1362">
        <v>32</v>
      </c>
      <c r="I1362">
        <v>3</v>
      </c>
      <c r="J1362">
        <v>1</v>
      </c>
      <c r="K1362" s="9">
        <v>3.9375</v>
      </c>
    </row>
    <row r="1363" spans="1:11" x14ac:dyDescent="0.45">
      <c r="A1363" t="s">
        <v>140</v>
      </c>
      <c r="B1363" t="s">
        <v>681</v>
      </c>
      <c r="C1363" t="s">
        <v>7</v>
      </c>
      <c r="D1363">
        <v>4</v>
      </c>
      <c r="E1363" t="s">
        <v>306</v>
      </c>
      <c r="F1363" t="s">
        <v>623</v>
      </c>
      <c r="G1363">
        <v>48</v>
      </c>
      <c r="H1363">
        <v>37</v>
      </c>
      <c r="I1363">
        <v>3</v>
      </c>
      <c r="J1363">
        <v>2</v>
      </c>
      <c r="K1363" s="9">
        <v>3.5555555555555554</v>
      </c>
    </row>
    <row r="1364" spans="1:11" x14ac:dyDescent="0.45">
      <c r="A1364" t="s">
        <v>140</v>
      </c>
      <c r="B1364" t="s">
        <v>681</v>
      </c>
      <c r="C1364" t="s">
        <v>7</v>
      </c>
      <c r="D1364">
        <v>5</v>
      </c>
      <c r="E1364" t="s">
        <v>514</v>
      </c>
      <c r="F1364" t="s">
        <v>623</v>
      </c>
      <c r="G1364">
        <v>42</v>
      </c>
      <c r="H1364">
        <v>23</v>
      </c>
      <c r="I1364">
        <v>6</v>
      </c>
      <c r="J1364">
        <v>1</v>
      </c>
      <c r="K1364" s="9">
        <v>5.1142857142857139</v>
      </c>
    </row>
    <row r="1365" spans="1:11" x14ac:dyDescent="0.45">
      <c r="A1365" t="s">
        <v>141</v>
      </c>
      <c r="B1365" t="s">
        <v>682</v>
      </c>
      <c r="C1365" t="s">
        <v>6</v>
      </c>
      <c r="D1365">
        <v>1</v>
      </c>
      <c r="E1365" t="s">
        <v>290</v>
      </c>
      <c r="F1365" t="s">
        <v>622</v>
      </c>
      <c r="G1365">
        <v>99</v>
      </c>
      <c r="H1365">
        <v>57</v>
      </c>
      <c r="I1365">
        <v>6</v>
      </c>
      <c r="J1365">
        <v>6</v>
      </c>
      <c r="K1365" s="9">
        <v>2.8823529411764706</v>
      </c>
    </row>
    <row r="1366" spans="1:11" x14ac:dyDescent="0.45">
      <c r="A1366" t="s">
        <v>141</v>
      </c>
      <c r="B1366" t="s">
        <v>682</v>
      </c>
      <c r="C1366" t="s">
        <v>6</v>
      </c>
      <c r="D1366">
        <v>2</v>
      </c>
      <c r="E1366" t="s">
        <v>505</v>
      </c>
      <c r="F1366" t="s">
        <v>623</v>
      </c>
      <c r="G1366">
        <v>85</v>
      </c>
      <c r="H1366">
        <v>55</v>
      </c>
      <c r="I1366">
        <v>8</v>
      </c>
      <c r="J1366">
        <v>4</v>
      </c>
      <c r="K1366" s="9">
        <v>3.1875</v>
      </c>
    </row>
    <row r="1367" spans="1:11" x14ac:dyDescent="0.45">
      <c r="A1367" t="s">
        <v>141</v>
      </c>
      <c r="B1367" t="s">
        <v>682</v>
      </c>
      <c r="C1367" t="s">
        <v>6</v>
      </c>
      <c r="D1367">
        <v>3</v>
      </c>
      <c r="E1367" t="s">
        <v>356</v>
      </c>
      <c r="F1367" t="s">
        <v>622</v>
      </c>
      <c r="G1367">
        <v>8</v>
      </c>
      <c r="H1367">
        <v>7</v>
      </c>
      <c r="I1367">
        <v>1</v>
      </c>
      <c r="J1367">
        <v>0</v>
      </c>
      <c r="K1367" s="9">
        <v>4.927835051546392</v>
      </c>
    </row>
    <row r="1368" spans="1:11" x14ac:dyDescent="0.45">
      <c r="A1368" t="s">
        <v>141</v>
      </c>
      <c r="B1368" t="s">
        <v>682</v>
      </c>
      <c r="C1368" t="s">
        <v>6</v>
      </c>
      <c r="D1368">
        <v>4</v>
      </c>
      <c r="E1368" t="s">
        <v>328</v>
      </c>
      <c r="F1368" t="s">
        <v>623</v>
      </c>
      <c r="G1368">
        <v>1</v>
      </c>
      <c r="H1368">
        <v>1</v>
      </c>
      <c r="I1368">
        <v>0</v>
      </c>
      <c r="J1368">
        <v>0</v>
      </c>
      <c r="K1368" s="9">
        <v>6.5693779904306222</v>
      </c>
    </row>
    <row r="1369" spans="1:11" x14ac:dyDescent="0.45">
      <c r="A1369" t="s">
        <v>141</v>
      </c>
      <c r="B1369" t="s">
        <v>682</v>
      </c>
      <c r="C1369" t="s">
        <v>20</v>
      </c>
      <c r="D1369">
        <v>1</v>
      </c>
      <c r="E1369" t="s">
        <v>373</v>
      </c>
      <c r="F1369" t="s">
        <v>622</v>
      </c>
      <c r="G1369">
        <v>39</v>
      </c>
      <c r="H1369">
        <v>24</v>
      </c>
      <c r="I1369">
        <v>5</v>
      </c>
      <c r="J1369">
        <v>1</v>
      </c>
      <c r="K1369" s="9">
        <v>4.0606060606060606</v>
      </c>
    </row>
    <row r="1370" spans="1:11" x14ac:dyDescent="0.45">
      <c r="A1370" t="s">
        <v>141</v>
      </c>
      <c r="B1370" t="s">
        <v>682</v>
      </c>
      <c r="C1370" t="s">
        <v>20</v>
      </c>
      <c r="D1370">
        <v>2</v>
      </c>
      <c r="E1370" t="s">
        <v>408</v>
      </c>
      <c r="F1370" t="s">
        <v>622</v>
      </c>
      <c r="G1370">
        <v>47</v>
      </c>
      <c r="H1370">
        <v>37</v>
      </c>
      <c r="I1370">
        <v>2</v>
      </c>
      <c r="J1370">
        <v>2</v>
      </c>
      <c r="K1370" s="9">
        <v>3.5555555555555554</v>
      </c>
    </row>
    <row r="1371" spans="1:11" x14ac:dyDescent="0.45">
      <c r="A1371" t="s">
        <v>141</v>
      </c>
      <c r="B1371" t="s">
        <v>682</v>
      </c>
      <c r="C1371" t="s">
        <v>20</v>
      </c>
      <c r="D1371">
        <v>3</v>
      </c>
      <c r="E1371" t="s">
        <v>315</v>
      </c>
      <c r="F1371" t="s">
        <v>622</v>
      </c>
      <c r="G1371">
        <v>0</v>
      </c>
      <c r="H1371">
        <v>1</v>
      </c>
      <c r="I1371">
        <v>0</v>
      </c>
      <c r="J1371">
        <v>0</v>
      </c>
      <c r="K1371" s="9">
        <v>6.5693779904306222</v>
      </c>
    </row>
    <row r="1372" spans="1:11" x14ac:dyDescent="0.45">
      <c r="A1372" t="s">
        <v>141</v>
      </c>
      <c r="B1372" t="s">
        <v>682</v>
      </c>
      <c r="C1372" t="s">
        <v>20</v>
      </c>
      <c r="D1372">
        <v>4</v>
      </c>
      <c r="E1372" t="s">
        <v>401</v>
      </c>
      <c r="F1372" t="s">
        <v>622</v>
      </c>
      <c r="G1372">
        <v>17</v>
      </c>
      <c r="H1372">
        <v>10</v>
      </c>
      <c r="I1372">
        <v>0</v>
      </c>
      <c r="J1372">
        <v>2</v>
      </c>
      <c r="K1372" s="9">
        <v>4.7179487179487181</v>
      </c>
    </row>
    <row r="1373" spans="1:11" x14ac:dyDescent="0.45">
      <c r="A1373" t="s">
        <v>141</v>
      </c>
      <c r="B1373" t="s">
        <v>682</v>
      </c>
      <c r="C1373" t="s">
        <v>20</v>
      </c>
      <c r="D1373">
        <v>5</v>
      </c>
      <c r="E1373" t="s">
        <v>416</v>
      </c>
      <c r="F1373" t="s">
        <v>623</v>
      </c>
      <c r="G1373">
        <v>64</v>
      </c>
      <c r="H1373">
        <v>33</v>
      </c>
      <c r="I1373">
        <v>3</v>
      </c>
      <c r="J1373">
        <v>6</v>
      </c>
      <c r="K1373" s="9">
        <v>2.8421052631578947</v>
      </c>
    </row>
    <row r="1374" spans="1:11" x14ac:dyDescent="0.45">
      <c r="A1374" t="s">
        <v>141</v>
      </c>
      <c r="B1374" t="s">
        <v>682</v>
      </c>
      <c r="C1374" t="s">
        <v>20</v>
      </c>
      <c r="D1374">
        <v>6</v>
      </c>
      <c r="E1374" t="s">
        <v>522</v>
      </c>
      <c r="F1374" t="s">
        <v>622</v>
      </c>
      <c r="G1374">
        <v>15</v>
      </c>
      <c r="H1374">
        <v>14</v>
      </c>
      <c r="I1374">
        <v>1</v>
      </c>
      <c r="J1374">
        <v>0</v>
      </c>
      <c r="K1374" s="9">
        <v>4.8461538461538458</v>
      </c>
    </row>
    <row r="1375" spans="1:11" x14ac:dyDescent="0.45">
      <c r="A1375" t="s">
        <v>141</v>
      </c>
      <c r="B1375" t="s">
        <v>682</v>
      </c>
      <c r="C1375" t="s">
        <v>20</v>
      </c>
      <c r="D1375">
        <v>7</v>
      </c>
      <c r="E1375" t="s">
        <v>467</v>
      </c>
      <c r="F1375" t="s">
        <v>622</v>
      </c>
      <c r="G1375">
        <v>2</v>
      </c>
      <c r="H1375">
        <v>2</v>
      </c>
      <c r="I1375">
        <v>0</v>
      </c>
      <c r="J1375">
        <v>0</v>
      </c>
      <c r="K1375" s="9">
        <v>6.1385542168674698</v>
      </c>
    </row>
    <row r="1376" spans="1:11" x14ac:dyDescent="0.45">
      <c r="A1376" t="s">
        <v>141</v>
      </c>
      <c r="B1376" t="s">
        <v>682</v>
      </c>
      <c r="C1376" t="s">
        <v>20</v>
      </c>
      <c r="D1376">
        <v>8</v>
      </c>
      <c r="E1376" t="s">
        <v>484</v>
      </c>
      <c r="F1376" t="s">
        <v>623</v>
      </c>
      <c r="G1376">
        <v>0</v>
      </c>
      <c r="H1376">
        <v>0</v>
      </c>
      <c r="I1376">
        <v>0</v>
      </c>
      <c r="J1376">
        <v>0</v>
      </c>
      <c r="K1376" s="9">
        <v>6.2519685039370083</v>
      </c>
    </row>
    <row r="1377" spans="1:11" x14ac:dyDescent="0.45">
      <c r="A1377" t="s">
        <v>142</v>
      </c>
      <c r="B1377" t="s">
        <v>683</v>
      </c>
      <c r="C1377" t="s">
        <v>104</v>
      </c>
      <c r="D1377">
        <v>1</v>
      </c>
      <c r="E1377" t="s">
        <v>422</v>
      </c>
      <c r="F1377" t="s">
        <v>622</v>
      </c>
      <c r="G1377">
        <v>23</v>
      </c>
      <c r="H1377">
        <v>13</v>
      </c>
      <c r="I1377">
        <v>3</v>
      </c>
      <c r="J1377">
        <v>1</v>
      </c>
      <c r="K1377" s="9">
        <v>4.8939393939393936</v>
      </c>
    </row>
    <row r="1378" spans="1:11" x14ac:dyDescent="0.45">
      <c r="A1378" t="s">
        <v>142</v>
      </c>
      <c r="B1378" t="s">
        <v>683</v>
      </c>
      <c r="C1378" t="s">
        <v>104</v>
      </c>
      <c r="D1378">
        <v>2</v>
      </c>
      <c r="E1378" t="s">
        <v>397</v>
      </c>
      <c r="F1378" t="s">
        <v>622</v>
      </c>
      <c r="G1378">
        <v>77</v>
      </c>
      <c r="H1378">
        <v>51</v>
      </c>
      <c r="I1378">
        <v>4</v>
      </c>
      <c r="J1378">
        <v>5</v>
      </c>
      <c r="K1378" s="9">
        <v>3.2352941176470589</v>
      </c>
    </row>
    <row r="1379" spans="1:11" x14ac:dyDescent="0.45">
      <c r="A1379" t="s">
        <v>142</v>
      </c>
      <c r="B1379" t="s">
        <v>683</v>
      </c>
      <c r="C1379" t="s">
        <v>104</v>
      </c>
      <c r="D1379">
        <v>3</v>
      </c>
      <c r="E1379" t="s">
        <v>426</v>
      </c>
      <c r="F1379" t="s">
        <v>622</v>
      </c>
      <c r="G1379">
        <v>52</v>
      </c>
      <c r="H1379">
        <v>34</v>
      </c>
      <c r="I1379">
        <v>6</v>
      </c>
      <c r="J1379">
        <v>1</v>
      </c>
      <c r="K1379" s="9">
        <v>4.4137931034482758</v>
      </c>
    </row>
    <row r="1380" spans="1:11" x14ac:dyDescent="0.45">
      <c r="A1380" t="s">
        <v>142</v>
      </c>
      <c r="B1380" t="s">
        <v>683</v>
      </c>
      <c r="C1380" t="s">
        <v>104</v>
      </c>
      <c r="D1380">
        <v>4</v>
      </c>
      <c r="E1380" t="s">
        <v>331</v>
      </c>
      <c r="F1380" t="s">
        <v>623</v>
      </c>
      <c r="G1380">
        <v>17</v>
      </c>
      <c r="H1380">
        <v>16</v>
      </c>
      <c r="I1380">
        <v>1</v>
      </c>
      <c r="J1380">
        <v>1</v>
      </c>
      <c r="K1380" s="9">
        <v>4.7608695652173916</v>
      </c>
    </row>
    <row r="1381" spans="1:11" x14ac:dyDescent="0.45">
      <c r="A1381" t="s">
        <v>142</v>
      </c>
      <c r="B1381" t="s">
        <v>683</v>
      </c>
      <c r="C1381" t="s">
        <v>104</v>
      </c>
      <c r="D1381">
        <v>5</v>
      </c>
      <c r="E1381" t="s">
        <v>366</v>
      </c>
      <c r="F1381" t="s">
        <v>623</v>
      </c>
      <c r="G1381">
        <v>9</v>
      </c>
      <c r="H1381">
        <v>6</v>
      </c>
      <c r="I1381">
        <v>0</v>
      </c>
      <c r="J1381">
        <v>0</v>
      </c>
      <c r="K1381" s="9">
        <v>5.4565217391304346</v>
      </c>
    </row>
    <row r="1382" spans="1:11" x14ac:dyDescent="0.45">
      <c r="A1382" t="s">
        <v>142</v>
      </c>
      <c r="B1382" t="s">
        <v>683</v>
      </c>
      <c r="C1382" t="s">
        <v>10</v>
      </c>
      <c r="D1382">
        <v>1</v>
      </c>
      <c r="E1382" t="s">
        <v>329</v>
      </c>
      <c r="F1382" t="s">
        <v>622</v>
      </c>
      <c r="G1382">
        <v>5</v>
      </c>
      <c r="H1382">
        <v>7</v>
      </c>
      <c r="I1382">
        <v>1</v>
      </c>
      <c r="J1382">
        <v>0</v>
      </c>
      <c r="K1382" s="9">
        <v>4.927835051546392</v>
      </c>
    </row>
    <row r="1383" spans="1:11" x14ac:dyDescent="0.45">
      <c r="A1383" t="s">
        <v>142</v>
      </c>
      <c r="B1383" t="s">
        <v>683</v>
      </c>
      <c r="C1383" t="s">
        <v>10</v>
      </c>
      <c r="D1383">
        <v>2</v>
      </c>
      <c r="E1383" t="s">
        <v>442</v>
      </c>
      <c r="F1383" t="s">
        <v>622</v>
      </c>
      <c r="G1383">
        <v>3</v>
      </c>
      <c r="H1383">
        <v>4</v>
      </c>
      <c r="I1383">
        <v>0</v>
      </c>
      <c r="J1383">
        <v>0</v>
      </c>
      <c r="K1383" s="9">
        <v>5.352380952380952</v>
      </c>
    </row>
    <row r="1384" spans="1:11" x14ac:dyDescent="0.45">
      <c r="A1384" t="s">
        <v>142</v>
      </c>
      <c r="B1384" t="s">
        <v>683</v>
      </c>
      <c r="C1384" t="s">
        <v>10</v>
      </c>
      <c r="D1384">
        <v>3</v>
      </c>
      <c r="E1384" t="s">
        <v>498</v>
      </c>
      <c r="F1384" t="s">
        <v>622</v>
      </c>
      <c r="G1384">
        <v>37</v>
      </c>
      <c r="H1384">
        <v>20</v>
      </c>
      <c r="I1384">
        <v>3</v>
      </c>
      <c r="J1384">
        <v>3</v>
      </c>
      <c r="K1384" s="9">
        <v>4.9473684210526319</v>
      </c>
    </row>
    <row r="1385" spans="1:11" x14ac:dyDescent="0.45">
      <c r="A1385" t="s">
        <v>142</v>
      </c>
      <c r="B1385" t="s">
        <v>683</v>
      </c>
      <c r="C1385" t="s">
        <v>10</v>
      </c>
      <c r="D1385">
        <v>4</v>
      </c>
      <c r="E1385" t="s">
        <v>334</v>
      </c>
      <c r="F1385" t="s">
        <v>622</v>
      </c>
      <c r="G1385">
        <v>44</v>
      </c>
      <c r="H1385">
        <v>30</v>
      </c>
      <c r="I1385">
        <v>7</v>
      </c>
      <c r="J1385">
        <v>1</v>
      </c>
      <c r="K1385" s="9">
        <v>3.6774193548387095</v>
      </c>
    </row>
    <row r="1386" spans="1:11" x14ac:dyDescent="0.45">
      <c r="A1386" t="s">
        <v>142</v>
      </c>
      <c r="B1386" t="s">
        <v>683</v>
      </c>
      <c r="C1386" t="s">
        <v>10</v>
      </c>
      <c r="D1386">
        <v>5</v>
      </c>
      <c r="E1386" t="s">
        <v>436</v>
      </c>
      <c r="F1386" t="s">
        <v>622</v>
      </c>
      <c r="G1386">
        <v>3</v>
      </c>
      <c r="H1386">
        <v>4</v>
      </c>
      <c r="I1386">
        <v>0</v>
      </c>
      <c r="J1386">
        <v>0</v>
      </c>
      <c r="K1386" s="9">
        <v>5.352380952380952</v>
      </c>
    </row>
    <row r="1387" spans="1:11" x14ac:dyDescent="0.45">
      <c r="A1387" t="s">
        <v>142</v>
      </c>
      <c r="B1387" t="s">
        <v>683</v>
      </c>
      <c r="C1387" t="s">
        <v>10</v>
      </c>
      <c r="D1387">
        <v>6</v>
      </c>
      <c r="E1387" t="s">
        <v>499</v>
      </c>
      <c r="F1387" t="s">
        <v>622</v>
      </c>
      <c r="G1387">
        <v>35</v>
      </c>
      <c r="H1387">
        <v>21</v>
      </c>
      <c r="I1387">
        <v>3</v>
      </c>
      <c r="J1387">
        <v>2</v>
      </c>
      <c r="K1387" s="9">
        <v>4.3770491803278686</v>
      </c>
    </row>
    <row r="1388" spans="1:11" x14ac:dyDescent="0.45">
      <c r="A1388" t="s">
        <v>142</v>
      </c>
      <c r="B1388" t="s">
        <v>683</v>
      </c>
      <c r="C1388" t="s">
        <v>10</v>
      </c>
      <c r="D1388">
        <v>7</v>
      </c>
      <c r="E1388" t="s">
        <v>337</v>
      </c>
      <c r="F1388" t="s">
        <v>623</v>
      </c>
      <c r="G1388">
        <v>42</v>
      </c>
      <c r="H1388">
        <v>24</v>
      </c>
      <c r="I1388">
        <v>1</v>
      </c>
      <c r="J1388">
        <v>3</v>
      </c>
      <c r="K1388" s="9">
        <v>4.0606060606060606</v>
      </c>
    </row>
    <row r="1389" spans="1:11" x14ac:dyDescent="0.45">
      <c r="A1389" t="s">
        <v>142</v>
      </c>
      <c r="B1389" t="s">
        <v>683</v>
      </c>
      <c r="C1389" t="s">
        <v>10</v>
      </c>
      <c r="D1389">
        <v>8</v>
      </c>
      <c r="E1389" t="s">
        <v>326</v>
      </c>
      <c r="F1389" t="s">
        <v>622</v>
      </c>
      <c r="G1389">
        <v>1</v>
      </c>
      <c r="H1389">
        <v>2</v>
      </c>
      <c r="I1389">
        <v>0</v>
      </c>
      <c r="J1389">
        <v>0</v>
      </c>
      <c r="K1389" s="9">
        <v>6.1385542168674698</v>
      </c>
    </row>
    <row r="1390" spans="1:11" x14ac:dyDescent="0.45">
      <c r="A1390" t="s">
        <v>142</v>
      </c>
      <c r="B1390" t="s">
        <v>683</v>
      </c>
      <c r="C1390" t="s">
        <v>10</v>
      </c>
      <c r="D1390">
        <v>9</v>
      </c>
      <c r="E1390" t="s">
        <v>500</v>
      </c>
      <c r="F1390" t="s">
        <v>623</v>
      </c>
      <c r="G1390">
        <v>16</v>
      </c>
      <c r="H1390">
        <v>8</v>
      </c>
      <c r="I1390">
        <v>1</v>
      </c>
      <c r="J1390">
        <v>1</v>
      </c>
      <c r="K1390" s="9">
        <v>4.9029126213592233</v>
      </c>
    </row>
    <row r="1391" spans="1:11" x14ac:dyDescent="0.45">
      <c r="A1391" t="s">
        <v>143</v>
      </c>
      <c r="B1391" t="s">
        <v>632</v>
      </c>
      <c r="C1391" t="s">
        <v>23</v>
      </c>
      <c r="D1391">
        <v>1</v>
      </c>
      <c r="E1391" t="s">
        <v>458</v>
      </c>
      <c r="F1391" t="s">
        <v>622</v>
      </c>
      <c r="G1391">
        <v>67</v>
      </c>
      <c r="H1391">
        <v>52</v>
      </c>
      <c r="I1391">
        <v>5</v>
      </c>
      <c r="J1391">
        <v>4</v>
      </c>
      <c r="K1391" s="9">
        <v>2.9090909090909092</v>
      </c>
    </row>
    <row r="1392" spans="1:11" x14ac:dyDescent="0.45">
      <c r="A1392" t="s">
        <v>143</v>
      </c>
      <c r="B1392" t="s">
        <v>632</v>
      </c>
      <c r="C1392" t="s">
        <v>23</v>
      </c>
      <c r="D1392">
        <v>2</v>
      </c>
      <c r="E1392" t="s">
        <v>342</v>
      </c>
      <c r="F1392" t="s">
        <v>622</v>
      </c>
      <c r="G1392">
        <v>15</v>
      </c>
      <c r="H1392">
        <v>15</v>
      </c>
      <c r="I1392">
        <v>3</v>
      </c>
      <c r="J1392">
        <v>0</v>
      </c>
      <c r="K1392" s="9">
        <v>4.7777777777777777</v>
      </c>
    </row>
    <row r="1393" spans="1:11" x14ac:dyDescent="0.45">
      <c r="A1393" t="s">
        <v>143</v>
      </c>
      <c r="B1393" t="s">
        <v>632</v>
      </c>
      <c r="C1393" t="s">
        <v>23</v>
      </c>
      <c r="D1393">
        <v>3</v>
      </c>
      <c r="E1393" t="s">
        <v>386</v>
      </c>
      <c r="F1393" t="s">
        <v>622</v>
      </c>
      <c r="G1393">
        <v>16</v>
      </c>
      <c r="H1393">
        <v>7</v>
      </c>
      <c r="I1393">
        <v>0</v>
      </c>
      <c r="J1393">
        <v>2</v>
      </c>
      <c r="K1393" s="9">
        <v>4.927835051546392</v>
      </c>
    </row>
    <row r="1394" spans="1:11" x14ac:dyDescent="0.45">
      <c r="A1394" t="s">
        <v>143</v>
      </c>
      <c r="B1394" t="s">
        <v>632</v>
      </c>
      <c r="C1394" t="s">
        <v>23</v>
      </c>
      <c r="D1394">
        <v>4</v>
      </c>
      <c r="E1394" t="s">
        <v>539</v>
      </c>
      <c r="F1394" t="s">
        <v>622</v>
      </c>
      <c r="G1394">
        <v>17</v>
      </c>
      <c r="H1394">
        <v>20</v>
      </c>
      <c r="I1394">
        <v>1</v>
      </c>
      <c r="J1394">
        <v>0</v>
      </c>
      <c r="K1394" s="9">
        <v>4.9473684210526319</v>
      </c>
    </row>
    <row r="1395" spans="1:11" x14ac:dyDescent="0.45">
      <c r="A1395" t="s">
        <v>143</v>
      </c>
      <c r="B1395" t="s">
        <v>632</v>
      </c>
      <c r="C1395" t="s">
        <v>23</v>
      </c>
      <c r="D1395">
        <v>5</v>
      </c>
      <c r="E1395" t="s">
        <v>336</v>
      </c>
      <c r="F1395" t="s">
        <v>623</v>
      </c>
      <c r="G1395">
        <v>6</v>
      </c>
      <c r="H1395">
        <v>14</v>
      </c>
      <c r="I1395">
        <v>0</v>
      </c>
      <c r="J1395">
        <v>0</v>
      </c>
      <c r="K1395" s="9">
        <v>4.8461538461538458</v>
      </c>
    </row>
    <row r="1396" spans="1:11" x14ac:dyDescent="0.45">
      <c r="A1396" t="s">
        <v>143</v>
      </c>
      <c r="B1396" t="s">
        <v>632</v>
      </c>
      <c r="C1396" t="s">
        <v>23</v>
      </c>
      <c r="D1396">
        <v>6</v>
      </c>
      <c r="E1396" t="s">
        <v>431</v>
      </c>
      <c r="F1396" t="s">
        <v>622</v>
      </c>
      <c r="G1396">
        <v>3</v>
      </c>
      <c r="H1396">
        <v>3</v>
      </c>
      <c r="I1396">
        <v>0</v>
      </c>
      <c r="J1396">
        <v>0</v>
      </c>
      <c r="K1396" s="9">
        <v>5.6607142857142856</v>
      </c>
    </row>
    <row r="1397" spans="1:11" x14ac:dyDescent="0.45">
      <c r="A1397" t="s">
        <v>143</v>
      </c>
      <c r="B1397" t="s">
        <v>632</v>
      </c>
      <c r="C1397" t="s">
        <v>23</v>
      </c>
      <c r="D1397">
        <v>7</v>
      </c>
      <c r="E1397" t="s">
        <v>339</v>
      </c>
      <c r="F1397" t="s">
        <v>622</v>
      </c>
      <c r="G1397">
        <v>21</v>
      </c>
      <c r="H1397">
        <v>9</v>
      </c>
      <c r="I1397">
        <v>3</v>
      </c>
      <c r="J1397">
        <v>1</v>
      </c>
      <c r="K1397" s="9">
        <v>4.924050632911392</v>
      </c>
    </row>
    <row r="1398" spans="1:11" x14ac:dyDescent="0.45">
      <c r="A1398" t="s">
        <v>143</v>
      </c>
      <c r="B1398" t="s">
        <v>632</v>
      </c>
      <c r="C1398" t="s">
        <v>23</v>
      </c>
      <c r="D1398">
        <v>8</v>
      </c>
      <c r="E1398" t="s">
        <v>370</v>
      </c>
      <c r="F1398" t="s">
        <v>623</v>
      </c>
      <c r="G1398">
        <v>1</v>
      </c>
      <c r="H1398">
        <v>1</v>
      </c>
      <c r="I1398">
        <v>0</v>
      </c>
      <c r="J1398">
        <v>0</v>
      </c>
      <c r="K1398" s="9">
        <v>6.5693779904306222</v>
      </c>
    </row>
    <row r="1399" spans="1:11" x14ac:dyDescent="0.45">
      <c r="A1399" t="s">
        <v>143</v>
      </c>
      <c r="B1399" t="s">
        <v>632</v>
      </c>
      <c r="C1399" t="s">
        <v>19</v>
      </c>
      <c r="D1399">
        <v>1</v>
      </c>
      <c r="E1399" t="s">
        <v>359</v>
      </c>
      <c r="F1399" t="s">
        <v>622</v>
      </c>
      <c r="G1399">
        <v>2</v>
      </c>
      <c r="H1399">
        <v>5</v>
      </c>
      <c r="I1399">
        <v>0</v>
      </c>
      <c r="J1399">
        <v>0</v>
      </c>
      <c r="K1399" s="9">
        <v>5.132075471698113</v>
      </c>
    </row>
    <row r="1400" spans="1:11" x14ac:dyDescent="0.45">
      <c r="A1400" t="s">
        <v>143</v>
      </c>
      <c r="B1400" t="s">
        <v>632</v>
      </c>
      <c r="C1400" t="s">
        <v>19</v>
      </c>
      <c r="D1400">
        <v>2</v>
      </c>
      <c r="E1400" t="s">
        <v>360</v>
      </c>
      <c r="F1400" t="s">
        <v>622</v>
      </c>
      <c r="G1400">
        <v>26</v>
      </c>
      <c r="H1400">
        <v>18</v>
      </c>
      <c r="I1400">
        <v>4</v>
      </c>
      <c r="J1400">
        <v>1</v>
      </c>
      <c r="K1400" s="9">
        <v>4.375</v>
      </c>
    </row>
    <row r="1401" spans="1:11" x14ac:dyDescent="0.45">
      <c r="A1401" t="s">
        <v>143</v>
      </c>
      <c r="B1401" t="s">
        <v>632</v>
      </c>
      <c r="C1401" t="s">
        <v>19</v>
      </c>
      <c r="D1401">
        <v>3</v>
      </c>
      <c r="E1401" t="s">
        <v>363</v>
      </c>
      <c r="F1401" t="s">
        <v>622</v>
      </c>
      <c r="G1401">
        <v>51</v>
      </c>
      <c r="H1401">
        <v>39</v>
      </c>
      <c r="I1401">
        <v>5</v>
      </c>
      <c r="J1401">
        <v>2</v>
      </c>
      <c r="K1401" s="9">
        <v>2.7083333333333335</v>
      </c>
    </row>
    <row r="1402" spans="1:11" x14ac:dyDescent="0.45">
      <c r="A1402" t="s">
        <v>143</v>
      </c>
      <c r="B1402" t="s">
        <v>632</v>
      </c>
      <c r="C1402" t="s">
        <v>19</v>
      </c>
      <c r="D1402">
        <v>4</v>
      </c>
      <c r="E1402" t="s">
        <v>502</v>
      </c>
      <c r="F1402" t="s">
        <v>622</v>
      </c>
      <c r="G1402">
        <v>35</v>
      </c>
      <c r="H1402">
        <v>30</v>
      </c>
      <c r="I1402">
        <v>1</v>
      </c>
      <c r="J1402">
        <v>2</v>
      </c>
      <c r="K1402" s="9">
        <v>3.6774193548387095</v>
      </c>
    </row>
    <row r="1403" spans="1:11" x14ac:dyDescent="0.45">
      <c r="A1403" t="s">
        <v>143</v>
      </c>
      <c r="B1403" t="s">
        <v>632</v>
      </c>
      <c r="C1403" t="s">
        <v>19</v>
      </c>
      <c r="D1403">
        <v>5</v>
      </c>
      <c r="E1403" t="s">
        <v>362</v>
      </c>
      <c r="F1403" t="s">
        <v>622</v>
      </c>
      <c r="G1403">
        <v>10</v>
      </c>
      <c r="H1403">
        <v>14</v>
      </c>
      <c r="I1403">
        <v>0</v>
      </c>
      <c r="J1403">
        <v>0</v>
      </c>
      <c r="K1403" s="9">
        <v>4.8461538461538458</v>
      </c>
    </row>
    <row r="1404" spans="1:11" x14ac:dyDescent="0.45">
      <c r="A1404" t="s">
        <v>143</v>
      </c>
      <c r="B1404" t="s">
        <v>632</v>
      </c>
      <c r="C1404" t="s">
        <v>19</v>
      </c>
      <c r="D1404">
        <v>6</v>
      </c>
      <c r="E1404" t="s">
        <v>447</v>
      </c>
      <c r="F1404" t="s">
        <v>623</v>
      </c>
      <c r="G1404">
        <v>20</v>
      </c>
      <c r="H1404">
        <v>9</v>
      </c>
      <c r="I1404">
        <v>2</v>
      </c>
      <c r="J1404">
        <v>1</v>
      </c>
      <c r="K1404" s="9">
        <v>4.924050632911392</v>
      </c>
    </row>
    <row r="1405" spans="1:11" x14ac:dyDescent="0.45">
      <c r="A1405" t="s">
        <v>143</v>
      </c>
      <c r="B1405" t="s">
        <v>632</v>
      </c>
      <c r="C1405" t="s">
        <v>19</v>
      </c>
      <c r="D1405">
        <v>7</v>
      </c>
      <c r="E1405" t="s">
        <v>464</v>
      </c>
      <c r="F1405" t="s">
        <v>623</v>
      </c>
      <c r="G1405">
        <v>6</v>
      </c>
      <c r="H1405">
        <v>1</v>
      </c>
      <c r="I1405">
        <v>0</v>
      </c>
      <c r="J1405">
        <v>1</v>
      </c>
      <c r="K1405" s="9">
        <v>6.5693779904306222</v>
      </c>
    </row>
    <row r="1406" spans="1:11" x14ac:dyDescent="0.45">
      <c r="A1406" t="s">
        <v>144</v>
      </c>
      <c r="B1406" t="s">
        <v>684</v>
      </c>
      <c r="C1406" t="s">
        <v>13</v>
      </c>
      <c r="D1406">
        <v>1</v>
      </c>
      <c r="E1406" t="s">
        <v>343</v>
      </c>
      <c r="F1406" t="s">
        <v>622</v>
      </c>
      <c r="G1406">
        <v>58</v>
      </c>
      <c r="H1406">
        <v>53</v>
      </c>
      <c r="I1406">
        <v>6</v>
      </c>
      <c r="J1406">
        <v>1</v>
      </c>
      <c r="K1406" s="9">
        <v>3.3</v>
      </c>
    </row>
    <row r="1407" spans="1:11" x14ac:dyDescent="0.45">
      <c r="A1407" t="s">
        <v>144</v>
      </c>
      <c r="B1407" t="s">
        <v>684</v>
      </c>
      <c r="C1407" t="s">
        <v>13</v>
      </c>
      <c r="D1407">
        <v>2</v>
      </c>
      <c r="E1407" t="s">
        <v>294</v>
      </c>
      <c r="F1407" t="s">
        <v>622</v>
      </c>
      <c r="G1407">
        <v>0</v>
      </c>
      <c r="H1407">
        <v>4</v>
      </c>
      <c r="I1407">
        <v>0</v>
      </c>
      <c r="J1407">
        <v>0</v>
      </c>
      <c r="K1407" s="9">
        <v>5.352380952380952</v>
      </c>
    </row>
    <row r="1408" spans="1:11" x14ac:dyDescent="0.45">
      <c r="A1408" t="s">
        <v>144</v>
      </c>
      <c r="B1408" t="s">
        <v>684</v>
      </c>
      <c r="C1408" t="s">
        <v>13</v>
      </c>
      <c r="D1408">
        <v>3</v>
      </c>
      <c r="E1408" t="s">
        <v>463</v>
      </c>
      <c r="F1408" t="s">
        <v>622</v>
      </c>
      <c r="G1408">
        <v>52</v>
      </c>
      <c r="H1408">
        <v>32</v>
      </c>
      <c r="I1408">
        <v>5</v>
      </c>
      <c r="J1408">
        <v>2</v>
      </c>
      <c r="K1408" s="9">
        <v>3.9375</v>
      </c>
    </row>
    <row r="1409" spans="1:11" x14ac:dyDescent="0.45">
      <c r="A1409" t="s">
        <v>144</v>
      </c>
      <c r="B1409" t="s">
        <v>684</v>
      </c>
      <c r="C1409" t="s">
        <v>13</v>
      </c>
      <c r="D1409">
        <v>4</v>
      </c>
      <c r="E1409" t="s">
        <v>345</v>
      </c>
      <c r="F1409" t="s">
        <v>622</v>
      </c>
      <c r="G1409">
        <v>33</v>
      </c>
      <c r="H1409">
        <v>18</v>
      </c>
      <c r="I1409">
        <v>3</v>
      </c>
      <c r="J1409">
        <v>2</v>
      </c>
      <c r="K1409" s="9">
        <v>4.375</v>
      </c>
    </row>
    <row r="1410" spans="1:11" x14ac:dyDescent="0.45">
      <c r="A1410" t="s">
        <v>144</v>
      </c>
      <c r="B1410" t="s">
        <v>684</v>
      </c>
      <c r="C1410" t="s">
        <v>13</v>
      </c>
      <c r="D1410">
        <v>5</v>
      </c>
      <c r="E1410" t="s">
        <v>311</v>
      </c>
      <c r="F1410" t="s">
        <v>622</v>
      </c>
      <c r="G1410">
        <v>2</v>
      </c>
      <c r="H1410">
        <v>3</v>
      </c>
      <c r="I1410">
        <v>0</v>
      </c>
      <c r="J1410">
        <v>0</v>
      </c>
      <c r="K1410" s="9">
        <v>5.6607142857142856</v>
      </c>
    </row>
    <row r="1411" spans="1:11" x14ac:dyDescent="0.45">
      <c r="A1411" t="s">
        <v>144</v>
      </c>
      <c r="B1411" t="s">
        <v>684</v>
      </c>
      <c r="C1411" t="s">
        <v>13</v>
      </c>
      <c r="D1411">
        <v>6</v>
      </c>
      <c r="E1411" t="s">
        <v>347</v>
      </c>
      <c r="F1411" t="s">
        <v>623</v>
      </c>
      <c r="G1411">
        <v>2</v>
      </c>
      <c r="H1411">
        <v>2</v>
      </c>
      <c r="I1411">
        <v>0</v>
      </c>
      <c r="J1411">
        <v>0</v>
      </c>
      <c r="K1411" s="9">
        <v>6.1385542168674698</v>
      </c>
    </row>
    <row r="1412" spans="1:11" x14ac:dyDescent="0.45">
      <c r="A1412" t="s">
        <v>144</v>
      </c>
      <c r="B1412" t="s">
        <v>684</v>
      </c>
      <c r="C1412" t="s">
        <v>13</v>
      </c>
      <c r="D1412">
        <v>7</v>
      </c>
      <c r="E1412" t="s">
        <v>430</v>
      </c>
      <c r="F1412" t="s">
        <v>622</v>
      </c>
      <c r="G1412">
        <v>16</v>
      </c>
      <c r="H1412">
        <v>8</v>
      </c>
      <c r="I1412">
        <v>2</v>
      </c>
      <c r="J1412">
        <v>1</v>
      </c>
      <c r="K1412" s="9">
        <v>4.9029126213592233</v>
      </c>
    </row>
    <row r="1413" spans="1:11" x14ac:dyDescent="0.45">
      <c r="A1413" t="s">
        <v>144</v>
      </c>
      <c r="B1413" t="s">
        <v>684</v>
      </c>
      <c r="C1413" t="s">
        <v>101</v>
      </c>
      <c r="D1413">
        <v>1</v>
      </c>
      <c r="E1413" t="s">
        <v>380</v>
      </c>
      <c r="F1413" t="s">
        <v>622</v>
      </c>
      <c r="G1413">
        <v>29</v>
      </c>
      <c r="H1413">
        <v>22</v>
      </c>
      <c r="I1413">
        <v>4</v>
      </c>
      <c r="J1413">
        <v>0</v>
      </c>
      <c r="K1413" s="9">
        <v>4.4423076923076925</v>
      </c>
    </row>
    <row r="1414" spans="1:11" x14ac:dyDescent="0.45">
      <c r="A1414" t="s">
        <v>144</v>
      </c>
      <c r="B1414" t="s">
        <v>684</v>
      </c>
      <c r="C1414" t="s">
        <v>101</v>
      </c>
      <c r="D1414">
        <v>2</v>
      </c>
      <c r="E1414" t="s">
        <v>302</v>
      </c>
      <c r="F1414" t="s">
        <v>622</v>
      </c>
      <c r="G1414">
        <v>31</v>
      </c>
      <c r="H1414">
        <v>28</v>
      </c>
      <c r="I1414">
        <v>3</v>
      </c>
      <c r="J1414">
        <v>1</v>
      </c>
      <c r="K1414" s="9">
        <v>3.806451612903226</v>
      </c>
    </row>
    <row r="1415" spans="1:11" x14ac:dyDescent="0.45">
      <c r="A1415" t="s">
        <v>144</v>
      </c>
      <c r="B1415" t="s">
        <v>684</v>
      </c>
      <c r="C1415" t="s">
        <v>101</v>
      </c>
      <c r="D1415">
        <v>3</v>
      </c>
      <c r="E1415" t="s">
        <v>534</v>
      </c>
      <c r="F1415" t="s">
        <v>622</v>
      </c>
      <c r="G1415">
        <v>20</v>
      </c>
      <c r="H1415">
        <v>14</v>
      </c>
      <c r="I1415">
        <v>2</v>
      </c>
      <c r="J1415">
        <v>0</v>
      </c>
      <c r="K1415" s="9">
        <v>4.8461538461538458</v>
      </c>
    </row>
    <row r="1416" spans="1:11" x14ac:dyDescent="0.45">
      <c r="A1416" t="s">
        <v>144</v>
      </c>
      <c r="B1416" t="s">
        <v>684</v>
      </c>
      <c r="C1416" t="s">
        <v>101</v>
      </c>
      <c r="D1416">
        <v>4</v>
      </c>
      <c r="E1416" t="s">
        <v>361</v>
      </c>
      <c r="F1416" t="s">
        <v>622</v>
      </c>
      <c r="G1416">
        <v>3</v>
      </c>
      <c r="H1416">
        <v>5</v>
      </c>
      <c r="I1416">
        <v>0</v>
      </c>
      <c r="J1416">
        <v>0</v>
      </c>
      <c r="K1416" s="9">
        <v>5.132075471698113</v>
      </c>
    </row>
    <row r="1417" spans="1:11" x14ac:dyDescent="0.45">
      <c r="A1417" t="s">
        <v>144</v>
      </c>
      <c r="B1417" t="s">
        <v>684</v>
      </c>
      <c r="C1417" t="s">
        <v>101</v>
      </c>
      <c r="D1417">
        <v>5</v>
      </c>
      <c r="E1417" t="s">
        <v>411</v>
      </c>
      <c r="F1417" t="s">
        <v>623</v>
      </c>
      <c r="G1417">
        <v>39</v>
      </c>
      <c r="H1417">
        <v>24</v>
      </c>
      <c r="I1417">
        <v>4</v>
      </c>
      <c r="J1417">
        <v>1</v>
      </c>
      <c r="K1417" s="9">
        <v>4.0606060606060606</v>
      </c>
    </row>
    <row r="1418" spans="1:11" x14ac:dyDescent="0.45">
      <c r="A1418" t="s">
        <v>144</v>
      </c>
      <c r="B1418" t="s">
        <v>684</v>
      </c>
      <c r="C1418" t="s">
        <v>101</v>
      </c>
      <c r="D1418">
        <v>6</v>
      </c>
      <c r="E1418" t="s">
        <v>390</v>
      </c>
      <c r="F1418" t="s">
        <v>623</v>
      </c>
      <c r="G1418">
        <v>43</v>
      </c>
      <c r="H1418">
        <v>25</v>
      </c>
      <c r="I1418">
        <v>5</v>
      </c>
      <c r="J1418">
        <v>2</v>
      </c>
      <c r="K1418" s="9">
        <v>4.4782608695652177</v>
      </c>
    </row>
    <row r="1419" spans="1:11" x14ac:dyDescent="0.45">
      <c r="A1419" t="s">
        <v>145</v>
      </c>
      <c r="B1419" t="s">
        <v>685</v>
      </c>
      <c r="C1419" t="s">
        <v>104</v>
      </c>
      <c r="D1419">
        <v>1</v>
      </c>
      <c r="E1419" t="s">
        <v>422</v>
      </c>
      <c r="F1419" t="s">
        <v>622</v>
      </c>
      <c r="G1419">
        <v>46</v>
      </c>
      <c r="H1419">
        <v>37</v>
      </c>
      <c r="I1419">
        <v>4</v>
      </c>
      <c r="J1419">
        <v>2</v>
      </c>
      <c r="K1419" s="9">
        <v>3.5555555555555554</v>
      </c>
    </row>
    <row r="1420" spans="1:11" x14ac:dyDescent="0.45">
      <c r="A1420" t="s">
        <v>145</v>
      </c>
      <c r="B1420" t="s">
        <v>685</v>
      </c>
      <c r="C1420" t="s">
        <v>104</v>
      </c>
      <c r="D1420">
        <v>2</v>
      </c>
      <c r="E1420" t="s">
        <v>397</v>
      </c>
      <c r="F1420" t="s">
        <v>622</v>
      </c>
      <c r="G1420">
        <v>6</v>
      </c>
      <c r="H1420">
        <v>11</v>
      </c>
      <c r="I1420">
        <v>1</v>
      </c>
      <c r="J1420">
        <v>0</v>
      </c>
      <c r="K1420" s="9">
        <v>4.9649122807017543</v>
      </c>
    </row>
    <row r="1421" spans="1:11" x14ac:dyDescent="0.45">
      <c r="A1421" t="s">
        <v>145</v>
      </c>
      <c r="B1421" t="s">
        <v>685</v>
      </c>
      <c r="C1421" t="s">
        <v>104</v>
      </c>
      <c r="D1421">
        <v>3</v>
      </c>
      <c r="E1421" t="s">
        <v>426</v>
      </c>
      <c r="F1421" t="s">
        <v>622</v>
      </c>
      <c r="G1421">
        <v>34</v>
      </c>
      <c r="H1421">
        <v>28</v>
      </c>
      <c r="I1421">
        <v>1</v>
      </c>
      <c r="J1421">
        <v>2</v>
      </c>
      <c r="K1421" s="9">
        <v>3.806451612903226</v>
      </c>
    </row>
    <row r="1422" spans="1:11" x14ac:dyDescent="0.45">
      <c r="A1422" t="s">
        <v>145</v>
      </c>
      <c r="B1422" t="s">
        <v>685</v>
      </c>
      <c r="C1422" t="s">
        <v>104</v>
      </c>
      <c r="D1422">
        <v>4</v>
      </c>
      <c r="E1422" t="s">
        <v>366</v>
      </c>
      <c r="F1422" t="s">
        <v>622</v>
      </c>
      <c r="G1422">
        <v>7</v>
      </c>
      <c r="H1422">
        <v>7</v>
      </c>
      <c r="I1422">
        <v>1</v>
      </c>
      <c r="J1422">
        <v>0</v>
      </c>
      <c r="K1422" s="9">
        <v>4.927835051546392</v>
      </c>
    </row>
    <row r="1423" spans="1:11" x14ac:dyDescent="0.45">
      <c r="A1423" t="s">
        <v>145</v>
      </c>
      <c r="B1423" t="s">
        <v>685</v>
      </c>
      <c r="C1423" t="s">
        <v>104</v>
      </c>
      <c r="D1423">
        <v>5</v>
      </c>
      <c r="E1423" t="s">
        <v>331</v>
      </c>
      <c r="F1423" t="s">
        <v>622</v>
      </c>
      <c r="G1423">
        <v>1</v>
      </c>
      <c r="H1423">
        <v>4</v>
      </c>
      <c r="I1423">
        <v>0</v>
      </c>
      <c r="J1423">
        <v>0</v>
      </c>
      <c r="K1423" s="9">
        <v>5.352380952380952</v>
      </c>
    </row>
    <row r="1424" spans="1:11" x14ac:dyDescent="0.45">
      <c r="A1424" t="s">
        <v>145</v>
      </c>
      <c r="B1424" t="s">
        <v>685</v>
      </c>
      <c r="C1424" t="s">
        <v>104</v>
      </c>
      <c r="D1424">
        <v>6</v>
      </c>
      <c r="E1424" t="s">
        <v>521</v>
      </c>
      <c r="F1424" t="s">
        <v>622</v>
      </c>
      <c r="G1424">
        <v>4</v>
      </c>
      <c r="H1424">
        <v>4</v>
      </c>
      <c r="I1424">
        <v>0</v>
      </c>
      <c r="J1424">
        <v>0</v>
      </c>
      <c r="K1424" s="9">
        <v>5.352380952380952</v>
      </c>
    </row>
    <row r="1425" spans="1:11" x14ac:dyDescent="0.45">
      <c r="A1425" t="s">
        <v>145</v>
      </c>
      <c r="B1425" t="s">
        <v>685</v>
      </c>
      <c r="C1425" t="s">
        <v>104</v>
      </c>
      <c r="D1425">
        <v>7</v>
      </c>
      <c r="E1425" t="s">
        <v>378</v>
      </c>
      <c r="F1425" t="s">
        <v>622</v>
      </c>
      <c r="G1425">
        <v>11</v>
      </c>
      <c r="H1425">
        <v>8</v>
      </c>
      <c r="I1425">
        <v>0</v>
      </c>
      <c r="J1425">
        <v>1</v>
      </c>
      <c r="K1425" s="9">
        <v>4.9029126213592233</v>
      </c>
    </row>
    <row r="1426" spans="1:11" x14ac:dyDescent="0.45">
      <c r="A1426" t="s">
        <v>145</v>
      </c>
      <c r="B1426" t="s">
        <v>685</v>
      </c>
      <c r="C1426" t="s">
        <v>104</v>
      </c>
      <c r="D1426">
        <v>8</v>
      </c>
      <c r="E1426" t="s">
        <v>491</v>
      </c>
      <c r="F1426" t="s">
        <v>622</v>
      </c>
      <c r="G1426">
        <v>17</v>
      </c>
      <c r="H1426">
        <v>10</v>
      </c>
      <c r="I1426">
        <v>0</v>
      </c>
      <c r="J1426">
        <v>2</v>
      </c>
      <c r="K1426" s="9">
        <v>4.7179487179487181</v>
      </c>
    </row>
    <row r="1427" spans="1:11" x14ac:dyDescent="0.45">
      <c r="A1427" t="s">
        <v>145</v>
      </c>
      <c r="B1427" t="s">
        <v>685</v>
      </c>
      <c r="C1427" t="s">
        <v>104</v>
      </c>
      <c r="D1427">
        <v>9</v>
      </c>
      <c r="E1427" t="s">
        <v>492</v>
      </c>
      <c r="F1427" t="s">
        <v>623</v>
      </c>
      <c r="G1427">
        <v>13</v>
      </c>
      <c r="H1427">
        <v>6</v>
      </c>
      <c r="I1427">
        <v>1</v>
      </c>
      <c r="J1427">
        <v>1</v>
      </c>
      <c r="K1427" s="9">
        <v>5.4565217391304346</v>
      </c>
    </row>
    <row r="1428" spans="1:11" x14ac:dyDescent="0.45">
      <c r="A1428" t="s">
        <v>145</v>
      </c>
      <c r="B1428" t="s">
        <v>685</v>
      </c>
      <c r="C1428" t="s">
        <v>104</v>
      </c>
      <c r="D1428">
        <v>10</v>
      </c>
      <c r="E1428" t="s">
        <v>340</v>
      </c>
      <c r="F1428" t="s">
        <v>623</v>
      </c>
      <c r="G1428">
        <v>2</v>
      </c>
      <c r="H1428">
        <v>5</v>
      </c>
      <c r="I1428">
        <v>0</v>
      </c>
      <c r="J1428">
        <v>0</v>
      </c>
      <c r="K1428" s="9">
        <v>5.132075471698113</v>
      </c>
    </row>
    <row r="1429" spans="1:11" x14ac:dyDescent="0.45">
      <c r="A1429" t="s">
        <v>145</v>
      </c>
      <c r="B1429" t="s">
        <v>685</v>
      </c>
      <c r="C1429" t="s">
        <v>26</v>
      </c>
      <c r="D1429">
        <v>1</v>
      </c>
      <c r="E1429" t="s">
        <v>398</v>
      </c>
      <c r="F1429" t="s">
        <v>622</v>
      </c>
      <c r="G1429">
        <v>25</v>
      </c>
      <c r="H1429">
        <v>17</v>
      </c>
      <c r="I1429">
        <v>2</v>
      </c>
      <c r="J1429">
        <v>2</v>
      </c>
      <c r="K1429" s="9">
        <v>4.82</v>
      </c>
    </row>
    <row r="1430" spans="1:11" x14ac:dyDescent="0.45">
      <c r="A1430" t="s">
        <v>145</v>
      </c>
      <c r="B1430" t="s">
        <v>685</v>
      </c>
      <c r="C1430" t="s">
        <v>26</v>
      </c>
      <c r="D1430">
        <v>2</v>
      </c>
      <c r="E1430" t="s">
        <v>330</v>
      </c>
      <c r="F1430" t="s">
        <v>622</v>
      </c>
      <c r="G1430">
        <v>5</v>
      </c>
      <c r="H1430">
        <v>15</v>
      </c>
      <c r="I1430">
        <v>0</v>
      </c>
      <c r="J1430">
        <v>0</v>
      </c>
      <c r="K1430" s="9">
        <v>4.7777777777777777</v>
      </c>
    </row>
    <row r="1431" spans="1:11" x14ac:dyDescent="0.45">
      <c r="A1431" t="s">
        <v>145</v>
      </c>
      <c r="B1431" t="s">
        <v>685</v>
      </c>
      <c r="C1431" t="s">
        <v>26</v>
      </c>
      <c r="D1431">
        <v>3</v>
      </c>
      <c r="E1431" t="s">
        <v>459</v>
      </c>
      <c r="F1431" t="s">
        <v>622</v>
      </c>
      <c r="G1431">
        <v>32</v>
      </c>
      <c r="H1431">
        <v>28</v>
      </c>
      <c r="I1431">
        <v>5</v>
      </c>
      <c r="J1431">
        <v>0</v>
      </c>
      <c r="K1431" s="9">
        <v>3.806451612903226</v>
      </c>
    </row>
    <row r="1432" spans="1:11" x14ac:dyDescent="0.45">
      <c r="A1432" t="s">
        <v>145</v>
      </c>
      <c r="B1432" t="s">
        <v>685</v>
      </c>
      <c r="C1432" t="s">
        <v>26</v>
      </c>
      <c r="D1432">
        <v>4</v>
      </c>
      <c r="E1432" t="s">
        <v>519</v>
      </c>
      <c r="F1432" t="s">
        <v>622</v>
      </c>
      <c r="G1432">
        <v>9</v>
      </c>
      <c r="H1432">
        <v>7</v>
      </c>
      <c r="I1432">
        <v>1</v>
      </c>
      <c r="J1432">
        <v>0</v>
      </c>
      <c r="K1432" s="9">
        <v>4.927835051546392</v>
      </c>
    </row>
    <row r="1433" spans="1:11" x14ac:dyDescent="0.45">
      <c r="A1433" t="s">
        <v>145</v>
      </c>
      <c r="B1433" t="s">
        <v>685</v>
      </c>
      <c r="C1433" t="s">
        <v>26</v>
      </c>
      <c r="D1433">
        <v>5</v>
      </c>
      <c r="E1433" t="s">
        <v>384</v>
      </c>
      <c r="F1433" t="s">
        <v>622</v>
      </c>
      <c r="G1433">
        <v>18</v>
      </c>
      <c r="H1433">
        <v>16</v>
      </c>
      <c r="I1433">
        <v>0</v>
      </c>
      <c r="J1433">
        <v>2</v>
      </c>
      <c r="K1433" s="9">
        <v>4.7608695652173916</v>
      </c>
    </row>
    <row r="1434" spans="1:11" x14ac:dyDescent="0.45">
      <c r="A1434" t="s">
        <v>145</v>
      </c>
      <c r="B1434" t="s">
        <v>685</v>
      </c>
      <c r="C1434" t="s">
        <v>26</v>
      </c>
      <c r="D1434">
        <v>6</v>
      </c>
      <c r="E1434" t="s">
        <v>495</v>
      </c>
      <c r="F1434" t="s">
        <v>622</v>
      </c>
      <c r="G1434">
        <v>2</v>
      </c>
      <c r="H1434">
        <v>5</v>
      </c>
      <c r="I1434">
        <v>0</v>
      </c>
      <c r="J1434">
        <v>0</v>
      </c>
      <c r="K1434" s="9">
        <v>5.132075471698113</v>
      </c>
    </row>
    <row r="1435" spans="1:11" x14ac:dyDescent="0.45">
      <c r="A1435" t="s">
        <v>145</v>
      </c>
      <c r="B1435" t="s">
        <v>685</v>
      </c>
      <c r="C1435" t="s">
        <v>26</v>
      </c>
      <c r="D1435">
        <v>7</v>
      </c>
      <c r="E1435" t="s">
        <v>520</v>
      </c>
      <c r="F1435" t="s">
        <v>623</v>
      </c>
      <c r="G1435">
        <v>21</v>
      </c>
      <c r="H1435">
        <v>22</v>
      </c>
      <c r="I1435">
        <v>3</v>
      </c>
      <c r="J1435">
        <v>1</v>
      </c>
      <c r="K1435" s="9">
        <v>4.4423076923076925</v>
      </c>
    </row>
    <row r="1436" spans="1:11" x14ac:dyDescent="0.45">
      <c r="A1436" t="s">
        <v>145</v>
      </c>
      <c r="B1436" t="s">
        <v>685</v>
      </c>
      <c r="C1436" t="s">
        <v>26</v>
      </c>
      <c r="D1436">
        <v>8</v>
      </c>
      <c r="E1436" t="s">
        <v>341</v>
      </c>
      <c r="F1436" t="s">
        <v>622</v>
      </c>
      <c r="G1436">
        <v>2</v>
      </c>
      <c r="H1436">
        <v>5</v>
      </c>
      <c r="I1436">
        <v>0</v>
      </c>
      <c r="J1436">
        <v>0</v>
      </c>
      <c r="K1436" s="9">
        <v>5.132075471698113</v>
      </c>
    </row>
    <row r="1437" spans="1:11" x14ac:dyDescent="0.45">
      <c r="A1437" t="s">
        <v>145</v>
      </c>
      <c r="B1437" t="s">
        <v>685</v>
      </c>
      <c r="C1437" t="s">
        <v>26</v>
      </c>
      <c r="D1437">
        <v>9</v>
      </c>
      <c r="E1437" t="s">
        <v>435</v>
      </c>
      <c r="F1437" t="s">
        <v>622</v>
      </c>
      <c r="G1437">
        <v>4</v>
      </c>
      <c r="H1437">
        <v>4</v>
      </c>
      <c r="I1437">
        <v>1</v>
      </c>
      <c r="J1437">
        <v>0</v>
      </c>
      <c r="K1437" s="9">
        <v>5.352380952380952</v>
      </c>
    </row>
    <row r="1438" spans="1:11" x14ac:dyDescent="0.45">
      <c r="A1438" t="s">
        <v>145</v>
      </c>
      <c r="B1438" t="s">
        <v>685</v>
      </c>
      <c r="C1438" t="s">
        <v>26</v>
      </c>
      <c r="D1438">
        <v>10</v>
      </c>
      <c r="E1438" t="s">
        <v>405</v>
      </c>
      <c r="F1438" t="s">
        <v>623</v>
      </c>
      <c r="G1438">
        <v>0</v>
      </c>
      <c r="H1438">
        <v>2</v>
      </c>
      <c r="I1438">
        <v>0</v>
      </c>
      <c r="J1438">
        <v>0</v>
      </c>
      <c r="K1438" s="9">
        <v>6.1385542168674698</v>
      </c>
    </row>
    <row r="1439" spans="1:11" x14ac:dyDescent="0.45">
      <c r="A1439" t="s">
        <v>146</v>
      </c>
      <c r="B1439" t="s">
        <v>654</v>
      </c>
      <c r="C1439" t="s">
        <v>7</v>
      </c>
      <c r="D1439">
        <v>1</v>
      </c>
      <c r="E1439" t="s">
        <v>531</v>
      </c>
      <c r="F1439" t="s">
        <v>622</v>
      </c>
      <c r="G1439">
        <v>3</v>
      </c>
      <c r="H1439">
        <v>7</v>
      </c>
      <c r="I1439">
        <v>0</v>
      </c>
      <c r="J1439">
        <v>0</v>
      </c>
      <c r="K1439" s="9">
        <v>4.927835051546392</v>
      </c>
    </row>
    <row r="1440" spans="1:11" x14ac:dyDescent="0.45">
      <c r="A1440" t="s">
        <v>146</v>
      </c>
      <c r="B1440" t="s">
        <v>654</v>
      </c>
      <c r="C1440" t="s">
        <v>7</v>
      </c>
      <c r="D1440">
        <v>2</v>
      </c>
      <c r="E1440" t="s">
        <v>304</v>
      </c>
      <c r="F1440" t="s">
        <v>622</v>
      </c>
      <c r="G1440">
        <v>6</v>
      </c>
      <c r="H1440">
        <v>12</v>
      </c>
      <c r="I1440">
        <v>0</v>
      </c>
      <c r="J1440">
        <v>0</v>
      </c>
      <c r="K1440" s="9">
        <v>4.8024691358024691</v>
      </c>
    </row>
    <row r="1441" spans="1:11" x14ac:dyDescent="0.45">
      <c r="A1441" t="s">
        <v>146</v>
      </c>
      <c r="B1441" t="s">
        <v>654</v>
      </c>
      <c r="C1441" t="s">
        <v>7</v>
      </c>
      <c r="D1441">
        <v>3</v>
      </c>
      <c r="E1441" t="s">
        <v>332</v>
      </c>
      <c r="F1441" t="s">
        <v>622</v>
      </c>
      <c r="G1441">
        <v>42</v>
      </c>
      <c r="H1441">
        <v>37</v>
      </c>
      <c r="I1441">
        <v>4</v>
      </c>
      <c r="J1441">
        <v>0</v>
      </c>
      <c r="K1441" s="9">
        <v>3.5555555555555554</v>
      </c>
    </row>
    <row r="1442" spans="1:11" x14ac:dyDescent="0.45">
      <c r="A1442" t="s">
        <v>146</v>
      </c>
      <c r="B1442" t="s">
        <v>654</v>
      </c>
      <c r="C1442" t="s">
        <v>7</v>
      </c>
      <c r="D1442">
        <v>4</v>
      </c>
      <c r="E1442" t="s">
        <v>530</v>
      </c>
      <c r="F1442" t="s">
        <v>622</v>
      </c>
      <c r="G1442">
        <v>6</v>
      </c>
      <c r="H1442">
        <v>8</v>
      </c>
      <c r="I1442">
        <v>0</v>
      </c>
      <c r="J1442">
        <v>0</v>
      </c>
      <c r="K1442" s="9">
        <v>4.9029126213592233</v>
      </c>
    </row>
    <row r="1443" spans="1:11" x14ac:dyDescent="0.45">
      <c r="A1443" t="s">
        <v>146</v>
      </c>
      <c r="B1443" t="s">
        <v>654</v>
      </c>
      <c r="C1443" t="s">
        <v>7</v>
      </c>
      <c r="D1443">
        <v>5</v>
      </c>
      <c r="E1443" t="s">
        <v>308</v>
      </c>
      <c r="F1443" t="s">
        <v>622</v>
      </c>
      <c r="G1443">
        <v>0</v>
      </c>
      <c r="H1443">
        <v>1</v>
      </c>
      <c r="I1443">
        <v>0</v>
      </c>
      <c r="J1443">
        <v>0</v>
      </c>
      <c r="K1443" s="9">
        <v>6.5693779904306222</v>
      </c>
    </row>
    <row r="1444" spans="1:11" x14ac:dyDescent="0.45">
      <c r="A1444" t="s">
        <v>146</v>
      </c>
      <c r="B1444" t="s">
        <v>654</v>
      </c>
      <c r="C1444" t="s">
        <v>7</v>
      </c>
      <c r="D1444">
        <v>6</v>
      </c>
      <c r="E1444" t="s">
        <v>306</v>
      </c>
      <c r="F1444" t="s">
        <v>622</v>
      </c>
      <c r="G1444">
        <v>57</v>
      </c>
      <c r="H1444">
        <v>34</v>
      </c>
      <c r="I1444">
        <v>3</v>
      </c>
      <c r="J1444">
        <v>4</v>
      </c>
      <c r="K1444" s="9">
        <v>4.4137931034482758</v>
      </c>
    </row>
    <row r="1445" spans="1:11" x14ac:dyDescent="0.45">
      <c r="A1445" t="s">
        <v>146</v>
      </c>
      <c r="B1445" t="s">
        <v>654</v>
      </c>
      <c r="C1445" t="s">
        <v>7</v>
      </c>
      <c r="D1445">
        <v>7</v>
      </c>
      <c r="E1445" t="s">
        <v>440</v>
      </c>
      <c r="F1445" t="s">
        <v>622</v>
      </c>
      <c r="G1445">
        <v>0</v>
      </c>
      <c r="H1445">
        <v>3</v>
      </c>
      <c r="I1445">
        <v>0</v>
      </c>
      <c r="J1445">
        <v>0</v>
      </c>
      <c r="K1445" s="9">
        <v>5.6607142857142856</v>
      </c>
    </row>
    <row r="1446" spans="1:11" x14ac:dyDescent="0.45">
      <c r="A1446" t="s">
        <v>146</v>
      </c>
      <c r="B1446" t="s">
        <v>654</v>
      </c>
      <c r="C1446" t="s">
        <v>7</v>
      </c>
      <c r="D1446">
        <v>8</v>
      </c>
      <c r="E1446" t="s">
        <v>514</v>
      </c>
      <c r="F1446" t="s">
        <v>622</v>
      </c>
      <c r="G1446">
        <v>23</v>
      </c>
      <c r="H1446">
        <v>16</v>
      </c>
      <c r="I1446">
        <v>3</v>
      </c>
      <c r="J1446">
        <v>0</v>
      </c>
      <c r="K1446" s="9">
        <v>4.7608695652173916</v>
      </c>
    </row>
    <row r="1447" spans="1:11" x14ac:dyDescent="0.45">
      <c r="A1447" t="s">
        <v>146</v>
      </c>
      <c r="B1447" t="s">
        <v>654</v>
      </c>
      <c r="C1447" t="s">
        <v>7</v>
      </c>
      <c r="D1447">
        <v>9</v>
      </c>
      <c r="E1447" t="s">
        <v>515</v>
      </c>
      <c r="F1447" t="s">
        <v>623</v>
      </c>
      <c r="G1447">
        <v>0</v>
      </c>
      <c r="H1447">
        <v>1</v>
      </c>
      <c r="I1447">
        <v>0</v>
      </c>
      <c r="J1447">
        <v>0</v>
      </c>
      <c r="K1447" s="9">
        <v>6.5693779904306222</v>
      </c>
    </row>
    <row r="1448" spans="1:11" x14ac:dyDescent="0.45">
      <c r="A1448" t="s">
        <v>146</v>
      </c>
      <c r="B1448" t="s">
        <v>654</v>
      </c>
      <c r="C1448" t="s">
        <v>7</v>
      </c>
      <c r="D1448">
        <v>10</v>
      </c>
      <c r="E1448" t="s">
        <v>415</v>
      </c>
      <c r="F1448" t="s">
        <v>622</v>
      </c>
      <c r="G1448">
        <v>0</v>
      </c>
      <c r="H1448">
        <v>1</v>
      </c>
      <c r="I1448">
        <v>0</v>
      </c>
      <c r="J1448">
        <v>0</v>
      </c>
      <c r="K1448" s="9">
        <v>6.5693779904306222</v>
      </c>
    </row>
    <row r="1449" spans="1:11" x14ac:dyDescent="0.45">
      <c r="A1449" t="s">
        <v>146</v>
      </c>
      <c r="B1449" t="s">
        <v>654</v>
      </c>
      <c r="C1449" t="s">
        <v>7</v>
      </c>
      <c r="D1449">
        <v>11</v>
      </c>
      <c r="E1449" t="s">
        <v>533</v>
      </c>
      <c r="F1449" t="s">
        <v>623</v>
      </c>
      <c r="G1449">
        <v>0</v>
      </c>
      <c r="H1449">
        <v>1</v>
      </c>
      <c r="I1449">
        <v>0</v>
      </c>
      <c r="J1449">
        <v>0</v>
      </c>
      <c r="K1449" s="9">
        <v>6.5693779904306222</v>
      </c>
    </row>
    <row r="1450" spans="1:11" x14ac:dyDescent="0.45">
      <c r="A1450" t="s">
        <v>146</v>
      </c>
      <c r="B1450" t="s">
        <v>654</v>
      </c>
      <c r="C1450" t="s">
        <v>10</v>
      </c>
      <c r="D1450">
        <v>1</v>
      </c>
      <c r="E1450" t="s">
        <v>329</v>
      </c>
      <c r="F1450" t="s">
        <v>622</v>
      </c>
      <c r="G1450">
        <v>0</v>
      </c>
      <c r="H1450">
        <v>1</v>
      </c>
      <c r="I1450">
        <v>0</v>
      </c>
      <c r="J1450">
        <v>0</v>
      </c>
      <c r="K1450" s="9">
        <v>6.5693779904306222</v>
      </c>
    </row>
    <row r="1451" spans="1:11" x14ac:dyDescent="0.45">
      <c r="A1451" t="s">
        <v>146</v>
      </c>
      <c r="B1451" t="s">
        <v>654</v>
      </c>
      <c r="C1451" t="s">
        <v>10</v>
      </c>
      <c r="D1451">
        <v>2</v>
      </c>
      <c r="E1451" t="s">
        <v>442</v>
      </c>
      <c r="F1451" t="s">
        <v>622</v>
      </c>
      <c r="G1451">
        <v>42</v>
      </c>
      <c r="H1451">
        <v>26</v>
      </c>
      <c r="I1451">
        <v>8</v>
      </c>
      <c r="J1451">
        <v>0</v>
      </c>
      <c r="K1451" s="9">
        <v>4.1568627450980395</v>
      </c>
    </row>
    <row r="1452" spans="1:11" x14ac:dyDescent="0.45">
      <c r="A1452" t="s">
        <v>146</v>
      </c>
      <c r="B1452" t="s">
        <v>654</v>
      </c>
      <c r="C1452" t="s">
        <v>10</v>
      </c>
      <c r="D1452">
        <v>3</v>
      </c>
      <c r="E1452" t="s">
        <v>498</v>
      </c>
      <c r="F1452" t="s">
        <v>622</v>
      </c>
      <c r="G1452">
        <v>13</v>
      </c>
      <c r="H1452">
        <v>7</v>
      </c>
      <c r="I1452">
        <v>2</v>
      </c>
      <c r="J1452">
        <v>0</v>
      </c>
      <c r="K1452" s="9">
        <v>4.927835051546392</v>
      </c>
    </row>
    <row r="1453" spans="1:11" x14ac:dyDescent="0.45">
      <c r="A1453" t="s">
        <v>146</v>
      </c>
      <c r="B1453" t="s">
        <v>654</v>
      </c>
      <c r="C1453" t="s">
        <v>10</v>
      </c>
      <c r="D1453">
        <v>4</v>
      </c>
      <c r="E1453" t="s">
        <v>436</v>
      </c>
      <c r="F1453" t="s">
        <v>622</v>
      </c>
      <c r="G1453">
        <v>22</v>
      </c>
      <c r="H1453">
        <v>29</v>
      </c>
      <c r="I1453">
        <v>1</v>
      </c>
      <c r="J1453">
        <v>1</v>
      </c>
      <c r="K1453" s="9">
        <v>4.0454545454545459</v>
      </c>
    </row>
    <row r="1454" spans="1:11" x14ac:dyDescent="0.45">
      <c r="A1454" t="s">
        <v>146</v>
      </c>
      <c r="B1454" t="s">
        <v>654</v>
      </c>
      <c r="C1454" t="s">
        <v>10</v>
      </c>
      <c r="D1454">
        <v>5</v>
      </c>
      <c r="E1454" t="s">
        <v>334</v>
      </c>
      <c r="F1454" t="s">
        <v>622</v>
      </c>
      <c r="G1454">
        <v>2</v>
      </c>
      <c r="H1454">
        <v>5</v>
      </c>
      <c r="I1454">
        <v>0</v>
      </c>
      <c r="J1454">
        <v>0</v>
      </c>
      <c r="K1454" s="9">
        <v>5.132075471698113</v>
      </c>
    </row>
    <row r="1455" spans="1:11" x14ac:dyDescent="0.45">
      <c r="A1455" t="s">
        <v>146</v>
      </c>
      <c r="B1455" t="s">
        <v>654</v>
      </c>
      <c r="C1455" t="s">
        <v>10</v>
      </c>
      <c r="D1455">
        <v>6</v>
      </c>
      <c r="E1455" t="s">
        <v>499</v>
      </c>
      <c r="F1455" t="s">
        <v>623</v>
      </c>
      <c r="G1455">
        <v>33</v>
      </c>
      <c r="H1455">
        <v>16</v>
      </c>
      <c r="I1455">
        <v>1</v>
      </c>
      <c r="J1455">
        <v>3</v>
      </c>
      <c r="K1455" s="9">
        <v>4.7608695652173916</v>
      </c>
    </row>
    <row r="1456" spans="1:11" x14ac:dyDescent="0.45">
      <c r="A1456" t="s">
        <v>146</v>
      </c>
      <c r="B1456" t="s">
        <v>654</v>
      </c>
      <c r="C1456" t="s">
        <v>10</v>
      </c>
      <c r="D1456">
        <v>7</v>
      </c>
      <c r="E1456" t="s">
        <v>337</v>
      </c>
      <c r="F1456" t="s">
        <v>622</v>
      </c>
      <c r="G1456">
        <v>24</v>
      </c>
      <c r="H1456">
        <v>17</v>
      </c>
      <c r="I1456">
        <v>2</v>
      </c>
      <c r="J1456">
        <v>1</v>
      </c>
      <c r="K1456" s="9">
        <v>4.82</v>
      </c>
    </row>
    <row r="1457" spans="1:11" x14ac:dyDescent="0.45">
      <c r="A1457" t="s">
        <v>146</v>
      </c>
      <c r="B1457" t="s">
        <v>654</v>
      </c>
      <c r="C1457" t="s">
        <v>10</v>
      </c>
      <c r="D1457">
        <v>8</v>
      </c>
      <c r="E1457" t="s">
        <v>326</v>
      </c>
      <c r="F1457" t="s">
        <v>623</v>
      </c>
      <c r="G1457">
        <v>8</v>
      </c>
      <c r="H1457">
        <v>14</v>
      </c>
      <c r="I1457">
        <v>0</v>
      </c>
      <c r="J1457">
        <v>0</v>
      </c>
      <c r="K1457" s="9">
        <v>4.8461538461538458</v>
      </c>
    </row>
    <row r="1458" spans="1:11" x14ac:dyDescent="0.45">
      <c r="A1458" t="s">
        <v>147</v>
      </c>
      <c r="B1458" t="s">
        <v>686</v>
      </c>
      <c r="C1458" t="s">
        <v>20</v>
      </c>
      <c r="D1458">
        <v>1</v>
      </c>
      <c r="E1458" t="s">
        <v>373</v>
      </c>
      <c r="F1458" t="s">
        <v>622</v>
      </c>
      <c r="G1458">
        <v>65</v>
      </c>
      <c r="H1458">
        <v>42</v>
      </c>
      <c r="I1458">
        <v>6</v>
      </c>
      <c r="J1458">
        <v>3</v>
      </c>
      <c r="K1458" s="9">
        <v>3.3913043478260869</v>
      </c>
    </row>
    <row r="1459" spans="1:11" x14ac:dyDescent="0.45">
      <c r="A1459" t="s">
        <v>147</v>
      </c>
      <c r="B1459" t="s">
        <v>686</v>
      </c>
      <c r="C1459" t="s">
        <v>20</v>
      </c>
      <c r="D1459">
        <v>2</v>
      </c>
      <c r="E1459" t="s">
        <v>408</v>
      </c>
      <c r="F1459" t="s">
        <v>622</v>
      </c>
      <c r="G1459">
        <v>5</v>
      </c>
      <c r="H1459">
        <v>8</v>
      </c>
      <c r="I1459">
        <v>1</v>
      </c>
      <c r="J1459">
        <v>0</v>
      </c>
      <c r="K1459" s="9">
        <v>4.9029126213592233</v>
      </c>
    </row>
    <row r="1460" spans="1:11" x14ac:dyDescent="0.45">
      <c r="A1460" t="s">
        <v>147</v>
      </c>
      <c r="B1460" t="s">
        <v>686</v>
      </c>
      <c r="C1460" t="s">
        <v>20</v>
      </c>
      <c r="D1460">
        <v>3</v>
      </c>
      <c r="E1460" t="s">
        <v>315</v>
      </c>
      <c r="F1460" t="s">
        <v>622</v>
      </c>
      <c r="G1460">
        <v>16</v>
      </c>
      <c r="H1460">
        <v>10</v>
      </c>
      <c r="I1460">
        <v>2</v>
      </c>
      <c r="J1460">
        <v>1</v>
      </c>
      <c r="K1460" s="9">
        <v>4.7179487179487181</v>
      </c>
    </row>
    <row r="1461" spans="1:11" x14ac:dyDescent="0.45">
      <c r="A1461" t="s">
        <v>147</v>
      </c>
      <c r="B1461" t="s">
        <v>686</v>
      </c>
      <c r="C1461" t="s">
        <v>20</v>
      </c>
      <c r="D1461">
        <v>4</v>
      </c>
      <c r="E1461" t="s">
        <v>401</v>
      </c>
      <c r="F1461" t="s">
        <v>622</v>
      </c>
      <c r="G1461">
        <v>56</v>
      </c>
      <c r="H1461">
        <v>40</v>
      </c>
      <c r="I1461">
        <v>2</v>
      </c>
      <c r="J1461">
        <v>3</v>
      </c>
      <c r="K1461" s="9">
        <v>4</v>
      </c>
    </row>
    <row r="1462" spans="1:11" x14ac:dyDescent="0.45">
      <c r="A1462" t="s">
        <v>147</v>
      </c>
      <c r="B1462" t="s">
        <v>686</v>
      </c>
      <c r="C1462" t="s">
        <v>20</v>
      </c>
      <c r="D1462">
        <v>5</v>
      </c>
      <c r="E1462" t="s">
        <v>416</v>
      </c>
      <c r="F1462" t="s">
        <v>622</v>
      </c>
      <c r="G1462">
        <v>3</v>
      </c>
      <c r="H1462">
        <v>5</v>
      </c>
      <c r="I1462">
        <v>0</v>
      </c>
      <c r="J1462">
        <v>0</v>
      </c>
      <c r="K1462" s="9">
        <v>5.132075471698113</v>
      </c>
    </row>
    <row r="1463" spans="1:11" x14ac:dyDescent="0.45">
      <c r="A1463" t="s">
        <v>147</v>
      </c>
      <c r="B1463" t="s">
        <v>686</v>
      </c>
      <c r="C1463" t="s">
        <v>20</v>
      </c>
      <c r="D1463">
        <v>6</v>
      </c>
      <c r="E1463" t="s">
        <v>467</v>
      </c>
      <c r="F1463" t="s">
        <v>622</v>
      </c>
      <c r="G1463">
        <v>3</v>
      </c>
      <c r="H1463">
        <v>4</v>
      </c>
      <c r="I1463">
        <v>0</v>
      </c>
      <c r="J1463">
        <v>0</v>
      </c>
      <c r="K1463" s="9">
        <v>5.352380952380952</v>
      </c>
    </row>
    <row r="1464" spans="1:11" x14ac:dyDescent="0.45">
      <c r="A1464" t="s">
        <v>147</v>
      </c>
      <c r="B1464" t="s">
        <v>686</v>
      </c>
      <c r="C1464" t="s">
        <v>20</v>
      </c>
      <c r="D1464">
        <v>7</v>
      </c>
      <c r="E1464" t="s">
        <v>522</v>
      </c>
      <c r="F1464" t="s">
        <v>623</v>
      </c>
      <c r="G1464">
        <v>25</v>
      </c>
      <c r="H1464">
        <v>6</v>
      </c>
      <c r="I1464">
        <v>1</v>
      </c>
      <c r="J1464">
        <v>3</v>
      </c>
      <c r="K1464" s="9">
        <v>5.4565217391304346</v>
      </c>
    </row>
    <row r="1465" spans="1:11" x14ac:dyDescent="0.45">
      <c r="A1465" t="s">
        <v>147</v>
      </c>
      <c r="B1465" t="s">
        <v>686</v>
      </c>
      <c r="C1465" t="s">
        <v>20</v>
      </c>
      <c r="D1465">
        <v>8</v>
      </c>
      <c r="E1465" t="s">
        <v>484</v>
      </c>
      <c r="F1465" t="s">
        <v>623</v>
      </c>
      <c r="G1465">
        <v>8</v>
      </c>
      <c r="H1465">
        <v>5</v>
      </c>
      <c r="I1465">
        <v>0</v>
      </c>
      <c r="J1465">
        <v>1</v>
      </c>
      <c r="K1465" s="9">
        <v>5.132075471698113</v>
      </c>
    </row>
    <row r="1466" spans="1:11" x14ac:dyDescent="0.45">
      <c r="A1466" t="s">
        <v>147</v>
      </c>
      <c r="B1466" t="s">
        <v>686</v>
      </c>
      <c r="C1466" t="s">
        <v>101</v>
      </c>
      <c r="D1466">
        <v>1</v>
      </c>
      <c r="E1466" t="s">
        <v>380</v>
      </c>
      <c r="F1466" t="s">
        <v>622</v>
      </c>
      <c r="G1466">
        <v>68</v>
      </c>
      <c r="H1466">
        <v>38</v>
      </c>
      <c r="I1466">
        <v>11</v>
      </c>
      <c r="J1466">
        <v>1</v>
      </c>
      <c r="K1466" s="9">
        <v>3.6842105263157894</v>
      </c>
    </row>
    <row r="1467" spans="1:11" x14ac:dyDescent="0.45">
      <c r="A1467" t="s">
        <v>147</v>
      </c>
      <c r="B1467" t="s">
        <v>686</v>
      </c>
      <c r="C1467" t="s">
        <v>101</v>
      </c>
      <c r="D1467">
        <v>2</v>
      </c>
      <c r="E1467" t="s">
        <v>302</v>
      </c>
      <c r="F1467" t="s">
        <v>622</v>
      </c>
      <c r="G1467">
        <v>22</v>
      </c>
      <c r="H1467">
        <v>24</v>
      </c>
      <c r="I1467">
        <v>1</v>
      </c>
      <c r="J1467">
        <v>1</v>
      </c>
      <c r="K1467" s="9">
        <v>4.0606060606060606</v>
      </c>
    </row>
    <row r="1468" spans="1:11" x14ac:dyDescent="0.45">
      <c r="A1468" t="s">
        <v>147</v>
      </c>
      <c r="B1468" t="s">
        <v>686</v>
      </c>
      <c r="C1468" t="s">
        <v>101</v>
      </c>
      <c r="D1468">
        <v>3</v>
      </c>
      <c r="E1468" t="s">
        <v>361</v>
      </c>
      <c r="F1468" t="s">
        <v>622</v>
      </c>
      <c r="G1468">
        <v>10</v>
      </c>
      <c r="H1468">
        <v>6</v>
      </c>
      <c r="I1468">
        <v>2</v>
      </c>
      <c r="J1468">
        <v>0</v>
      </c>
      <c r="K1468" s="9">
        <v>5.4565217391304346</v>
      </c>
    </row>
    <row r="1469" spans="1:11" x14ac:dyDescent="0.45">
      <c r="A1469" t="s">
        <v>147</v>
      </c>
      <c r="B1469" t="s">
        <v>686</v>
      </c>
      <c r="C1469" t="s">
        <v>101</v>
      </c>
      <c r="D1469">
        <v>4</v>
      </c>
      <c r="E1469" t="s">
        <v>411</v>
      </c>
      <c r="F1469" t="s">
        <v>622</v>
      </c>
      <c r="G1469">
        <v>17</v>
      </c>
      <c r="H1469">
        <v>19</v>
      </c>
      <c r="I1469">
        <v>1</v>
      </c>
      <c r="J1469">
        <v>0</v>
      </c>
      <c r="K1469" s="9">
        <v>4.5660377358490569</v>
      </c>
    </row>
    <row r="1470" spans="1:11" x14ac:dyDescent="0.45">
      <c r="A1470" t="s">
        <v>147</v>
      </c>
      <c r="B1470" t="s">
        <v>686</v>
      </c>
      <c r="C1470" t="s">
        <v>101</v>
      </c>
      <c r="D1470">
        <v>5</v>
      </c>
      <c r="E1470" t="s">
        <v>390</v>
      </c>
      <c r="F1470" t="s">
        <v>623</v>
      </c>
      <c r="G1470">
        <v>40</v>
      </c>
      <c r="H1470">
        <v>21</v>
      </c>
      <c r="I1470">
        <v>4</v>
      </c>
      <c r="J1470">
        <v>2</v>
      </c>
      <c r="K1470" s="9">
        <v>4.3770491803278686</v>
      </c>
    </row>
    <row r="1471" spans="1:11" x14ac:dyDescent="0.45">
      <c r="A1471" t="s">
        <v>147</v>
      </c>
      <c r="B1471" t="s">
        <v>686</v>
      </c>
      <c r="C1471" t="s">
        <v>101</v>
      </c>
      <c r="D1471">
        <v>6</v>
      </c>
      <c r="E1471" t="s">
        <v>540</v>
      </c>
      <c r="F1471" t="s">
        <v>622</v>
      </c>
      <c r="G1471">
        <v>0</v>
      </c>
      <c r="H1471">
        <v>1</v>
      </c>
      <c r="I1471">
        <v>0</v>
      </c>
      <c r="J1471">
        <v>0</v>
      </c>
      <c r="K1471" s="9">
        <v>6.5693779904306222</v>
      </c>
    </row>
    <row r="1472" spans="1:11" x14ac:dyDescent="0.45">
      <c r="A1472" t="s">
        <v>147</v>
      </c>
      <c r="B1472" t="s">
        <v>686</v>
      </c>
      <c r="C1472" t="s">
        <v>101</v>
      </c>
      <c r="D1472">
        <v>7</v>
      </c>
      <c r="E1472" t="s">
        <v>379</v>
      </c>
      <c r="F1472" t="s">
        <v>623</v>
      </c>
      <c r="G1472">
        <v>31</v>
      </c>
      <c r="H1472">
        <v>11</v>
      </c>
      <c r="I1472">
        <v>0</v>
      </c>
      <c r="J1472">
        <v>4</v>
      </c>
      <c r="K1472" s="9">
        <v>4.9649122807017543</v>
      </c>
    </row>
    <row r="1473" spans="1:11" x14ac:dyDescent="0.45">
      <c r="A1473" t="s">
        <v>149</v>
      </c>
      <c r="B1473" t="s">
        <v>640</v>
      </c>
      <c r="C1473" t="s">
        <v>23</v>
      </c>
      <c r="D1473">
        <v>1</v>
      </c>
      <c r="E1473" t="s">
        <v>458</v>
      </c>
      <c r="F1473" t="s">
        <v>622</v>
      </c>
      <c r="G1473">
        <v>8</v>
      </c>
      <c r="H1473">
        <v>9</v>
      </c>
      <c r="I1473">
        <v>1</v>
      </c>
      <c r="J1473">
        <v>0</v>
      </c>
      <c r="K1473" s="9">
        <v>4.924050632911392</v>
      </c>
    </row>
    <row r="1474" spans="1:11" x14ac:dyDescent="0.45">
      <c r="A1474" t="s">
        <v>149</v>
      </c>
      <c r="B1474" t="s">
        <v>640</v>
      </c>
      <c r="C1474" t="s">
        <v>23</v>
      </c>
      <c r="D1474">
        <v>2</v>
      </c>
      <c r="E1474" t="s">
        <v>342</v>
      </c>
      <c r="F1474" t="s">
        <v>622</v>
      </c>
      <c r="G1474">
        <v>7</v>
      </c>
      <c r="H1474">
        <v>7</v>
      </c>
      <c r="I1474">
        <v>0</v>
      </c>
      <c r="J1474">
        <v>1</v>
      </c>
      <c r="K1474" s="9">
        <v>4.927835051546392</v>
      </c>
    </row>
    <row r="1475" spans="1:11" x14ac:dyDescent="0.45">
      <c r="A1475" t="s">
        <v>149</v>
      </c>
      <c r="B1475" t="s">
        <v>640</v>
      </c>
      <c r="C1475" t="s">
        <v>23</v>
      </c>
      <c r="D1475">
        <v>3</v>
      </c>
      <c r="E1475" t="s">
        <v>339</v>
      </c>
      <c r="F1475" t="s">
        <v>622</v>
      </c>
      <c r="G1475">
        <v>17</v>
      </c>
      <c r="H1475">
        <v>9</v>
      </c>
      <c r="I1475">
        <v>4</v>
      </c>
      <c r="J1475">
        <v>0</v>
      </c>
      <c r="K1475" s="9">
        <v>4.924050632911392</v>
      </c>
    </row>
    <row r="1476" spans="1:11" x14ac:dyDescent="0.45">
      <c r="A1476" t="s">
        <v>149</v>
      </c>
      <c r="B1476" t="s">
        <v>640</v>
      </c>
      <c r="C1476" t="s">
        <v>23</v>
      </c>
      <c r="D1476">
        <v>4</v>
      </c>
      <c r="E1476" t="s">
        <v>386</v>
      </c>
      <c r="F1476" t="s">
        <v>622</v>
      </c>
      <c r="G1476">
        <v>27</v>
      </c>
      <c r="H1476">
        <v>21</v>
      </c>
      <c r="I1476">
        <v>1</v>
      </c>
      <c r="J1476">
        <v>3</v>
      </c>
      <c r="K1476" s="9">
        <v>4.3770491803278686</v>
      </c>
    </row>
    <row r="1477" spans="1:11" x14ac:dyDescent="0.45">
      <c r="A1477" t="s">
        <v>149</v>
      </c>
      <c r="B1477" t="s">
        <v>640</v>
      </c>
      <c r="C1477" t="s">
        <v>23</v>
      </c>
      <c r="D1477">
        <v>5</v>
      </c>
      <c r="E1477" t="s">
        <v>539</v>
      </c>
      <c r="F1477" t="s">
        <v>622</v>
      </c>
      <c r="G1477">
        <v>16</v>
      </c>
      <c r="H1477">
        <v>24</v>
      </c>
      <c r="I1477">
        <v>0</v>
      </c>
      <c r="J1477">
        <v>0</v>
      </c>
      <c r="K1477" s="9">
        <v>4.0606060606060606</v>
      </c>
    </row>
    <row r="1478" spans="1:11" x14ac:dyDescent="0.45">
      <c r="A1478" t="s">
        <v>149</v>
      </c>
      <c r="B1478" t="s">
        <v>640</v>
      </c>
      <c r="C1478" t="s">
        <v>23</v>
      </c>
      <c r="D1478">
        <v>6</v>
      </c>
      <c r="E1478" t="s">
        <v>431</v>
      </c>
      <c r="F1478" t="s">
        <v>623</v>
      </c>
      <c r="G1478">
        <v>56</v>
      </c>
      <c r="H1478">
        <v>31</v>
      </c>
      <c r="I1478">
        <v>3</v>
      </c>
      <c r="J1478">
        <v>4</v>
      </c>
      <c r="K1478" s="9">
        <v>3.4375</v>
      </c>
    </row>
    <row r="1479" spans="1:11" x14ac:dyDescent="0.45">
      <c r="A1479" t="s">
        <v>149</v>
      </c>
      <c r="B1479" t="s">
        <v>640</v>
      </c>
      <c r="C1479" t="s">
        <v>23</v>
      </c>
      <c r="D1479">
        <v>7</v>
      </c>
      <c r="E1479" t="s">
        <v>336</v>
      </c>
      <c r="F1479" t="s">
        <v>622</v>
      </c>
      <c r="G1479">
        <v>3</v>
      </c>
      <c r="H1479">
        <v>7</v>
      </c>
      <c r="I1479">
        <v>0</v>
      </c>
      <c r="J1479">
        <v>0</v>
      </c>
      <c r="K1479" s="9">
        <v>4.927835051546392</v>
      </c>
    </row>
    <row r="1480" spans="1:11" x14ac:dyDescent="0.45">
      <c r="A1480" t="s">
        <v>149</v>
      </c>
      <c r="B1480" t="s">
        <v>640</v>
      </c>
      <c r="C1480" t="s">
        <v>23</v>
      </c>
      <c r="D1480">
        <v>8</v>
      </c>
      <c r="E1480" t="s">
        <v>370</v>
      </c>
      <c r="F1480" t="s">
        <v>622</v>
      </c>
      <c r="G1480">
        <v>5</v>
      </c>
      <c r="H1480">
        <v>7</v>
      </c>
      <c r="I1480">
        <v>0</v>
      </c>
      <c r="J1480">
        <v>0</v>
      </c>
      <c r="K1480" s="9">
        <v>4.927835051546392</v>
      </c>
    </row>
    <row r="1481" spans="1:11" x14ac:dyDescent="0.45">
      <c r="A1481" t="s">
        <v>149</v>
      </c>
      <c r="B1481" t="s">
        <v>640</v>
      </c>
      <c r="C1481" t="s">
        <v>23</v>
      </c>
      <c r="D1481">
        <v>9</v>
      </c>
      <c r="E1481" t="s">
        <v>441</v>
      </c>
      <c r="F1481" t="s">
        <v>622</v>
      </c>
      <c r="G1481">
        <v>2</v>
      </c>
      <c r="H1481">
        <v>5</v>
      </c>
      <c r="I1481">
        <v>0</v>
      </c>
      <c r="J1481">
        <v>0</v>
      </c>
      <c r="K1481" s="9">
        <v>5.132075471698113</v>
      </c>
    </row>
    <row r="1482" spans="1:11" x14ac:dyDescent="0.45">
      <c r="A1482" t="s">
        <v>149</v>
      </c>
      <c r="B1482" t="s">
        <v>640</v>
      </c>
      <c r="C1482" t="s">
        <v>23</v>
      </c>
      <c r="D1482">
        <v>10</v>
      </c>
      <c r="E1482" t="s">
        <v>353</v>
      </c>
      <c r="F1482" t="s">
        <v>623</v>
      </c>
      <c r="G1482">
        <v>0</v>
      </c>
      <c r="H1482">
        <v>0</v>
      </c>
      <c r="I1482">
        <v>0</v>
      </c>
      <c r="J1482">
        <v>0</v>
      </c>
      <c r="K1482" s="9">
        <v>6.2519685039370083</v>
      </c>
    </row>
    <row r="1483" spans="1:11" x14ac:dyDescent="0.45">
      <c r="A1483" t="s">
        <v>149</v>
      </c>
      <c r="B1483" t="s">
        <v>640</v>
      </c>
      <c r="C1483" t="s">
        <v>13</v>
      </c>
      <c r="D1483">
        <v>1</v>
      </c>
      <c r="E1483" t="s">
        <v>343</v>
      </c>
      <c r="F1483" t="s">
        <v>622</v>
      </c>
      <c r="G1483">
        <v>9</v>
      </c>
      <c r="H1483">
        <v>10</v>
      </c>
      <c r="I1483">
        <v>2</v>
      </c>
      <c r="J1483">
        <v>0</v>
      </c>
      <c r="K1483" s="9">
        <v>4.7179487179487181</v>
      </c>
    </row>
    <row r="1484" spans="1:11" x14ac:dyDescent="0.45">
      <c r="A1484" t="s">
        <v>149</v>
      </c>
      <c r="B1484" t="s">
        <v>640</v>
      </c>
      <c r="C1484" t="s">
        <v>13</v>
      </c>
      <c r="D1484">
        <v>2</v>
      </c>
      <c r="E1484" t="s">
        <v>294</v>
      </c>
      <c r="F1484" t="s">
        <v>622</v>
      </c>
      <c r="G1484">
        <v>23</v>
      </c>
      <c r="H1484">
        <v>21</v>
      </c>
      <c r="I1484">
        <v>3</v>
      </c>
      <c r="J1484">
        <v>1</v>
      </c>
      <c r="K1484" s="9">
        <v>4.3770491803278686</v>
      </c>
    </row>
    <row r="1485" spans="1:11" x14ac:dyDescent="0.45">
      <c r="A1485" t="s">
        <v>149</v>
      </c>
      <c r="B1485" t="s">
        <v>640</v>
      </c>
      <c r="C1485" t="s">
        <v>13</v>
      </c>
      <c r="D1485">
        <v>3</v>
      </c>
      <c r="E1485" t="s">
        <v>463</v>
      </c>
      <c r="F1485" t="s">
        <v>622</v>
      </c>
      <c r="G1485">
        <v>16</v>
      </c>
      <c r="H1485">
        <v>16</v>
      </c>
      <c r="I1485">
        <v>0</v>
      </c>
      <c r="J1485">
        <v>1</v>
      </c>
      <c r="K1485" s="9">
        <v>4.7608695652173916</v>
      </c>
    </row>
    <row r="1486" spans="1:11" x14ac:dyDescent="0.45">
      <c r="A1486" t="s">
        <v>149</v>
      </c>
      <c r="B1486" t="s">
        <v>640</v>
      </c>
      <c r="C1486" t="s">
        <v>13</v>
      </c>
      <c r="D1486">
        <v>4</v>
      </c>
      <c r="E1486" t="s">
        <v>345</v>
      </c>
      <c r="F1486" t="s">
        <v>622</v>
      </c>
      <c r="G1486">
        <v>0</v>
      </c>
      <c r="H1486">
        <v>1</v>
      </c>
      <c r="I1486">
        <v>0</v>
      </c>
      <c r="J1486">
        <v>0</v>
      </c>
      <c r="K1486" s="9">
        <v>6.5693779904306222</v>
      </c>
    </row>
    <row r="1487" spans="1:11" x14ac:dyDescent="0.45">
      <c r="A1487" t="s">
        <v>149</v>
      </c>
      <c r="B1487" t="s">
        <v>640</v>
      </c>
      <c r="C1487" t="s">
        <v>13</v>
      </c>
      <c r="D1487">
        <v>5</v>
      </c>
      <c r="E1487" t="s">
        <v>347</v>
      </c>
      <c r="F1487" t="s">
        <v>622</v>
      </c>
      <c r="G1487">
        <v>17</v>
      </c>
      <c r="H1487">
        <v>27</v>
      </c>
      <c r="I1487">
        <v>0</v>
      </c>
      <c r="J1487">
        <v>1</v>
      </c>
      <c r="K1487" s="9">
        <v>4.25</v>
      </c>
    </row>
    <row r="1488" spans="1:11" x14ac:dyDescent="0.45">
      <c r="A1488" t="s">
        <v>149</v>
      </c>
      <c r="B1488" t="s">
        <v>640</v>
      </c>
      <c r="C1488" t="s">
        <v>13</v>
      </c>
      <c r="D1488">
        <v>6</v>
      </c>
      <c r="E1488" t="s">
        <v>541</v>
      </c>
      <c r="F1488" t="s">
        <v>622</v>
      </c>
      <c r="G1488">
        <v>2</v>
      </c>
      <c r="H1488">
        <v>7</v>
      </c>
      <c r="I1488">
        <v>0</v>
      </c>
      <c r="J1488">
        <v>0</v>
      </c>
      <c r="K1488" s="9">
        <v>4.927835051546392</v>
      </c>
    </row>
    <row r="1489" spans="1:11" x14ac:dyDescent="0.45">
      <c r="A1489" t="s">
        <v>149</v>
      </c>
      <c r="B1489" t="s">
        <v>640</v>
      </c>
      <c r="C1489" t="s">
        <v>13</v>
      </c>
      <c r="D1489">
        <v>7</v>
      </c>
      <c r="E1489" t="s">
        <v>311</v>
      </c>
      <c r="F1489" t="s">
        <v>622</v>
      </c>
      <c r="G1489">
        <v>6</v>
      </c>
      <c r="H1489">
        <v>4</v>
      </c>
      <c r="I1489">
        <v>1</v>
      </c>
      <c r="J1489">
        <v>0</v>
      </c>
      <c r="K1489" s="9">
        <v>5.352380952380952</v>
      </c>
    </row>
    <row r="1490" spans="1:11" x14ac:dyDescent="0.45">
      <c r="A1490" t="s">
        <v>149</v>
      </c>
      <c r="B1490" t="s">
        <v>640</v>
      </c>
      <c r="C1490" t="s">
        <v>13</v>
      </c>
      <c r="D1490">
        <v>8</v>
      </c>
      <c r="E1490" t="s">
        <v>448</v>
      </c>
      <c r="F1490" t="s">
        <v>622</v>
      </c>
      <c r="G1490">
        <v>18</v>
      </c>
      <c r="H1490">
        <v>13</v>
      </c>
      <c r="I1490">
        <v>2</v>
      </c>
      <c r="J1490">
        <v>0</v>
      </c>
      <c r="K1490" s="9">
        <v>4.8939393939393936</v>
      </c>
    </row>
    <row r="1491" spans="1:11" x14ac:dyDescent="0.45">
      <c r="A1491" t="s">
        <v>149</v>
      </c>
      <c r="B1491" t="s">
        <v>640</v>
      </c>
      <c r="C1491" t="s">
        <v>13</v>
      </c>
      <c r="D1491">
        <v>9</v>
      </c>
      <c r="E1491" t="s">
        <v>349</v>
      </c>
      <c r="F1491" t="s">
        <v>622</v>
      </c>
      <c r="G1491">
        <v>8</v>
      </c>
      <c r="H1491">
        <v>11</v>
      </c>
      <c r="I1491">
        <v>0</v>
      </c>
      <c r="J1491">
        <v>1</v>
      </c>
      <c r="K1491" s="9">
        <v>4.9649122807017543</v>
      </c>
    </row>
    <row r="1492" spans="1:11" x14ac:dyDescent="0.45">
      <c r="A1492" t="s">
        <v>149</v>
      </c>
      <c r="B1492" t="s">
        <v>640</v>
      </c>
      <c r="C1492" t="s">
        <v>13</v>
      </c>
      <c r="D1492">
        <v>10</v>
      </c>
      <c r="E1492" t="s">
        <v>352</v>
      </c>
      <c r="F1492" t="s">
        <v>622</v>
      </c>
      <c r="G1492">
        <v>5</v>
      </c>
      <c r="H1492">
        <v>5</v>
      </c>
      <c r="I1492">
        <v>1</v>
      </c>
      <c r="J1492">
        <v>0</v>
      </c>
      <c r="K1492" s="9">
        <v>5.132075471698113</v>
      </c>
    </row>
    <row r="1493" spans="1:11" x14ac:dyDescent="0.45">
      <c r="A1493" t="s">
        <v>149</v>
      </c>
      <c r="B1493" t="s">
        <v>640</v>
      </c>
      <c r="C1493" t="s">
        <v>13</v>
      </c>
      <c r="D1493">
        <v>11</v>
      </c>
      <c r="E1493" t="s">
        <v>325</v>
      </c>
      <c r="F1493" t="s">
        <v>623</v>
      </c>
      <c r="G1493">
        <v>0</v>
      </c>
      <c r="H1493">
        <v>2</v>
      </c>
      <c r="I1493">
        <v>0</v>
      </c>
      <c r="J1493">
        <v>0</v>
      </c>
      <c r="K1493" s="9">
        <v>6.1385542168674698</v>
      </c>
    </row>
    <row r="1494" spans="1:11" x14ac:dyDescent="0.45">
      <c r="A1494" t="s">
        <v>151</v>
      </c>
      <c r="B1494" t="s">
        <v>659</v>
      </c>
      <c r="C1494" t="s">
        <v>26</v>
      </c>
      <c r="D1494">
        <v>1</v>
      </c>
      <c r="E1494" t="s">
        <v>398</v>
      </c>
      <c r="F1494" t="s">
        <v>622</v>
      </c>
      <c r="G1494">
        <v>18</v>
      </c>
      <c r="H1494">
        <v>21</v>
      </c>
      <c r="I1494">
        <v>2</v>
      </c>
      <c r="J1494">
        <v>0</v>
      </c>
      <c r="K1494" s="9">
        <v>4.3770491803278686</v>
      </c>
    </row>
    <row r="1495" spans="1:11" x14ac:dyDescent="0.45">
      <c r="A1495" t="s">
        <v>151</v>
      </c>
      <c r="B1495" t="s">
        <v>659</v>
      </c>
      <c r="C1495" t="s">
        <v>26</v>
      </c>
      <c r="D1495">
        <v>2</v>
      </c>
      <c r="E1495" t="s">
        <v>330</v>
      </c>
      <c r="F1495" t="s">
        <v>623</v>
      </c>
      <c r="G1495">
        <v>88</v>
      </c>
      <c r="H1495">
        <v>59</v>
      </c>
      <c r="I1495">
        <v>9</v>
      </c>
      <c r="J1495">
        <v>2</v>
      </c>
      <c r="K1495" s="9">
        <v>2.6666666666666665</v>
      </c>
    </row>
    <row r="1496" spans="1:11" x14ac:dyDescent="0.45">
      <c r="A1496" t="s">
        <v>151</v>
      </c>
      <c r="B1496" t="s">
        <v>659</v>
      </c>
      <c r="C1496" t="s">
        <v>26</v>
      </c>
      <c r="D1496">
        <v>3</v>
      </c>
      <c r="E1496" t="s">
        <v>519</v>
      </c>
      <c r="F1496" t="s">
        <v>622</v>
      </c>
      <c r="G1496">
        <v>42</v>
      </c>
      <c r="H1496">
        <v>32</v>
      </c>
      <c r="I1496">
        <v>2</v>
      </c>
      <c r="J1496">
        <v>2</v>
      </c>
      <c r="K1496" s="9">
        <v>3.9375</v>
      </c>
    </row>
    <row r="1497" spans="1:11" x14ac:dyDescent="0.45">
      <c r="A1497" t="s">
        <v>151</v>
      </c>
      <c r="B1497" t="s">
        <v>659</v>
      </c>
      <c r="C1497" t="s">
        <v>26</v>
      </c>
      <c r="D1497">
        <v>4</v>
      </c>
      <c r="E1497" t="s">
        <v>384</v>
      </c>
      <c r="F1497" t="s">
        <v>622</v>
      </c>
      <c r="G1497">
        <v>19</v>
      </c>
      <c r="H1497">
        <v>7</v>
      </c>
      <c r="I1497">
        <v>1</v>
      </c>
      <c r="J1497">
        <v>2</v>
      </c>
      <c r="K1497" s="9">
        <v>4.927835051546392</v>
      </c>
    </row>
    <row r="1498" spans="1:11" x14ac:dyDescent="0.45">
      <c r="A1498" t="s">
        <v>151</v>
      </c>
      <c r="B1498" t="s">
        <v>659</v>
      </c>
      <c r="C1498" t="s">
        <v>26</v>
      </c>
      <c r="D1498">
        <v>5</v>
      </c>
      <c r="E1498" t="s">
        <v>459</v>
      </c>
      <c r="F1498" t="s">
        <v>622</v>
      </c>
      <c r="G1498">
        <v>6</v>
      </c>
      <c r="H1498">
        <v>3</v>
      </c>
      <c r="I1498">
        <v>1</v>
      </c>
      <c r="J1498">
        <v>0</v>
      </c>
      <c r="K1498" s="9">
        <v>5.6607142857142856</v>
      </c>
    </row>
    <row r="1499" spans="1:11" x14ac:dyDescent="0.45">
      <c r="A1499" t="s">
        <v>151</v>
      </c>
      <c r="B1499" t="s">
        <v>659</v>
      </c>
      <c r="C1499" t="s">
        <v>6</v>
      </c>
      <c r="D1499">
        <v>1</v>
      </c>
      <c r="E1499" t="s">
        <v>290</v>
      </c>
      <c r="F1499" t="s">
        <v>622</v>
      </c>
      <c r="G1499">
        <v>30</v>
      </c>
      <c r="H1499">
        <v>27</v>
      </c>
      <c r="I1499">
        <v>4</v>
      </c>
      <c r="J1499">
        <v>0</v>
      </c>
      <c r="K1499" s="9">
        <v>4.25</v>
      </c>
    </row>
    <row r="1500" spans="1:11" x14ac:dyDescent="0.45">
      <c r="A1500" t="s">
        <v>151</v>
      </c>
      <c r="B1500" t="s">
        <v>659</v>
      </c>
      <c r="C1500" t="s">
        <v>6</v>
      </c>
      <c r="D1500">
        <v>2</v>
      </c>
      <c r="E1500" t="s">
        <v>297</v>
      </c>
      <c r="F1500" t="s">
        <v>622</v>
      </c>
      <c r="G1500">
        <v>1</v>
      </c>
      <c r="H1500">
        <v>7</v>
      </c>
      <c r="I1500">
        <v>0</v>
      </c>
      <c r="J1500">
        <v>0</v>
      </c>
      <c r="K1500" s="9">
        <v>4.927835051546392</v>
      </c>
    </row>
    <row r="1501" spans="1:11" x14ac:dyDescent="0.45">
      <c r="A1501" t="s">
        <v>151</v>
      </c>
      <c r="B1501" t="s">
        <v>659</v>
      </c>
      <c r="C1501" t="s">
        <v>6</v>
      </c>
      <c r="D1501">
        <v>3</v>
      </c>
      <c r="E1501" t="s">
        <v>507</v>
      </c>
      <c r="F1501" t="s">
        <v>622</v>
      </c>
      <c r="G1501">
        <v>9</v>
      </c>
      <c r="H1501">
        <v>15</v>
      </c>
      <c r="I1501">
        <v>1</v>
      </c>
      <c r="J1501">
        <v>0</v>
      </c>
      <c r="K1501" s="9">
        <v>4.7777777777777777</v>
      </c>
    </row>
    <row r="1502" spans="1:11" x14ac:dyDescent="0.45">
      <c r="A1502" t="s">
        <v>151</v>
      </c>
      <c r="B1502" t="s">
        <v>659</v>
      </c>
      <c r="C1502" t="s">
        <v>6</v>
      </c>
      <c r="D1502">
        <v>4</v>
      </c>
      <c r="E1502" t="s">
        <v>387</v>
      </c>
      <c r="F1502" t="s">
        <v>622</v>
      </c>
      <c r="G1502">
        <v>8</v>
      </c>
      <c r="H1502">
        <v>7</v>
      </c>
      <c r="I1502">
        <v>1</v>
      </c>
      <c r="J1502">
        <v>0</v>
      </c>
      <c r="K1502" s="9">
        <v>4.927835051546392</v>
      </c>
    </row>
    <row r="1503" spans="1:11" x14ac:dyDescent="0.45">
      <c r="A1503" t="s">
        <v>151</v>
      </c>
      <c r="B1503" t="s">
        <v>659</v>
      </c>
      <c r="C1503" t="s">
        <v>6</v>
      </c>
      <c r="D1503">
        <v>5</v>
      </c>
      <c r="E1503" t="s">
        <v>355</v>
      </c>
      <c r="F1503" t="s">
        <v>622</v>
      </c>
      <c r="G1503">
        <v>78</v>
      </c>
      <c r="H1503">
        <v>39</v>
      </c>
      <c r="I1503">
        <v>7</v>
      </c>
      <c r="J1503">
        <v>6</v>
      </c>
      <c r="K1503" s="9">
        <v>2.7083333333333335</v>
      </c>
    </row>
    <row r="1504" spans="1:11" x14ac:dyDescent="0.45">
      <c r="A1504" t="s">
        <v>151</v>
      </c>
      <c r="B1504" t="s">
        <v>659</v>
      </c>
      <c r="C1504" t="s">
        <v>6</v>
      </c>
      <c r="D1504">
        <v>6</v>
      </c>
      <c r="E1504" t="s">
        <v>328</v>
      </c>
      <c r="F1504" t="s">
        <v>623</v>
      </c>
      <c r="G1504">
        <v>21</v>
      </c>
      <c r="H1504">
        <v>16</v>
      </c>
      <c r="I1504">
        <v>1</v>
      </c>
      <c r="J1504">
        <v>1</v>
      </c>
      <c r="K1504" s="9">
        <v>4.7608695652173916</v>
      </c>
    </row>
    <row r="1505" spans="1:11" x14ac:dyDescent="0.45">
      <c r="A1505" t="s">
        <v>151</v>
      </c>
      <c r="B1505" t="s">
        <v>659</v>
      </c>
      <c r="C1505" t="s">
        <v>6</v>
      </c>
      <c r="D1505">
        <v>7</v>
      </c>
      <c r="E1505" t="s">
        <v>356</v>
      </c>
      <c r="F1505" t="s">
        <v>622</v>
      </c>
      <c r="G1505">
        <v>12</v>
      </c>
      <c r="H1505">
        <v>8</v>
      </c>
      <c r="I1505">
        <v>1</v>
      </c>
      <c r="J1505">
        <v>1</v>
      </c>
      <c r="K1505" s="9">
        <v>4.9029126213592233</v>
      </c>
    </row>
    <row r="1506" spans="1:11" x14ac:dyDescent="0.45">
      <c r="A1506" t="s">
        <v>151</v>
      </c>
      <c r="B1506" t="s">
        <v>659</v>
      </c>
      <c r="C1506" t="s">
        <v>6</v>
      </c>
      <c r="D1506">
        <v>8</v>
      </c>
      <c r="E1506" t="s">
        <v>537</v>
      </c>
      <c r="F1506" t="s">
        <v>623</v>
      </c>
      <c r="G1506">
        <v>1</v>
      </c>
      <c r="H1506">
        <v>1</v>
      </c>
      <c r="I1506">
        <v>0</v>
      </c>
      <c r="J1506">
        <v>0</v>
      </c>
      <c r="K1506" s="9">
        <v>6.5693779904306222</v>
      </c>
    </row>
    <row r="1507" spans="1:11" x14ac:dyDescent="0.45">
      <c r="A1507" t="s">
        <v>153</v>
      </c>
      <c r="B1507" t="s">
        <v>687</v>
      </c>
      <c r="C1507" t="s">
        <v>104</v>
      </c>
      <c r="D1507">
        <v>1</v>
      </c>
      <c r="E1507" t="s">
        <v>422</v>
      </c>
      <c r="F1507" t="s">
        <v>622</v>
      </c>
      <c r="G1507">
        <v>10</v>
      </c>
      <c r="H1507">
        <v>9</v>
      </c>
      <c r="I1507">
        <v>0</v>
      </c>
      <c r="J1507">
        <v>1</v>
      </c>
      <c r="K1507" s="9">
        <v>4.924050632911392</v>
      </c>
    </row>
    <row r="1508" spans="1:11" x14ac:dyDescent="0.45">
      <c r="A1508" t="s">
        <v>153</v>
      </c>
      <c r="B1508" t="s">
        <v>687</v>
      </c>
      <c r="C1508" t="s">
        <v>104</v>
      </c>
      <c r="D1508">
        <v>2</v>
      </c>
      <c r="E1508" t="s">
        <v>397</v>
      </c>
      <c r="F1508" t="s">
        <v>623</v>
      </c>
      <c r="G1508">
        <v>103</v>
      </c>
      <c r="H1508">
        <v>62</v>
      </c>
      <c r="I1508">
        <v>12</v>
      </c>
      <c r="J1508">
        <v>4</v>
      </c>
      <c r="K1508" s="9">
        <v>3.7777777777777777</v>
      </c>
    </row>
    <row r="1509" spans="1:11" x14ac:dyDescent="0.45">
      <c r="A1509" t="s">
        <v>153</v>
      </c>
      <c r="B1509" t="s">
        <v>687</v>
      </c>
      <c r="C1509" t="s">
        <v>104</v>
      </c>
      <c r="D1509">
        <v>3</v>
      </c>
      <c r="E1509" t="s">
        <v>374</v>
      </c>
      <c r="F1509" t="s">
        <v>622</v>
      </c>
      <c r="G1509">
        <v>22</v>
      </c>
      <c r="H1509">
        <v>22</v>
      </c>
      <c r="I1509">
        <v>0</v>
      </c>
      <c r="J1509">
        <v>1</v>
      </c>
      <c r="K1509" s="9">
        <v>4.4423076923076925</v>
      </c>
    </row>
    <row r="1510" spans="1:11" x14ac:dyDescent="0.45">
      <c r="A1510" t="s">
        <v>153</v>
      </c>
      <c r="B1510" t="s">
        <v>687</v>
      </c>
      <c r="C1510" t="s">
        <v>104</v>
      </c>
      <c r="D1510">
        <v>4</v>
      </c>
      <c r="E1510" t="s">
        <v>331</v>
      </c>
      <c r="F1510" t="s">
        <v>622</v>
      </c>
      <c r="G1510">
        <v>0</v>
      </c>
      <c r="H1510">
        <v>3</v>
      </c>
      <c r="I1510">
        <v>0</v>
      </c>
      <c r="J1510">
        <v>0</v>
      </c>
      <c r="K1510" s="9">
        <v>5.6607142857142856</v>
      </c>
    </row>
    <row r="1511" spans="1:11" x14ac:dyDescent="0.45">
      <c r="A1511" t="s">
        <v>153</v>
      </c>
      <c r="B1511" t="s">
        <v>687</v>
      </c>
      <c r="C1511" t="s">
        <v>104</v>
      </c>
      <c r="D1511">
        <v>5</v>
      </c>
      <c r="E1511" t="s">
        <v>366</v>
      </c>
      <c r="F1511" t="s">
        <v>622</v>
      </c>
      <c r="G1511">
        <v>1</v>
      </c>
      <c r="H1511">
        <v>2</v>
      </c>
      <c r="I1511">
        <v>0</v>
      </c>
      <c r="J1511">
        <v>0</v>
      </c>
      <c r="K1511" s="9">
        <v>6.1385542168674698</v>
      </c>
    </row>
    <row r="1512" spans="1:11" x14ac:dyDescent="0.45">
      <c r="A1512" t="s">
        <v>153</v>
      </c>
      <c r="B1512" t="s">
        <v>687</v>
      </c>
      <c r="C1512" t="s">
        <v>104</v>
      </c>
      <c r="D1512">
        <v>6</v>
      </c>
      <c r="E1512" t="s">
        <v>426</v>
      </c>
      <c r="F1512" t="s">
        <v>622</v>
      </c>
      <c r="G1512">
        <v>10</v>
      </c>
      <c r="H1512">
        <v>9</v>
      </c>
      <c r="I1512">
        <v>1</v>
      </c>
      <c r="J1512">
        <v>0</v>
      </c>
      <c r="K1512" s="9">
        <v>4.924050632911392</v>
      </c>
    </row>
    <row r="1513" spans="1:11" x14ac:dyDescent="0.45">
      <c r="A1513" t="s">
        <v>153</v>
      </c>
      <c r="B1513" t="s">
        <v>687</v>
      </c>
      <c r="C1513" t="s">
        <v>104</v>
      </c>
      <c r="D1513">
        <v>7</v>
      </c>
      <c r="E1513" t="s">
        <v>521</v>
      </c>
      <c r="F1513" t="s">
        <v>622</v>
      </c>
      <c r="G1513">
        <v>14</v>
      </c>
      <c r="H1513">
        <v>11</v>
      </c>
      <c r="I1513">
        <v>0</v>
      </c>
      <c r="J1513">
        <v>1</v>
      </c>
      <c r="K1513" s="9">
        <v>4.9649122807017543</v>
      </c>
    </row>
    <row r="1514" spans="1:11" x14ac:dyDescent="0.45">
      <c r="A1514" t="s">
        <v>153</v>
      </c>
      <c r="B1514" t="s">
        <v>687</v>
      </c>
      <c r="C1514" t="s">
        <v>104</v>
      </c>
      <c r="D1514">
        <v>8</v>
      </c>
      <c r="E1514" t="s">
        <v>378</v>
      </c>
      <c r="F1514" t="s">
        <v>623</v>
      </c>
      <c r="G1514">
        <v>0</v>
      </c>
      <c r="H1514">
        <v>2</v>
      </c>
      <c r="I1514">
        <v>0</v>
      </c>
      <c r="J1514">
        <v>0</v>
      </c>
      <c r="K1514" s="9">
        <v>6.1385542168674698</v>
      </c>
    </row>
    <row r="1515" spans="1:11" x14ac:dyDescent="0.45">
      <c r="A1515" t="s">
        <v>153</v>
      </c>
      <c r="B1515" t="s">
        <v>687</v>
      </c>
      <c r="C1515" t="s">
        <v>19</v>
      </c>
      <c r="D1515">
        <v>1</v>
      </c>
      <c r="E1515" t="s">
        <v>360</v>
      </c>
      <c r="F1515" t="s">
        <v>622</v>
      </c>
      <c r="G1515">
        <v>8</v>
      </c>
      <c r="H1515">
        <v>20</v>
      </c>
      <c r="I1515">
        <v>0</v>
      </c>
      <c r="J1515">
        <v>0</v>
      </c>
      <c r="K1515" s="9">
        <v>4.9473684210526319</v>
      </c>
    </row>
    <row r="1516" spans="1:11" x14ac:dyDescent="0.45">
      <c r="A1516" t="s">
        <v>153</v>
      </c>
      <c r="B1516" t="s">
        <v>687</v>
      </c>
      <c r="C1516" t="s">
        <v>19</v>
      </c>
      <c r="D1516">
        <v>2</v>
      </c>
      <c r="E1516" t="s">
        <v>359</v>
      </c>
      <c r="F1516" t="s">
        <v>622</v>
      </c>
      <c r="G1516">
        <v>39</v>
      </c>
      <c r="H1516">
        <v>31</v>
      </c>
      <c r="I1516">
        <v>5</v>
      </c>
      <c r="J1516">
        <v>1</v>
      </c>
      <c r="K1516" s="9">
        <v>3.4375</v>
      </c>
    </row>
    <row r="1517" spans="1:11" x14ac:dyDescent="0.45">
      <c r="A1517" t="s">
        <v>153</v>
      </c>
      <c r="B1517" t="s">
        <v>687</v>
      </c>
      <c r="C1517" t="s">
        <v>19</v>
      </c>
      <c r="D1517">
        <v>3</v>
      </c>
      <c r="E1517" t="s">
        <v>501</v>
      </c>
      <c r="F1517" t="s">
        <v>622</v>
      </c>
      <c r="G1517">
        <v>3</v>
      </c>
      <c r="H1517">
        <v>5</v>
      </c>
      <c r="I1517">
        <v>0</v>
      </c>
      <c r="J1517">
        <v>0</v>
      </c>
      <c r="K1517" s="9">
        <v>5.132075471698113</v>
      </c>
    </row>
    <row r="1518" spans="1:11" x14ac:dyDescent="0.45">
      <c r="A1518" t="s">
        <v>153</v>
      </c>
      <c r="B1518" t="s">
        <v>687</v>
      </c>
      <c r="C1518" t="s">
        <v>19</v>
      </c>
      <c r="D1518">
        <v>4</v>
      </c>
      <c r="E1518" t="s">
        <v>363</v>
      </c>
      <c r="F1518" t="s">
        <v>622</v>
      </c>
      <c r="G1518">
        <v>7</v>
      </c>
      <c r="H1518">
        <v>7</v>
      </c>
      <c r="I1518">
        <v>1</v>
      </c>
      <c r="J1518">
        <v>0</v>
      </c>
      <c r="K1518" s="9">
        <v>4.927835051546392</v>
      </c>
    </row>
    <row r="1519" spans="1:11" x14ac:dyDescent="0.45">
      <c r="A1519" t="s">
        <v>153</v>
      </c>
      <c r="B1519" t="s">
        <v>687</v>
      </c>
      <c r="C1519" t="s">
        <v>19</v>
      </c>
      <c r="D1519">
        <v>5</v>
      </c>
      <c r="E1519" t="s">
        <v>502</v>
      </c>
      <c r="F1519" t="s">
        <v>622</v>
      </c>
      <c r="G1519">
        <v>38</v>
      </c>
      <c r="H1519">
        <v>27</v>
      </c>
      <c r="I1519">
        <v>2</v>
      </c>
      <c r="J1519">
        <v>2</v>
      </c>
      <c r="K1519" s="9">
        <v>4.25</v>
      </c>
    </row>
    <row r="1520" spans="1:11" x14ac:dyDescent="0.45">
      <c r="A1520" t="s">
        <v>153</v>
      </c>
      <c r="B1520" t="s">
        <v>687</v>
      </c>
      <c r="C1520" t="s">
        <v>19</v>
      </c>
      <c r="D1520">
        <v>6</v>
      </c>
      <c r="E1520" t="s">
        <v>362</v>
      </c>
      <c r="F1520" t="s">
        <v>622</v>
      </c>
      <c r="G1520">
        <v>19</v>
      </c>
      <c r="H1520">
        <v>20</v>
      </c>
      <c r="I1520">
        <v>0</v>
      </c>
      <c r="J1520">
        <v>1</v>
      </c>
      <c r="K1520" s="9">
        <v>4.9473684210526319</v>
      </c>
    </row>
    <row r="1521" spans="1:11" x14ac:dyDescent="0.45">
      <c r="A1521" t="s">
        <v>153</v>
      </c>
      <c r="B1521" t="s">
        <v>687</v>
      </c>
      <c r="C1521" t="s">
        <v>19</v>
      </c>
      <c r="D1521">
        <v>7</v>
      </c>
      <c r="E1521" t="s">
        <v>464</v>
      </c>
      <c r="F1521" t="s">
        <v>622</v>
      </c>
      <c r="G1521">
        <v>3</v>
      </c>
      <c r="H1521">
        <v>7</v>
      </c>
      <c r="I1521">
        <v>0</v>
      </c>
      <c r="J1521">
        <v>0</v>
      </c>
      <c r="K1521" s="9">
        <v>4.927835051546392</v>
      </c>
    </row>
    <row r="1522" spans="1:11" x14ac:dyDescent="0.45">
      <c r="A1522" t="s">
        <v>153</v>
      </c>
      <c r="B1522" t="s">
        <v>687</v>
      </c>
      <c r="C1522" t="s">
        <v>19</v>
      </c>
      <c r="D1522">
        <v>8</v>
      </c>
      <c r="E1522" t="s">
        <v>392</v>
      </c>
      <c r="F1522" t="s">
        <v>622</v>
      </c>
      <c r="G1522">
        <v>1</v>
      </c>
      <c r="H1522">
        <v>1</v>
      </c>
      <c r="I1522">
        <v>0</v>
      </c>
      <c r="J1522">
        <v>0</v>
      </c>
      <c r="K1522" s="9">
        <v>6.5693779904306222</v>
      </c>
    </row>
    <row r="1523" spans="1:11" x14ac:dyDescent="0.45">
      <c r="A1523" t="s">
        <v>153</v>
      </c>
      <c r="B1523" t="s">
        <v>687</v>
      </c>
      <c r="C1523" t="s">
        <v>19</v>
      </c>
      <c r="D1523">
        <v>9</v>
      </c>
      <c r="E1523" t="s">
        <v>504</v>
      </c>
      <c r="F1523" t="s">
        <v>623</v>
      </c>
      <c r="G1523">
        <v>0</v>
      </c>
      <c r="H1523">
        <v>0</v>
      </c>
      <c r="I1523">
        <v>0</v>
      </c>
      <c r="J1523">
        <v>0</v>
      </c>
      <c r="K1523" s="9">
        <v>6.2519685039370083</v>
      </c>
    </row>
    <row r="1524" spans="1:11" x14ac:dyDescent="0.45">
      <c r="A1524" t="s">
        <v>153</v>
      </c>
      <c r="B1524" t="s">
        <v>687</v>
      </c>
      <c r="C1524" t="s">
        <v>19</v>
      </c>
      <c r="D1524">
        <v>10</v>
      </c>
      <c r="E1524" t="s">
        <v>369</v>
      </c>
      <c r="F1524" t="s">
        <v>623</v>
      </c>
      <c r="G1524">
        <v>0</v>
      </c>
      <c r="H1524">
        <v>2</v>
      </c>
      <c r="I1524">
        <v>0</v>
      </c>
      <c r="J1524">
        <v>0</v>
      </c>
      <c r="K1524" s="9">
        <v>6.1385542168674698</v>
      </c>
    </row>
    <row r="1525" spans="1:11" x14ac:dyDescent="0.45">
      <c r="A1525" t="s">
        <v>154</v>
      </c>
      <c r="B1525" t="s">
        <v>660</v>
      </c>
      <c r="C1525" t="s">
        <v>13</v>
      </c>
      <c r="D1525">
        <v>1</v>
      </c>
      <c r="E1525" t="s">
        <v>294</v>
      </c>
      <c r="F1525" t="s">
        <v>622</v>
      </c>
      <c r="G1525">
        <v>5</v>
      </c>
      <c r="H1525">
        <v>7</v>
      </c>
      <c r="I1525">
        <v>1</v>
      </c>
      <c r="J1525">
        <v>0</v>
      </c>
      <c r="K1525" s="9">
        <v>4.927835051546392</v>
      </c>
    </row>
    <row r="1526" spans="1:11" x14ac:dyDescent="0.45">
      <c r="A1526" t="s">
        <v>154</v>
      </c>
      <c r="B1526" t="s">
        <v>660</v>
      </c>
      <c r="C1526" t="s">
        <v>13</v>
      </c>
      <c r="D1526">
        <v>2</v>
      </c>
      <c r="E1526" t="s">
        <v>388</v>
      </c>
      <c r="F1526" t="s">
        <v>622</v>
      </c>
      <c r="G1526">
        <v>0</v>
      </c>
      <c r="H1526">
        <v>2</v>
      </c>
      <c r="I1526">
        <v>0</v>
      </c>
      <c r="J1526">
        <v>0</v>
      </c>
      <c r="K1526" s="9">
        <v>6.1385542168674698</v>
      </c>
    </row>
    <row r="1527" spans="1:11" x14ac:dyDescent="0.45">
      <c r="A1527" t="s">
        <v>154</v>
      </c>
      <c r="B1527" t="s">
        <v>660</v>
      </c>
      <c r="C1527" t="s">
        <v>13</v>
      </c>
      <c r="D1527">
        <v>3</v>
      </c>
      <c r="E1527" t="s">
        <v>343</v>
      </c>
      <c r="F1527" t="s">
        <v>622</v>
      </c>
      <c r="G1527">
        <v>0</v>
      </c>
      <c r="H1527">
        <v>1</v>
      </c>
      <c r="I1527">
        <v>0</v>
      </c>
      <c r="J1527">
        <v>0</v>
      </c>
      <c r="K1527" s="9">
        <v>6.5693779904306222</v>
      </c>
    </row>
    <row r="1528" spans="1:11" x14ac:dyDescent="0.45">
      <c r="A1528" t="s">
        <v>154</v>
      </c>
      <c r="B1528" t="s">
        <v>660</v>
      </c>
      <c r="C1528" t="s">
        <v>13</v>
      </c>
      <c r="D1528">
        <v>4</v>
      </c>
      <c r="E1528" t="s">
        <v>345</v>
      </c>
      <c r="F1528" t="s">
        <v>622</v>
      </c>
      <c r="G1528">
        <v>12</v>
      </c>
      <c r="H1528">
        <v>11</v>
      </c>
      <c r="I1528">
        <v>2</v>
      </c>
      <c r="J1528">
        <v>0</v>
      </c>
      <c r="K1528" s="9">
        <v>4.9649122807017543</v>
      </c>
    </row>
    <row r="1529" spans="1:11" x14ac:dyDescent="0.45">
      <c r="A1529" t="s">
        <v>154</v>
      </c>
      <c r="B1529" t="s">
        <v>660</v>
      </c>
      <c r="C1529" t="s">
        <v>13</v>
      </c>
      <c r="D1529">
        <v>5</v>
      </c>
      <c r="E1529" t="s">
        <v>541</v>
      </c>
      <c r="F1529" t="s">
        <v>622</v>
      </c>
      <c r="G1529">
        <v>15</v>
      </c>
      <c r="H1529">
        <v>20</v>
      </c>
      <c r="I1529">
        <v>1</v>
      </c>
      <c r="J1529">
        <v>0</v>
      </c>
      <c r="K1529" s="9">
        <v>4.9473684210526319</v>
      </c>
    </row>
    <row r="1530" spans="1:11" x14ac:dyDescent="0.45">
      <c r="A1530" t="s">
        <v>154</v>
      </c>
      <c r="B1530" t="s">
        <v>660</v>
      </c>
      <c r="C1530" t="s">
        <v>13</v>
      </c>
      <c r="D1530">
        <v>6</v>
      </c>
      <c r="E1530" t="s">
        <v>347</v>
      </c>
      <c r="F1530" t="s">
        <v>622</v>
      </c>
      <c r="G1530">
        <v>7</v>
      </c>
      <c r="H1530">
        <v>12</v>
      </c>
      <c r="I1530">
        <v>1</v>
      </c>
      <c r="J1530">
        <v>0</v>
      </c>
      <c r="K1530" s="9">
        <v>4.8024691358024691</v>
      </c>
    </row>
    <row r="1531" spans="1:11" x14ac:dyDescent="0.45">
      <c r="A1531" t="s">
        <v>154</v>
      </c>
      <c r="B1531" t="s">
        <v>660</v>
      </c>
      <c r="C1531" t="s">
        <v>13</v>
      </c>
      <c r="D1531">
        <v>7</v>
      </c>
      <c r="E1531" t="s">
        <v>311</v>
      </c>
      <c r="F1531" t="s">
        <v>622</v>
      </c>
      <c r="G1531">
        <v>0</v>
      </c>
      <c r="H1531">
        <v>3</v>
      </c>
      <c r="I1531">
        <v>0</v>
      </c>
      <c r="J1531">
        <v>0</v>
      </c>
      <c r="K1531" s="9">
        <v>5.6607142857142856</v>
      </c>
    </row>
    <row r="1532" spans="1:11" x14ac:dyDescent="0.45">
      <c r="A1532" t="s">
        <v>154</v>
      </c>
      <c r="B1532" t="s">
        <v>660</v>
      </c>
      <c r="C1532" t="s">
        <v>13</v>
      </c>
      <c r="D1532">
        <v>8</v>
      </c>
      <c r="E1532" t="s">
        <v>349</v>
      </c>
      <c r="F1532" t="s">
        <v>622</v>
      </c>
      <c r="G1532">
        <v>4</v>
      </c>
      <c r="H1532">
        <v>8</v>
      </c>
      <c r="I1532">
        <v>0</v>
      </c>
      <c r="J1532">
        <v>0</v>
      </c>
      <c r="K1532" s="9">
        <v>4.9029126213592233</v>
      </c>
    </row>
    <row r="1533" spans="1:11" x14ac:dyDescent="0.45">
      <c r="A1533" t="s">
        <v>154</v>
      </c>
      <c r="B1533" t="s">
        <v>660</v>
      </c>
      <c r="C1533" t="s">
        <v>13</v>
      </c>
      <c r="D1533">
        <v>9</v>
      </c>
      <c r="E1533" t="s">
        <v>448</v>
      </c>
      <c r="F1533" t="s">
        <v>622</v>
      </c>
      <c r="G1533">
        <v>8</v>
      </c>
      <c r="H1533">
        <v>19</v>
      </c>
      <c r="I1533">
        <v>1</v>
      </c>
      <c r="J1533">
        <v>0</v>
      </c>
      <c r="K1533" s="9">
        <v>4.5660377358490569</v>
      </c>
    </row>
    <row r="1534" spans="1:11" x14ac:dyDescent="0.45">
      <c r="A1534" t="s">
        <v>154</v>
      </c>
      <c r="B1534" t="s">
        <v>660</v>
      </c>
      <c r="C1534" t="s">
        <v>13</v>
      </c>
      <c r="D1534">
        <v>10</v>
      </c>
      <c r="E1534" t="s">
        <v>325</v>
      </c>
      <c r="F1534" t="s">
        <v>623</v>
      </c>
      <c r="G1534">
        <v>3</v>
      </c>
      <c r="H1534">
        <v>11</v>
      </c>
      <c r="I1534">
        <v>0</v>
      </c>
      <c r="J1534">
        <v>0</v>
      </c>
      <c r="K1534" s="9">
        <v>4.9649122807017543</v>
      </c>
    </row>
    <row r="1535" spans="1:11" x14ac:dyDescent="0.45">
      <c r="A1535" t="s">
        <v>154</v>
      </c>
      <c r="B1535" t="s">
        <v>660</v>
      </c>
      <c r="C1535" t="s">
        <v>13</v>
      </c>
      <c r="D1535">
        <v>11</v>
      </c>
      <c r="E1535" t="s">
        <v>352</v>
      </c>
      <c r="F1535" t="s">
        <v>622</v>
      </c>
      <c r="G1535">
        <v>2</v>
      </c>
      <c r="H1535">
        <v>4</v>
      </c>
      <c r="I1535">
        <v>0</v>
      </c>
      <c r="J1535">
        <v>0</v>
      </c>
      <c r="K1535" s="9">
        <v>5.352380952380952</v>
      </c>
    </row>
    <row r="1536" spans="1:11" x14ac:dyDescent="0.45">
      <c r="A1536" t="s">
        <v>154</v>
      </c>
      <c r="B1536" t="s">
        <v>660</v>
      </c>
      <c r="C1536" t="s">
        <v>20</v>
      </c>
      <c r="D1536">
        <v>1</v>
      </c>
      <c r="E1536" t="s">
        <v>373</v>
      </c>
      <c r="F1536" t="s">
        <v>622</v>
      </c>
      <c r="G1536">
        <v>47</v>
      </c>
      <c r="H1536">
        <v>28</v>
      </c>
      <c r="I1536">
        <v>8</v>
      </c>
      <c r="J1536">
        <v>1</v>
      </c>
      <c r="K1536" s="9">
        <v>3.806451612903226</v>
      </c>
    </row>
    <row r="1537" spans="1:11" x14ac:dyDescent="0.45">
      <c r="A1537" t="s">
        <v>154</v>
      </c>
      <c r="B1537" t="s">
        <v>660</v>
      </c>
      <c r="C1537" t="s">
        <v>20</v>
      </c>
      <c r="D1537">
        <v>2</v>
      </c>
      <c r="E1537" t="s">
        <v>408</v>
      </c>
      <c r="F1537" t="s">
        <v>623</v>
      </c>
      <c r="G1537">
        <v>16</v>
      </c>
      <c r="H1537">
        <v>17</v>
      </c>
      <c r="I1537">
        <v>2</v>
      </c>
      <c r="J1537">
        <v>0</v>
      </c>
      <c r="K1537" s="9">
        <v>4.82</v>
      </c>
    </row>
    <row r="1538" spans="1:11" x14ac:dyDescent="0.45">
      <c r="A1538" t="s">
        <v>154</v>
      </c>
      <c r="B1538" t="s">
        <v>660</v>
      </c>
      <c r="C1538" t="s">
        <v>20</v>
      </c>
      <c r="D1538">
        <v>3</v>
      </c>
      <c r="E1538" t="s">
        <v>315</v>
      </c>
      <c r="F1538" t="s">
        <v>623</v>
      </c>
      <c r="G1538">
        <v>7</v>
      </c>
      <c r="H1538">
        <v>3</v>
      </c>
      <c r="I1538">
        <v>0</v>
      </c>
      <c r="J1538">
        <v>1</v>
      </c>
      <c r="K1538" s="9">
        <v>5.6607142857142856</v>
      </c>
    </row>
    <row r="1539" spans="1:11" x14ac:dyDescent="0.45">
      <c r="A1539" t="s">
        <v>156</v>
      </c>
      <c r="B1539" t="s">
        <v>688</v>
      </c>
      <c r="C1539" t="s">
        <v>101</v>
      </c>
      <c r="D1539">
        <v>1</v>
      </c>
      <c r="E1539" t="s">
        <v>380</v>
      </c>
      <c r="F1539" t="s">
        <v>622</v>
      </c>
      <c r="G1539">
        <v>25</v>
      </c>
      <c r="H1539">
        <v>25</v>
      </c>
      <c r="I1539">
        <v>2</v>
      </c>
      <c r="J1539">
        <v>1</v>
      </c>
      <c r="K1539" s="9">
        <v>4.4782608695652177</v>
      </c>
    </row>
    <row r="1540" spans="1:11" x14ac:dyDescent="0.45">
      <c r="A1540" t="s">
        <v>156</v>
      </c>
      <c r="B1540" t="s">
        <v>688</v>
      </c>
      <c r="C1540" t="s">
        <v>101</v>
      </c>
      <c r="D1540">
        <v>2</v>
      </c>
      <c r="E1540" t="s">
        <v>302</v>
      </c>
      <c r="F1540" t="s">
        <v>622</v>
      </c>
      <c r="G1540">
        <v>7</v>
      </c>
      <c r="H1540">
        <v>5</v>
      </c>
      <c r="I1540">
        <v>1</v>
      </c>
      <c r="J1540">
        <v>0</v>
      </c>
      <c r="K1540" s="9">
        <v>5.132075471698113</v>
      </c>
    </row>
    <row r="1541" spans="1:11" x14ac:dyDescent="0.45">
      <c r="A1541" t="s">
        <v>156</v>
      </c>
      <c r="B1541" t="s">
        <v>688</v>
      </c>
      <c r="C1541" t="s">
        <v>101</v>
      </c>
      <c r="D1541">
        <v>3</v>
      </c>
      <c r="E1541" t="s">
        <v>361</v>
      </c>
      <c r="F1541" t="s">
        <v>622</v>
      </c>
      <c r="G1541">
        <v>67</v>
      </c>
      <c r="H1541">
        <v>49</v>
      </c>
      <c r="I1541">
        <v>4</v>
      </c>
      <c r="J1541">
        <v>2</v>
      </c>
      <c r="K1541" s="9">
        <v>3.5714285714285716</v>
      </c>
    </row>
    <row r="1542" spans="1:11" x14ac:dyDescent="0.45">
      <c r="A1542" t="s">
        <v>156</v>
      </c>
      <c r="B1542" t="s">
        <v>688</v>
      </c>
      <c r="C1542" t="s">
        <v>101</v>
      </c>
      <c r="D1542">
        <v>4</v>
      </c>
      <c r="E1542" t="s">
        <v>411</v>
      </c>
      <c r="F1542" t="s">
        <v>622</v>
      </c>
      <c r="G1542">
        <v>27</v>
      </c>
      <c r="H1542">
        <v>20</v>
      </c>
      <c r="I1542">
        <v>1</v>
      </c>
      <c r="J1542">
        <v>2</v>
      </c>
      <c r="K1542" s="9">
        <v>4.9473684210526319</v>
      </c>
    </row>
    <row r="1543" spans="1:11" x14ac:dyDescent="0.45">
      <c r="A1543" t="s">
        <v>156</v>
      </c>
      <c r="B1543" t="s">
        <v>688</v>
      </c>
      <c r="C1543" t="s">
        <v>101</v>
      </c>
      <c r="D1543">
        <v>5</v>
      </c>
      <c r="E1543" t="s">
        <v>390</v>
      </c>
      <c r="F1543" t="s">
        <v>622</v>
      </c>
      <c r="G1543">
        <v>17</v>
      </c>
      <c r="H1543">
        <v>12</v>
      </c>
      <c r="I1543">
        <v>2</v>
      </c>
      <c r="J1543">
        <v>0</v>
      </c>
      <c r="K1543" s="9">
        <v>4.8024691358024691</v>
      </c>
    </row>
    <row r="1544" spans="1:11" x14ac:dyDescent="0.45">
      <c r="A1544" t="s">
        <v>156</v>
      </c>
      <c r="B1544" t="s">
        <v>688</v>
      </c>
      <c r="C1544" t="s">
        <v>101</v>
      </c>
      <c r="D1544">
        <v>6</v>
      </c>
      <c r="E1544" t="s">
        <v>379</v>
      </c>
      <c r="F1544" t="s">
        <v>622</v>
      </c>
      <c r="G1544">
        <v>0</v>
      </c>
      <c r="H1544">
        <v>2</v>
      </c>
      <c r="I1544">
        <v>0</v>
      </c>
      <c r="J1544">
        <v>0</v>
      </c>
      <c r="K1544" s="9">
        <v>6.1385542168674698</v>
      </c>
    </row>
    <row r="1545" spans="1:11" x14ac:dyDescent="0.45">
      <c r="A1545" t="s">
        <v>156</v>
      </c>
      <c r="B1545" t="s">
        <v>688</v>
      </c>
      <c r="C1545" t="s">
        <v>101</v>
      </c>
      <c r="D1545">
        <v>7</v>
      </c>
      <c r="E1545" t="s">
        <v>540</v>
      </c>
      <c r="F1545" t="s">
        <v>622</v>
      </c>
      <c r="G1545">
        <v>2</v>
      </c>
      <c r="H1545">
        <v>4</v>
      </c>
      <c r="I1545">
        <v>0</v>
      </c>
      <c r="J1545">
        <v>0</v>
      </c>
      <c r="K1545" s="9">
        <v>5.352380952380952</v>
      </c>
    </row>
    <row r="1546" spans="1:11" x14ac:dyDescent="0.45">
      <c r="A1546" t="s">
        <v>156</v>
      </c>
      <c r="B1546" t="s">
        <v>688</v>
      </c>
      <c r="C1546" t="s">
        <v>101</v>
      </c>
      <c r="D1546">
        <v>8</v>
      </c>
      <c r="E1546" t="s">
        <v>317</v>
      </c>
      <c r="F1546" t="s">
        <v>622</v>
      </c>
      <c r="G1546">
        <v>0</v>
      </c>
      <c r="H1546">
        <v>1</v>
      </c>
      <c r="I1546">
        <v>0</v>
      </c>
      <c r="J1546">
        <v>0</v>
      </c>
      <c r="K1546" s="9">
        <v>6.5693779904306222</v>
      </c>
    </row>
    <row r="1547" spans="1:11" x14ac:dyDescent="0.45">
      <c r="A1547" t="s">
        <v>156</v>
      </c>
      <c r="B1547" t="s">
        <v>688</v>
      </c>
      <c r="C1547" t="s">
        <v>101</v>
      </c>
      <c r="D1547">
        <v>9</v>
      </c>
      <c r="E1547" t="s">
        <v>493</v>
      </c>
      <c r="F1547" t="s">
        <v>623</v>
      </c>
      <c r="G1547">
        <v>1</v>
      </c>
      <c r="H1547">
        <v>1</v>
      </c>
      <c r="I1547">
        <v>0</v>
      </c>
      <c r="J1547">
        <v>0</v>
      </c>
      <c r="K1547" s="9">
        <v>6.5693779904306222</v>
      </c>
    </row>
    <row r="1548" spans="1:11" x14ac:dyDescent="0.45">
      <c r="A1548" t="s">
        <v>156</v>
      </c>
      <c r="B1548" t="s">
        <v>688</v>
      </c>
      <c r="C1548" t="s">
        <v>101</v>
      </c>
      <c r="D1548">
        <v>10</v>
      </c>
      <c r="E1548" t="s">
        <v>489</v>
      </c>
      <c r="F1548" t="s">
        <v>622</v>
      </c>
      <c r="G1548">
        <v>0</v>
      </c>
      <c r="H1548">
        <v>1</v>
      </c>
      <c r="I1548">
        <v>0</v>
      </c>
      <c r="J1548">
        <v>0</v>
      </c>
      <c r="K1548" s="9">
        <v>6.5693779904306222</v>
      </c>
    </row>
    <row r="1549" spans="1:11" x14ac:dyDescent="0.45">
      <c r="A1549" t="s">
        <v>156</v>
      </c>
      <c r="B1549" t="s">
        <v>688</v>
      </c>
      <c r="C1549" t="s">
        <v>7</v>
      </c>
      <c r="D1549">
        <v>1</v>
      </c>
      <c r="E1549" t="s">
        <v>513</v>
      </c>
      <c r="F1549" t="s">
        <v>622</v>
      </c>
      <c r="G1549">
        <v>4</v>
      </c>
      <c r="H1549">
        <v>4</v>
      </c>
      <c r="I1549">
        <v>1</v>
      </c>
      <c r="J1549">
        <v>0</v>
      </c>
      <c r="K1549" s="9">
        <v>5.352380952380952</v>
      </c>
    </row>
    <row r="1550" spans="1:11" x14ac:dyDescent="0.45">
      <c r="A1550" t="s">
        <v>156</v>
      </c>
      <c r="B1550" t="s">
        <v>688</v>
      </c>
      <c r="C1550" t="s">
        <v>7</v>
      </c>
      <c r="D1550">
        <v>2</v>
      </c>
      <c r="E1550" t="s">
        <v>308</v>
      </c>
      <c r="F1550" t="s">
        <v>622</v>
      </c>
      <c r="G1550">
        <v>5</v>
      </c>
      <c r="H1550">
        <v>5</v>
      </c>
      <c r="I1550">
        <v>1</v>
      </c>
      <c r="J1550">
        <v>0</v>
      </c>
      <c r="K1550" s="9">
        <v>5.132075471698113</v>
      </c>
    </row>
    <row r="1551" spans="1:11" x14ac:dyDescent="0.45">
      <c r="A1551" t="s">
        <v>156</v>
      </c>
      <c r="B1551" t="s">
        <v>688</v>
      </c>
      <c r="C1551" t="s">
        <v>7</v>
      </c>
      <c r="D1551">
        <v>3</v>
      </c>
      <c r="E1551" t="s">
        <v>332</v>
      </c>
      <c r="F1551" t="s">
        <v>622</v>
      </c>
      <c r="G1551">
        <v>12</v>
      </c>
      <c r="H1551">
        <v>15</v>
      </c>
      <c r="I1551">
        <v>1</v>
      </c>
      <c r="J1551">
        <v>1</v>
      </c>
      <c r="K1551" s="9">
        <v>4.7777777777777777</v>
      </c>
    </row>
    <row r="1552" spans="1:11" x14ac:dyDescent="0.45">
      <c r="A1552" t="s">
        <v>156</v>
      </c>
      <c r="B1552" t="s">
        <v>688</v>
      </c>
      <c r="C1552" t="s">
        <v>7</v>
      </c>
      <c r="D1552">
        <v>4</v>
      </c>
      <c r="E1552" t="s">
        <v>306</v>
      </c>
      <c r="F1552" t="s">
        <v>622</v>
      </c>
      <c r="G1552">
        <v>2</v>
      </c>
      <c r="H1552">
        <v>7</v>
      </c>
      <c r="I1552">
        <v>0</v>
      </c>
      <c r="J1552">
        <v>0</v>
      </c>
      <c r="K1552" s="9">
        <v>4.927835051546392</v>
      </c>
    </row>
    <row r="1553" spans="1:11" x14ac:dyDescent="0.45">
      <c r="A1553" t="s">
        <v>156</v>
      </c>
      <c r="B1553" t="s">
        <v>688</v>
      </c>
      <c r="C1553" t="s">
        <v>7</v>
      </c>
      <c r="D1553">
        <v>5</v>
      </c>
      <c r="E1553" t="s">
        <v>514</v>
      </c>
      <c r="F1553" t="s">
        <v>622</v>
      </c>
      <c r="G1553">
        <v>35</v>
      </c>
      <c r="H1553">
        <v>28</v>
      </c>
      <c r="I1553">
        <v>4</v>
      </c>
      <c r="J1553">
        <v>1</v>
      </c>
      <c r="K1553" s="9">
        <v>3.806451612903226</v>
      </c>
    </row>
    <row r="1554" spans="1:11" x14ac:dyDescent="0.45">
      <c r="A1554" t="s">
        <v>156</v>
      </c>
      <c r="B1554" t="s">
        <v>688</v>
      </c>
      <c r="C1554" t="s">
        <v>7</v>
      </c>
      <c r="D1554">
        <v>6</v>
      </c>
      <c r="E1554" t="s">
        <v>304</v>
      </c>
      <c r="F1554" t="s">
        <v>622</v>
      </c>
      <c r="G1554">
        <v>17</v>
      </c>
      <c r="H1554">
        <v>17</v>
      </c>
      <c r="I1554">
        <v>2</v>
      </c>
      <c r="J1554">
        <v>0</v>
      </c>
      <c r="K1554" s="9">
        <v>4.82</v>
      </c>
    </row>
    <row r="1555" spans="1:11" x14ac:dyDescent="0.45">
      <c r="A1555" t="s">
        <v>156</v>
      </c>
      <c r="B1555" t="s">
        <v>688</v>
      </c>
      <c r="C1555" t="s">
        <v>7</v>
      </c>
      <c r="D1555">
        <v>7</v>
      </c>
      <c r="E1555" t="s">
        <v>440</v>
      </c>
      <c r="F1555" t="s">
        <v>622</v>
      </c>
      <c r="G1555">
        <v>48</v>
      </c>
      <c r="H1555">
        <v>25</v>
      </c>
      <c r="I1555">
        <v>1</v>
      </c>
      <c r="J1555">
        <v>6</v>
      </c>
      <c r="K1555" s="9">
        <v>4.4782608695652177</v>
      </c>
    </row>
    <row r="1556" spans="1:11" x14ac:dyDescent="0.45">
      <c r="A1556" t="s">
        <v>156</v>
      </c>
      <c r="B1556" t="s">
        <v>688</v>
      </c>
      <c r="C1556" t="s">
        <v>7</v>
      </c>
      <c r="D1556">
        <v>8</v>
      </c>
      <c r="E1556" t="s">
        <v>320</v>
      </c>
      <c r="F1556" t="s">
        <v>622</v>
      </c>
      <c r="G1556">
        <v>2</v>
      </c>
      <c r="H1556">
        <v>4</v>
      </c>
      <c r="I1556">
        <v>0</v>
      </c>
      <c r="J1556">
        <v>0</v>
      </c>
      <c r="K1556" s="9">
        <v>5.352380952380952</v>
      </c>
    </row>
    <row r="1557" spans="1:11" x14ac:dyDescent="0.45">
      <c r="A1557" t="s">
        <v>156</v>
      </c>
      <c r="B1557" t="s">
        <v>688</v>
      </c>
      <c r="C1557" t="s">
        <v>7</v>
      </c>
      <c r="D1557">
        <v>9</v>
      </c>
      <c r="E1557" t="s">
        <v>515</v>
      </c>
      <c r="F1557" t="s">
        <v>623</v>
      </c>
      <c r="G1557">
        <v>15</v>
      </c>
      <c r="H1557">
        <v>15</v>
      </c>
      <c r="I1557">
        <v>1</v>
      </c>
      <c r="J1557">
        <v>1</v>
      </c>
      <c r="K1557" s="9">
        <v>4.7777777777777777</v>
      </c>
    </row>
    <row r="1558" spans="1:11" x14ac:dyDescent="0.45">
      <c r="A1558" t="s">
        <v>156</v>
      </c>
      <c r="B1558" t="s">
        <v>688</v>
      </c>
      <c r="C1558" t="s">
        <v>7</v>
      </c>
      <c r="D1558">
        <v>10</v>
      </c>
      <c r="E1558" t="s">
        <v>415</v>
      </c>
      <c r="F1558" t="s">
        <v>623</v>
      </c>
      <c r="G1558">
        <v>1</v>
      </c>
      <c r="H1558">
        <v>1</v>
      </c>
      <c r="I1558">
        <v>0</v>
      </c>
      <c r="J1558">
        <v>0</v>
      </c>
      <c r="K1558" s="9">
        <v>6.5693779904306222</v>
      </c>
    </row>
    <row r="1559" spans="1:11" x14ac:dyDescent="0.45">
      <c r="A1559" t="s">
        <v>158</v>
      </c>
      <c r="B1559" t="s">
        <v>675</v>
      </c>
      <c r="C1559" t="s">
        <v>23</v>
      </c>
      <c r="D1559">
        <v>1</v>
      </c>
      <c r="E1559" t="s">
        <v>458</v>
      </c>
      <c r="F1559" t="s">
        <v>622</v>
      </c>
      <c r="G1559">
        <v>116</v>
      </c>
      <c r="H1559">
        <v>65</v>
      </c>
      <c r="I1559">
        <v>9</v>
      </c>
      <c r="J1559">
        <v>9</v>
      </c>
      <c r="K1559" s="9">
        <v>2.3333333333333335</v>
      </c>
    </row>
    <row r="1560" spans="1:11" x14ac:dyDescent="0.45">
      <c r="A1560" t="s">
        <v>158</v>
      </c>
      <c r="B1560" t="s">
        <v>675</v>
      </c>
      <c r="C1560" t="s">
        <v>23</v>
      </c>
      <c r="D1560">
        <v>2</v>
      </c>
      <c r="E1560" t="s">
        <v>342</v>
      </c>
      <c r="F1560" t="s">
        <v>622</v>
      </c>
      <c r="G1560">
        <v>54</v>
      </c>
      <c r="H1560">
        <v>35</v>
      </c>
      <c r="I1560">
        <v>7</v>
      </c>
      <c r="J1560">
        <v>2</v>
      </c>
      <c r="K1560" s="9">
        <v>3.5769230769230771</v>
      </c>
    </row>
    <row r="1561" spans="1:11" x14ac:dyDescent="0.45">
      <c r="A1561" t="s">
        <v>158</v>
      </c>
      <c r="B1561" t="s">
        <v>675</v>
      </c>
      <c r="C1561" t="s">
        <v>23</v>
      </c>
      <c r="D1561">
        <v>3</v>
      </c>
      <c r="E1561" t="s">
        <v>386</v>
      </c>
      <c r="F1561" t="s">
        <v>623</v>
      </c>
      <c r="G1561">
        <v>46</v>
      </c>
      <c r="H1561">
        <v>19</v>
      </c>
      <c r="I1561">
        <v>5</v>
      </c>
      <c r="J1561">
        <v>3</v>
      </c>
      <c r="K1561" s="9">
        <v>4.5660377358490569</v>
      </c>
    </row>
    <row r="1562" spans="1:11" x14ac:dyDescent="0.45">
      <c r="A1562" t="s">
        <v>158</v>
      </c>
      <c r="B1562" t="s">
        <v>675</v>
      </c>
      <c r="C1562" t="s">
        <v>23</v>
      </c>
      <c r="D1562">
        <v>4</v>
      </c>
      <c r="E1562" t="s">
        <v>336</v>
      </c>
      <c r="F1562" t="s">
        <v>623</v>
      </c>
      <c r="G1562">
        <v>1</v>
      </c>
      <c r="H1562">
        <v>1</v>
      </c>
      <c r="I1562">
        <v>0</v>
      </c>
      <c r="J1562">
        <v>0</v>
      </c>
      <c r="K1562" s="9">
        <v>6.5693779904306222</v>
      </c>
    </row>
    <row r="1563" spans="1:11" x14ac:dyDescent="0.45">
      <c r="A1563" t="s">
        <v>158</v>
      </c>
      <c r="B1563" t="s">
        <v>675</v>
      </c>
      <c r="C1563" t="s">
        <v>10</v>
      </c>
      <c r="D1563">
        <v>1</v>
      </c>
      <c r="E1563" t="s">
        <v>329</v>
      </c>
      <c r="F1563" t="s">
        <v>622</v>
      </c>
      <c r="G1563">
        <v>37</v>
      </c>
      <c r="H1563">
        <v>27</v>
      </c>
      <c r="I1563">
        <v>5</v>
      </c>
      <c r="J1563">
        <v>1</v>
      </c>
      <c r="K1563" s="9">
        <v>4.25</v>
      </c>
    </row>
    <row r="1564" spans="1:11" x14ac:dyDescent="0.45">
      <c r="A1564" t="s">
        <v>158</v>
      </c>
      <c r="B1564" t="s">
        <v>675</v>
      </c>
      <c r="C1564" t="s">
        <v>10</v>
      </c>
      <c r="D1564">
        <v>2</v>
      </c>
      <c r="E1564" t="s">
        <v>442</v>
      </c>
      <c r="F1564" t="s">
        <v>622</v>
      </c>
      <c r="G1564">
        <v>28</v>
      </c>
      <c r="H1564">
        <v>14</v>
      </c>
      <c r="I1564">
        <v>5</v>
      </c>
      <c r="J1564">
        <v>1</v>
      </c>
      <c r="K1564" s="9">
        <v>4.8461538461538458</v>
      </c>
    </row>
    <row r="1565" spans="1:11" x14ac:dyDescent="0.45">
      <c r="A1565" t="s">
        <v>158</v>
      </c>
      <c r="B1565" t="s">
        <v>675</v>
      </c>
      <c r="C1565" t="s">
        <v>10</v>
      </c>
      <c r="D1565">
        <v>3</v>
      </c>
      <c r="E1565" t="s">
        <v>399</v>
      </c>
      <c r="F1565" t="s">
        <v>622</v>
      </c>
      <c r="G1565">
        <v>1</v>
      </c>
      <c r="H1565">
        <v>3</v>
      </c>
      <c r="I1565">
        <v>0</v>
      </c>
      <c r="J1565">
        <v>0</v>
      </c>
      <c r="K1565" s="9">
        <v>5.6607142857142856</v>
      </c>
    </row>
    <row r="1566" spans="1:11" x14ac:dyDescent="0.45">
      <c r="A1566" t="s">
        <v>158</v>
      </c>
      <c r="B1566" t="s">
        <v>675</v>
      </c>
      <c r="C1566" t="s">
        <v>10</v>
      </c>
      <c r="D1566">
        <v>4</v>
      </c>
      <c r="E1566" t="s">
        <v>334</v>
      </c>
      <c r="F1566" t="s">
        <v>622</v>
      </c>
      <c r="G1566">
        <v>44</v>
      </c>
      <c r="H1566">
        <v>24</v>
      </c>
      <c r="I1566">
        <v>4</v>
      </c>
      <c r="J1566">
        <v>2</v>
      </c>
      <c r="K1566" s="9">
        <v>4.0606060606060606</v>
      </c>
    </row>
    <row r="1567" spans="1:11" x14ac:dyDescent="0.45">
      <c r="A1567" t="s">
        <v>158</v>
      </c>
      <c r="B1567" t="s">
        <v>675</v>
      </c>
      <c r="C1567" t="s">
        <v>10</v>
      </c>
      <c r="D1567">
        <v>5</v>
      </c>
      <c r="E1567" t="s">
        <v>436</v>
      </c>
      <c r="F1567" t="s">
        <v>622</v>
      </c>
      <c r="G1567">
        <v>37</v>
      </c>
      <c r="H1567">
        <v>24</v>
      </c>
      <c r="I1567">
        <v>3</v>
      </c>
      <c r="J1567">
        <v>2</v>
      </c>
      <c r="K1567" s="9">
        <v>4.0606060606060606</v>
      </c>
    </row>
    <row r="1568" spans="1:11" x14ac:dyDescent="0.45">
      <c r="A1568" t="s">
        <v>158</v>
      </c>
      <c r="B1568" t="s">
        <v>675</v>
      </c>
      <c r="C1568" t="s">
        <v>10</v>
      </c>
      <c r="D1568">
        <v>6</v>
      </c>
      <c r="E1568" t="s">
        <v>337</v>
      </c>
      <c r="F1568" t="s">
        <v>622</v>
      </c>
      <c r="G1568">
        <v>1</v>
      </c>
      <c r="H1568">
        <v>4</v>
      </c>
      <c r="I1568">
        <v>0</v>
      </c>
      <c r="J1568">
        <v>0</v>
      </c>
      <c r="K1568" s="9">
        <v>5.352380952380952</v>
      </c>
    </row>
    <row r="1569" spans="1:11" x14ac:dyDescent="0.45">
      <c r="A1569" t="s">
        <v>158</v>
      </c>
      <c r="B1569" t="s">
        <v>675</v>
      </c>
      <c r="C1569" t="s">
        <v>10</v>
      </c>
      <c r="D1569">
        <v>7</v>
      </c>
      <c r="E1569" t="s">
        <v>326</v>
      </c>
      <c r="F1569" t="s">
        <v>622</v>
      </c>
      <c r="G1569">
        <v>10</v>
      </c>
      <c r="H1569">
        <v>7</v>
      </c>
      <c r="I1569">
        <v>0</v>
      </c>
      <c r="J1569">
        <v>1</v>
      </c>
      <c r="K1569" s="9">
        <v>4.927835051546392</v>
      </c>
    </row>
    <row r="1570" spans="1:11" x14ac:dyDescent="0.45">
      <c r="A1570" t="s">
        <v>158</v>
      </c>
      <c r="B1570" t="s">
        <v>675</v>
      </c>
      <c r="C1570" t="s">
        <v>10</v>
      </c>
      <c r="D1570">
        <v>8</v>
      </c>
      <c r="E1570" t="s">
        <v>499</v>
      </c>
      <c r="F1570" t="s">
        <v>622</v>
      </c>
      <c r="G1570">
        <v>36</v>
      </c>
      <c r="H1570">
        <v>15</v>
      </c>
      <c r="I1570">
        <v>0</v>
      </c>
      <c r="J1570">
        <v>5</v>
      </c>
      <c r="K1570" s="9">
        <v>4.7777777777777777</v>
      </c>
    </row>
    <row r="1571" spans="1:11" x14ac:dyDescent="0.45">
      <c r="A1571" t="s">
        <v>158</v>
      </c>
      <c r="B1571" t="s">
        <v>675</v>
      </c>
      <c r="C1571" t="s">
        <v>10</v>
      </c>
      <c r="D1571">
        <v>9</v>
      </c>
      <c r="E1571" t="s">
        <v>500</v>
      </c>
      <c r="F1571" t="s">
        <v>623</v>
      </c>
      <c r="G1571">
        <v>0</v>
      </c>
      <c r="H1571">
        <v>3</v>
      </c>
      <c r="I1571">
        <v>0</v>
      </c>
      <c r="J1571">
        <v>0</v>
      </c>
      <c r="K1571" s="9">
        <v>5.6607142857142856</v>
      </c>
    </row>
    <row r="1572" spans="1:11" x14ac:dyDescent="0.45">
      <c r="A1572" t="s">
        <v>159</v>
      </c>
      <c r="B1572" t="s">
        <v>689</v>
      </c>
      <c r="C1572" t="s">
        <v>19</v>
      </c>
      <c r="D1572">
        <v>1</v>
      </c>
      <c r="E1572" t="s">
        <v>359</v>
      </c>
      <c r="F1572" t="s">
        <v>622</v>
      </c>
      <c r="G1572">
        <v>0</v>
      </c>
      <c r="H1572">
        <v>2</v>
      </c>
      <c r="I1572">
        <v>0</v>
      </c>
      <c r="J1572">
        <v>0</v>
      </c>
      <c r="K1572" s="9">
        <v>6.1385542168674698</v>
      </c>
    </row>
    <row r="1573" spans="1:11" x14ac:dyDescent="0.45">
      <c r="A1573" t="s">
        <v>159</v>
      </c>
      <c r="B1573" t="s">
        <v>689</v>
      </c>
      <c r="C1573" t="s">
        <v>19</v>
      </c>
      <c r="D1573">
        <v>2</v>
      </c>
      <c r="E1573" t="s">
        <v>360</v>
      </c>
      <c r="F1573" t="s">
        <v>622</v>
      </c>
      <c r="G1573">
        <v>0</v>
      </c>
      <c r="H1573">
        <v>1</v>
      </c>
      <c r="I1573">
        <v>0</v>
      </c>
      <c r="J1573">
        <v>0</v>
      </c>
      <c r="K1573" s="9">
        <v>6.5693779904306222</v>
      </c>
    </row>
    <row r="1574" spans="1:11" x14ac:dyDescent="0.45">
      <c r="A1574" t="s">
        <v>159</v>
      </c>
      <c r="B1574" t="s">
        <v>689</v>
      </c>
      <c r="C1574" t="s">
        <v>19</v>
      </c>
      <c r="D1574">
        <v>3</v>
      </c>
      <c r="E1574" t="s">
        <v>501</v>
      </c>
      <c r="F1574" t="s">
        <v>622</v>
      </c>
      <c r="G1574">
        <v>4</v>
      </c>
      <c r="H1574">
        <v>7</v>
      </c>
      <c r="I1574">
        <v>0</v>
      </c>
      <c r="J1574">
        <v>0</v>
      </c>
      <c r="K1574" s="9">
        <v>4.927835051546392</v>
      </c>
    </row>
    <row r="1575" spans="1:11" x14ac:dyDescent="0.45">
      <c r="A1575" t="s">
        <v>159</v>
      </c>
      <c r="B1575" t="s">
        <v>689</v>
      </c>
      <c r="C1575" t="s">
        <v>19</v>
      </c>
      <c r="D1575">
        <v>4</v>
      </c>
      <c r="E1575" t="s">
        <v>363</v>
      </c>
      <c r="F1575" t="s">
        <v>622</v>
      </c>
      <c r="G1575">
        <v>32</v>
      </c>
      <c r="H1575">
        <v>21</v>
      </c>
      <c r="I1575">
        <v>3</v>
      </c>
      <c r="J1575">
        <v>1</v>
      </c>
      <c r="K1575" s="9">
        <v>4.3770491803278686</v>
      </c>
    </row>
    <row r="1576" spans="1:11" x14ac:dyDescent="0.45">
      <c r="A1576" t="s">
        <v>159</v>
      </c>
      <c r="B1576" t="s">
        <v>689</v>
      </c>
      <c r="C1576" t="s">
        <v>19</v>
      </c>
      <c r="D1576">
        <v>5</v>
      </c>
      <c r="E1576" t="s">
        <v>502</v>
      </c>
      <c r="F1576" t="s">
        <v>623</v>
      </c>
      <c r="G1576">
        <v>51</v>
      </c>
      <c r="H1576">
        <v>43</v>
      </c>
      <c r="I1576">
        <v>3</v>
      </c>
      <c r="J1576">
        <v>2</v>
      </c>
      <c r="K1576" s="9">
        <v>2.8888888888888888</v>
      </c>
    </row>
    <row r="1577" spans="1:11" x14ac:dyDescent="0.45">
      <c r="A1577" t="s">
        <v>159</v>
      </c>
      <c r="B1577" t="s">
        <v>689</v>
      </c>
      <c r="C1577" t="s">
        <v>19</v>
      </c>
      <c r="D1577">
        <v>6</v>
      </c>
      <c r="E1577" t="s">
        <v>504</v>
      </c>
      <c r="F1577" t="s">
        <v>622</v>
      </c>
      <c r="G1577">
        <v>25</v>
      </c>
      <c r="H1577">
        <v>25</v>
      </c>
      <c r="I1577">
        <v>3</v>
      </c>
      <c r="J1577">
        <v>0</v>
      </c>
      <c r="K1577" s="9">
        <v>4.4782608695652177</v>
      </c>
    </row>
    <row r="1578" spans="1:11" x14ac:dyDescent="0.45">
      <c r="A1578" t="s">
        <v>159</v>
      </c>
      <c r="B1578" t="s">
        <v>689</v>
      </c>
      <c r="C1578" t="s">
        <v>19</v>
      </c>
      <c r="D1578">
        <v>7</v>
      </c>
      <c r="E1578" t="s">
        <v>362</v>
      </c>
      <c r="F1578" t="s">
        <v>622</v>
      </c>
      <c r="G1578">
        <v>14</v>
      </c>
      <c r="H1578">
        <v>9</v>
      </c>
      <c r="I1578">
        <v>1</v>
      </c>
      <c r="J1578">
        <v>1</v>
      </c>
      <c r="K1578" s="9">
        <v>4.924050632911392</v>
      </c>
    </row>
    <row r="1579" spans="1:11" x14ac:dyDescent="0.45">
      <c r="A1579" t="s">
        <v>159</v>
      </c>
      <c r="B1579" t="s">
        <v>689</v>
      </c>
      <c r="C1579" t="s">
        <v>19</v>
      </c>
      <c r="D1579">
        <v>8</v>
      </c>
      <c r="E1579" t="s">
        <v>464</v>
      </c>
      <c r="F1579" t="s">
        <v>622</v>
      </c>
      <c r="G1579">
        <v>5</v>
      </c>
      <c r="H1579">
        <v>3</v>
      </c>
      <c r="I1579">
        <v>1</v>
      </c>
      <c r="J1579">
        <v>0</v>
      </c>
      <c r="K1579" s="9">
        <v>5.6607142857142856</v>
      </c>
    </row>
    <row r="1580" spans="1:11" x14ac:dyDescent="0.45">
      <c r="A1580" t="s">
        <v>159</v>
      </c>
      <c r="B1580" t="s">
        <v>689</v>
      </c>
      <c r="C1580" t="s">
        <v>19</v>
      </c>
      <c r="D1580">
        <v>9</v>
      </c>
      <c r="E1580" t="s">
        <v>392</v>
      </c>
      <c r="F1580" t="s">
        <v>623</v>
      </c>
      <c r="G1580">
        <v>19</v>
      </c>
      <c r="H1580">
        <v>9</v>
      </c>
      <c r="I1580">
        <v>1</v>
      </c>
      <c r="J1580">
        <v>1</v>
      </c>
      <c r="K1580" s="9">
        <v>4.924050632911392</v>
      </c>
    </row>
    <row r="1581" spans="1:11" x14ac:dyDescent="0.45">
      <c r="A1581" t="s">
        <v>159</v>
      </c>
      <c r="B1581" t="s">
        <v>689</v>
      </c>
      <c r="C1581" t="s">
        <v>6</v>
      </c>
      <c r="D1581">
        <v>1</v>
      </c>
      <c r="E1581" t="s">
        <v>290</v>
      </c>
      <c r="F1581" t="s">
        <v>622</v>
      </c>
      <c r="G1581">
        <v>0</v>
      </c>
      <c r="H1581">
        <v>1</v>
      </c>
      <c r="I1581">
        <v>0</v>
      </c>
      <c r="J1581">
        <v>0</v>
      </c>
      <c r="K1581" s="9">
        <v>6.5693779904306222</v>
      </c>
    </row>
    <row r="1582" spans="1:11" x14ac:dyDescent="0.45">
      <c r="A1582" t="s">
        <v>159</v>
      </c>
      <c r="B1582" t="s">
        <v>689</v>
      </c>
      <c r="C1582" t="s">
        <v>6</v>
      </c>
      <c r="D1582">
        <v>2</v>
      </c>
      <c r="E1582" t="s">
        <v>297</v>
      </c>
      <c r="F1582" t="s">
        <v>622</v>
      </c>
      <c r="G1582">
        <v>30</v>
      </c>
      <c r="H1582">
        <v>25</v>
      </c>
      <c r="I1582">
        <v>2</v>
      </c>
      <c r="J1582">
        <v>2</v>
      </c>
      <c r="K1582" s="9">
        <v>4.4782608695652177</v>
      </c>
    </row>
    <row r="1583" spans="1:11" x14ac:dyDescent="0.45">
      <c r="A1583" t="s">
        <v>159</v>
      </c>
      <c r="B1583" t="s">
        <v>689</v>
      </c>
      <c r="C1583" t="s">
        <v>6</v>
      </c>
      <c r="D1583">
        <v>3</v>
      </c>
      <c r="E1583" t="s">
        <v>507</v>
      </c>
      <c r="F1583" t="s">
        <v>622</v>
      </c>
      <c r="G1583">
        <v>11</v>
      </c>
      <c r="H1583">
        <v>9</v>
      </c>
      <c r="I1583">
        <v>2</v>
      </c>
      <c r="J1583">
        <v>0</v>
      </c>
      <c r="K1583" s="9">
        <v>4.924050632911392</v>
      </c>
    </row>
    <row r="1584" spans="1:11" x14ac:dyDescent="0.45">
      <c r="A1584" t="s">
        <v>159</v>
      </c>
      <c r="B1584" t="s">
        <v>689</v>
      </c>
      <c r="C1584" t="s">
        <v>6</v>
      </c>
      <c r="D1584">
        <v>4</v>
      </c>
      <c r="E1584" t="s">
        <v>355</v>
      </c>
      <c r="F1584" t="s">
        <v>622</v>
      </c>
      <c r="G1584">
        <v>40</v>
      </c>
      <c r="H1584">
        <v>35</v>
      </c>
      <c r="I1584">
        <v>2</v>
      </c>
      <c r="J1584">
        <v>3</v>
      </c>
      <c r="K1584" s="9">
        <v>3.5769230769230771</v>
      </c>
    </row>
    <row r="1585" spans="1:11" x14ac:dyDescent="0.45">
      <c r="A1585" t="s">
        <v>159</v>
      </c>
      <c r="B1585" t="s">
        <v>689</v>
      </c>
      <c r="C1585" t="s">
        <v>6</v>
      </c>
      <c r="D1585">
        <v>5</v>
      </c>
      <c r="E1585" t="s">
        <v>387</v>
      </c>
      <c r="F1585" t="s">
        <v>622</v>
      </c>
      <c r="G1585">
        <v>13</v>
      </c>
      <c r="H1585">
        <v>14</v>
      </c>
      <c r="I1585">
        <v>0</v>
      </c>
      <c r="J1585">
        <v>1</v>
      </c>
      <c r="K1585" s="9">
        <v>4.8461538461538458</v>
      </c>
    </row>
    <row r="1586" spans="1:11" x14ac:dyDescent="0.45">
      <c r="A1586" t="s">
        <v>159</v>
      </c>
      <c r="B1586" t="s">
        <v>689</v>
      </c>
      <c r="C1586" t="s">
        <v>6</v>
      </c>
      <c r="D1586">
        <v>6</v>
      </c>
      <c r="E1586" t="s">
        <v>328</v>
      </c>
      <c r="F1586" t="s">
        <v>622</v>
      </c>
      <c r="G1586">
        <v>3</v>
      </c>
      <c r="H1586">
        <v>8</v>
      </c>
      <c r="I1586">
        <v>0</v>
      </c>
      <c r="J1586">
        <v>0</v>
      </c>
      <c r="K1586" s="9">
        <v>4.9029126213592233</v>
      </c>
    </row>
    <row r="1587" spans="1:11" x14ac:dyDescent="0.45">
      <c r="A1587" t="s">
        <v>159</v>
      </c>
      <c r="B1587" t="s">
        <v>689</v>
      </c>
      <c r="C1587" t="s">
        <v>6</v>
      </c>
      <c r="D1587">
        <v>7</v>
      </c>
      <c r="E1587" t="s">
        <v>356</v>
      </c>
      <c r="F1587" t="s">
        <v>623</v>
      </c>
      <c r="G1587">
        <v>28</v>
      </c>
      <c r="H1587">
        <v>13</v>
      </c>
      <c r="I1587">
        <v>3</v>
      </c>
      <c r="J1587">
        <v>1</v>
      </c>
      <c r="K1587" s="9">
        <v>4.8939393939393936</v>
      </c>
    </row>
    <row r="1588" spans="1:11" x14ac:dyDescent="0.45">
      <c r="A1588" t="s">
        <v>159</v>
      </c>
      <c r="B1588" t="s">
        <v>689</v>
      </c>
      <c r="C1588" t="s">
        <v>6</v>
      </c>
      <c r="D1588">
        <v>8</v>
      </c>
      <c r="E1588" t="s">
        <v>537</v>
      </c>
      <c r="F1588" t="s">
        <v>622</v>
      </c>
      <c r="G1588">
        <v>22</v>
      </c>
      <c r="H1588">
        <v>14</v>
      </c>
      <c r="I1588">
        <v>2</v>
      </c>
      <c r="J1588">
        <v>1</v>
      </c>
      <c r="K1588" s="9">
        <v>4.8461538461538458</v>
      </c>
    </row>
    <row r="1589" spans="1:11" x14ac:dyDescent="0.45">
      <c r="A1589" t="s">
        <v>159</v>
      </c>
      <c r="B1589" t="s">
        <v>689</v>
      </c>
      <c r="C1589" t="s">
        <v>6</v>
      </c>
      <c r="D1589">
        <v>9</v>
      </c>
      <c r="E1589" t="s">
        <v>327</v>
      </c>
      <c r="F1589" t="s">
        <v>623</v>
      </c>
      <c r="G1589">
        <v>1</v>
      </c>
      <c r="H1589">
        <v>1</v>
      </c>
      <c r="I1589">
        <v>0</v>
      </c>
      <c r="J1589">
        <v>0</v>
      </c>
      <c r="K1589" s="9">
        <v>6.5693779904306222</v>
      </c>
    </row>
    <row r="1590" spans="1:11" x14ac:dyDescent="0.45">
      <c r="A1590" t="s">
        <v>160</v>
      </c>
      <c r="B1590" t="s">
        <v>652</v>
      </c>
      <c r="C1590" t="s">
        <v>26</v>
      </c>
      <c r="D1590">
        <v>1</v>
      </c>
      <c r="E1590" t="s">
        <v>398</v>
      </c>
      <c r="F1590" t="s">
        <v>622</v>
      </c>
      <c r="G1590">
        <v>24</v>
      </c>
      <c r="H1590">
        <v>15</v>
      </c>
      <c r="I1590">
        <v>4</v>
      </c>
      <c r="J1590">
        <v>0</v>
      </c>
      <c r="K1590" s="9">
        <v>4.7777777777777777</v>
      </c>
    </row>
    <row r="1591" spans="1:11" x14ac:dyDescent="0.45">
      <c r="A1591" t="s">
        <v>160</v>
      </c>
      <c r="B1591" t="s">
        <v>652</v>
      </c>
      <c r="C1591" t="s">
        <v>26</v>
      </c>
      <c r="D1591">
        <v>2</v>
      </c>
      <c r="E1591" t="s">
        <v>330</v>
      </c>
      <c r="F1591" t="s">
        <v>622</v>
      </c>
      <c r="G1591">
        <v>9</v>
      </c>
      <c r="H1591">
        <v>10</v>
      </c>
      <c r="I1591">
        <v>1</v>
      </c>
      <c r="J1591">
        <v>0</v>
      </c>
      <c r="K1591" s="9">
        <v>4.7179487179487181</v>
      </c>
    </row>
    <row r="1592" spans="1:11" x14ac:dyDescent="0.45">
      <c r="A1592" t="s">
        <v>160</v>
      </c>
      <c r="B1592" t="s">
        <v>652</v>
      </c>
      <c r="C1592" t="s">
        <v>26</v>
      </c>
      <c r="D1592">
        <v>3</v>
      </c>
      <c r="E1592" t="s">
        <v>459</v>
      </c>
      <c r="F1592" t="s">
        <v>622</v>
      </c>
      <c r="G1592">
        <v>9</v>
      </c>
      <c r="H1592">
        <v>8</v>
      </c>
      <c r="I1592">
        <v>2</v>
      </c>
      <c r="J1592">
        <v>0</v>
      </c>
      <c r="K1592" s="9">
        <v>4.9029126213592233</v>
      </c>
    </row>
    <row r="1593" spans="1:11" x14ac:dyDescent="0.45">
      <c r="A1593" t="s">
        <v>160</v>
      </c>
      <c r="B1593" t="s">
        <v>652</v>
      </c>
      <c r="C1593" t="s">
        <v>26</v>
      </c>
      <c r="D1593">
        <v>4</v>
      </c>
      <c r="E1593" t="s">
        <v>384</v>
      </c>
      <c r="F1593" t="s">
        <v>622</v>
      </c>
      <c r="G1593">
        <v>2</v>
      </c>
      <c r="H1593">
        <v>3</v>
      </c>
      <c r="I1593">
        <v>0</v>
      </c>
      <c r="J1593">
        <v>0</v>
      </c>
      <c r="K1593" s="9">
        <v>5.6607142857142856</v>
      </c>
    </row>
    <row r="1594" spans="1:11" x14ac:dyDescent="0.45">
      <c r="A1594" t="s">
        <v>160</v>
      </c>
      <c r="B1594" t="s">
        <v>652</v>
      </c>
      <c r="C1594" t="s">
        <v>26</v>
      </c>
      <c r="D1594">
        <v>5</v>
      </c>
      <c r="E1594" t="s">
        <v>495</v>
      </c>
      <c r="F1594" t="s">
        <v>622</v>
      </c>
      <c r="G1594">
        <v>32</v>
      </c>
      <c r="H1594">
        <v>23</v>
      </c>
      <c r="I1594">
        <v>5</v>
      </c>
      <c r="J1594">
        <v>0</v>
      </c>
      <c r="K1594" s="9">
        <v>5.1142857142857139</v>
      </c>
    </row>
    <row r="1595" spans="1:11" x14ac:dyDescent="0.45">
      <c r="A1595" t="s">
        <v>160</v>
      </c>
      <c r="B1595" t="s">
        <v>652</v>
      </c>
      <c r="C1595" t="s">
        <v>26</v>
      </c>
      <c r="D1595">
        <v>6</v>
      </c>
      <c r="E1595" t="s">
        <v>400</v>
      </c>
      <c r="F1595" t="s">
        <v>622</v>
      </c>
      <c r="G1595">
        <v>12</v>
      </c>
      <c r="H1595">
        <v>20</v>
      </c>
      <c r="I1595">
        <v>0</v>
      </c>
      <c r="J1595">
        <v>0</v>
      </c>
      <c r="K1595" s="9">
        <v>4.9473684210526319</v>
      </c>
    </row>
    <row r="1596" spans="1:11" x14ac:dyDescent="0.45">
      <c r="A1596" t="s">
        <v>160</v>
      </c>
      <c r="B1596" t="s">
        <v>652</v>
      </c>
      <c r="C1596" t="s">
        <v>26</v>
      </c>
      <c r="D1596">
        <v>7</v>
      </c>
      <c r="E1596" t="s">
        <v>341</v>
      </c>
      <c r="F1596" t="s">
        <v>622</v>
      </c>
      <c r="G1596">
        <v>2</v>
      </c>
      <c r="H1596">
        <v>6</v>
      </c>
      <c r="I1596">
        <v>0</v>
      </c>
      <c r="J1596">
        <v>0</v>
      </c>
      <c r="K1596" s="9">
        <v>5.4565217391304346</v>
      </c>
    </row>
    <row r="1597" spans="1:11" x14ac:dyDescent="0.45">
      <c r="A1597" t="s">
        <v>160</v>
      </c>
      <c r="B1597" t="s">
        <v>652</v>
      </c>
      <c r="C1597" t="s">
        <v>26</v>
      </c>
      <c r="D1597">
        <v>8</v>
      </c>
      <c r="E1597" t="s">
        <v>428</v>
      </c>
      <c r="F1597" t="s">
        <v>622</v>
      </c>
      <c r="G1597">
        <v>0</v>
      </c>
      <c r="H1597">
        <v>2</v>
      </c>
      <c r="I1597">
        <v>0</v>
      </c>
      <c r="J1597">
        <v>0</v>
      </c>
      <c r="K1597" s="9">
        <v>6.1385542168674698</v>
      </c>
    </row>
    <row r="1598" spans="1:11" x14ac:dyDescent="0.45">
      <c r="A1598" t="s">
        <v>160</v>
      </c>
      <c r="B1598" t="s">
        <v>652</v>
      </c>
      <c r="C1598" t="s">
        <v>26</v>
      </c>
      <c r="D1598">
        <v>9</v>
      </c>
      <c r="E1598" t="s">
        <v>435</v>
      </c>
      <c r="F1598" t="s">
        <v>622</v>
      </c>
      <c r="G1598">
        <v>12</v>
      </c>
      <c r="H1598">
        <v>12</v>
      </c>
      <c r="I1598">
        <v>1</v>
      </c>
      <c r="J1598">
        <v>1</v>
      </c>
      <c r="K1598" s="9">
        <v>4.8024691358024691</v>
      </c>
    </row>
    <row r="1599" spans="1:11" x14ac:dyDescent="0.45">
      <c r="A1599" t="s">
        <v>160</v>
      </c>
      <c r="B1599" t="s">
        <v>652</v>
      </c>
      <c r="C1599" t="s">
        <v>26</v>
      </c>
      <c r="D1599">
        <v>10</v>
      </c>
      <c r="E1599" t="s">
        <v>405</v>
      </c>
      <c r="F1599" t="s">
        <v>622</v>
      </c>
      <c r="G1599">
        <v>9</v>
      </c>
      <c r="H1599">
        <v>17</v>
      </c>
      <c r="I1599">
        <v>2</v>
      </c>
      <c r="J1599">
        <v>0</v>
      </c>
      <c r="K1599" s="9">
        <v>4.82</v>
      </c>
    </row>
    <row r="1600" spans="1:11" x14ac:dyDescent="0.45">
      <c r="A1600" t="s">
        <v>160</v>
      </c>
      <c r="B1600" t="s">
        <v>652</v>
      </c>
      <c r="C1600" t="s">
        <v>26</v>
      </c>
      <c r="D1600">
        <v>11</v>
      </c>
      <c r="E1600" t="s">
        <v>542</v>
      </c>
      <c r="F1600" t="s">
        <v>623</v>
      </c>
      <c r="G1600">
        <v>2</v>
      </c>
      <c r="H1600">
        <v>4</v>
      </c>
      <c r="I1600">
        <v>0</v>
      </c>
      <c r="J1600">
        <v>0</v>
      </c>
      <c r="K1600" s="9">
        <v>5.352380952380952</v>
      </c>
    </row>
    <row r="1601" spans="1:11" x14ac:dyDescent="0.45">
      <c r="A1601" t="s">
        <v>160</v>
      </c>
      <c r="B1601" t="s">
        <v>652</v>
      </c>
      <c r="C1601" t="s">
        <v>10</v>
      </c>
      <c r="D1601">
        <v>1</v>
      </c>
      <c r="E1601" t="s">
        <v>329</v>
      </c>
      <c r="F1601" t="s">
        <v>622</v>
      </c>
      <c r="G1601">
        <v>41</v>
      </c>
      <c r="H1601">
        <v>20</v>
      </c>
      <c r="I1601">
        <v>7</v>
      </c>
      <c r="J1601">
        <v>1</v>
      </c>
      <c r="K1601" s="9">
        <v>4.9473684210526319</v>
      </c>
    </row>
    <row r="1602" spans="1:11" x14ac:dyDescent="0.45">
      <c r="A1602" t="s">
        <v>160</v>
      </c>
      <c r="B1602" t="s">
        <v>652</v>
      </c>
      <c r="C1602" t="s">
        <v>10</v>
      </c>
      <c r="D1602">
        <v>2</v>
      </c>
      <c r="E1602" t="s">
        <v>442</v>
      </c>
      <c r="F1602" t="s">
        <v>623</v>
      </c>
      <c r="G1602">
        <v>60</v>
      </c>
      <c r="H1602">
        <v>30</v>
      </c>
      <c r="I1602">
        <v>10</v>
      </c>
      <c r="J1602">
        <v>1</v>
      </c>
      <c r="K1602" s="9">
        <v>3.6774193548387095</v>
      </c>
    </row>
    <row r="1603" spans="1:11" x14ac:dyDescent="0.45">
      <c r="A1603" t="s">
        <v>160</v>
      </c>
      <c r="B1603" t="s">
        <v>652</v>
      </c>
      <c r="C1603" t="s">
        <v>10</v>
      </c>
      <c r="D1603">
        <v>3</v>
      </c>
      <c r="E1603" t="s">
        <v>399</v>
      </c>
      <c r="F1603" t="s">
        <v>623</v>
      </c>
      <c r="G1603">
        <v>12</v>
      </c>
      <c r="H1603">
        <v>13</v>
      </c>
      <c r="I1603">
        <v>1</v>
      </c>
      <c r="J1603">
        <v>0</v>
      </c>
      <c r="K1603" s="9">
        <v>4.8939393939393936</v>
      </c>
    </row>
    <row r="1604" spans="1:11" x14ac:dyDescent="0.45">
      <c r="A1604" t="s">
        <v>161</v>
      </c>
      <c r="B1604" t="s">
        <v>666</v>
      </c>
      <c r="C1604" t="s">
        <v>13</v>
      </c>
      <c r="D1604">
        <v>1</v>
      </c>
      <c r="E1604" t="s">
        <v>388</v>
      </c>
      <c r="F1604" t="s">
        <v>622</v>
      </c>
      <c r="G1604">
        <v>4</v>
      </c>
      <c r="H1604">
        <v>5</v>
      </c>
      <c r="I1604">
        <v>1</v>
      </c>
      <c r="J1604">
        <v>0</v>
      </c>
      <c r="K1604" s="9">
        <v>5.132075471698113</v>
      </c>
    </row>
    <row r="1605" spans="1:11" x14ac:dyDescent="0.45">
      <c r="A1605" t="s">
        <v>161</v>
      </c>
      <c r="B1605" t="s">
        <v>666</v>
      </c>
      <c r="C1605" t="s">
        <v>13</v>
      </c>
      <c r="D1605">
        <v>2</v>
      </c>
      <c r="E1605" t="s">
        <v>294</v>
      </c>
      <c r="F1605" t="s">
        <v>622</v>
      </c>
      <c r="G1605">
        <v>96</v>
      </c>
      <c r="H1605">
        <v>64</v>
      </c>
      <c r="I1605">
        <v>11</v>
      </c>
      <c r="J1605">
        <v>2</v>
      </c>
      <c r="K1605" s="9">
        <v>3.6666666666666665</v>
      </c>
    </row>
    <row r="1606" spans="1:11" x14ac:dyDescent="0.45">
      <c r="A1606" t="s">
        <v>161</v>
      </c>
      <c r="B1606" t="s">
        <v>666</v>
      </c>
      <c r="C1606" t="s">
        <v>13</v>
      </c>
      <c r="D1606">
        <v>3</v>
      </c>
      <c r="E1606" t="s">
        <v>343</v>
      </c>
      <c r="F1606" t="s">
        <v>622</v>
      </c>
      <c r="G1606">
        <v>0</v>
      </c>
      <c r="H1606">
        <v>1</v>
      </c>
      <c r="I1606">
        <v>0</v>
      </c>
      <c r="J1606">
        <v>0</v>
      </c>
      <c r="K1606" s="9">
        <v>6.5693779904306222</v>
      </c>
    </row>
    <row r="1607" spans="1:11" x14ac:dyDescent="0.45">
      <c r="A1607" t="s">
        <v>161</v>
      </c>
      <c r="B1607" t="s">
        <v>666</v>
      </c>
      <c r="C1607" t="s">
        <v>13</v>
      </c>
      <c r="D1607">
        <v>4</v>
      </c>
      <c r="E1607" t="s">
        <v>345</v>
      </c>
      <c r="F1607" t="s">
        <v>622</v>
      </c>
      <c r="G1607">
        <v>23</v>
      </c>
      <c r="H1607">
        <v>11</v>
      </c>
      <c r="I1607">
        <v>3</v>
      </c>
      <c r="J1607">
        <v>1</v>
      </c>
      <c r="K1607" s="9">
        <v>4.9649122807017543</v>
      </c>
    </row>
    <row r="1608" spans="1:11" x14ac:dyDescent="0.45">
      <c r="A1608" t="s">
        <v>161</v>
      </c>
      <c r="B1608" t="s">
        <v>666</v>
      </c>
      <c r="C1608" t="s">
        <v>13</v>
      </c>
      <c r="D1608">
        <v>5</v>
      </c>
      <c r="E1608" t="s">
        <v>541</v>
      </c>
      <c r="F1608" t="s">
        <v>622</v>
      </c>
      <c r="G1608">
        <v>10</v>
      </c>
      <c r="H1608">
        <v>9</v>
      </c>
      <c r="I1608">
        <v>0</v>
      </c>
      <c r="J1608">
        <v>1</v>
      </c>
      <c r="K1608" s="9">
        <v>4.924050632911392</v>
      </c>
    </row>
    <row r="1609" spans="1:11" x14ac:dyDescent="0.45">
      <c r="A1609" t="s">
        <v>161</v>
      </c>
      <c r="B1609" t="s">
        <v>666</v>
      </c>
      <c r="C1609" t="s">
        <v>13</v>
      </c>
      <c r="D1609">
        <v>6</v>
      </c>
      <c r="E1609" t="s">
        <v>347</v>
      </c>
      <c r="F1609" t="s">
        <v>622</v>
      </c>
      <c r="G1609">
        <v>26</v>
      </c>
      <c r="H1609">
        <v>22</v>
      </c>
      <c r="I1609">
        <v>1</v>
      </c>
      <c r="J1609">
        <v>0</v>
      </c>
      <c r="K1609" s="9">
        <v>4.4423076923076925</v>
      </c>
    </row>
    <row r="1610" spans="1:11" x14ac:dyDescent="0.45">
      <c r="A1610" t="s">
        <v>161</v>
      </c>
      <c r="B1610" t="s">
        <v>666</v>
      </c>
      <c r="C1610" t="s">
        <v>13</v>
      </c>
      <c r="D1610">
        <v>7</v>
      </c>
      <c r="E1610" t="s">
        <v>311</v>
      </c>
      <c r="F1610" t="s">
        <v>623</v>
      </c>
      <c r="G1610">
        <v>13</v>
      </c>
      <c r="H1610">
        <v>8</v>
      </c>
      <c r="I1610">
        <v>0</v>
      </c>
      <c r="J1610">
        <v>1</v>
      </c>
      <c r="K1610" s="9">
        <v>4.9029126213592233</v>
      </c>
    </row>
    <row r="1611" spans="1:11" x14ac:dyDescent="0.45">
      <c r="A1611" t="s">
        <v>161</v>
      </c>
      <c r="B1611" t="s">
        <v>666</v>
      </c>
      <c r="C1611" t="s">
        <v>13</v>
      </c>
      <c r="D1611">
        <v>8</v>
      </c>
      <c r="E1611" t="s">
        <v>349</v>
      </c>
      <c r="F1611" t="s">
        <v>623</v>
      </c>
      <c r="G1611">
        <v>0</v>
      </c>
      <c r="H1611">
        <v>1</v>
      </c>
      <c r="I1611">
        <v>0</v>
      </c>
      <c r="J1611">
        <v>0</v>
      </c>
      <c r="K1611" s="9">
        <v>6.5693779904306222</v>
      </c>
    </row>
    <row r="1612" spans="1:11" x14ac:dyDescent="0.45">
      <c r="A1612" t="s">
        <v>161</v>
      </c>
      <c r="B1612" t="s">
        <v>666</v>
      </c>
      <c r="C1612" t="s">
        <v>104</v>
      </c>
      <c r="D1612">
        <v>1</v>
      </c>
      <c r="E1612" t="s">
        <v>422</v>
      </c>
      <c r="F1612" t="s">
        <v>622</v>
      </c>
      <c r="G1612">
        <v>3</v>
      </c>
      <c r="H1612">
        <v>5</v>
      </c>
      <c r="I1612">
        <v>0</v>
      </c>
      <c r="J1612">
        <v>0</v>
      </c>
      <c r="K1612" s="9">
        <v>5.132075471698113</v>
      </c>
    </row>
    <row r="1613" spans="1:11" x14ac:dyDescent="0.45">
      <c r="A1613" t="s">
        <v>161</v>
      </c>
      <c r="B1613" t="s">
        <v>666</v>
      </c>
      <c r="C1613" t="s">
        <v>104</v>
      </c>
      <c r="D1613">
        <v>2</v>
      </c>
      <c r="E1613" t="s">
        <v>397</v>
      </c>
      <c r="F1613" t="s">
        <v>622</v>
      </c>
      <c r="G1613">
        <v>30</v>
      </c>
      <c r="H1613">
        <v>24</v>
      </c>
      <c r="I1613">
        <v>3</v>
      </c>
      <c r="J1613">
        <v>1</v>
      </c>
      <c r="K1613" s="9">
        <v>4.0606060606060606</v>
      </c>
    </row>
    <row r="1614" spans="1:11" x14ac:dyDescent="0.45">
      <c r="A1614" t="s">
        <v>161</v>
      </c>
      <c r="B1614" t="s">
        <v>666</v>
      </c>
      <c r="C1614" t="s">
        <v>104</v>
      </c>
      <c r="D1614">
        <v>3</v>
      </c>
      <c r="E1614" t="s">
        <v>374</v>
      </c>
      <c r="F1614" t="s">
        <v>622</v>
      </c>
      <c r="G1614">
        <v>6</v>
      </c>
      <c r="H1614">
        <v>8</v>
      </c>
      <c r="I1614">
        <v>1</v>
      </c>
      <c r="J1614">
        <v>0</v>
      </c>
      <c r="K1614" s="9">
        <v>4.9029126213592233</v>
      </c>
    </row>
    <row r="1615" spans="1:11" x14ac:dyDescent="0.45">
      <c r="A1615" t="s">
        <v>161</v>
      </c>
      <c r="B1615" t="s">
        <v>666</v>
      </c>
      <c r="C1615" t="s">
        <v>104</v>
      </c>
      <c r="D1615">
        <v>4</v>
      </c>
      <c r="E1615" t="s">
        <v>366</v>
      </c>
      <c r="F1615" t="s">
        <v>622</v>
      </c>
      <c r="G1615">
        <v>42</v>
      </c>
      <c r="H1615">
        <v>28</v>
      </c>
      <c r="I1615">
        <v>5</v>
      </c>
      <c r="J1615">
        <v>2</v>
      </c>
      <c r="K1615" s="9">
        <v>3.806451612903226</v>
      </c>
    </row>
    <row r="1616" spans="1:11" x14ac:dyDescent="0.45">
      <c r="A1616" t="s">
        <v>161</v>
      </c>
      <c r="B1616" t="s">
        <v>666</v>
      </c>
      <c r="C1616" t="s">
        <v>104</v>
      </c>
      <c r="D1616">
        <v>5</v>
      </c>
      <c r="E1616" t="s">
        <v>426</v>
      </c>
      <c r="F1616" t="s">
        <v>622</v>
      </c>
      <c r="G1616">
        <v>13</v>
      </c>
      <c r="H1616">
        <v>14</v>
      </c>
      <c r="I1616">
        <v>1</v>
      </c>
      <c r="J1616">
        <v>0</v>
      </c>
      <c r="K1616" s="9">
        <v>4.8461538461538458</v>
      </c>
    </row>
    <row r="1617" spans="1:11" x14ac:dyDescent="0.45">
      <c r="A1617" t="s">
        <v>161</v>
      </c>
      <c r="B1617" t="s">
        <v>666</v>
      </c>
      <c r="C1617" t="s">
        <v>104</v>
      </c>
      <c r="D1617">
        <v>6</v>
      </c>
      <c r="E1617" t="s">
        <v>521</v>
      </c>
      <c r="F1617" t="s">
        <v>622</v>
      </c>
      <c r="G1617">
        <v>13</v>
      </c>
      <c r="H1617">
        <v>13</v>
      </c>
      <c r="I1617">
        <v>2</v>
      </c>
      <c r="J1617">
        <v>0</v>
      </c>
      <c r="K1617" s="9">
        <v>4.8939393939393936</v>
      </c>
    </row>
    <row r="1618" spans="1:11" x14ac:dyDescent="0.45">
      <c r="A1618" t="s">
        <v>161</v>
      </c>
      <c r="B1618" t="s">
        <v>666</v>
      </c>
      <c r="C1618" t="s">
        <v>104</v>
      </c>
      <c r="D1618">
        <v>7</v>
      </c>
      <c r="E1618" t="s">
        <v>331</v>
      </c>
      <c r="F1618" t="s">
        <v>622</v>
      </c>
      <c r="G1618">
        <v>24</v>
      </c>
      <c r="H1618">
        <v>15</v>
      </c>
      <c r="I1618">
        <v>2</v>
      </c>
      <c r="J1618">
        <v>1</v>
      </c>
      <c r="K1618" s="9">
        <v>4.7777777777777777</v>
      </c>
    </row>
    <row r="1619" spans="1:11" x14ac:dyDescent="0.45">
      <c r="A1619" t="s">
        <v>161</v>
      </c>
      <c r="B1619" t="s">
        <v>666</v>
      </c>
      <c r="C1619" t="s">
        <v>104</v>
      </c>
      <c r="D1619">
        <v>8</v>
      </c>
      <c r="E1619" t="s">
        <v>378</v>
      </c>
      <c r="F1619" t="s">
        <v>622</v>
      </c>
      <c r="G1619">
        <v>16</v>
      </c>
      <c r="H1619">
        <v>9</v>
      </c>
      <c r="I1619">
        <v>0</v>
      </c>
      <c r="J1619">
        <v>2</v>
      </c>
      <c r="K1619" s="9">
        <v>4.924050632911392</v>
      </c>
    </row>
    <row r="1620" spans="1:11" x14ac:dyDescent="0.45">
      <c r="A1620" t="s">
        <v>161</v>
      </c>
      <c r="B1620" t="s">
        <v>666</v>
      </c>
      <c r="C1620" t="s">
        <v>104</v>
      </c>
      <c r="D1620">
        <v>9</v>
      </c>
      <c r="E1620" t="s">
        <v>491</v>
      </c>
      <c r="F1620" t="s">
        <v>623</v>
      </c>
      <c r="G1620">
        <v>1</v>
      </c>
      <c r="H1620">
        <v>3</v>
      </c>
      <c r="I1620">
        <v>0</v>
      </c>
      <c r="J1620">
        <v>0</v>
      </c>
      <c r="K1620" s="9">
        <v>5.6607142857142856</v>
      </c>
    </row>
    <row r="1621" spans="1:11" x14ac:dyDescent="0.45">
      <c r="A1621" t="s">
        <v>161</v>
      </c>
      <c r="B1621" t="s">
        <v>666</v>
      </c>
      <c r="C1621" t="s">
        <v>104</v>
      </c>
      <c r="D1621">
        <v>10</v>
      </c>
      <c r="E1621" t="s">
        <v>407</v>
      </c>
      <c r="F1621" t="s">
        <v>623</v>
      </c>
      <c r="G1621">
        <v>0</v>
      </c>
      <c r="H1621">
        <v>1</v>
      </c>
      <c r="I1621">
        <v>0</v>
      </c>
      <c r="J1621">
        <v>0</v>
      </c>
      <c r="K1621" s="9">
        <v>6.5693779904306222</v>
      </c>
    </row>
    <row r="1622" spans="1:11" x14ac:dyDescent="0.45">
      <c r="A1622" t="s">
        <v>163</v>
      </c>
      <c r="B1622" t="s">
        <v>681</v>
      </c>
      <c r="C1622" t="s">
        <v>23</v>
      </c>
      <c r="D1622">
        <v>1</v>
      </c>
      <c r="E1622" t="s">
        <v>458</v>
      </c>
      <c r="F1622" t="s">
        <v>622</v>
      </c>
      <c r="G1622">
        <v>103</v>
      </c>
      <c r="H1622">
        <v>61</v>
      </c>
      <c r="I1622">
        <v>9</v>
      </c>
      <c r="J1622">
        <v>5</v>
      </c>
      <c r="K1622" s="9">
        <v>2.6363636363636362</v>
      </c>
    </row>
    <row r="1623" spans="1:11" x14ac:dyDescent="0.45">
      <c r="A1623" t="s">
        <v>163</v>
      </c>
      <c r="B1623" t="s">
        <v>681</v>
      </c>
      <c r="C1623" t="s">
        <v>23</v>
      </c>
      <c r="D1623">
        <v>2</v>
      </c>
      <c r="E1623" t="s">
        <v>342</v>
      </c>
      <c r="F1623" t="s">
        <v>622</v>
      </c>
      <c r="G1623">
        <v>24</v>
      </c>
      <c r="H1623">
        <v>18</v>
      </c>
      <c r="I1623">
        <v>3</v>
      </c>
      <c r="J1623">
        <v>1</v>
      </c>
      <c r="K1623" s="9">
        <v>4.375</v>
      </c>
    </row>
    <row r="1624" spans="1:11" x14ac:dyDescent="0.45">
      <c r="A1624" t="s">
        <v>163</v>
      </c>
      <c r="B1624" t="s">
        <v>681</v>
      </c>
      <c r="C1624" t="s">
        <v>23</v>
      </c>
      <c r="D1624">
        <v>3</v>
      </c>
      <c r="E1624" t="s">
        <v>386</v>
      </c>
      <c r="F1624" t="s">
        <v>622</v>
      </c>
      <c r="G1624">
        <v>38</v>
      </c>
      <c r="H1624">
        <v>19</v>
      </c>
      <c r="I1624">
        <v>3</v>
      </c>
      <c r="J1624">
        <v>2</v>
      </c>
      <c r="K1624" s="9">
        <v>4.5660377358490569</v>
      </c>
    </row>
    <row r="1625" spans="1:11" x14ac:dyDescent="0.45">
      <c r="A1625" t="s">
        <v>163</v>
      </c>
      <c r="B1625" t="s">
        <v>681</v>
      </c>
      <c r="C1625" t="s">
        <v>23</v>
      </c>
      <c r="D1625">
        <v>4</v>
      </c>
      <c r="E1625" t="s">
        <v>336</v>
      </c>
      <c r="F1625" t="s">
        <v>623</v>
      </c>
      <c r="G1625">
        <v>26</v>
      </c>
      <c r="H1625">
        <v>13</v>
      </c>
      <c r="I1625">
        <v>2</v>
      </c>
      <c r="J1625">
        <v>2</v>
      </c>
      <c r="K1625" s="9">
        <v>4.8939393939393936</v>
      </c>
    </row>
    <row r="1626" spans="1:11" x14ac:dyDescent="0.45">
      <c r="A1626" t="s">
        <v>163</v>
      </c>
      <c r="B1626" t="s">
        <v>681</v>
      </c>
      <c r="C1626" t="s">
        <v>23</v>
      </c>
      <c r="D1626">
        <v>5</v>
      </c>
      <c r="E1626" t="s">
        <v>431</v>
      </c>
      <c r="F1626" t="s">
        <v>622</v>
      </c>
      <c r="G1626">
        <v>5</v>
      </c>
      <c r="H1626">
        <v>3</v>
      </c>
      <c r="I1626">
        <v>1</v>
      </c>
      <c r="J1626">
        <v>0</v>
      </c>
      <c r="K1626" s="9">
        <v>5.6607142857142856</v>
      </c>
    </row>
    <row r="1627" spans="1:11" x14ac:dyDescent="0.45">
      <c r="A1627" t="s">
        <v>163</v>
      </c>
      <c r="B1627" t="s">
        <v>681</v>
      </c>
      <c r="C1627" t="s">
        <v>23</v>
      </c>
      <c r="D1627">
        <v>6</v>
      </c>
      <c r="E1627" t="s">
        <v>538</v>
      </c>
      <c r="F1627" t="s">
        <v>622</v>
      </c>
      <c r="G1627">
        <v>3</v>
      </c>
      <c r="H1627">
        <v>5</v>
      </c>
      <c r="I1627">
        <v>0</v>
      </c>
      <c r="J1627">
        <v>0</v>
      </c>
      <c r="K1627" s="9">
        <v>5.132075471698113</v>
      </c>
    </row>
    <row r="1628" spans="1:11" x14ac:dyDescent="0.45">
      <c r="A1628" t="s">
        <v>163</v>
      </c>
      <c r="B1628" t="s">
        <v>681</v>
      </c>
      <c r="C1628" t="s">
        <v>23</v>
      </c>
      <c r="D1628">
        <v>7</v>
      </c>
      <c r="E1628" t="s">
        <v>339</v>
      </c>
      <c r="F1628" t="s">
        <v>623</v>
      </c>
      <c r="G1628">
        <v>2</v>
      </c>
      <c r="H1628">
        <v>2</v>
      </c>
      <c r="I1628">
        <v>0</v>
      </c>
      <c r="J1628">
        <v>0</v>
      </c>
      <c r="K1628" s="9">
        <v>6.1385542168674698</v>
      </c>
    </row>
    <row r="1629" spans="1:11" x14ac:dyDescent="0.45">
      <c r="A1629" t="s">
        <v>163</v>
      </c>
      <c r="B1629" t="s">
        <v>681</v>
      </c>
      <c r="C1629" t="s">
        <v>7</v>
      </c>
      <c r="D1629">
        <v>1</v>
      </c>
      <c r="E1629" t="s">
        <v>531</v>
      </c>
      <c r="F1629" t="s">
        <v>622</v>
      </c>
      <c r="G1629">
        <v>58</v>
      </c>
      <c r="H1629">
        <v>28</v>
      </c>
      <c r="I1629">
        <v>9</v>
      </c>
      <c r="J1629">
        <v>2</v>
      </c>
      <c r="K1629" s="9">
        <v>3.806451612903226</v>
      </c>
    </row>
    <row r="1630" spans="1:11" x14ac:dyDescent="0.45">
      <c r="A1630" t="s">
        <v>163</v>
      </c>
      <c r="B1630" t="s">
        <v>681</v>
      </c>
      <c r="C1630" t="s">
        <v>7</v>
      </c>
      <c r="D1630">
        <v>2</v>
      </c>
      <c r="E1630" t="s">
        <v>308</v>
      </c>
      <c r="F1630" t="s">
        <v>622</v>
      </c>
      <c r="G1630">
        <v>0</v>
      </c>
      <c r="H1630">
        <v>0</v>
      </c>
      <c r="I1630">
        <v>0</v>
      </c>
      <c r="J1630">
        <v>0</v>
      </c>
      <c r="K1630" s="9">
        <v>6.2519685039370083</v>
      </c>
    </row>
    <row r="1631" spans="1:11" x14ac:dyDescent="0.45">
      <c r="A1631" t="s">
        <v>163</v>
      </c>
      <c r="B1631" t="s">
        <v>681</v>
      </c>
      <c r="C1631" t="s">
        <v>7</v>
      </c>
      <c r="D1631">
        <v>3</v>
      </c>
      <c r="E1631" t="s">
        <v>332</v>
      </c>
      <c r="F1631" t="s">
        <v>622</v>
      </c>
      <c r="G1631">
        <v>85</v>
      </c>
      <c r="H1631">
        <v>51</v>
      </c>
      <c r="I1631">
        <v>7</v>
      </c>
      <c r="J1631">
        <v>4</v>
      </c>
      <c r="K1631" s="9">
        <v>3.2352941176470589</v>
      </c>
    </row>
    <row r="1632" spans="1:11" x14ac:dyDescent="0.45">
      <c r="A1632" t="s">
        <v>163</v>
      </c>
      <c r="B1632" t="s">
        <v>681</v>
      </c>
      <c r="C1632" t="s">
        <v>7</v>
      </c>
      <c r="D1632">
        <v>4</v>
      </c>
      <c r="E1632" t="s">
        <v>306</v>
      </c>
      <c r="F1632" t="s">
        <v>622</v>
      </c>
      <c r="G1632">
        <v>18</v>
      </c>
      <c r="H1632">
        <v>11</v>
      </c>
      <c r="I1632">
        <v>1</v>
      </c>
      <c r="J1632">
        <v>1</v>
      </c>
      <c r="K1632" s="9">
        <v>4.9649122807017543</v>
      </c>
    </row>
    <row r="1633" spans="1:11" x14ac:dyDescent="0.45">
      <c r="A1633" t="s">
        <v>163</v>
      </c>
      <c r="B1633" t="s">
        <v>681</v>
      </c>
      <c r="C1633" t="s">
        <v>7</v>
      </c>
      <c r="D1633">
        <v>5</v>
      </c>
      <c r="E1633" t="s">
        <v>440</v>
      </c>
      <c r="F1633" t="s">
        <v>622</v>
      </c>
      <c r="G1633">
        <v>0</v>
      </c>
      <c r="H1633">
        <v>1</v>
      </c>
      <c r="I1633">
        <v>0</v>
      </c>
      <c r="J1633">
        <v>0</v>
      </c>
      <c r="K1633" s="9">
        <v>6.5693779904306222</v>
      </c>
    </row>
    <row r="1634" spans="1:11" x14ac:dyDescent="0.45">
      <c r="A1634" t="s">
        <v>163</v>
      </c>
      <c r="B1634" t="s">
        <v>681</v>
      </c>
      <c r="C1634" t="s">
        <v>7</v>
      </c>
      <c r="D1634">
        <v>6</v>
      </c>
      <c r="E1634" t="s">
        <v>304</v>
      </c>
      <c r="F1634" t="s">
        <v>622</v>
      </c>
      <c r="G1634">
        <v>6</v>
      </c>
      <c r="H1634">
        <v>7</v>
      </c>
      <c r="I1634">
        <v>0</v>
      </c>
      <c r="J1634">
        <v>0</v>
      </c>
      <c r="K1634" s="9">
        <v>4.927835051546392</v>
      </c>
    </row>
    <row r="1635" spans="1:11" x14ac:dyDescent="0.45">
      <c r="A1635" t="s">
        <v>163</v>
      </c>
      <c r="B1635" t="s">
        <v>681</v>
      </c>
      <c r="C1635" t="s">
        <v>7</v>
      </c>
      <c r="D1635">
        <v>7</v>
      </c>
      <c r="E1635" t="s">
        <v>529</v>
      </c>
      <c r="F1635" t="s">
        <v>622</v>
      </c>
      <c r="G1635">
        <v>8</v>
      </c>
      <c r="H1635">
        <v>8</v>
      </c>
      <c r="I1635">
        <v>0</v>
      </c>
      <c r="J1635">
        <v>0</v>
      </c>
      <c r="K1635" s="9">
        <v>4.9029126213592233</v>
      </c>
    </row>
    <row r="1636" spans="1:11" x14ac:dyDescent="0.45">
      <c r="A1636" t="s">
        <v>163</v>
      </c>
      <c r="B1636" t="s">
        <v>681</v>
      </c>
      <c r="C1636" t="s">
        <v>7</v>
      </c>
      <c r="D1636">
        <v>8</v>
      </c>
      <c r="E1636" t="s">
        <v>320</v>
      </c>
      <c r="F1636" t="s">
        <v>622</v>
      </c>
      <c r="G1636">
        <v>0</v>
      </c>
      <c r="H1636">
        <v>1</v>
      </c>
      <c r="I1636">
        <v>0</v>
      </c>
      <c r="J1636">
        <v>0</v>
      </c>
      <c r="K1636" s="9">
        <v>6.5693779904306222</v>
      </c>
    </row>
    <row r="1637" spans="1:11" x14ac:dyDescent="0.45">
      <c r="A1637" t="s">
        <v>163</v>
      </c>
      <c r="B1637" t="s">
        <v>681</v>
      </c>
      <c r="C1637" t="s">
        <v>7</v>
      </c>
      <c r="D1637">
        <v>9</v>
      </c>
      <c r="E1637" t="s">
        <v>465</v>
      </c>
      <c r="F1637" t="s">
        <v>622</v>
      </c>
      <c r="G1637">
        <v>0</v>
      </c>
      <c r="H1637">
        <v>1</v>
      </c>
      <c r="I1637">
        <v>0</v>
      </c>
      <c r="J1637">
        <v>0</v>
      </c>
      <c r="K1637" s="9">
        <v>6.5693779904306222</v>
      </c>
    </row>
    <row r="1638" spans="1:11" x14ac:dyDescent="0.45">
      <c r="A1638" t="s">
        <v>163</v>
      </c>
      <c r="B1638" t="s">
        <v>681</v>
      </c>
      <c r="C1638" t="s">
        <v>7</v>
      </c>
      <c r="D1638">
        <v>10</v>
      </c>
      <c r="E1638" t="s">
        <v>515</v>
      </c>
      <c r="F1638" t="s">
        <v>622</v>
      </c>
      <c r="G1638">
        <v>21</v>
      </c>
      <c r="H1638">
        <v>9</v>
      </c>
      <c r="I1638">
        <v>1</v>
      </c>
      <c r="J1638">
        <v>2</v>
      </c>
      <c r="K1638" s="9">
        <v>4.924050632911392</v>
      </c>
    </row>
    <row r="1639" spans="1:11" x14ac:dyDescent="0.45">
      <c r="A1639" t="s">
        <v>163</v>
      </c>
      <c r="B1639" t="s">
        <v>681</v>
      </c>
      <c r="C1639" t="s">
        <v>7</v>
      </c>
      <c r="D1639">
        <v>11</v>
      </c>
      <c r="E1639" t="s">
        <v>322</v>
      </c>
      <c r="F1639" t="s">
        <v>623</v>
      </c>
      <c r="G1639">
        <v>1</v>
      </c>
      <c r="H1639">
        <v>1</v>
      </c>
      <c r="I1639">
        <v>0</v>
      </c>
      <c r="J1639">
        <v>0</v>
      </c>
      <c r="K1639" s="9">
        <v>6.5693779904306222</v>
      </c>
    </row>
    <row r="1640" spans="1:11" x14ac:dyDescent="0.45">
      <c r="A1640" t="s">
        <v>164</v>
      </c>
      <c r="B1640" t="s">
        <v>674</v>
      </c>
      <c r="C1640" t="s">
        <v>6</v>
      </c>
      <c r="D1640">
        <v>1</v>
      </c>
      <c r="E1640" t="s">
        <v>290</v>
      </c>
      <c r="F1640" t="s">
        <v>622</v>
      </c>
      <c r="G1640">
        <v>73</v>
      </c>
      <c r="H1640">
        <v>48</v>
      </c>
      <c r="I1640">
        <v>5</v>
      </c>
      <c r="J1640">
        <v>5</v>
      </c>
      <c r="K1640" s="9">
        <v>3.2105263157894739</v>
      </c>
    </row>
    <row r="1641" spans="1:11" x14ac:dyDescent="0.45">
      <c r="A1641" t="s">
        <v>164</v>
      </c>
      <c r="B1641" t="s">
        <v>674</v>
      </c>
      <c r="C1641" t="s">
        <v>6</v>
      </c>
      <c r="D1641">
        <v>2</v>
      </c>
      <c r="E1641" t="s">
        <v>297</v>
      </c>
      <c r="F1641" t="s">
        <v>622</v>
      </c>
      <c r="G1641">
        <v>3</v>
      </c>
      <c r="H1641">
        <v>10</v>
      </c>
      <c r="I1641">
        <v>0</v>
      </c>
      <c r="J1641">
        <v>0</v>
      </c>
      <c r="K1641" s="9">
        <v>4.7179487179487181</v>
      </c>
    </row>
    <row r="1642" spans="1:11" x14ac:dyDescent="0.45">
      <c r="A1642" t="s">
        <v>164</v>
      </c>
      <c r="B1642" t="s">
        <v>674</v>
      </c>
      <c r="C1642" t="s">
        <v>6</v>
      </c>
      <c r="D1642">
        <v>3</v>
      </c>
      <c r="E1642" t="s">
        <v>299</v>
      </c>
      <c r="F1642" t="s">
        <v>622</v>
      </c>
      <c r="G1642">
        <v>1</v>
      </c>
      <c r="H1642">
        <v>3</v>
      </c>
      <c r="I1642">
        <v>0</v>
      </c>
      <c r="J1642">
        <v>0</v>
      </c>
      <c r="K1642" s="9">
        <v>5.6607142857142856</v>
      </c>
    </row>
    <row r="1643" spans="1:11" x14ac:dyDescent="0.45">
      <c r="A1643" t="s">
        <v>164</v>
      </c>
      <c r="B1643" t="s">
        <v>674</v>
      </c>
      <c r="C1643" t="s">
        <v>6</v>
      </c>
      <c r="D1643">
        <v>4</v>
      </c>
      <c r="E1643" t="s">
        <v>355</v>
      </c>
      <c r="F1643" t="s">
        <v>622</v>
      </c>
      <c r="G1643">
        <v>46</v>
      </c>
      <c r="H1643">
        <v>31</v>
      </c>
      <c r="I1643">
        <v>4</v>
      </c>
      <c r="J1643">
        <v>2</v>
      </c>
      <c r="K1643" s="9">
        <v>3.4375</v>
      </c>
    </row>
    <row r="1644" spans="1:11" x14ac:dyDescent="0.45">
      <c r="A1644" t="s">
        <v>164</v>
      </c>
      <c r="B1644" t="s">
        <v>674</v>
      </c>
      <c r="C1644" t="s">
        <v>6</v>
      </c>
      <c r="D1644">
        <v>5</v>
      </c>
      <c r="E1644" t="s">
        <v>387</v>
      </c>
      <c r="F1644" t="s">
        <v>622</v>
      </c>
      <c r="G1644">
        <v>19</v>
      </c>
      <c r="H1644">
        <v>17</v>
      </c>
      <c r="I1644">
        <v>2</v>
      </c>
      <c r="J1644">
        <v>0</v>
      </c>
      <c r="K1644" s="9">
        <v>4.82</v>
      </c>
    </row>
    <row r="1645" spans="1:11" x14ac:dyDescent="0.45">
      <c r="A1645" t="s">
        <v>164</v>
      </c>
      <c r="B1645" t="s">
        <v>674</v>
      </c>
      <c r="C1645" t="s">
        <v>6</v>
      </c>
      <c r="D1645">
        <v>6</v>
      </c>
      <c r="E1645" t="s">
        <v>328</v>
      </c>
      <c r="F1645" t="s">
        <v>623</v>
      </c>
      <c r="G1645">
        <v>22</v>
      </c>
      <c r="H1645">
        <v>12</v>
      </c>
      <c r="I1645">
        <v>0</v>
      </c>
      <c r="J1645">
        <v>2</v>
      </c>
      <c r="K1645" s="9">
        <v>4.8024691358024691</v>
      </c>
    </row>
    <row r="1646" spans="1:11" x14ac:dyDescent="0.45">
      <c r="A1646" t="s">
        <v>164</v>
      </c>
      <c r="B1646" t="s">
        <v>674</v>
      </c>
      <c r="C1646" t="s">
        <v>101</v>
      </c>
      <c r="D1646">
        <v>1</v>
      </c>
      <c r="E1646" t="s">
        <v>380</v>
      </c>
      <c r="F1646" t="s">
        <v>622</v>
      </c>
      <c r="G1646">
        <v>11</v>
      </c>
      <c r="H1646">
        <v>18</v>
      </c>
      <c r="I1646">
        <v>0</v>
      </c>
      <c r="J1646">
        <v>0</v>
      </c>
      <c r="K1646" s="9">
        <v>4.375</v>
      </c>
    </row>
    <row r="1647" spans="1:11" x14ac:dyDescent="0.45">
      <c r="A1647" t="s">
        <v>164</v>
      </c>
      <c r="B1647" t="s">
        <v>674</v>
      </c>
      <c r="C1647" t="s">
        <v>101</v>
      </c>
      <c r="D1647">
        <v>2</v>
      </c>
      <c r="E1647" t="s">
        <v>302</v>
      </c>
      <c r="F1647" t="s">
        <v>622</v>
      </c>
      <c r="G1647">
        <v>0</v>
      </c>
      <c r="H1647">
        <v>1</v>
      </c>
      <c r="I1647">
        <v>0</v>
      </c>
      <c r="J1647">
        <v>0</v>
      </c>
      <c r="K1647" s="9">
        <v>6.5693779904306222</v>
      </c>
    </row>
    <row r="1648" spans="1:11" x14ac:dyDescent="0.45">
      <c r="A1648" t="s">
        <v>164</v>
      </c>
      <c r="B1648" t="s">
        <v>674</v>
      </c>
      <c r="C1648" t="s">
        <v>101</v>
      </c>
      <c r="D1648">
        <v>3</v>
      </c>
      <c r="E1648" t="s">
        <v>460</v>
      </c>
      <c r="F1648" t="s">
        <v>622</v>
      </c>
      <c r="G1648">
        <v>0</v>
      </c>
      <c r="H1648">
        <v>2</v>
      </c>
      <c r="I1648">
        <v>0</v>
      </c>
      <c r="J1648">
        <v>0</v>
      </c>
      <c r="K1648" s="9">
        <v>6.1385542168674698</v>
      </c>
    </row>
    <row r="1649" spans="1:11" x14ac:dyDescent="0.45">
      <c r="A1649" t="s">
        <v>164</v>
      </c>
      <c r="B1649" t="s">
        <v>674</v>
      </c>
      <c r="C1649" t="s">
        <v>101</v>
      </c>
      <c r="D1649">
        <v>4</v>
      </c>
      <c r="E1649" t="s">
        <v>540</v>
      </c>
      <c r="F1649" t="s">
        <v>622</v>
      </c>
      <c r="G1649">
        <v>12</v>
      </c>
      <c r="H1649">
        <v>12</v>
      </c>
      <c r="I1649">
        <v>2</v>
      </c>
      <c r="J1649">
        <v>0</v>
      </c>
      <c r="K1649" s="9">
        <v>4.8024691358024691</v>
      </c>
    </row>
    <row r="1650" spans="1:11" x14ac:dyDescent="0.45">
      <c r="A1650" t="s">
        <v>164</v>
      </c>
      <c r="B1650" t="s">
        <v>674</v>
      </c>
      <c r="C1650" t="s">
        <v>101</v>
      </c>
      <c r="D1650">
        <v>5</v>
      </c>
      <c r="E1650" t="s">
        <v>411</v>
      </c>
      <c r="F1650" t="s">
        <v>623</v>
      </c>
      <c r="G1650">
        <v>94</v>
      </c>
      <c r="H1650">
        <v>51</v>
      </c>
      <c r="I1650">
        <v>8</v>
      </c>
      <c r="J1650">
        <v>6</v>
      </c>
      <c r="K1650" s="9">
        <v>3.2352941176470589</v>
      </c>
    </row>
    <row r="1651" spans="1:11" x14ac:dyDescent="0.45">
      <c r="A1651" t="s">
        <v>164</v>
      </c>
      <c r="B1651" t="s">
        <v>674</v>
      </c>
      <c r="C1651" t="s">
        <v>101</v>
      </c>
      <c r="D1651">
        <v>6</v>
      </c>
      <c r="E1651" t="s">
        <v>390</v>
      </c>
      <c r="F1651" t="s">
        <v>622</v>
      </c>
      <c r="G1651">
        <v>6</v>
      </c>
      <c r="H1651">
        <v>14</v>
      </c>
      <c r="I1651">
        <v>0</v>
      </c>
      <c r="J1651">
        <v>0</v>
      </c>
      <c r="K1651" s="9">
        <v>4.8461538461538458</v>
      </c>
    </row>
    <row r="1652" spans="1:11" x14ac:dyDescent="0.45">
      <c r="A1652" t="s">
        <v>164</v>
      </c>
      <c r="B1652" t="s">
        <v>674</v>
      </c>
      <c r="C1652" t="s">
        <v>101</v>
      </c>
      <c r="D1652">
        <v>7</v>
      </c>
      <c r="E1652" t="s">
        <v>379</v>
      </c>
      <c r="F1652" t="s">
        <v>622</v>
      </c>
      <c r="G1652">
        <v>40</v>
      </c>
      <c r="H1652">
        <v>21</v>
      </c>
      <c r="I1652">
        <v>2</v>
      </c>
      <c r="J1652">
        <v>3</v>
      </c>
      <c r="K1652" s="9">
        <v>4.3770491803278686</v>
      </c>
    </row>
    <row r="1653" spans="1:11" x14ac:dyDescent="0.45">
      <c r="A1653" t="s">
        <v>164</v>
      </c>
      <c r="B1653" t="s">
        <v>674</v>
      </c>
      <c r="C1653" t="s">
        <v>101</v>
      </c>
      <c r="D1653">
        <v>8</v>
      </c>
      <c r="E1653" t="s">
        <v>493</v>
      </c>
      <c r="F1653" t="s">
        <v>622</v>
      </c>
      <c r="G1653">
        <v>0</v>
      </c>
      <c r="H1653">
        <v>1</v>
      </c>
      <c r="I1653">
        <v>0</v>
      </c>
      <c r="J1653">
        <v>0</v>
      </c>
      <c r="K1653" s="9">
        <v>6.5693779904306222</v>
      </c>
    </row>
    <row r="1654" spans="1:11" x14ac:dyDescent="0.45">
      <c r="A1654" t="s">
        <v>164</v>
      </c>
      <c r="B1654" t="s">
        <v>674</v>
      </c>
      <c r="C1654" t="s">
        <v>101</v>
      </c>
      <c r="D1654">
        <v>9</v>
      </c>
      <c r="E1654" t="s">
        <v>317</v>
      </c>
      <c r="F1654" t="s">
        <v>623</v>
      </c>
      <c r="G1654">
        <v>0</v>
      </c>
      <c r="H1654">
        <v>0</v>
      </c>
      <c r="I1654">
        <v>0</v>
      </c>
      <c r="J1654">
        <v>0</v>
      </c>
      <c r="K1654" s="9">
        <v>6.2519685039370083</v>
      </c>
    </row>
    <row r="1655" spans="1:11" x14ac:dyDescent="0.45">
      <c r="A1655" t="s">
        <v>165</v>
      </c>
      <c r="B1655" t="s">
        <v>645</v>
      </c>
      <c r="C1655" t="s">
        <v>26</v>
      </c>
      <c r="D1655">
        <v>1</v>
      </c>
      <c r="E1655" t="s">
        <v>330</v>
      </c>
      <c r="F1655" t="s">
        <v>622</v>
      </c>
      <c r="G1655">
        <v>8</v>
      </c>
      <c r="H1655">
        <v>11</v>
      </c>
      <c r="I1655">
        <v>1</v>
      </c>
      <c r="J1655">
        <v>0</v>
      </c>
      <c r="K1655" s="9">
        <v>4.9649122807017543</v>
      </c>
    </row>
    <row r="1656" spans="1:11" x14ac:dyDescent="0.45">
      <c r="A1656" t="s">
        <v>165</v>
      </c>
      <c r="B1656" t="s">
        <v>645</v>
      </c>
      <c r="C1656" t="s">
        <v>26</v>
      </c>
      <c r="D1656">
        <v>2</v>
      </c>
      <c r="E1656" t="s">
        <v>454</v>
      </c>
      <c r="F1656" t="s">
        <v>622</v>
      </c>
      <c r="G1656">
        <v>14</v>
      </c>
      <c r="H1656">
        <v>11</v>
      </c>
      <c r="I1656">
        <v>2</v>
      </c>
      <c r="J1656">
        <v>0</v>
      </c>
      <c r="K1656" s="9">
        <v>4.9649122807017543</v>
      </c>
    </row>
    <row r="1657" spans="1:11" x14ac:dyDescent="0.45">
      <c r="A1657" t="s">
        <v>165</v>
      </c>
      <c r="B1657" t="s">
        <v>645</v>
      </c>
      <c r="C1657" t="s">
        <v>26</v>
      </c>
      <c r="D1657">
        <v>3</v>
      </c>
      <c r="E1657" t="s">
        <v>459</v>
      </c>
      <c r="F1657" t="s">
        <v>622</v>
      </c>
      <c r="G1657">
        <v>12</v>
      </c>
      <c r="H1657">
        <v>10</v>
      </c>
      <c r="I1657">
        <v>2</v>
      </c>
      <c r="J1657">
        <v>0</v>
      </c>
      <c r="K1657" s="9">
        <v>4.7179487179487181</v>
      </c>
    </row>
    <row r="1658" spans="1:11" x14ac:dyDescent="0.45">
      <c r="A1658" t="s">
        <v>165</v>
      </c>
      <c r="B1658" t="s">
        <v>645</v>
      </c>
      <c r="C1658" t="s">
        <v>26</v>
      </c>
      <c r="D1658">
        <v>4</v>
      </c>
      <c r="E1658" t="s">
        <v>384</v>
      </c>
      <c r="F1658" t="s">
        <v>622</v>
      </c>
      <c r="G1658">
        <v>60</v>
      </c>
      <c r="H1658">
        <v>33</v>
      </c>
      <c r="I1658">
        <v>5</v>
      </c>
      <c r="J1658">
        <v>4</v>
      </c>
      <c r="K1658" s="9">
        <v>2.8421052631578947</v>
      </c>
    </row>
    <row r="1659" spans="1:11" x14ac:dyDescent="0.45">
      <c r="A1659" t="s">
        <v>165</v>
      </c>
      <c r="B1659" t="s">
        <v>645</v>
      </c>
      <c r="C1659" t="s">
        <v>26</v>
      </c>
      <c r="D1659">
        <v>5</v>
      </c>
      <c r="E1659" t="s">
        <v>495</v>
      </c>
      <c r="F1659" t="s">
        <v>622</v>
      </c>
      <c r="G1659">
        <v>11</v>
      </c>
      <c r="H1659">
        <v>8</v>
      </c>
      <c r="I1659">
        <v>2</v>
      </c>
      <c r="J1659">
        <v>0</v>
      </c>
      <c r="K1659" s="9">
        <v>4.9029126213592233</v>
      </c>
    </row>
    <row r="1660" spans="1:11" x14ac:dyDescent="0.45">
      <c r="A1660" t="s">
        <v>165</v>
      </c>
      <c r="B1660" t="s">
        <v>645</v>
      </c>
      <c r="C1660" t="s">
        <v>26</v>
      </c>
      <c r="D1660">
        <v>6</v>
      </c>
      <c r="E1660" t="s">
        <v>400</v>
      </c>
      <c r="F1660" t="s">
        <v>622</v>
      </c>
      <c r="G1660">
        <v>26</v>
      </c>
      <c r="H1660">
        <v>28</v>
      </c>
      <c r="I1660">
        <v>1</v>
      </c>
      <c r="J1660">
        <v>2</v>
      </c>
      <c r="K1660" s="9">
        <v>3.806451612903226</v>
      </c>
    </row>
    <row r="1661" spans="1:11" x14ac:dyDescent="0.45">
      <c r="A1661" t="s">
        <v>165</v>
      </c>
      <c r="B1661" t="s">
        <v>645</v>
      </c>
      <c r="C1661" t="s">
        <v>26</v>
      </c>
      <c r="D1661">
        <v>7</v>
      </c>
      <c r="E1661" t="s">
        <v>543</v>
      </c>
      <c r="F1661" t="s">
        <v>622</v>
      </c>
      <c r="G1661">
        <v>13</v>
      </c>
      <c r="H1661">
        <v>15</v>
      </c>
      <c r="I1661">
        <v>0</v>
      </c>
      <c r="J1661">
        <v>1</v>
      </c>
      <c r="K1661" s="9">
        <v>4.7777777777777777</v>
      </c>
    </row>
    <row r="1662" spans="1:11" x14ac:dyDescent="0.45">
      <c r="A1662" t="s">
        <v>165</v>
      </c>
      <c r="B1662" t="s">
        <v>645</v>
      </c>
      <c r="C1662" t="s">
        <v>26</v>
      </c>
      <c r="D1662">
        <v>8</v>
      </c>
      <c r="E1662" t="s">
        <v>341</v>
      </c>
      <c r="F1662" t="s">
        <v>623</v>
      </c>
      <c r="G1662">
        <v>0</v>
      </c>
      <c r="H1662">
        <v>0</v>
      </c>
      <c r="I1662">
        <v>0</v>
      </c>
      <c r="J1662">
        <v>0</v>
      </c>
      <c r="K1662" s="9">
        <v>6.2519685039370083</v>
      </c>
    </row>
    <row r="1663" spans="1:11" x14ac:dyDescent="0.45">
      <c r="A1663" t="s">
        <v>165</v>
      </c>
      <c r="B1663" t="s">
        <v>645</v>
      </c>
      <c r="C1663" t="s">
        <v>26</v>
      </c>
      <c r="D1663">
        <v>9</v>
      </c>
      <c r="E1663" t="s">
        <v>435</v>
      </c>
      <c r="F1663" t="s">
        <v>622</v>
      </c>
      <c r="G1663">
        <v>0</v>
      </c>
      <c r="H1663">
        <v>2</v>
      </c>
      <c r="I1663">
        <v>0</v>
      </c>
      <c r="J1663">
        <v>0</v>
      </c>
      <c r="K1663" s="9">
        <v>6.1385542168674698</v>
      </c>
    </row>
    <row r="1664" spans="1:11" x14ac:dyDescent="0.45">
      <c r="A1664" t="s">
        <v>165</v>
      </c>
      <c r="B1664" t="s">
        <v>645</v>
      </c>
      <c r="C1664" t="s">
        <v>26</v>
      </c>
      <c r="D1664">
        <v>10</v>
      </c>
      <c r="E1664" t="s">
        <v>542</v>
      </c>
      <c r="F1664" t="s">
        <v>622</v>
      </c>
      <c r="G1664">
        <v>0</v>
      </c>
      <c r="H1664">
        <v>1</v>
      </c>
      <c r="I1664">
        <v>0</v>
      </c>
      <c r="J1664">
        <v>0</v>
      </c>
      <c r="K1664" s="9">
        <v>6.5693779904306222</v>
      </c>
    </row>
    <row r="1665" spans="1:11" x14ac:dyDescent="0.45">
      <c r="A1665" t="s">
        <v>165</v>
      </c>
      <c r="B1665" t="s">
        <v>645</v>
      </c>
      <c r="C1665" t="s">
        <v>26</v>
      </c>
      <c r="D1665">
        <v>11</v>
      </c>
      <c r="E1665" t="s">
        <v>405</v>
      </c>
      <c r="F1665" t="s">
        <v>622</v>
      </c>
      <c r="G1665">
        <v>0</v>
      </c>
      <c r="H1665">
        <v>1</v>
      </c>
      <c r="I1665">
        <v>0</v>
      </c>
      <c r="J1665">
        <v>0</v>
      </c>
      <c r="K1665" s="9">
        <v>6.5693779904306222</v>
      </c>
    </row>
    <row r="1666" spans="1:11" x14ac:dyDescent="0.45">
      <c r="A1666" t="s">
        <v>165</v>
      </c>
      <c r="B1666" t="s">
        <v>645</v>
      </c>
      <c r="C1666" t="s">
        <v>20</v>
      </c>
      <c r="D1666">
        <v>1</v>
      </c>
      <c r="E1666" t="s">
        <v>373</v>
      </c>
      <c r="F1666" t="s">
        <v>622</v>
      </c>
      <c r="G1666">
        <v>31</v>
      </c>
      <c r="H1666">
        <v>25</v>
      </c>
      <c r="I1666">
        <v>3</v>
      </c>
      <c r="J1666">
        <v>1</v>
      </c>
      <c r="K1666" s="9">
        <v>4.4782608695652177</v>
      </c>
    </row>
    <row r="1667" spans="1:11" x14ac:dyDescent="0.45">
      <c r="A1667" t="s">
        <v>165</v>
      </c>
      <c r="B1667" t="s">
        <v>645</v>
      </c>
      <c r="C1667" t="s">
        <v>20</v>
      </c>
      <c r="D1667">
        <v>2</v>
      </c>
      <c r="E1667" t="s">
        <v>408</v>
      </c>
      <c r="F1667" t="s">
        <v>622</v>
      </c>
      <c r="G1667">
        <v>3</v>
      </c>
      <c r="H1667">
        <v>9</v>
      </c>
      <c r="I1667">
        <v>0</v>
      </c>
      <c r="J1667">
        <v>0</v>
      </c>
      <c r="K1667" s="9">
        <v>4.924050632911392</v>
      </c>
    </row>
    <row r="1668" spans="1:11" x14ac:dyDescent="0.45">
      <c r="A1668" t="s">
        <v>165</v>
      </c>
      <c r="B1668" t="s">
        <v>645</v>
      </c>
      <c r="C1668" t="s">
        <v>20</v>
      </c>
      <c r="D1668">
        <v>3</v>
      </c>
      <c r="E1668" t="s">
        <v>315</v>
      </c>
      <c r="F1668" t="s">
        <v>622</v>
      </c>
      <c r="G1668">
        <v>34</v>
      </c>
      <c r="H1668">
        <v>22</v>
      </c>
      <c r="I1668">
        <v>4</v>
      </c>
      <c r="J1668">
        <v>1</v>
      </c>
      <c r="K1668" s="9">
        <v>4.4423076923076925</v>
      </c>
    </row>
    <row r="1669" spans="1:11" x14ac:dyDescent="0.45">
      <c r="A1669" t="s">
        <v>165</v>
      </c>
      <c r="B1669" t="s">
        <v>645</v>
      </c>
      <c r="C1669" t="s">
        <v>20</v>
      </c>
      <c r="D1669">
        <v>4</v>
      </c>
      <c r="E1669" t="s">
        <v>401</v>
      </c>
      <c r="F1669" t="s">
        <v>623</v>
      </c>
      <c r="G1669">
        <v>41</v>
      </c>
      <c r="H1669">
        <v>27</v>
      </c>
      <c r="I1669">
        <v>4</v>
      </c>
      <c r="J1669">
        <v>1</v>
      </c>
      <c r="K1669" s="9">
        <v>4.25</v>
      </c>
    </row>
    <row r="1670" spans="1:11" x14ac:dyDescent="0.45">
      <c r="A1670" t="s">
        <v>165</v>
      </c>
      <c r="B1670" t="s">
        <v>645</v>
      </c>
      <c r="C1670" t="s">
        <v>20</v>
      </c>
      <c r="D1670">
        <v>5</v>
      </c>
      <c r="E1670" t="s">
        <v>416</v>
      </c>
      <c r="F1670" t="s">
        <v>623</v>
      </c>
      <c r="G1670">
        <v>35</v>
      </c>
      <c r="H1670">
        <v>30</v>
      </c>
      <c r="I1670">
        <v>1</v>
      </c>
      <c r="J1670">
        <v>1</v>
      </c>
      <c r="K1670" s="9">
        <v>3.6774193548387095</v>
      </c>
    </row>
    <row r="1671" spans="1:11" x14ac:dyDescent="0.45">
      <c r="A1671" t="s">
        <v>167</v>
      </c>
      <c r="B1671" t="s">
        <v>655</v>
      </c>
      <c r="C1671" t="s">
        <v>13</v>
      </c>
      <c r="D1671">
        <v>1</v>
      </c>
      <c r="E1671" t="s">
        <v>294</v>
      </c>
      <c r="F1671" t="s">
        <v>622</v>
      </c>
      <c r="G1671">
        <v>8</v>
      </c>
      <c r="H1671">
        <v>11</v>
      </c>
      <c r="I1671">
        <v>2</v>
      </c>
      <c r="J1671">
        <v>0</v>
      </c>
      <c r="K1671" s="9">
        <v>4.9649122807017543</v>
      </c>
    </row>
    <row r="1672" spans="1:11" x14ac:dyDescent="0.45">
      <c r="A1672" t="s">
        <v>167</v>
      </c>
      <c r="B1672" t="s">
        <v>655</v>
      </c>
      <c r="C1672" t="s">
        <v>13</v>
      </c>
      <c r="D1672">
        <v>2</v>
      </c>
      <c r="E1672" t="s">
        <v>388</v>
      </c>
      <c r="F1672" t="s">
        <v>622</v>
      </c>
      <c r="G1672">
        <v>0</v>
      </c>
      <c r="H1672">
        <v>1</v>
      </c>
      <c r="I1672">
        <v>0</v>
      </c>
      <c r="J1672">
        <v>0</v>
      </c>
      <c r="K1672" s="9">
        <v>6.5693779904306222</v>
      </c>
    </row>
    <row r="1673" spans="1:11" x14ac:dyDescent="0.45">
      <c r="A1673" t="s">
        <v>167</v>
      </c>
      <c r="B1673" t="s">
        <v>655</v>
      </c>
      <c r="C1673" t="s">
        <v>13</v>
      </c>
      <c r="D1673">
        <v>3</v>
      </c>
      <c r="E1673" t="s">
        <v>343</v>
      </c>
      <c r="F1673" t="s">
        <v>622</v>
      </c>
      <c r="G1673">
        <v>12</v>
      </c>
      <c r="H1673">
        <v>14</v>
      </c>
      <c r="I1673">
        <v>1</v>
      </c>
      <c r="J1673">
        <v>0</v>
      </c>
      <c r="K1673" s="9">
        <v>4.8461538461538458</v>
      </c>
    </row>
    <row r="1674" spans="1:11" x14ac:dyDescent="0.45">
      <c r="A1674" t="s">
        <v>167</v>
      </c>
      <c r="B1674" t="s">
        <v>655</v>
      </c>
      <c r="C1674" t="s">
        <v>13</v>
      </c>
      <c r="D1674">
        <v>4</v>
      </c>
      <c r="E1674" t="s">
        <v>345</v>
      </c>
      <c r="F1674" t="s">
        <v>622</v>
      </c>
      <c r="G1674">
        <v>55</v>
      </c>
      <c r="H1674">
        <v>34</v>
      </c>
      <c r="I1674">
        <v>7</v>
      </c>
      <c r="J1674">
        <v>2</v>
      </c>
      <c r="K1674" s="9">
        <v>4.4137931034482758</v>
      </c>
    </row>
    <row r="1675" spans="1:11" x14ac:dyDescent="0.45">
      <c r="A1675" t="s">
        <v>167</v>
      </c>
      <c r="B1675" t="s">
        <v>655</v>
      </c>
      <c r="C1675" t="s">
        <v>13</v>
      </c>
      <c r="D1675">
        <v>5</v>
      </c>
      <c r="E1675" t="s">
        <v>541</v>
      </c>
      <c r="F1675" t="s">
        <v>622</v>
      </c>
      <c r="G1675">
        <v>6</v>
      </c>
      <c r="H1675">
        <v>5</v>
      </c>
      <c r="I1675">
        <v>1</v>
      </c>
      <c r="J1675">
        <v>0</v>
      </c>
      <c r="K1675" s="9">
        <v>5.132075471698113</v>
      </c>
    </row>
    <row r="1676" spans="1:11" x14ac:dyDescent="0.45">
      <c r="A1676" t="s">
        <v>167</v>
      </c>
      <c r="B1676" t="s">
        <v>655</v>
      </c>
      <c r="C1676" t="s">
        <v>13</v>
      </c>
      <c r="D1676">
        <v>6</v>
      </c>
      <c r="E1676" t="s">
        <v>347</v>
      </c>
      <c r="F1676" t="s">
        <v>623</v>
      </c>
      <c r="G1676">
        <v>32</v>
      </c>
      <c r="H1676">
        <v>21</v>
      </c>
      <c r="I1676">
        <v>3</v>
      </c>
      <c r="J1676">
        <v>1</v>
      </c>
      <c r="K1676" s="9">
        <v>4.3770491803278686</v>
      </c>
    </row>
    <row r="1677" spans="1:11" x14ac:dyDescent="0.45">
      <c r="A1677" t="s">
        <v>167</v>
      </c>
      <c r="B1677" t="s">
        <v>655</v>
      </c>
      <c r="C1677" t="s">
        <v>13</v>
      </c>
      <c r="D1677">
        <v>7</v>
      </c>
      <c r="E1677" t="s">
        <v>311</v>
      </c>
      <c r="F1677" t="s">
        <v>623</v>
      </c>
      <c r="G1677">
        <v>66</v>
      </c>
      <c r="H1677">
        <v>34</v>
      </c>
      <c r="I1677">
        <v>5</v>
      </c>
      <c r="J1677">
        <v>5</v>
      </c>
      <c r="K1677" s="9">
        <v>4.4137931034482758</v>
      </c>
    </row>
    <row r="1678" spans="1:11" x14ac:dyDescent="0.45">
      <c r="A1678" t="s">
        <v>167</v>
      </c>
      <c r="B1678" t="s">
        <v>655</v>
      </c>
      <c r="C1678" t="s">
        <v>10</v>
      </c>
      <c r="D1678">
        <v>1</v>
      </c>
      <c r="E1678" t="s">
        <v>329</v>
      </c>
      <c r="F1678" t="s">
        <v>622</v>
      </c>
      <c r="G1678">
        <v>16</v>
      </c>
      <c r="H1678">
        <v>13</v>
      </c>
      <c r="I1678">
        <v>1</v>
      </c>
      <c r="J1678">
        <v>1</v>
      </c>
      <c r="K1678" s="9">
        <v>4.8939393939393936</v>
      </c>
    </row>
    <row r="1679" spans="1:11" x14ac:dyDescent="0.45">
      <c r="A1679" t="s">
        <v>167</v>
      </c>
      <c r="B1679" t="s">
        <v>655</v>
      </c>
      <c r="C1679" t="s">
        <v>10</v>
      </c>
      <c r="D1679">
        <v>2</v>
      </c>
      <c r="E1679" t="s">
        <v>442</v>
      </c>
      <c r="F1679" t="s">
        <v>622</v>
      </c>
      <c r="G1679">
        <v>66</v>
      </c>
      <c r="H1679">
        <v>38</v>
      </c>
      <c r="I1679">
        <v>4</v>
      </c>
      <c r="J1679">
        <v>5</v>
      </c>
      <c r="K1679" s="9">
        <v>3.6842105263157894</v>
      </c>
    </row>
    <row r="1680" spans="1:11" x14ac:dyDescent="0.45">
      <c r="A1680" t="s">
        <v>167</v>
      </c>
      <c r="B1680" t="s">
        <v>655</v>
      </c>
      <c r="C1680" t="s">
        <v>10</v>
      </c>
      <c r="D1680">
        <v>3</v>
      </c>
      <c r="E1680" t="s">
        <v>498</v>
      </c>
      <c r="F1680" t="s">
        <v>622</v>
      </c>
      <c r="G1680">
        <v>14</v>
      </c>
      <c r="H1680">
        <v>24</v>
      </c>
      <c r="I1680">
        <v>0</v>
      </c>
      <c r="J1680">
        <v>0</v>
      </c>
      <c r="K1680" s="9">
        <v>4.0606060606060606</v>
      </c>
    </row>
    <row r="1681" spans="1:11" x14ac:dyDescent="0.45">
      <c r="A1681" t="s">
        <v>167</v>
      </c>
      <c r="B1681" t="s">
        <v>655</v>
      </c>
      <c r="C1681" t="s">
        <v>10</v>
      </c>
      <c r="D1681">
        <v>4</v>
      </c>
      <c r="E1681" t="s">
        <v>334</v>
      </c>
      <c r="F1681" t="s">
        <v>622</v>
      </c>
      <c r="G1681">
        <v>34</v>
      </c>
      <c r="H1681">
        <v>17</v>
      </c>
      <c r="I1681">
        <v>3</v>
      </c>
      <c r="J1681">
        <v>2</v>
      </c>
      <c r="K1681" s="9">
        <v>4.82</v>
      </c>
    </row>
    <row r="1682" spans="1:11" x14ac:dyDescent="0.45">
      <c r="A1682" t="s">
        <v>167</v>
      </c>
      <c r="B1682" t="s">
        <v>655</v>
      </c>
      <c r="C1682" t="s">
        <v>10</v>
      </c>
      <c r="D1682">
        <v>5</v>
      </c>
      <c r="E1682" t="s">
        <v>499</v>
      </c>
      <c r="F1682" t="s">
        <v>622</v>
      </c>
      <c r="G1682">
        <v>0</v>
      </c>
      <c r="H1682">
        <v>1</v>
      </c>
      <c r="I1682">
        <v>0</v>
      </c>
      <c r="J1682">
        <v>0</v>
      </c>
      <c r="K1682" s="9">
        <v>6.5693779904306222</v>
      </c>
    </row>
    <row r="1683" spans="1:11" x14ac:dyDescent="0.45">
      <c r="A1683" t="s">
        <v>167</v>
      </c>
      <c r="B1683" t="s">
        <v>655</v>
      </c>
      <c r="C1683" t="s">
        <v>10</v>
      </c>
      <c r="D1683">
        <v>6</v>
      </c>
      <c r="E1683" t="s">
        <v>436</v>
      </c>
      <c r="F1683" t="s">
        <v>622</v>
      </c>
      <c r="G1683">
        <v>1</v>
      </c>
      <c r="H1683">
        <v>4</v>
      </c>
      <c r="I1683">
        <v>0</v>
      </c>
      <c r="J1683">
        <v>0</v>
      </c>
      <c r="K1683" s="9">
        <v>5.352380952380952</v>
      </c>
    </row>
    <row r="1684" spans="1:11" x14ac:dyDescent="0.45">
      <c r="A1684" t="s">
        <v>167</v>
      </c>
      <c r="B1684" t="s">
        <v>655</v>
      </c>
      <c r="C1684" t="s">
        <v>10</v>
      </c>
      <c r="D1684">
        <v>7</v>
      </c>
      <c r="E1684" t="s">
        <v>326</v>
      </c>
      <c r="F1684" t="s">
        <v>622</v>
      </c>
      <c r="G1684">
        <v>17</v>
      </c>
      <c r="H1684">
        <v>9</v>
      </c>
      <c r="I1684">
        <v>0</v>
      </c>
      <c r="J1684">
        <v>2</v>
      </c>
      <c r="K1684" s="9">
        <v>4.924050632911392</v>
      </c>
    </row>
    <row r="1685" spans="1:11" x14ac:dyDescent="0.45">
      <c r="A1685" t="s">
        <v>167</v>
      </c>
      <c r="B1685" t="s">
        <v>655</v>
      </c>
      <c r="C1685" t="s">
        <v>10</v>
      </c>
      <c r="D1685">
        <v>8</v>
      </c>
      <c r="E1685" t="s">
        <v>337</v>
      </c>
      <c r="F1685" t="s">
        <v>623</v>
      </c>
      <c r="G1685">
        <v>10</v>
      </c>
      <c r="H1685">
        <v>7</v>
      </c>
      <c r="I1685">
        <v>1</v>
      </c>
      <c r="J1685">
        <v>0</v>
      </c>
      <c r="K1685" s="9">
        <v>4.927835051546392</v>
      </c>
    </row>
    <row r="1686" spans="1:11" x14ac:dyDescent="0.45">
      <c r="A1686" t="s">
        <v>167</v>
      </c>
      <c r="B1686" t="s">
        <v>655</v>
      </c>
      <c r="C1686" t="s">
        <v>10</v>
      </c>
      <c r="D1686">
        <v>9</v>
      </c>
      <c r="E1686" t="s">
        <v>500</v>
      </c>
      <c r="F1686" t="s">
        <v>623</v>
      </c>
      <c r="G1686">
        <v>10</v>
      </c>
      <c r="H1686">
        <v>7</v>
      </c>
      <c r="I1686">
        <v>2</v>
      </c>
      <c r="J1686">
        <v>0</v>
      </c>
      <c r="K1686" s="9">
        <v>4.927835051546392</v>
      </c>
    </row>
    <row r="1687" spans="1:11" x14ac:dyDescent="0.45">
      <c r="A1687" t="s">
        <v>168</v>
      </c>
      <c r="B1687" t="s">
        <v>687</v>
      </c>
      <c r="C1687" t="s">
        <v>104</v>
      </c>
      <c r="D1687">
        <v>1</v>
      </c>
      <c r="E1687" t="s">
        <v>397</v>
      </c>
      <c r="F1687" t="s">
        <v>623</v>
      </c>
      <c r="G1687">
        <v>103</v>
      </c>
      <c r="H1687">
        <v>60</v>
      </c>
      <c r="I1687">
        <v>9</v>
      </c>
      <c r="J1687">
        <v>5</v>
      </c>
      <c r="K1687" s="9">
        <v>2</v>
      </c>
    </row>
    <row r="1688" spans="1:11" x14ac:dyDescent="0.45">
      <c r="A1688" t="s">
        <v>168</v>
      </c>
      <c r="B1688" t="s">
        <v>687</v>
      </c>
      <c r="C1688" t="s">
        <v>104</v>
      </c>
      <c r="D1688">
        <v>2</v>
      </c>
      <c r="E1688" t="s">
        <v>422</v>
      </c>
      <c r="F1688" t="s">
        <v>622</v>
      </c>
      <c r="G1688">
        <v>24</v>
      </c>
      <c r="H1688">
        <v>13</v>
      </c>
      <c r="I1688">
        <v>4</v>
      </c>
      <c r="J1688">
        <v>1</v>
      </c>
      <c r="K1688" s="9">
        <v>4.8939393939393936</v>
      </c>
    </row>
    <row r="1689" spans="1:11" x14ac:dyDescent="0.45">
      <c r="A1689" t="s">
        <v>168</v>
      </c>
      <c r="B1689" t="s">
        <v>687</v>
      </c>
      <c r="C1689" t="s">
        <v>104</v>
      </c>
      <c r="D1689">
        <v>3</v>
      </c>
      <c r="E1689" t="s">
        <v>374</v>
      </c>
      <c r="F1689" t="s">
        <v>622</v>
      </c>
      <c r="G1689">
        <v>38</v>
      </c>
      <c r="H1689">
        <v>29</v>
      </c>
      <c r="I1689">
        <v>6</v>
      </c>
      <c r="J1689">
        <v>0</v>
      </c>
      <c r="K1689" s="9">
        <v>4.0454545454545459</v>
      </c>
    </row>
    <row r="1690" spans="1:11" x14ac:dyDescent="0.45">
      <c r="A1690" t="s">
        <v>168</v>
      </c>
      <c r="B1690" t="s">
        <v>687</v>
      </c>
      <c r="C1690" t="s">
        <v>104</v>
      </c>
      <c r="D1690">
        <v>4</v>
      </c>
      <c r="E1690" t="s">
        <v>331</v>
      </c>
      <c r="F1690" t="s">
        <v>622</v>
      </c>
      <c r="G1690">
        <v>10</v>
      </c>
      <c r="H1690">
        <v>9</v>
      </c>
      <c r="I1690">
        <v>0</v>
      </c>
      <c r="J1690">
        <v>1</v>
      </c>
      <c r="K1690" s="9">
        <v>4.924050632911392</v>
      </c>
    </row>
    <row r="1691" spans="1:11" x14ac:dyDescent="0.45">
      <c r="A1691" t="s">
        <v>168</v>
      </c>
      <c r="B1691" t="s">
        <v>687</v>
      </c>
      <c r="C1691" t="s">
        <v>104</v>
      </c>
      <c r="D1691">
        <v>5</v>
      </c>
      <c r="E1691" t="s">
        <v>426</v>
      </c>
      <c r="F1691" t="s">
        <v>622</v>
      </c>
      <c r="G1691">
        <v>15</v>
      </c>
      <c r="H1691">
        <v>8</v>
      </c>
      <c r="I1691">
        <v>1</v>
      </c>
      <c r="J1691">
        <v>1</v>
      </c>
      <c r="K1691" s="9">
        <v>4.9029126213592233</v>
      </c>
    </row>
    <row r="1692" spans="1:11" x14ac:dyDescent="0.45">
      <c r="A1692" t="s">
        <v>168</v>
      </c>
      <c r="B1692" t="s">
        <v>687</v>
      </c>
      <c r="C1692" t="s">
        <v>104</v>
      </c>
      <c r="D1692">
        <v>6</v>
      </c>
      <c r="E1692" t="s">
        <v>366</v>
      </c>
      <c r="F1692" t="s">
        <v>623</v>
      </c>
      <c r="G1692">
        <v>1</v>
      </c>
      <c r="H1692">
        <v>1</v>
      </c>
      <c r="I1692">
        <v>0</v>
      </c>
      <c r="J1692">
        <v>0</v>
      </c>
      <c r="K1692" s="9">
        <v>6.5693779904306222</v>
      </c>
    </row>
    <row r="1693" spans="1:11" x14ac:dyDescent="0.45">
      <c r="A1693" t="s">
        <v>168</v>
      </c>
      <c r="B1693" t="s">
        <v>687</v>
      </c>
      <c r="C1693" t="s">
        <v>19</v>
      </c>
      <c r="D1693">
        <v>1</v>
      </c>
      <c r="E1693" t="s">
        <v>360</v>
      </c>
      <c r="F1693" t="s">
        <v>622</v>
      </c>
      <c r="G1693">
        <v>13</v>
      </c>
      <c r="H1693">
        <v>17</v>
      </c>
      <c r="I1693">
        <v>2</v>
      </c>
      <c r="J1693">
        <v>0</v>
      </c>
      <c r="K1693" s="9">
        <v>4.82</v>
      </c>
    </row>
    <row r="1694" spans="1:11" x14ac:dyDescent="0.45">
      <c r="A1694" t="s">
        <v>168</v>
      </c>
      <c r="B1694" t="s">
        <v>687</v>
      </c>
      <c r="C1694" t="s">
        <v>19</v>
      </c>
      <c r="D1694">
        <v>2</v>
      </c>
      <c r="E1694" t="s">
        <v>359</v>
      </c>
      <c r="F1694" t="s">
        <v>622</v>
      </c>
      <c r="G1694">
        <v>6</v>
      </c>
      <c r="H1694">
        <v>7</v>
      </c>
      <c r="I1694">
        <v>1</v>
      </c>
      <c r="J1694">
        <v>0</v>
      </c>
      <c r="K1694" s="9">
        <v>4.927835051546392</v>
      </c>
    </row>
    <row r="1695" spans="1:11" x14ac:dyDescent="0.45">
      <c r="A1695" t="s">
        <v>168</v>
      </c>
      <c r="B1695" t="s">
        <v>687</v>
      </c>
      <c r="C1695" t="s">
        <v>19</v>
      </c>
      <c r="D1695">
        <v>3</v>
      </c>
      <c r="E1695" t="s">
        <v>501</v>
      </c>
      <c r="F1695" t="s">
        <v>622</v>
      </c>
      <c r="G1695">
        <v>31</v>
      </c>
      <c r="H1695">
        <v>13</v>
      </c>
      <c r="I1695">
        <v>6</v>
      </c>
      <c r="J1695">
        <v>1</v>
      </c>
      <c r="K1695" s="9">
        <v>4.8939393939393936</v>
      </c>
    </row>
    <row r="1696" spans="1:11" x14ac:dyDescent="0.45">
      <c r="A1696" t="s">
        <v>168</v>
      </c>
      <c r="B1696" t="s">
        <v>687</v>
      </c>
      <c r="C1696" t="s">
        <v>19</v>
      </c>
      <c r="D1696">
        <v>4</v>
      </c>
      <c r="E1696" t="s">
        <v>363</v>
      </c>
      <c r="F1696" t="s">
        <v>622</v>
      </c>
      <c r="G1696">
        <v>37</v>
      </c>
      <c r="H1696">
        <v>27</v>
      </c>
      <c r="I1696">
        <v>3</v>
      </c>
      <c r="J1696">
        <v>0</v>
      </c>
      <c r="K1696" s="9">
        <v>4.25</v>
      </c>
    </row>
    <row r="1697" spans="1:11" x14ac:dyDescent="0.45">
      <c r="A1697" t="s">
        <v>168</v>
      </c>
      <c r="B1697" t="s">
        <v>687</v>
      </c>
      <c r="C1697" t="s">
        <v>19</v>
      </c>
      <c r="D1697">
        <v>5</v>
      </c>
      <c r="E1697" t="s">
        <v>502</v>
      </c>
      <c r="F1697" t="s">
        <v>622</v>
      </c>
      <c r="G1697">
        <v>26</v>
      </c>
      <c r="H1697">
        <v>26</v>
      </c>
      <c r="I1697">
        <v>2</v>
      </c>
      <c r="J1697">
        <v>0</v>
      </c>
      <c r="K1697" s="9">
        <v>4.1568627450980395</v>
      </c>
    </row>
    <row r="1698" spans="1:11" x14ac:dyDescent="0.45">
      <c r="A1698" t="s">
        <v>168</v>
      </c>
      <c r="B1698" t="s">
        <v>687</v>
      </c>
      <c r="C1698" t="s">
        <v>19</v>
      </c>
      <c r="D1698">
        <v>6</v>
      </c>
      <c r="E1698" t="s">
        <v>362</v>
      </c>
      <c r="F1698" t="s">
        <v>622</v>
      </c>
      <c r="G1698">
        <v>25</v>
      </c>
      <c r="H1698">
        <v>14</v>
      </c>
      <c r="I1698">
        <v>1</v>
      </c>
      <c r="J1698">
        <v>2</v>
      </c>
      <c r="K1698" s="9">
        <v>4.8461538461538458</v>
      </c>
    </row>
    <row r="1699" spans="1:11" x14ac:dyDescent="0.45">
      <c r="A1699" t="s">
        <v>168</v>
      </c>
      <c r="B1699" t="s">
        <v>687</v>
      </c>
      <c r="C1699" t="s">
        <v>19</v>
      </c>
      <c r="D1699">
        <v>7</v>
      </c>
      <c r="E1699" t="s">
        <v>427</v>
      </c>
      <c r="F1699" t="s">
        <v>622</v>
      </c>
      <c r="G1699">
        <v>8</v>
      </c>
      <c r="H1699">
        <v>7</v>
      </c>
      <c r="I1699">
        <v>1</v>
      </c>
      <c r="J1699">
        <v>0</v>
      </c>
      <c r="K1699" s="9">
        <v>4.927835051546392</v>
      </c>
    </row>
    <row r="1700" spans="1:11" x14ac:dyDescent="0.45">
      <c r="A1700" t="s">
        <v>168</v>
      </c>
      <c r="B1700" t="s">
        <v>687</v>
      </c>
      <c r="C1700" t="s">
        <v>19</v>
      </c>
      <c r="D1700">
        <v>8</v>
      </c>
      <c r="E1700" t="s">
        <v>392</v>
      </c>
      <c r="F1700" t="s">
        <v>622</v>
      </c>
      <c r="G1700">
        <v>14</v>
      </c>
      <c r="H1700">
        <v>6</v>
      </c>
      <c r="I1700">
        <v>2</v>
      </c>
      <c r="J1700">
        <v>1</v>
      </c>
      <c r="K1700" s="9">
        <v>5.4565217391304346</v>
      </c>
    </row>
    <row r="1701" spans="1:11" x14ac:dyDescent="0.45">
      <c r="A1701" t="s">
        <v>168</v>
      </c>
      <c r="B1701" t="s">
        <v>687</v>
      </c>
      <c r="C1701" t="s">
        <v>19</v>
      </c>
      <c r="D1701">
        <v>9</v>
      </c>
      <c r="E1701" t="s">
        <v>473</v>
      </c>
      <c r="F1701" t="s">
        <v>622</v>
      </c>
      <c r="G1701">
        <v>6</v>
      </c>
      <c r="H1701">
        <v>2</v>
      </c>
      <c r="I1701">
        <v>0</v>
      </c>
      <c r="J1701">
        <v>1</v>
      </c>
      <c r="K1701" s="9">
        <v>6.1385542168674698</v>
      </c>
    </row>
    <row r="1702" spans="1:11" x14ac:dyDescent="0.45">
      <c r="A1702" t="s">
        <v>168</v>
      </c>
      <c r="B1702" t="s">
        <v>687</v>
      </c>
      <c r="C1702" t="s">
        <v>19</v>
      </c>
      <c r="D1702">
        <v>10</v>
      </c>
      <c r="E1702" t="s">
        <v>369</v>
      </c>
      <c r="F1702" t="s">
        <v>623</v>
      </c>
      <c r="G1702">
        <v>0</v>
      </c>
      <c r="H1702">
        <v>0</v>
      </c>
      <c r="I1702">
        <v>0</v>
      </c>
      <c r="J1702">
        <v>0</v>
      </c>
      <c r="K1702" s="9">
        <v>6.2519685039370083</v>
      </c>
    </row>
    <row r="1703" spans="1:11" x14ac:dyDescent="0.45">
      <c r="A1703" t="s">
        <v>168</v>
      </c>
      <c r="B1703" t="s">
        <v>687</v>
      </c>
      <c r="C1703" t="s">
        <v>19</v>
      </c>
      <c r="D1703">
        <v>11</v>
      </c>
      <c r="E1703" t="s">
        <v>544</v>
      </c>
      <c r="F1703" t="s">
        <v>623</v>
      </c>
      <c r="G1703">
        <v>0</v>
      </c>
      <c r="H1703">
        <v>1</v>
      </c>
      <c r="I1703">
        <v>0</v>
      </c>
      <c r="J1703">
        <v>0</v>
      </c>
      <c r="K1703" s="9">
        <v>6.5693779904306222</v>
      </c>
    </row>
    <row r="1704" spans="1:11" x14ac:dyDescent="0.45">
      <c r="A1704" t="s">
        <v>169</v>
      </c>
      <c r="B1704" t="s">
        <v>662</v>
      </c>
      <c r="C1704" t="s">
        <v>7</v>
      </c>
      <c r="D1704">
        <v>1</v>
      </c>
      <c r="E1704" t="s">
        <v>304</v>
      </c>
      <c r="F1704" t="s">
        <v>622</v>
      </c>
      <c r="G1704">
        <v>6</v>
      </c>
      <c r="H1704">
        <v>13</v>
      </c>
      <c r="I1704">
        <v>1</v>
      </c>
      <c r="J1704">
        <v>0</v>
      </c>
      <c r="K1704" s="9">
        <v>4.8939393939393936</v>
      </c>
    </row>
    <row r="1705" spans="1:11" x14ac:dyDescent="0.45">
      <c r="A1705" t="s">
        <v>169</v>
      </c>
      <c r="B1705" t="s">
        <v>662</v>
      </c>
      <c r="C1705" t="s">
        <v>7</v>
      </c>
      <c r="D1705">
        <v>2</v>
      </c>
      <c r="E1705" t="s">
        <v>531</v>
      </c>
      <c r="F1705" t="s">
        <v>622</v>
      </c>
      <c r="G1705">
        <v>7</v>
      </c>
      <c r="H1705">
        <v>5</v>
      </c>
      <c r="I1705">
        <v>0</v>
      </c>
      <c r="J1705">
        <v>1</v>
      </c>
      <c r="K1705" s="9">
        <v>5.132075471698113</v>
      </c>
    </row>
    <row r="1706" spans="1:11" x14ac:dyDescent="0.45">
      <c r="A1706" t="s">
        <v>169</v>
      </c>
      <c r="B1706" t="s">
        <v>662</v>
      </c>
      <c r="C1706" t="s">
        <v>7</v>
      </c>
      <c r="D1706">
        <v>3</v>
      </c>
      <c r="E1706" t="s">
        <v>332</v>
      </c>
      <c r="F1706" t="s">
        <v>622</v>
      </c>
      <c r="G1706">
        <v>28</v>
      </c>
      <c r="H1706">
        <v>25</v>
      </c>
      <c r="I1706">
        <v>3</v>
      </c>
      <c r="J1706">
        <v>0</v>
      </c>
      <c r="K1706" s="9">
        <v>4.4782608695652177</v>
      </c>
    </row>
    <row r="1707" spans="1:11" x14ac:dyDescent="0.45">
      <c r="A1707" t="s">
        <v>169</v>
      </c>
      <c r="B1707" t="s">
        <v>662</v>
      </c>
      <c r="C1707" t="s">
        <v>7</v>
      </c>
      <c r="D1707">
        <v>4</v>
      </c>
      <c r="E1707" t="s">
        <v>308</v>
      </c>
      <c r="F1707" t="s">
        <v>622</v>
      </c>
      <c r="G1707">
        <v>6</v>
      </c>
      <c r="H1707">
        <v>2</v>
      </c>
      <c r="I1707">
        <v>0</v>
      </c>
      <c r="J1707">
        <v>1</v>
      </c>
      <c r="K1707" s="9">
        <v>6.1385542168674698</v>
      </c>
    </row>
    <row r="1708" spans="1:11" x14ac:dyDescent="0.45">
      <c r="A1708" t="s">
        <v>169</v>
      </c>
      <c r="B1708" t="s">
        <v>662</v>
      </c>
      <c r="C1708" t="s">
        <v>7</v>
      </c>
      <c r="D1708">
        <v>5</v>
      </c>
      <c r="E1708" t="s">
        <v>306</v>
      </c>
      <c r="F1708" t="s">
        <v>622</v>
      </c>
      <c r="G1708">
        <v>54</v>
      </c>
      <c r="H1708">
        <v>36</v>
      </c>
      <c r="I1708">
        <v>6</v>
      </c>
      <c r="J1708">
        <v>2</v>
      </c>
      <c r="K1708" s="9">
        <v>4.083333333333333</v>
      </c>
    </row>
    <row r="1709" spans="1:11" x14ac:dyDescent="0.45">
      <c r="A1709" t="s">
        <v>169</v>
      </c>
      <c r="B1709" t="s">
        <v>662</v>
      </c>
      <c r="C1709" t="s">
        <v>7</v>
      </c>
      <c r="D1709">
        <v>6</v>
      </c>
      <c r="E1709" t="s">
        <v>529</v>
      </c>
      <c r="F1709" t="s">
        <v>622</v>
      </c>
      <c r="G1709">
        <v>7</v>
      </c>
      <c r="H1709">
        <v>7</v>
      </c>
      <c r="I1709">
        <v>0</v>
      </c>
      <c r="J1709">
        <v>1</v>
      </c>
      <c r="K1709" s="9">
        <v>4.927835051546392</v>
      </c>
    </row>
    <row r="1710" spans="1:11" x14ac:dyDescent="0.45">
      <c r="A1710" t="s">
        <v>169</v>
      </c>
      <c r="B1710" t="s">
        <v>662</v>
      </c>
      <c r="C1710" t="s">
        <v>7</v>
      </c>
      <c r="D1710">
        <v>7</v>
      </c>
      <c r="E1710" t="s">
        <v>440</v>
      </c>
      <c r="F1710" t="s">
        <v>623</v>
      </c>
      <c r="G1710">
        <v>49</v>
      </c>
      <c r="H1710">
        <v>25</v>
      </c>
      <c r="I1710">
        <v>4</v>
      </c>
      <c r="J1710">
        <v>4</v>
      </c>
      <c r="K1710" s="9">
        <v>4.4782608695652177</v>
      </c>
    </row>
    <row r="1711" spans="1:11" x14ac:dyDescent="0.45">
      <c r="A1711" t="s">
        <v>169</v>
      </c>
      <c r="B1711" t="s">
        <v>662</v>
      </c>
      <c r="C1711" t="s">
        <v>7</v>
      </c>
      <c r="D1711">
        <v>8</v>
      </c>
      <c r="E1711" t="s">
        <v>465</v>
      </c>
      <c r="F1711" t="s">
        <v>622</v>
      </c>
      <c r="G1711">
        <v>3</v>
      </c>
      <c r="H1711">
        <v>3</v>
      </c>
      <c r="I1711">
        <v>0</v>
      </c>
      <c r="J1711">
        <v>0</v>
      </c>
      <c r="K1711" s="9">
        <v>5.6607142857142856</v>
      </c>
    </row>
    <row r="1712" spans="1:11" x14ac:dyDescent="0.45">
      <c r="A1712" t="s">
        <v>169</v>
      </c>
      <c r="B1712" t="s">
        <v>662</v>
      </c>
      <c r="C1712" t="s">
        <v>7</v>
      </c>
      <c r="D1712">
        <v>9</v>
      </c>
      <c r="E1712" t="s">
        <v>545</v>
      </c>
      <c r="F1712" t="s">
        <v>622</v>
      </c>
      <c r="G1712">
        <v>5</v>
      </c>
      <c r="H1712">
        <v>3</v>
      </c>
      <c r="I1712">
        <v>1</v>
      </c>
      <c r="J1712">
        <v>0</v>
      </c>
      <c r="K1712" s="9">
        <v>5.6607142857142856</v>
      </c>
    </row>
    <row r="1713" spans="1:11" x14ac:dyDescent="0.45">
      <c r="A1713" t="s">
        <v>169</v>
      </c>
      <c r="B1713" t="s">
        <v>662</v>
      </c>
      <c r="C1713" t="s">
        <v>7</v>
      </c>
      <c r="D1713">
        <v>10</v>
      </c>
      <c r="E1713" t="s">
        <v>515</v>
      </c>
      <c r="F1713" t="s">
        <v>623</v>
      </c>
      <c r="G1713">
        <v>1</v>
      </c>
      <c r="H1713">
        <v>1</v>
      </c>
      <c r="I1713">
        <v>0</v>
      </c>
      <c r="J1713">
        <v>0</v>
      </c>
      <c r="K1713" s="9">
        <v>6.5693779904306222</v>
      </c>
    </row>
    <row r="1714" spans="1:11" x14ac:dyDescent="0.45">
      <c r="A1714" t="s">
        <v>169</v>
      </c>
      <c r="B1714" t="s">
        <v>662</v>
      </c>
      <c r="C1714" t="s">
        <v>20</v>
      </c>
      <c r="D1714">
        <v>1</v>
      </c>
      <c r="E1714" t="s">
        <v>373</v>
      </c>
      <c r="F1714" t="s">
        <v>622</v>
      </c>
      <c r="G1714">
        <v>3</v>
      </c>
      <c r="H1714">
        <v>10</v>
      </c>
      <c r="I1714">
        <v>0</v>
      </c>
      <c r="J1714">
        <v>0</v>
      </c>
      <c r="K1714" s="9">
        <v>4.7179487179487181</v>
      </c>
    </row>
    <row r="1715" spans="1:11" x14ac:dyDescent="0.45">
      <c r="A1715" t="s">
        <v>169</v>
      </c>
      <c r="B1715" t="s">
        <v>662</v>
      </c>
      <c r="C1715" t="s">
        <v>20</v>
      </c>
      <c r="D1715">
        <v>2</v>
      </c>
      <c r="E1715" t="s">
        <v>408</v>
      </c>
      <c r="F1715" t="s">
        <v>622</v>
      </c>
      <c r="G1715">
        <v>17</v>
      </c>
      <c r="H1715">
        <v>16</v>
      </c>
      <c r="I1715">
        <v>3</v>
      </c>
      <c r="J1715">
        <v>0</v>
      </c>
      <c r="K1715" s="9">
        <v>4.7608695652173916</v>
      </c>
    </row>
    <row r="1716" spans="1:11" x14ac:dyDescent="0.45">
      <c r="A1716" t="s">
        <v>169</v>
      </c>
      <c r="B1716" t="s">
        <v>662</v>
      </c>
      <c r="C1716" t="s">
        <v>20</v>
      </c>
      <c r="D1716">
        <v>3</v>
      </c>
      <c r="E1716" t="s">
        <v>315</v>
      </c>
      <c r="F1716" t="s">
        <v>622</v>
      </c>
      <c r="G1716">
        <v>71</v>
      </c>
      <c r="H1716">
        <v>37</v>
      </c>
      <c r="I1716">
        <v>4</v>
      </c>
      <c r="J1716">
        <v>6</v>
      </c>
      <c r="K1716" s="9">
        <v>3.5555555555555554</v>
      </c>
    </row>
    <row r="1717" spans="1:11" x14ac:dyDescent="0.45">
      <c r="A1717" t="s">
        <v>169</v>
      </c>
      <c r="B1717" t="s">
        <v>662</v>
      </c>
      <c r="C1717" t="s">
        <v>20</v>
      </c>
      <c r="D1717">
        <v>4</v>
      </c>
      <c r="E1717" t="s">
        <v>401</v>
      </c>
      <c r="F1717" t="s">
        <v>623</v>
      </c>
      <c r="G1717">
        <v>68</v>
      </c>
      <c r="H1717">
        <v>36</v>
      </c>
      <c r="I1717">
        <v>6</v>
      </c>
      <c r="J1717">
        <v>4</v>
      </c>
      <c r="K1717" s="9">
        <v>4.083333333333333</v>
      </c>
    </row>
    <row r="1718" spans="1:11" x14ac:dyDescent="0.45">
      <c r="A1718" t="s">
        <v>169</v>
      </c>
      <c r="B1718" t="s">
        <v>662</v>
      </c>
      <c r="C1718" t="s">
        <v>20</v>
      </c>
      <c r="D1718">
        <v>5</v>
      </c>
      <c r="E1718" t="s">
        <v>416</v>
      </c>
      <c r="F1718" t="s">
        <v>623</v>
      </c>
      <c r="G1718">
        <v>5</v>
      </c>
      <c r="H1718">
        <v>8</v>
      </c>
      <c r="I1718">
        <v>0</v>
      </c>
      <c r="J1718">
        <v>0</v>
      </c>
      <c r="K1718" s="9">
        <v>4.9029126213592233</v>
      </c>
    </row>
    <row r="1719" spans="1:11" x14ac:dyDescent="0.45">
      <c r="A1719" t="s">
        <v>171</v>
      </c>
      <c r="B1719" t="s">
        <v>690</v>
      </c>
      <c r="C1719" t="s">
        <v>101</v>
      </c>
      <c r="D1719">
        <v>1</v>
      </c>
      <c r="E1719" t="s">
        <v>488</v>
      </c>
      <c r="F1719" t="s">
        <v>622</v>
      </c>
      <c r="G1719">
        <v>12</v>
      </c>
      <c r="H1719">
        <v>6</v>
      </c>
      <c r="I1719">
        <v>3</v>
      </c>
      <c r="J1719">
        <v>0</v>
      </c>
      <c r="K1719" s="9">
        <v>5.4565217391304346</v>
      </c>
    </row>
    <row r="1720" spans="1:11" x14ac:dyDescent="0.45">
      <c r="A1720" t="s">
        <v>171</v>
      </c>
      <c r="B1720" t="s">
        <v>690</v>
      </c>
      <c r="C1720" t="s">
        <v>101</v>
      </c>
      <c r="D1720">
        <v>2</v>
      </c>
      <c r="E1720" t="s">
        <v>302</v>
      </c>
      <c r="F1720" t="s">
        <v>622</v>
      </c>
      <c r="G1720">
        <v>13</v>
      </c>
      <c r="H1720">
        <v>14</v>
      </c>
      <c r="I1720">
        <v>2</v>
      </c>
      <c r="J1720">
        <v>0</v>
      </c>
      <c r="K1720" s="9">
        <v>4.8461538461538458</v>
      </c>
    </row>
    <row r="1721" spans="1:11" x14ac:dyDescent="0.45">
      <c r="A1721" t="s">
        <v>171</v>
      </c>
      <c r="B1721" t="s">
        <v>690</v>
      </c>
      <c r="C1721" t="s">
        <v>101</v>
      </c>
      <c r="D1721">
        <v>3</v>
      </c>
      <c r="E1721" t="s">
        <v>460</v>
      </c>
      <c r="F1721" t="s">
        <v>622</v>
      </c>
      <c r="G1721">
        <v>2</v>
      </c>
      <c r="H1721">
        <v>7</v>
      </c>
      <c r="I1721">
        <v>0</v>
      </c>
      <c r="J1721">
        <v>0</v>
      </c>
      <c r="K1721" s="9">
        <v>4.927835051546392</v>
      </c>
    </row>
    <row r="1722" spans="1:11" x14ac:dyDescent="0.45">
      <c r="A1722" t="s">
        <v>171</v>
      </c>
      <c r="B1722" t="s">
        <v>690</v>
      </c>
      <c r="C1722" t="s">
        <v>101</v>
      </c>
      <c r="D1722">
        <v>4</v>
      </c>
      <c r="E1722" t="s">
        <v>361</v>
      </c>
      <c r="F1722" t="s">
        <v>623</v>
      </c>
      <c r="G1722">
        <v>87</v>
      </c>
      <c r="H1722">
        <v>52</v>
      </c>
      <c r="I1722">
        <v>8</v>
      </c>
      <c r="J1722">
        <v>4</v>
      </c>
      <c r="K1722" s="9">
        <v>2.9090909090909092</v>
      </c>
    </row>
    <row r="1723" spans="1:11" x14ac:dyDescent="0.45">
      <c r="A1723" t="s">
        <v>171</v>
      </c>
      <c r="B1723" t="s">
        <v>690</v>
      </c>
      <c r="C1723" t="s">
        <v>101</v>
      </c>
      <c r="D1723">
        <v>5</v>
      </c>
      <c r="E1723" t="s">
        <v>540</v>
      </c>
      <c r="F1723" t="s">
        <v>622</v>
      </c>
      <c r="G1723">
        <v>43</v>
      </c>
      <c r="H1723">
        <v>28</v>
      </c>
      <c r="I1723">
        <v>4</v>
      </c>
      <c r="J1723">
        <v>2</v>
      </c>
      <c r="K1723" s="9">
        <v>3.806451612903226</v>
      </c>
    </row>
    <row r="1724" spans="1:11" x14ac:dyDescent="0.45">
      <c r="A1724" t="s">
        <v>171</v>
      </c>
      <c r="B1724" t="s">
        <v>690</v>
      </c>
      <c r="C1724" t="s">
        <v>101</v>
      </c>
      <c r="D1724">
        <v>6</v>
      </c>
      <c r="E1724" t="s">
        <v>411</v>
      </c>
      <c r="F1724" t="s">
        <v>623</v>
      </c>
      <c r="G1724">
        <v>31</v>
      </c>
      <c r="H1724">
        <v>14</v>
      </c>
      <c r="I1724">
        <v>5</v>
      </c>
      <c r="J1724">
        <v>1</v>
      </c>
      <c r="K1724" s="9">
        <v>4.8461538461538458</v>
      </c>
    </row>
    <row r="1725" spans="1:11" x14ac:dyDescent="0.45">
      <c r="A1725" t="s">
        <v>171</v>
      </c>
      <c r="B1725" t="s">
        <v>690</v>
      </c>
      <c r="C1725" t="s">
        <v>23</v>
      </c>
      <c r="D1725">
        <v>1</v>
      </c>
      <c r="E1725" t="s">
        <v>458</v>
      </c>
      <c r="F1725" t="s">
        <v>622</v>
      </c>
      <c r="G1725">
        <v>54</v>
      </c>
      <c r="H1725">
        <v>24</v>
      </c>
      <c r="I1725">
        <v>8</v>
      </c>
      <c r="J1725">
        <v>3</v>
      </c>
      <c r="K1725" s="9">
        <v>4.0606060606060606</v>
      </c>
    </row>
    <row r="1726" spans="1:11" x14ac:dyDescent="0.45">
      <c r="A1726" t="s">
        <v>171</v>
      </c>
      <c r="B1726" t="s">
        <v>690</v>
      </c>
      <c r="C1726" t="s">
        <v>23</v>
      </c>
      <c r="D1726">
        <v>2</v>
      </c>
      <c r="E1726" t="s">
        <v>342</v>
      </c>
      <c r="F1726" t="s">
        <v>622</v>
      </c>
      <c r="G1726">
        <v>0</v>
      </c>
      <c r="H1726">
        <v>1</v>
      </c>
      <c r="I1726">
        <v>0</v>
      </c>
      <c r="J1726">
        <v>0</v>
      </c>
      <c r="K1726" s="9">
        <v>6.5693779904306222</v>
      </c>
    </row>
    <row r="1727" spans="1:11" x14ac:dyDescent="0.45">
      <c r="A1727" t="s">
        <v>171</v>
      </c>
      <c r="B1727" t="s">
        <v>690</v>
      </c>
      <c r="C1727" t="s">
        <v>23</v>
      </c>
      <c r="D1727">
        <v>3</v>
      </c>
      <c r="E1727" t="s">
        <v>339</v>
      </c>
      <c r="F1727" t="s">
        <v>622</v>
      </c>
      <c r="G1727">
        <v>8</v>
      </c>
      <c r="H1727">
        <v>8</v>
      </c>
      <c r="I1727">
        <v>0</v>
      </c>
      <c r="J1727">
        <v>1</v>
      </c>
      <c r="K1727" s="9">
        <v>4.9029126213592233</v>
      </c>
    </row>
    <row r="1728" spans="1:11" x14ac:dyDescent="0.45">
      <c r="A1728" t="s">
        <v>171</v>
      </c>
      <c r="B1728" t="s">
        <v>690</v>
      </c>
      <c r="C1728" t="s">
        <v>23</v>
      </c>
      <c r="D1728">
        <v>4</v>
      </c>
      <c r="E1728" t="s">
        <v>386</v>
      </c>
      <c r="F1728" t="s">
        <v>622</v>
      </c>
      <c r="G1728">
        <v>11</v>
      </c>
      <c r="H1728">
        <v>11</v>
      </c>
      <c r="I1728">
        <v>0</v>
      </c>
      <c r="J1728">
        <v>1</v>
      </c>
      <c r="K1728" s="9">
        <v>4.9649122807017543</v>
      </c>
    </row>
    <row r="1729" spans="1:11" x14ac:dyDescent="0.45">
      <c r="A1729" t="s">
        <v>171</v>
      </c>
      <c r="B1729" t="s">
        <v>690</v>
      </c>
      <c r="C1729" t="s">
        <v>23</v>
      </c>
      <c r="D1729">
        <v>5</v>
      </c>
      <c r="E1729" t="s">
        <v>526</v>
      </c>
      <c r="F1729" t="s">
        <v>622</v>
      </c>
      <c r="G1729">
        <v>6</v>
      </c>
      <c r="H1729">
        <v>10</v>
      </c>
      <c r="I1729">
        <v>0</v>
      </c>
      <c r="J1729">
        <v>0</v>
      </c>
      <c r="K1729" s="9">
        <v>4.7179487179487181</v>
      </c>
    </row>
    <row r="1730" spans="1:11" x14ac:dyDescent="0.45">
      <c r="A1730" t="s">
        <v>171</v>
      </c>
      <c r="B1730" t="s">
        <v>690</v>
      </c>
      <c r="C1730" t="s">
        <v>23</v>
      </c>
      <c r="D1730">
        <v>6</v>
      </c>
      <c r="E1730" t="s">
        <v>336</v>
      </c>
      <c r="F1730" t="s">
        <v>622</v>
      </c>
      <c r="G1730">
        <v>29</v>
      </c>
      <c r="H1730">
        <v>17</v>
      </c>
      <c r="I1730">
        <v>2</v>
      </c>
      <c r="J1730">
        <v>1</v>
      </c>
      <c r="K1730" s="9">
        <v>4.82</v>
      </c>
    </row>
    <row r="1731" spans="1:11" x14ac:dyDescent="0.45">
      <c r="A1731" t="s">
        <v>171</v>
      </c>
      <c r="B1731" t="s">
        <v>690</v>
      </c>
      <c r="C1731" t="s">
        <v>23</v>
      </c>
      <c r="D1731">
        <v>7</v>
      </c>
      <c r="E1731" t="s">
        <v>431</v>
      </c>
      <c r="F1731" t="s">
        <v>622</v>
      </c>
      <c r="G1731">
        <v>18</v>
      </c>
      <c r="H1731">
        <v>16</v>
      </c>
      <c r="I1731">
        <v>1</v>
      </c>
      <c r="J1731">
        <v>1</v>
      </c>
      <c r="K1731" s="9">
        <v>4.7608695652173916</v>
      </c>
    </row>
    <row r="1732" spans="1:11" x14ac:dyDescent="0.45">
      <c r="A1732" t="s">
        <v>171</v>
      </c>
      <c r="B1732" t="s">
        <v>690</v>
      </c>
      <c r="C1732" t="s">
        <v>23</v>
      </c>
      <c r="D1732">
        <v>8</v>
      </c>
      <c r="E1732" t="s">
        <v>365</v>
      </c>
      <c r="F1732" t="s">
        <v>622</v>
      </c>
      <c r="G1732">
        <v>17</v>
      </c>
      <c r="H1732">
        <v>15</v>
      </c>
      <c r="I1732">
        <v>1</v>
      </c>
      <c r="J1732">
        <v>0</v>
      </c>
      <c r="K1732" s="9">
        <v>4.7777777777777777</v>
      </c>
    </row>
    <row r="1733" spans="1:11" x14ac:dyDescent="0.45">
      <c r="A1733" t="s">
        <v>171</v>
      </c>
      <c r="B1733" t="s">
        <v>690</v>
      </c>
      <c r="C1733" t="s">
        <v>23</v>
      </c>
      <c r="D1733">
        <v>9</v>
      </c>
      <c r="E1733" t="s">
        <v>441</v>
      </c>
      <c r="F1733" t="s">
        <v>623</v>
      </c>
      <c r="G1733">
        <v>4</v>
      </c>
      <c r="H1733">
        <v>7</v>
      </c>
      <c r="I1733">
        <v>0</v>
      </c>
      <c r="J1733">
        <v>0</v>
      </c>
      <c r="K1733" s="9">
        <v>4.927835051546392</v>
      </c>
    </row>
    <row r="1734" spans="1:11" x14ac:dyDescent="0.45">
      <c r="A1734" t="s">
        <v>171</v>
      </c>
      <c r="B1734" t="s">
        <v>690</v>
      </c>
      <c r="C1734" t="s">
        <v>23</v>
      </c>
      <c r="D1734">
        <v>10</v>
      </c>
      <c r="E1734" t="s">
        <v>353</v>
      </c>
      <c r="F1734" t="s">
        <v>622</v>
      </c>
      <c r="G1734">
        <v>5</v>
      </c>
      <c r="H1734">
        <v>8</v>
      </c>
      <c r="I1734">
        <v>0</v>
      </c>
      <c r="J1734">
        <v>0</v>
      </c>
      <c r="K1734" s="9">
        <v>4.9029126213592233</v>
      </c>
    </row>
    <row r="1735" spans="1:11" x14ac:dyDescent="0.45">
      <c r="A1735" t="s">
        <v>171</v>
      </c>
      <c r="B1735" t="s">
        <v>690</v>
      </c>
      <c r="C1735" t="s">
        <v>23</v>
      </c>
      <c r="D1735">
        <v>11</v>
      </c>
      <c r="E1735" t="s">
        <v>527</v>
      </c>
      <c r="F1735" t="s">
        <v>623</v>
      </c>
      <c r="G1735">
        <v>0</v>
      </c>
      <c r="H1735">
        <v>3</v>
      </c>
      <c r="I1735">
        <v>0</v>
      </c>
      <c r="J1735">
        <v>0</v>
      </c>
      <c r="K1735" s="9">
        <v>5.6607142857142856</v>
      </c>
    </row>
    <row r="1736" spans="1:11" x14ac:dyDescent="0.45">
      <c r="A1736" t="s">
        <v>173</v>
      </c>
      <c r="B1736" t="s">
        <v>641</v>
      </c>
      <c r="C1736" t="s">
        <v>26</v>
      </c>
      <c r="D1736">
        <v>1</v>
      </c>
      <c r="E1736" t="s">
        <v>398</v>
      </c>
      <c r="F1736" t="s">
        <v>622</v>
      </c>
      <c r="G1736">
        <v>52</v>
      </c>
      <c r="H1736">
        <v>32</v>
      </c>
      <c r="I1736">
        <v>6</v>
      </c>
      <c r="J1736">
        <v>2</v>
      </c>
      <c r="K1736" s="9">
        <v>3.9375</v>
      </c>
    </row>
    <row r="1737" spans="1:11" x14ac:dyDescent="0.45">
      <c r="A1737" t="s">
        <v>173</v>
      </c>
      <c r="B1737" t="s">
        <v>641</v>
      </c>
      <c r="C1737" t="s">
        <v>26</v>
      </c>
      <c r="D1737">
        <v>2</v>
      </c>
      <c r="E1737" t="s">
        <v>330</v>
      </c>
      <c r="F1737" t="s">
        <v>622</v>
      </c>
      <c r="G1737">
        <v>70</v>
      </c>
      <c r="H1737">
        <v>50</v>
      </c>
      <c r="I1737">
        <v>5</v>
      </c>
      <c r="J1737">
        <v>3</v>
      </c>
      <c r="K1737" s="9">
        <v>2.9047619047619047</v>
      </c>
    </row>
    <row r="1738" spans="1:11" x14ac:dyDescent="0.45">
      <c r="A1738" t="s">
        <v>173</v>
      </c>
      <c r="B1738" t="s">
        <v>641</v>
      </c>
      <c r="C1738" t="s">
        <v>26</v>
      </c>
      <c r="D1738">
        <v>3</v>
      </c>
      <c r="E1738" t="s">
        <v>459</v>
      </c>
      <c r="F1738" t="s">
        <v>622</v>
      </c>
      <c r="G1738">
        <v>12</v>
      </c>
      <c r="H1738">
        <v>13</v>
      </c>
      <c r="I1738">
        <v>1</v>
      </c>
      <c r="J1738">
        <v>0</v>
      </c>
      <c r="K1738" s="9">
        <v>4.8939393939393936</v>
      </c>
    </row>
    <row r="1739" spans="1:11" x14ac:dyDescent="0.45">
      <c r="A1739" t="s">
        <v>173</v>
      </c>
      <c r="B1739" t="s">
        <v>641</v>
      </c>
      <c r="C1739" t="s">
        <v>26</v>
      </c>
      <c r="D1739">
        <v>4</v>
      </c>
      <c r="E1739" t="s">
        <v>384</v>
      </c>
      <c r="F1739" t="s">
        <v>622</v>
      </c>
      <c r="G1739">
        <v>2</v>
      </c>
      <c r="H1739">
        <v>3</v>
      </c>
      <c r="I1739">
        <v>0</v>
      </c>
      <c r="J1739">
        <v>0</v>
      </c>
      <c r="K1739" s="9">
        <v>5.6607142857142856</v>
      </c>
    </row>
    <row r="1740" spans="1:11" x14ac:dyDescent="0.45">
      <c r="A1740" t="s">
        <v>173</v>
      </c>
      <c r="B1740" t="s">
        <v>641</v>
      </c>
      <c r="C1740" t="s">
        <v>26</v>
      </c>
      <c r="D1740">
        <v>5</v>
      </c>
      <c r="E1740" t="s">
        <v>495</v>
      </c>
      <c r="F1740" t="s">
        <v>623</v>
      </c>
      <c r="G1740">
        <v>30</v>
      </c>
      <c r="H1740">
        <v>15</v>
      </c>
      <c r="I1740">
        <v>2</v>
      </c>
      <c r="J1740">
        <v>2</v>
      </c>
      <c r="K1740" s="9">
        <v>4.7777777777777777</v>
      </c>
    </row>
    <row r="1741" spans="1:11" x14ac:dyDescent="0.45">
      <c r="A1741" t="s">
        <v>173</v>
      </c>
      <c r="B1741" t="s">
        <v>641</v>
      </c>
      <c r="C1741" t="s">
        <v>26</v>
      </c>
      <c r="D1741">
        <v>6</v>
      </c>
      <c r="E1741" t="s">
        <v>400</v>
      </c>
      <c r="F1741" t="s">
        <v>622</v>
      </c>
      <c r="G1741">
        <v>15</v>
      </c>
      <c r="H1741">
        <v>6</v>
      </c>
      <c r="I1741">
        <v>0</v>
      </c>
      <c r="J1741">
        <v>2</v>
      </c>
      <c r="K1741" s="9">
        <v>5.4565217391304346</v>
      </c>
    </row>
    <row r="1742" spans="1:11" x14ac:dyDescent="0.45">
      <c r="A1742" t="s">
        <v>173</v>
      </c>
      <c r="B1742" t="s">
        <v>641</v>
      </c>
      <c r="C1742" t="s">
        <v>26</v>
      </c>
      <c r="D1742">
        <v>7</v>
      </c>
      <c r="E1742" t="s">
        <v>543</v>
      </c>
      <c r="F1742" t="s">
        <v>623</v>
      </c>
      <c r="G1742">
        <v>1</v>
      </c>
      <c r="H1742">
        <v>1</v>
      </c>
      <c r="I1742">
        <v>0</v>
      </c>
      <c r="J1742">
        <v>0</v>
      </c>
      <c r="K1742" s="9">
        <v>6.5693779904306222</v>
      </c>
    </row>
    <row r="1743" spans="1:11" x14ac:dyDescent="0.45">
      <c r="A1743" t="s">
        <v>173</v>
      </c>
      <c r="B1743" t="s">
        <v>641</v>
      </c>
      <c r="C1743" t="s">
        <v>19</v>
      </c>
      <c r="D1743">
        <v>1</v>
      </c>
      <c r="E1743" t="s">
        <v>359</v>
      </c>
      <c r="F1743" t="s">
        <v>622</v>
      </c>
      <c r="G1743">
        <v>28</v>
      </c>
      <c r="H1743">
        <v>17</v>
      </c>
      <c r="I1743">
        <v>3</v>
      </c>
      <c r="J1743">
        <v>2</v>
      </c>
      <c r="K1743" s="9">
        <v>4.82</v>
      </c>
    </row>
    <row r="1744" spans="1:11" x14ac:dyDescent="0.45">
      <c r="A1744" t="s">
        <v>173</v>
      </c>
      <c r="B1744" t="s">
        <v>641</v>
      </c>
      <c r="C1744" t="s">
        <v>19</v>
      </c>
      <c r="D1744">
        <v>2</v>
      </c>
      <c r="E1744" t="s">
        <v>360</v>
      </c>
      <c r="F1744" t="s">
        <v>622</v>
      </c>
      <c r="G1744">
        <v>3</v>
      </c>
      <c r="H1744">
        <v>6</v>
      </c>
      <c r="I1744">
        <v>0</v>
      </c>
      <c r="J1744">
        <v>0</v>
      </c>
      <c r="K1744" s="9">
        <v>5.4565217391304346</v>
      </c>
    </row>
    <row r="1745" spans="1:11" x14ac:dyDescent="0.45">
      <c r="A1745" t="s">
        <v>173</v>
      </c>
      <c r="B1745" t="s">
        <v>641</v>
      </c>
      <c r="C1745" t="s">
        <v>19</v>
      </c>
      <c r="D1745">
        <v>3</v>
      </c>
      <c r="E1745" t="s">
        <v>501</v>
      </c>
      <c r="F1745" t="s">
        <v>622</v>
      </c>
      <c r="G1745">
        <v>49</v>
      </c>
      <c r="H1745">
        <v>25</v>
      </c>
      <c r="I1745">
        <v>4</v>
      </c>
      <c r="J1745">
        <v>5</v>
      </c>
      <c r="K1745" s="9">
        <v>4.4782608695652177</v>
      </c>
    </row>
    <row r="1746" spans="1:11" x14ac:dyDescent="0.45">
      <c r="A1746" t="s">
        <v>173</v>
      </c>
      <c r="B1746" t="s">
        <v>641</v>
      </c>
      <c r="C1746" t="s">
        <v>19</v>
      </c>
      <c r="D1746">
        <v>4</v>
      </c>
      <c r="E1746" t="s">
        <v>502</v>
      </c>
      <c r="F1746" t="s">
        <v>622</v>
      </c>
      <c r="G1746">
        <v>36</v>
      </c>
      <c r="H1746">
        <v>20</v>
      </c>
      <c r="I1746">
        <v>3</v>
      </c>
      <c r="J1746">
        <v>2</v>
      </c>
      <c r="K1746" s="9">
        <v>4.9473684210526319</v>
      </c>
    </row>
    <row r="1747" spans="1:11" x14ac:dyDescent="0.45">
      <c r="A1747" t="s">
        <v>173</v>
      </c>
      <c r="B1747" t="s">
        <v>641</v>
      </c>
      <c r="C1747" t="s">
        <v>19</v>
      </c>
      <c r="D1747">
        <v>5</v>
      </c>
      <c r="E1747" t="s">
        <v>363</v>
      </c>
      <c r="F1747" t="s">
        <v>622</v>
      </c>
      <c r="G1747">
        <v>43</v>
      </c>
      <c r="H1747">
        <v>30</v>
      </c>
      <c r="I1747">
        <v>1</v>
      </c>
      <c r="J1747">
        <v>4</v>
      </c>
      <c r="K1747" s="9">
        <v>3.6774193548387095</v>
      </c>
    </row>
    <row r="1748" spans="1:11" x14ac:dyDescent="0.45">
      <c r="A1748" t="s">
        <v>173</v>
      </c>
      <c r="B1748" t="s">
        <v>641</v>
      </c>
      <c r="C1748" t="s">
        <v>19</v>
      </c>
      <c r="D1748">
        <v>6</v>
      </c>
      <c r="E1748" t="s">
        <v>362</v>
      </c>
      <c r="F1748" t="s">
        <v>622</v>
      </c>
      <c r="G1748">
        <v>10</v>
      </c>
      <c r="H1748">
        <v>11</v>
      </c>
      <c r="I1748">
        <v>1</v>
      </c>
      <c r="J1748">
        <v>0</v>
      </c>
      <c r="K1748" s="9">
        <v>4.9649122807017543</v>
      </c>
    </row>
    <row r="1749" spans="1:11" x14ac:dyDescent="0.45">
      <c r="A1749" t="s">
        <v>173</v>
      </c>
      <c r="B1749" t="s">
        <v>641</v>
      </c>
      <c r="C1749" t="s">
        <v>19</v>
      </c>
      <c r="D1749">
        <v>7</v>
      </c>
      <c r="E1749" t="s">
        <v>392</v>
      </c>
      <c r="F1749" t="s">
        <v>622</v>
      </c>
      <c r="G1749">
        <v>12</v>
      </c>
      <c r="H1749">
        <v>7</v>
      </c>
      <c r="I1749">
        <v>0</v>
      </c>
      <c r="J1749">
        <v>1</v>
      </c>
      <c r="K1749" s="9">
        <v>4.927835051546392</v>
      </c>
    </row>
    <row r="1750" spans="1:11" x14ac:dyDescent="0.45">
      <c r="A1750" t="s">
        <v>173</v>
      </c>
      <c r="B1750" t="s">
        <v>641</v>
      </c>
      <c r="C1750" t="s">
        <v>19</v>
      </c>
      <c r="D1750">
        <v>8</v>
      </c>
      <c r="E1750" t="s">
        <v>473</v>
      </c>
      <c r="F1750" t="s">
        <v>623</v>
      </c>
      <c r="G1750">
        <v>0</v>
      </c>
      <c r="H1750">
        <v>2</v>
      </c>
      <c r="I1750">
        <v>0</v>
      </c>
      <c r="J1750">
        <v>0</v>
      </c>
      <c r="K1750" s="9">
        <v>6.1385542168674698</v>
      </c>
    </row>
    <row r="1751" spans="1:11" x14ac:dyDescent="0.45">
      <c r="A1751" t="s">
        <v>173</v>
      </c>
      <c r="B1751" t="s">
        <v>641</v>
      </c>
      <c r="C1751" t="s">
        <v>19</v>
      </c>
      <c r="D1751">
        <v>9</v>
      </c>
      <c r="E1751" t="s">
        <v>369</v>
      </c>
      <c r="F1751" t="s">
        <v>622</v>
      </c>
      <c r="G1751">
        <v>0</v>
      </c>
      <c r="H1751">
        <v>1</v>
      </c>
      <c r="I1751">
        <v>0</v>
      </c>
      <c r="J1751">
        <v>0</v>
      </c>
      <c r="K1751" s="9">
        <v>6.5693779904306222</v>
      </c>
    </row>
    <row r="1752" spans="1:11" x14ac:dyDescent="0.45">
      <c r="A1752" t="s">
        <v>173</v>
      </c>
      <c r="B1752" t="s">
        <v>641</v>
      </c>
      <c r="C1752" t="s">
        <v>19</v>
      </c>
      <c r="D1752">
        <v>10</v>
      </c>
      <c r="E1752" t="s">
        <v>544</v>
      </c>
      <c r="F1752" t="s">
        <v>622</v>
      </c>
      <c r="G1752">
        <v>0</v>
      </c>
      <c r="H1752">
        <v>2</v>
      </c>
      <c r="I1752">
        <v>0</v>
      </c>
      <c r="J1752">
        <v>0</v>
      </c>
      <c r="K1752" s="9">
        <v>6.1385542168674698</v>
      </c>
    </row>
    <row r="1753" spans="1:11" x14ac:dyDescent="0.45">
      <c r="A1753" t="s">
        <v>175</v>
      </c>
      <c r="B1753" t="s">
        <v>657</v>
      </c>
      <c r="C1753" t="s">
        <v>6</v>
      </c>
      <c r="D1753">
        <v>1</v>
      </c>
      <c r="E1753" t="s">
        <v>290</v>
      </c>
      <c r="F1753" t="s">
        <v>622</v>
      </c>
      <c r="G1753">
        <v>17</v>
      </c>
      <c r="H1753">
        <v>16</v>
      </c>
      <c r="I1753">
        <v>3</v>
      </c>
      <c r="J1753">
        <v>0</v>
      </c>
      <c r="K1753" s="9">
        <v>4.7608695652173916</v>
      </c>
    </row>
    <row r="1754" spans="1:11" x14ac:dyDescent="0.45">
      <c r="A1754" t="s">
        <v>175</v>
      </c>
      <c r="B1754" t="s">
        <v>657</v>
      </c>
      <c r="C1754" t="s">
        <v>6</v>
      </c>
      <c r="D1754">
        <v>2</v>
      </c>
      <c r="E1754" t="s">
        <v>297</v>
      </c>
      <c r="F1754" t="s">
        <v>622</v>
      </c>
      <c r="G1754">
        <v>88</v>
      </c>
      <c r="H1754">
        <v>50</v>
      </c>
      <c r="I1754">
        <v>4</v>
      </c>
      <c r="J1754">
        <v>9</v>
      </c>
      <c r="K1754" s="9">
        <v>2.9047619047619047</v>
      </c>
    </row>
    <row r="1755" spans="1:11" x14ac:dyDescent="0.45">
      <c r="A1755" t="s">
        <v>175</v>
      </c>
      <c r="B1755" t="s">
        <v>657</v>
      </c>
      <c r="C1755" t="s">
        <v>6</v>
      </c>
      <c r="D1755">
        <v>3</v>
      </c>
      <c r="E1755" t="s">
        <v>299</v>
      </c>
      <c r="F1755" t="s">
        <v>622</v>
      </c>
      <c r="G1755">
        <v>3</v>
      </c>
      <c r="H1755">
        <v>8</v>
      </c>
      <c r="I1755">
        <v>0</v>
      </c>
      <c r="J1755">
        <v>0</v>
      </c>
      <c r="K1755" s="9">
        <v>4.9029126213592233</v>
      </c>
    </row>
    <row r="1756" spans="1:11" x14ac:dyDescent="0.45">
      <c r="A1756" t="s">
        <v>175</v>
      </c>
      <c r="B1756" t="s">
        <v>657</v>
      </c>
      <c r="C1756" t="s">
        <v>6</v>
      </c>
      <c r="D1756">
        <v>4</v>
      </c>
      <c r="E1756" t="s">
        <v>387</v>
      </c>
      <c r="F1756" t="s">
        <v>623</v>
      </c>
      <c r="G1756">
        <v>95</v>
      </c>
      <c r="H1756">
        <v>46</v>
      </c>
      <c r="I1756">
        <v>5</v>
      </c>
      <c r="J1756">
        <v>8</v>
      </c>
      <c r="K1756" s="9">
        <v>3.4375</v>
      </c>
    </row>
    <row r="1757" spans="1:11" x14ac:dyDescent="0.45">
      <c r="A1757" t="s">
        <v>175</v>
      </c>
      <c r="B1757" t="s">
        <v>657</v>
      </c>
      <c r="C1757" t="s">
        <v>6</v>
      </c>
      <c r="D1757">
        <v>5</v>
      </c>
      <c r="E1757" t="s">
        <v>328</v>
      </c>
      <c r="F1757" t="s">
        <v>622</v>
      </c>
      <c r="G1757">
        <v>0</v>
      </c>
      <c r="H1757">
        <v>1</v>
      </c>
      <c r="I1757">
        <v>0</v>
      </c>
      <c r="J1757">
        <v>0</v>
      </c>
      <c r="K1757" s="9">
        <v>6.5693779904306222</v>
      </c>
    </row>
    <row r="1758" spans="1:11" x14ac:dyDescent="0.45">
      <c r="A1758" t="s">
        <v>175</v>
      </c>
      <c r="B1758" t="s">
        <v>657</v>
      </c>
      <c r="C1758" t="s">
        <v>6</v>
      </c>
      <c r="D1758">
        <v>6</v>
      </c>
      <c r="E1758" t="s">
        <v>356</v>
      </c>
      <c r="F1758" t="s">
        <v>623</v>
      </c>
      <c r="G1758">
        <v>0</v>
      </c>
      <c r="H1758">
        <v>0</v>
      </c>
      <c r="I1758">
        <v>0</v>
      </c>
      <c r="J1758">
        <v>0</v>
      </c>
      <c r="K1758" s="9">
        <v>6.2519685039370083</v>
      </c>
    </row>
    <row r="1759" spans="1:11" x14ac:dyDescent="0.45">
      <c r="A1759" t="s">
        <v>175</v>
      </c>
      <c r="B1759" t="s">
        <v>657</v>
      </c>
      <c r="C1759" t="s">
        <v>13</v>
      </c>
      <c r="D1759">
        <v>1</v>
      </c>
      <c r="E1759" t="s">
        <v>294</v>
      </c>
      <c r="F1759" t="s">
        <v>622</v>
      </c>
      <c r="G1759">
        <v>8</v>
      </c>
      <c r="H1759">
        <v>9</v>
      </c>
      <c r="I1759">
        <v>0</v>
      </c>
      <c r="J1759">
        <v>0</v>
      </c>
      <c r="K1759" s="9">
        <v>4.924050632911392</v>
      </c>
    </row>
    <row r="1760" spans="1:11" x14ac:dyDescent="0.45">
      <c r="A1760" t="s">
        <v>175</v>
      </c>
      <c r="B1760" t="s">
        <v>657</v>
      </c>
      <c r="C1760" t="s">
        <v>13</v>
      </c>
      <c r="D1760">
        <v>2</v>
      </c>
      <c r="E1760" t="s">
        <v>388</v>
      </c>
      <c r="F1760" t="s">
        <v>622</v>
      </c>
      <c r="G1760">
        <v>12</v>
      </c>
      <c r="H1760">
        <v>16</v>
      </c>
      <c r="I1760">
        <v>1</v>
      </c>
      <c r="J1760">
        <v>0</v>
      </c>
      <c r="K1760" s="9">
        <v>4.7608695652173916</v>
      </c>
    </row>
    <row r="1761" spans="1:11" x14ac:dyDescent="0.45">
      <c r="A1761" t="s">
        <v>175</v>
      </c>
      <c r="B1761" t="s">
        <v>657</v>
      </c>
      <c r="C1761" t="s">
        <v>13</v>
      </c>
      <c r="D1761">
        <v>3</v>
      </c>
      <c r="E1761" t="s">
        <v>343</v>
      </c>
      <c r="F1761" t="s">
        <v>622</v>
      </c>
      <c r="G1761">
        <v>1</v>
      </c>
      <c r="H1761">
        <v>3</v>
      </c>
      <c r="I1761">
        <v>0</v>
      </c>
      <c r="J1761">
        <v>0</v>
      </c>
      <c r="K1761" s="9">
        <v>5.6607142857142856</v>
      </c>
    </row>
    <row r="1762" spans="1:11" x14ac:dyDescent="0.45">
      <c r="A1762" t="s">
        <v>175</v>
      </c>
      <c r="B1762" t="s">
        <v>657</v>
      </c>
      <c r="C1762" t="s">
        <v>13</v>
      </c>
      <c r="D1762">
        <v>4</v>
      </c>
      <c r="E1762" t="s">
        <v>345</v>
      </c>
      <c r="F1762" t="s">
        <v>622</v>
      </c>
      <c r="G1762">
        <v>26</v>
      </c>
      <c r="H1762">
        <v>11</v>
      </c>
      <c r="I1762">
        <v>2</v>
      </c>
      <c r="J1762">
        <v>2</v>
      </c>
      <c r="K1762" s="9">
        <v>4.9649122807017543</v>
      </c>
    </row>
    <row r="1763" spans="1:11" x14ac:dyDescent="0.45">
      <c r="A1763" t="s">
        <v>175</v>
      </c>
      <c r="B1763" t="s">
        <v>657</v>
      </c>
      <c r="C1763" t="s">
        <v>13</v>
      </c>
      <c r="D1763">
        <v>5</v>
      </c>
      <c r="E1763" t="s">
        <v>347</v>
      </c>
      <c r="F1763" t="s">
        <v>622</v>
      </c>
      <c r="G1763">
        <v>41</v>
      </c>
      <c r="H1763">
        <v>27</v>
      </c>
      <c r="I1763">
        <v>4</v>
      </c>
      <c r="J1763">
        <v>0</v>
      </c>
      <c r="K1763" s="9">
        <v>4.25</v>
      </c>
    </row>
    <row r="1764" spans="1:11" x14ac:dyDescent="0.45">
      <c r="A1764" t="s">
        <v>175</v>
      </c>
      <c r="B1764" t="s">
        <v>657</v>
      </c>
      <c r="C1764" t="s">
        <v>13</v>
      </c>
      <c r="D1764">
        <v>6</v>
      </c>
      <c r="E1764" t="s">
        <v>541</v>
      </c>
      <c r="F1764" t="s">
        <v>622</v>
      </c>
      <c r="G1764">
        <v>34</v>
      </c>
      <c r="H1764">
        <v>18</v>
      </c>
      <c r="I1764">
        <v>5</v>
      </c>
      <c r="J1764">
        <v>1</v>
      </c>
      <c r="K1764" s="9">
        <v>4.375</v>
      </c>
    </row>
    <row r="1765" spans="1:11" x14ac:dyDescent="0.45">
      <c r="A1765" t="s">
        <v>175</v>
      </c>
      <c r="B1765" t="s">
        <v>657</v>
      </c>
      <c r="C1765" t="s">
        <v>13</v>
      </c>
      <c r="D1765">
        <v>7</v>
      </c>
      <c r="E1765" t="s">
        <v>311</v>
      </c>
      <c r="F1765" t="s">
        <v>622</v>
      </c>
      <c r="G1765">
        <v>34</v>
      </c>
      <c r="H1765">
        <v>14</v>
      </c>
      <c r="I1765">
        <v>2</v>
      </c>
      <c r="J1765">
        <v>3</v>
      </c>
      <c r="K1765" s="9">
        <v>4.8461538461538458</v>
      </c>
    </row>
    <row r="1766" spans="1:11" x14ac:dyDescent="0.45">
      <c r="A1766" t="s">
        <v>175</v>
      </c>
      <c r="B1766" t="s">
        <v>657</v>
      </c>
      <c r="C1766" t="s">
        <v>13</v>
      </c>
      <c r="D1766">
        <v>8</v>
      </c>
      <c r="E1766" t="s">
        <v>448</v>
      </c>
      <c r="F1766" t="s">
        <v>622</v>
      </c>
      <c r="G1766">
        <v>7</v>
      </c>
      <c r="H1766">
        <v>3</v>
      </c>
      <c r="I1766">
        <v>0</v>
      </c>
      <c r="J1766">
        <v>1</v>
      </c>
      <c r="K1766" s="9">
        <v>5.6607142857142856</v>
      </c>
    </row>
    <row r="1767" spans="1:11" x14ac:dyDescent="0.45">
      <c r="A1767" t="s">
        <v>175</v>
      </c>
      <c r="B1767" t="s">
        <v>657</v>
      </c>
      <c r="C1767" t="s">
        <v>13</v>
      </c>
      <c r="D1767">
        <v>9</v>
      </c>
      <c r="E1767" t="s">
        <v>547</v>
      </c>
      <c r="F1767" t="s">
        <v>622</v>
      </c>
      <c r="G1767">
        <v>0</v>
      </c>
      <c r="H1767">
        <v>2</v>
      </c>
      <c r="I1767">
        <v>0</v>
      </c>
      <c r="J1767">
        <v>0</v>
      </c>
      <c r="K1767" s="9">
        <v>6.1385542168674698</v>
      </c>
    </row>
    <row r="1768" spans="1:11" x14ac:dyDescent="0.45">
      <c r="A1768" t="s">
        <v>175</v>
      </c>
      <c r="B1768" t="s">
        <v>657</v>
      </c>
      <c r="C1768" t="s">
        <v>13</v>
      </c>
      <c r="D1768">
        <v>10</v>
      </c>
      <c r="E1768" t="s">
        <v>352</v>
      </c>
      <c r="F1768" t="s">
        <v>623</v>
      </c>
      <c r="G1768">
        <v>14</v>
      </c>
      <c r="H1768">
        <v>11</v>
      </c>
      <c r="I1768">
        <v>3</v>
      </c>
      <c r="J1768">
        <v>0</v>
      </c>
      <c r="K1768" s="9">
        <v>4.9649122807017543</v>
      </c>
    </row>
    <row r="1769" spans="1:11" x14ac:dyDescent="0.45">
      <c r="A1769" t="s">
        <v>175</v>
      </c>
      <c r="B1769" t="s">
        <v>657</v>
      </c>
      <c r="C1769" t="s">
        <v>13</v>
      </c>
      <c r="D1769">
        <v>11</v>
      </c>
      <c r="E1769" t="s">
        <v>325</v>
      </c>
      <c r="F1769" t="s">
        <v>623</v>
      </c>
      <c r="G1769">
        <v>7</v>
      </c>
      <c r="H1769">
        <v>7</v>
      </c>
      <c r="I1769">
        <v>0</v>
      </c>
      <c r="J1769">
        <v>0</v>
      </c>
      <c r="K1769" s="9">
        <v>4.927835051546392</v>
      </c>
    </row>
    <row r="1770" spans="1:11" x14ac:dyDescent="0.45">
      <c r="A1770" t="s">
        <v>176</v>
      </c>
      <c r="B1770" t="s">
        <v>691</v>
      </c>
      <c r="C1770" t="s">
        <v>101</v>
      </c>
      <c r="D1770">
        <v>1</v>
      </c>
      <c r="E1770" t="s">
        <v>488</v>
      </c>
      <c r="F1770" t="s">
        <v>622</v>
      </c>
      <c r="G1770">
        <v>19</v>
      </c>
      <c r="H1770">
        <v>19</v>
      </c>
      <c r="I1770">
        <v>3</v>
      </c>
      <c r="J1770">
        <v>0</v>
      </c>
      <c r="K1770" s="9">
        <v>4.5660377358490569</v>
      </c>
    </row>
    <row r="1771" spans="1:11" x14ac:dyDescent="0.45">
      <c r="A1771" t="s">
        <v>176</v>
      </c>
      <c r="B1771" t="s">
        <v>691</v>
      </c>
      <c r="C1771" t="s">
        <v>101</v>
      </c>
      <c r="D1771">
        <v>2</v>
      </c>
      <c r="E1771" t="s">
        <v>302</v>
      </c>
      <c r="F1771" t="s">
        <v>622</v>
      </c>
      <c r="G1771">
        <v>7</v>
      </c>
      <c r="H1771">
        <v>9</v>
      </c>
      <c r="I1771">
        <v>1</v>
      </c>
      <c r="J1771">
        <v>0</v>
      </c>
      <c r="K1771" s="9">
        <v>4.924050632911392</v>
      </c>
    </row>
    <row r="1772" spans="1:11" x14ac:dyDescent="0.45">
      <c r="A1772" t="s">
        <v>176</v>
      </c>
      <c r="B1772" t="s">
        <v>691</v>
      </c>
      <c r="C1772" t="s">
        <v>101</v>
      </c>
      <c r="D1772">
        <v>3</v>
      </c>
      <c r="E1772" t="s">
        <v>534</v>
      </c>
      <c r="F1772" t="s">
        <v>622</v>
      </c>
      <c r="G1772">
        <v>11</v>
      </c>
      <c r="H1772">
        <v>9</v>
      </c>
      <c r="I1772">
        <v>2</v>
      </c>
      <c r="J1772">
        <v>0</v>
      </c>
      <c r="K1772" s="9">
        <v>4.924050632911392</v>
      </c>
    </row>
    <row r="1773" spans="1:11" x14ac:dyDescent="0.45">
      <c r="A1773" t="s">
        <v>176</v>
      </c>
      <c r="B1773" t="s">
        <v>691</v>
      </c>
      <c r="C1773" t="s">
        <v>101</v>
      </c>
      <c r="D1773">
        <v>4</v>
      </c>
      <c r="E1773" t="s">
        <v>361</v>
      </c>
      <c r="F1773" t="s">
        <v>623</v>
      </c>
      <c r="G1773">
        <v>50</v>
      </c>
      <c r="H1773">
        <v>42</v>
      </c>
      <c r="I1773">
        <v>4</v>
      </c>
      <c r="J1773">
        <v>1</v>
      </c>
      <c r="K1773" s="9">
        <v>3.3913043478260869</v>
      </c>
    </row>
    <row r="1774" spans="1:11" x14ac:dyDescent="0.45">
      <c r="A1774" t="s">
        <v>176</v>
      </c>
      <c r="B1774" t="s">
        <v>691</v>
      </c>
      <c r="C1774" t="s">
        <v>101</v>
      </c>
      <c r="D1774">
        <v>5</v>
      </c>
      <c r="E1774" t="s">
        <v>411</v>
      </c>
      <c r="F1774" t="s">
        <v>622</v>
      </c>
      <c r="G1774">
        <v>12</v>
      </c>
      <c r="H1774">
        <v>15</v>
      </c>
      <c r="I1774">
        <v>0</v>
      </c>
      <c r="J1774">
        <v>0</v>
      </c>
      <c r="K1774" s="9">
        <v>4.7777777777777777</v>
      </c>
    </row>
    <row r="1775" spans="1:11" x14ac:dyDescent="0.45">
      <c r="A1775" t="s">
        <v>176</v>
      </c>
      <c r="B1775" t="s">
        <v>691</v>
      </c>
      <c r="C1775" t="s">
        <v>101</v>
      </c>
      <c r="D1775">
        <v>6</v>
      </c>
      <c r="E1775" t="s">
        <v>540</v>
      </c>
      <c r="F1775" t="s">
        <v>622</v>
      </c>
      <c r="G1775">
        <v>35</v>
      </c>
      <c r="H1775">
        <v>21</v>
      </c>
      <c r="I1775">
        <v>5</v>
      </c>
      <c r="J1775">
        <v>1</v>
      </c>
      <c r="K1775" s="9">
        <v>4.3770491803278686</v>
      </c>
    </row>
    <row r="1776" spans="1:11" x14ac:dyDescent="0.45">
      <c r="A1776" t="s">
        <v>176</v>
      </c>
      <c r="B1776" t="s">
        <v>691</v>
      </c>
      <c r="C1776" t="s">
        <v>101</v>
      </c>
      <c r="D1776">
        <v>7</v>
      </c>
      <c r="E1776" t="s">
        <v>390</v>
      </c>
      <c r="F1776" t="s">
        <v>622</v>
      </c>
      <c r="G1776">
        <v>6</v>
      </c>
      <c r="H1776">
        <v>4</v>
      </c>
      <c r="I1776">
        <v>1</v>
      </c>
      <c r="J1776">
        <v>0</v>
      </c>
      <c r="K1776" s="9">
        <v>5.352380952380952</v>
      </c>
    </row>
    <row r="1777" spans="1:11" x14ac:dyDescent="0.45">
      <c r="A1777" t="s">
        <v>176</v>
      </c>
      <c r="B1777" t="s">
        <v>691</v>
      </c>
      <c r="C1777" t="s">
        <v>101</v>
      </c>
      <c r="D1777">
        <v>8</v>
      </c>
      <c r="E1777" t="s">
        <v>379</v>
      </c>
      <c r="F1777" t="s">
        <v>622</v>
      </c>
      <c r="G1777">
        <v>0</v>
      </c>
      <c r="H1777">
        <v>1</v>
      </c>
      <c r="I1777">
        <v>0</v>
      </c>
      <c r="J1777">
        <v>0</v>
      </c>
      <c r="K1777" s="9">
        <v>6.5693779904306222</v>
      </c>
    </row>
    <row r="1778" spans="1:11" x14ac:dyDescent="0.45">
      <c r="A1778" t="s">
        <v>176</v>
      </c>
      <c r="B1778" t="s">
        <v>691</v>
      </c>
      <c r="C1778" t="s">
        <v>20</v>
      </c>
      <c r="D1778">
        <v>1</v>
      </c>
      <c r="E1778" t="s">
        <v>373</v>
      </c>
      <c r="F1778" t="s">
        <v>622</v>
      </c>
      <c r="G1778">
        <v>42</v>
      </c>
      <c r="H1778">
        <v>32</v>
      </c>
      <c r="I1778">
        <v>6</v>
      </c>
      <c r="J1778">
        <v>0</v>
      </c>
      <c r="K1778" s="9">
        <v>3.9375</v>
      </c>
    </row>
    <row r="1779" spans="1:11" x14ac:dyDescent="0.45">
      <c r="A1779" t="s">
        <v>176</v>
      </c>
      <c r="B1779" t="s">
        <v>691</v>
      </c>
      <c r="C1779" t="s">
        <v>20</v>
      </c>
      <c r="D1779">
        <v>2</v>
      </c>
      <c r="E1779" t="s">
        <v>408</v>
      </c>
      <c r="F1779" t="s">
        <v>622</v>
      </c>
      <c r="G1779">
        <v>57</v>
      </c>
      <c r="H1779">
        <v>46</v>
      </c>
      <c r="I1779">
        <v>2</v>
      </c>
      <c r="J1779">
        <v>4</v>
      </c>
      <c r="K1779" s="9">
        <v>3.4375</v>
      </c>
    </row>
    <row r="1780" spans="1:11" x14ac:dyDescent="0.45">
      <c r="A1780" t="s">
        <v>176</v>
      </c>
      <c r="B1780" t="s">
        <v>691</v>
      </c>
      <c r="C1780" t="s">
        <v>20</v>
      </c>
      <c r="D1780">
        <v>3</v>
      </c>
      <c r="E1780" t="s">
        <v>315</v>
      </c>
      <c r="F1780" t="s">
        <v>622</v>
      </c>
      <c r="G1780">
        <v>17</v>
      </c>
      <c r="H1780">
        <v>11</v>
      </c>
      <c r="I1780">
        <v>1</v>
      </c>
      <c r="J1780">
        <v>1</v>
      </c>
      <c r="K1780" s="9">
        <v>4.9649122807017543</v>
      </c>
    </row>
    <row r="1781" spans="1:11" x14ac:dyDescent="0.45">
      <c r="A1781" t="s">
        <v>176</v>
      </c>
      <c r="B1781" t="s">
        <v>691</v>
      </c>
      <c r="C1781" t="s">
        <v>20</v>
      </c>
      <c r="D1781">
        <v>4</v>
      </c>
      <c r="E1781" t="s">
        <v>416</v>
      </c>
      <c r="F1781" t="s">
        <v>623</v>
      </c>
      <c r="G1781">
        <v>34</v>
      </c>
      <c r="H1781">
        <v>18</v>
      </c>
      <c r="I1781">
        <v>2</v>
      </c>
      <c r="J1781">
        <v>2</v>
      </c>
      <c r="K1781" s="9">
        <v>4.375</v>
      </c>
    </row>
    <row r="1782" spans="1:11" x14ac:dyDescent="0.45">
      <c r="A1782" t="s">
        <v>176</v>
      </c>
      <c r="B1782" t="s">
        <v>691</v>
      </c>
      <c r="C1782" t="s">
        <v>20</v>
      </c>
      <c r="D1782">
        <v>5</v>
      </c>
      <c r="E1782" t="s">
        <v>401</v>
      </c>
      <c r="F1782" t="s">
        <v>623</v>
      </c>
      <c r="G1782">
        <v>12</v>
      </c>
      <c r="H1782">
        <v>8</v>
      </c>
      <c r="I1782">
        <v>1</v>
      </c>
      <c r="J1782">
        <v>0</v>
      </c>
      <c r="K1782" s="9">
        <v>4.9029126213592233</v>
      </c>
    </row>
    <row r="1783" spans="1:11" x14ac:dyDescent="0.45">
      <c r="A1783" t="s">
        <v>177</v>
      </c>
      <c r="B1783" t="s">
        <v>673</v>
      </c>
      <c r="C1783" t="s">
        <v>23</v>
      </c>
      <c r="D1783">
        <v>1</v>
      </c>
      <c r="E1783" t="s">
        <v>458</v>
      </c>
      <c r="F1783" t="s">
        <v>622</v>
      </c>
      <c r="G1783">
        <v>13</v>
      </c>
      <c r="H1783">
        <v>11</v>
      </c>
      <c r="I1783">
        <v>1</v>
      </c>
      <c r="J1783">
        <v>1</v>
      </c>
      <c r="K1783" s="9">
        <v>4.9649122807017543</v>
      </c>
    </row>
    <row r="1784" spans="1:11" x14ac:dyDescent="0.45">
      <c r="A1784" t="s">
        <v>177</v>
      </c>
      <c r="B1784" t="s">
        <v>673</v>
      </c>
      <c r="C1784" t="s">
        <v>23</v>
      </c>
      <c r="D1784">
        <v>2</v>
      </c>
      <c r="E1784" t="s">
        <v>342</v>
      </c>
      <c r="F1784" t="s">
        <v>622</v>
      </c>
      <c r="G1784">
        <v>29</v>
      </c>
      <c r="H1784">
        <v>29</v>
      </c>
      <c r="I1784">
        <v>4</v>
      </c>
      <c r="J1784">
        <v>0</v>
      </c>
      <c r="K1784" s="9">
        <v>4.0454545454545459</v>
      </c>
    </row>
    <row r="1785" spans="1:11" x14ac:dyDescent="0.45">
      <c r="A1785" t="s">
        <v>177</v>
      </c>
      <c r="B1785" t="s">
        <v>673</v>
      </c>
      <c r="C1785" t="s">
        <v>23</v>
      </c>
      <c r="D1785">
        <v>3</v>
      </c>
      <c r="E1785" t="s">
        <v>386</v>
      </c>
      <c r="F1785" t="s">
        <v>622</v>
      </c>
      <c r="G1785">
        <v>13</v>
      </c>
      <c r="H1785">
        <v>12</v>
      </c>
      <c r="I1785">
        <v>2</v>
      </c>
      <c r="J1785">
        <v>0</v>
      </c>
      <c r="K1785" s="9">
        <v>4.8024691358024691</v>
      </c>
    </row>
    <row r="1786" spans="1:11" x14ac:dyDescent="0.45">
      <c r="A1786" t="s">
        <v>177</v>
      </c>
      <c r="B1786" t="s">
        <v>673</v>
      </c>
      <c r="C1786" t="s">
        <v>23</v>
      </c>
      <c r="D1786">
        <v>4</v>
      </c>
      <c r="E1786" t="s">
        <v>526</v>
      </c>
      <c r="F1786" t="s">
        <v>622</v>
      </c>
      <c r="G1786">
        <v>4</v>
      </c>
      <c r="H1786">
        <v>4</v>
      </c>
      <c r="I1786">
        <v>1</v>
      </c>
      <c r="J1786">
        <v>0</v>
      </c>
      <c r="K1786" s="9">
        <v>5.352380952380952</v>
      </c>
    </row>
    <row r="1787" spans="1:11" x14ac:dyDescent="0.45">
      <c r="A1787" t="s">
        <v>177</v>
      </c>
      <c r="B1787" t="s">
        <v>673</v>
      </c>
      <c r="C1787" t="s">
        <v>23</v>
      </c>
      <c r="D1787">
        <v>5</v>
      </c>
      <c r="E1787" t="s">
        <v>336</v>
      </c>
      <c r="F1787" t="s">
        <v>623</v>
      </c>
      <c r="G1787">
        <v>59</v>
      </c>
      <c r="H1787">
        <v>36</v>
      </c>
      <c r="I1787">
        <v>1</v>
      </c>
      <c r="J1787">
        <v>6</v>
      </c>
      <c r="K1787" s="9">
        <v>4.083333333333333</v>
      </c>
    </row>
    <row r="1788" spans="1:11" x14ac:dyDescent="0.45">
      <c r="A1788" t="s">
        <v>177</v>
      </c>
      <c r="B1788" t="s">
        <v>673</v>
      </c>
      <c r="C1788" t="s">
        <v>23</v>
      </c>
      <c r="D1788">
        <v>6</v>
      </c>
      <c r="E1788" t="s">
        <v>339</v>
      </c>
      <c r="F1788" t="s">
        <v>622</v>
      </c>
      <c r="G1788">
        <v>28</v>
      </c>
      <c r="H1788">
        <v>23</v>
      </c>
      <c r="I1788">
        <v>0</v>
      </c>
      <c r="J1788">
        <v>2</v>
      </c>
      <c r="K1788" s="9">
        <v>5.1142857142857139</v>
      </c>
    </row>
    <row r="1789" spans="1:11" x14ac:dyDescent="0.45">
      <c r="A1789" t="s">
        <v>177</v>
      </c>
      <c r="B1789" t="s">
        <v>673</v>
      </c>
      <c r="C1789" t="s">
        <v>23</v>
      </c>
      <c r="D1789">
        <v>7</v>
      </c>
      <c r="E1789" t="s">
        <v>431</v>
      </c>
      <c r="F1789" t="s">
        <v>622</v>
      </c>
      <c r="G1789">
        <v>8</v>
      </c>
      <c r="H1789">
        <v>4</v>
      </c>
      <c r="I1789">
        <v>0</v>
      </c>
      <c r="J1789">
        <v>1</v>
      </c>
      <c r="K1789" s="9">
        <v>5.352380952380952</v>
      </c>
    </row>
    <row r="1790" spans="1:11" x14ac:dyDescent="0.45">
      <c r="A1790" t="s">
        <v>177</v>
      </c>
      <c r="B1790" t="s">
        <v>673</v>
      </c>
      <c r="C1790" t="s">
        <v>23</v>
      </c>
      <c r="D1790">
        <v>8</v>
      </c>
      <c r="E1790" t="s">
        <v>370</v>
      </c>
      <c r="F1790" t="s">
        <v>623</v>
      </c>
      <c r="G1790">
        <v>2</v>
      </c>
      <c r="H1790">
        <v>1</v>
      </c>
      <c r="I1790">
        <v>0</v>
      </c>
      <c r="J1790">
        <v>0</v>
      </c>
      <c r="K1790" s="9">
        <v>6.5693779904306222</v>
      </c>
    </row>
    <row r="1791" spans="1:11" x14ac:dyDescent="0.45">
      <c r="A1791" t="s">
        <v>177</v>
      </c>
      <c r="B1791" t="s">
        <v>673</v>
      </c>
      <c r="C1791" t="s">
        <v>104</v>
      </c>
      <c r="D1791">
        <v>1</v>
      </c>
      <c r="E1791" t="s">
        <v>397</v>
      </c>
      <c r="F1791" t="s">
        <v>622</v>
      </c>
      <c r="G1791">
        <v>0</v>
      </c>
      <c r="H1791">
        <v>1</v>
      </c>
      <c r="I1791">
        <v>0</v>
      </c>
      <c r="J1791">
        <v>0</v>
      </c>
      <c r="K1791" s="9">
        <v>6.5693779904306222</v>
      </c>
    </row>
    <row r="1792" spans="1:11" x14ac:dyDescent="0.45">
      <c r="A1792" t="s">
        <v>177</v>
      </c>
      <c r="B1792" t="s">
        <v>673</v>
      </c>
      <c r="C1792" t="s">
        <v>104</v>
      </c>
      <c r="D1792">
        <v>2</v>
      </c>
      <c r="E1792" t="s">
        <v>422</v>
      </c>
      <c r="F1792" t="s">
        <v>622</v>
      </c>
      <c r="G1792">
        <v>39</v>
      </c>
      <c r="H1792">
        <v>32</v>
      </c>
      <c r="I1792">
        <v>2</v>
      </c>
      <c r="J1792">
        <v>1</v>
      </c>
      <c r="K1792" s="9">
        <v>3.9375</v>
      </c>
    </row>
    <row r="1793" spans="1:11" x14ac:dyDescent="0.45">
      <c r="A1793" t="s">
        <v>177</v>
      </c>
      <c r="B1793" t="s">
        <v>673</v>
      </c>
      <c r="C1793" t="s">
        <v>104</v>
      </c>
      <c r="D1793">
        <v>3</v>
      </c>
      <c r="E1793" t="s">
        <v>516</v>
      </c>
      <c r="F1793" t="s">
        <v>622</v>
      </c>
      <c r="G1793">
        <v>0</v>
      </c>
      <c r="H1793">
        <v>1</v>
      </c>
      <c r="I1793">
        <v>0</v>
      </c>
      <c r="J1793">
        <v>0</v>
      </c>
      <c r="K1793" s="9">
        <v>6.5693779904306222</v>
      </c>
    </row>
    <row r="1794" spans="1:11" x14ac:dyDescent="0.45">
      <c r="A1794" t="s">
        <v>177</v>
      </c>
      <c r="B1794" t="s">
        <v>673</v>
      </c>
      <c r="C1794" t="s">
        <v>104</v>
      </c>
      <c r="D1794">
        <v>4</v>
      </c>
      <c r="E1794" t="s">
        <v>378</v>
      </c>
      <c r="F1794" t="s">
        <v>622</v>
      </c>
      <c r="G1794">
        <v>8</v>
      </c>
      <c r="H1794">
        <v>14</v>
      </c>
      <c r="I1794">
        <v>2</v>
      </c>
      <c r="J1794">
        <v>0</v>
      </c>
      <c r="K1794" s="9">
        <v>4.8461538461538458</v>
      </c>
    </row>
    <row r="1795" spans="1:11" x14ac:dyDescent="0.45">
      <c r="A1795" t="s">
        <v>177</v>
      </c>
      <c r="B1795" t="s">
        <v>673</v>
      </c>
      <c r="C1795" t="s">
        <v>104</v>
      </c>
      <c r="D1795">
        <v>5</v>
      </c>
      <c r="E1795" t="s">
        <v>426</v>
      </c>
      <c r="F1795" t="s">
        <v>622</v>
      </c>
      <c r="G1795">
        <v>25</v>
      </c>
      <c r="H1795">
        <v>24</v>
      </c>
      <c r="I1795">
        <v>3</v>
      </c>
      <c r="J1795">
        <v>0</v>
      </c>
      <c r="K1795" s="9">
        <v>4.0606060606060606</v>
      </c>
    </row>
    <row r="1796" spans="1:11" x14ac:dyDescent="0.45">
      <c r="A1796" t="s">
        <v>177</v>
      </c>
      <c r="B1796" t="s">
        <v>673</v>
      </c>
      <c r="C1796" t="s">
        <v>104</v>
      </c>
      <c r="D1796">
        <v>6</v>
      </c>
      <c r="E1796" t="s">
        <v>521</v>
      </c>
      <c r="F1796" t="s">
        <v>622</v>
      </c>
      <c r="G1796">
        <v>5</v>
      </c>
      <c r="H1796">
        <v>7</v>
      </c>
      <c r="I1796">
        <v>0</v>
      </c>
      <c r="J1796">
        <v>0</v>
      </c>
      <c r="K1796" s="9">
        <v>4.927835051546392</v>
      </c>
    </row>
    <row r="1797" spans="1:11" x14ac:dyDescent="0.45">
      <c r="A1797" t="s">
        <v>177</v>
      </c>
      <c r="B1797" t="s">
        <v>673</v>
      </c>
      <c r="C1797" t="s">
        <v>104</v>
      </c>
      <c r="D1797">
        <v>7</v>
      </c>
      <c r="E1797" t="s">
        <v>366</v>
      </c>
      <c r="F1797" t="s">
        <v>622</v>
      </c>
      <c r="G1797">
        <v>22</v>
      </c>
      <c r="H1797">
        <v>15</v>
      </c>
      <c r="I1797">
        <v>2</v>
      </c>
      <c r="J1797">
        <v>0</v>
      </c>
      <c r="K1797" s="9">
        <v>4.7777777777777777</v>
      </c>
    </row>
    <row r="1798" spans="1:11" x14ac:dyDescent="0.45">
      <c r="A1798" t="s">
        <v>177</v>
      </c>
      <c r="B1798" t="s">
        <v>673</v>
      </c>
      <c r="C1798" t="s">
        <v>104</v>
      </c>
      <c r="D1798">
        <v>8</v>
      </c>
      <c r="E1798" t="s">
        <v>331</v>
      </c>
      <c r="F1798" t="s">
        <v>623</v>
      </c>
      <c r="G1798">
        <v>38</v>
      </c>
      <c r="H1798">
        <v>17</v>
      </c>
      <c r="I1798">
        <v>2</v>
      </c>
      <c r="J1798">
        <v>4</v>
      </c>
      <c r="K1798" s="9">
        <v>4.82</v>
      </c>
    </row>
    <row r="1799" spans="1:11" x14ac:dyDescent="0.45">
      <c r="A1799" t="s">
        <v>177</v>
      </c>
      <c r="B1799" t="s">
        <v>673</v>
      </c>
      <c r="C1799" t="s">
        <v>104</v>
      </c>
      <c r="D1799">
        <v>9</v>
      </c>
      <c r="E1799" t="s">
        <v>491</v>
      </c>
      <c r="F1799" t="s">
        <v>622</v>
      </c>
      <c r="G1799">
        <v>13</v>
      </c>
      <c r="H1799">
        <v>7</v>
      </c>
      <c r="I1799">
        <v>2</v>
      </c>
      <c r="J1799">
        <v>0</v>
      </c>
      <c r="K1799" s="9">
        <v>4.927835051546392</v>
      </c>
    </row>
    <row r="1800" spans="1:11" x14ac:dyDescent="0.45">
      <c r="A1800" t="s">
        <v>177</v>
      </c>
      <c r="B1800" t="s">
        <v>673</v>
      </c>
      <c r="C1800" t="s">
        <v>104</v>
      </c>
      <c r="D1800">
        <v>10</v>
      </c>
      <c r="E1800" t="s">
        <v>340</v>
      </c>
      <c r="F1800" t="s">
        <v>623</v>
      </c>
      <c r="G1800">
        <v>7</v>
      </c>
      <c r="H1800">
        <v>2</v>
      </c>
      <c r="I1800">
        <v>0</v>
      </c>
      <c r="J1800">
        <v>1</v>
      </c>
      <c r="K1800" s="9">
        <v>6.1385542168674698</v>
      </c>
    </row>
    <row r="1801" spans="1:11" x14ac:dyDescent="0.45">
      <c r="A1801" t="s">
        <v>179</v>
      </c>
      <c r="B1801" t="s">
        <v>624</v>
      </c>
      <c r="C1801" t="s">
        <v>10</v>
      </c>
      <c r="D1801">
        <v>1</v>
      </c>
      <c r="E1801" t="s">
        <v>329</v>
      </c>
      <c r="F1801" t="s">
        <v>622</v>
      </c>
      <c r="G1801">
        <v>51</v>
      </c>
      <c r="H1801">
        <v>29</v>
      </c>
      <c r="I1801">
        <v>7</v>
      </c>
      <c r="J1801">
        <v>2</v>
      </c>
      <c r="K1801" s="9">
        <v>4.0454545454545459</v>
      </c>
    </row>
    <row r="1802" spans="1:11" x14ac:dyDescent="0.45">
      <c r="A1802" t="s">
        <v>179</v>
      </c>
      <c r="B1802" t="s">
        <v>624</v>
      </c>
      <c r="C1802" t="s">
        <v>10</v>
      </c>
      <c r="D1802">
        <v>2</v>
      </c>
      <c r="E1802" t="s">
        <v>442</v>
      </c>
      <c r="F1802" t="s">
        <v>622</v>
      </c>
      <c r="G1802">
        <v>61</v>
      </c>
      <c r="H1802">
        <v>45</v>
      </c>
      <c r="I1802">
        <v>6</v>
      </c>
      <c r="J1802">
        <v>2</v>
      </c>
      <c r="K1802" s="9">
        <v>3.4375</v>
      </c>
    </row>
    <row r="1803" spans="1:11" x14ac:dyDescent="0.45">
      <c r="A1803" t="s">
        <v>179</v>
      </c>
      <c r="B1803" t="s">
        <v>624</v>
      </c>
      <c r="C1803" t="s">
        <v>10</v>
      </c>
      <c r="D1803">
        <v>3</v>
      </c>
      <c r="E1803" t="s">
        <v>334</v>
      </c>
      <c r="F1803" t="s">
        <v>622</v>
      </c>
      <c r="G1803">
        <v>27</v>
      </c>
      <c r="H1803">
        <v>14</v>
      </c>
      <c r="I1803">
        <v>2</v>
      </c>
      <c r="J1803">
        <v>2</v>
      </c>
      <c r="K1803" s="9">
        <v>4.8461538461538458</v>
      </c>
    </row>
    <row r="1804" spans="1:11" x14ac:dyDescent="0.45">
      <c r="A1804" t="s">
        <v>179</v>
      </c>
      <c r="B1804" t="s">
        <v>624</v>
      </c>
      <c r="C1804" t="s">
        <v>10</v>
      </c>
      <c r="D1804">
        <v>4</v>
      </c>
      <c r="E1804" t="s">
        <v>436</v>
      </c>
      <c r="F1804" t="s">
        <v>622</v>
      </c>
      <c r="G1804">
        <v>1</v>
      </c>
      <c r="H1804">
        <v>4</v>
      </c>
      <c r="I1804">
        <v>0</v>
      </c>
      <c r="J1804">
        <v>0</v>
      </c>
      <c r="K1804" s="9">
        <v>5.352380952380952</v>
      </c>
    </row>
    <row r="1805" spans="1:11" x14ac:dyDescent="0.45">
      <c r="A1805" t="s">
        <v>179</v>
      </c>
      <c r="B1805" t="s">
        <v>624</v>
      </c>
      <c r="C1805" t="s">
        <v>10</v>
      </c>
      <c r="D1805">
        <v>5</v>
      </c>
      <c r="E1805" t="s">
        <v>499</v>
      </c>
      <c r="F1805" t="s">
        <v>622</v>
      </c>
      <c r="G1805">
        <v>8</v>
      </c>
      <c r="H1805">
        <v>6</v>
      </c>
      <c r="I1805">
        <v>0</v>
      </c>
      <c r="J1805">
        <v>1</v>
      </c>
      <c r="K1805" s="9">
        <v>5.4565217391304346</v>
      </c>
    </row>
    <row r="1806" spans="1:11" x14ac:dyDescent="0.45">
      <c r="A1806" t="s">
        <v>179</v>
      </c>
      <c r="B1806" t="s">
        <v>624</v>
      </c>
      <c r="C1806" t="s">
        <v>10</v>
      </c>
      <c r="D1806">
        <v>6</v>
      </c>
      <c r="E1806" t="s">
        <v>337</v>
      </c>
      <c r="F1806" t="s">
        <v>623</v>
      </c>
      <c r="G1806">
        <v>22</v>
      </c>
      <c r="H1806">
        <v>14</v>
      </c>
      <c r="I1806">
        <v>2</v>
      </c>
      <c r="J1806">
        <v>1</v>
      </c>
      <c r="K1806" s="9">
        <v>4.8461538461538458</v>
      </c>
    </row>
    <row r="1807" spans="1:11" x14ac:dyDescent="0.45">
      <c r="A1807" t="s">
        <v>179</v>
      </c>
      <c r="B1807" t="s">
        <v>624</v>
      </c>
      <c r="C1807" t="s">
        <v>10</v>
      </c>
      <c r="D1807">
        <v>7</v>
      </c>
      <c r="E1807" t="s">
        <v>326</v>
      </c>
      <c r="F1807" t="s">
        <v>623</v>
      </c>
      <c r="G1807">
        <v>29</v>
      </c>
      <c r="H1807">
        <v>11</v>
      </c>
      <c r="I1807">
        <v>1</v>
      </c>
      <c r="J1807">
        <v>3</v>
      </c>
      <c r="K1807" s="9">
        <v>4.9649122807017543</v>
      </c>
    </row>
    <row r="1808" spans="1:11" x14ac:dyDescent="0.45">
      <c r="A1808" t="s">
        <v>179</v>
      </c>
      <c r="B1808" t="s">
        <v>624</v>
      </c>
      <c r="C1808" t="s">
        <v>7</v>
      </c>
      <c r="D1808">
        <v>1</v>
      </c>
      <c r="E1808" t="s">
        <v>481</v>
      </c>
      <c r="F1808" t="s">
        <v>622</v>
      </c>
      <c r="G1808">
        <v>8</v>
      </c>
      <c r="H1808">
        <v>14</v>
      </c>
      <c r="I1808">
        <v>1</v>
      </c>
      <c r="J1808">
        <v>0</v>
      </c>
      <c r="K1808" s="9">
        <v>4.8461538461538458</v>
      </c>
    </row>
    <row r="1809" spans="1:11" x14ac:dyDescent="0.45">
      <c r="A1809" t="s">
        <v>179</v>
      </c>
      <c r="B1809" t="s">
        <v>624</v>
      </c>
      <c r="C1809" t="s">
        <v>7</v>
      </c>
      <c r="D1809">
        <v>2</v>
      </c>
      <c r="E1809" t="s">
        <v>304</v>
      </c>
      <c r="F1809" t="s">
        <v>622</v>
      </c>
      <c r="G1809">
        <v>18</v>
      </c>
      <c r="H1809">
        <v>8</v>
      </c>
      <c r="I1809">
        <v>1</v>
      </c>
      <c r="J1809">
        <v>2</v>
      </c>
      <c r="K1809" s="9">
        <v>4.9029126213592233</v>
      </c>
    </row>
    <row r="1810" spans="1:11" x14ac:dyDescent="0.45">
      <c r="A1810" t="s">
        <v>179</v>
      </c>
      <c r="B1810" t="s">
        <v>624</v>
      </c>
      <c r="C1810" t="s">
        <v>7</v>
      </c>
      <c r="D1810">
        <v>3</v>
      </c>
      <c r="E1810" t="s">
        <v>332</v>
      </c>
      <c r="F1810" t="s">
        <v>622</v>
      </c>
      <c r="G1810">
        <v>54</v>
      </c>
      <c r="H1810">
        <v>33</v>
      </c>
      <c r="I1810">
        <v>5</v>
      </c>
      <c r="J1810">
        <v>2</v>
      </c>
      <c r="K1810" s="9">
        <v>2.8421052631578947</v>
      </c>
    </row>
    <row r="1811" spans="1:11" x14ac:dyDescent="0.45">
      <c r="A1811" t="s">
        <v>179</v>
      </c>
      <c r="B1811" t="s">
        <v>624</v>
      </c>
      <c r="C1811" t="s">
        <v>7</v>
      </c>
      <c r="D1811">
        <v>4</v>
      </c>
      <c r="E1811" t="s">
        <v>306</v>
      </c>
      <c r="F1811" t="s">
        <v>622</v>
      </c>
      <c r="G1811">
        <v>30</v>
      </c>
      <c r="H1811">
        <v>20</v>
      </c>
      <c r="I1811">
        <v>0</v>
      </c>
      <c r="J1811">
        <v>3</v>
      </c>
      <c r="K1811" s="9">
        <v>4.9473684210526319</v>
      </c>
    </row>
    <row r="1812" spans="1:11" x14ac:dyDescent="0.45">
      <c r="A1812" t="s">
        <v>179</v>
      </c>
      <c r="B1812" t="s">
        <v>624</v>
      </c>
      <c r="C1812" t="s">
        <v>7</v>
      </c>
      <c r="D1812">
        <v>5</v>
      </c>
      <c r="E1812" t="s">
        <v>440</v>
      </c>
      <c r="F1812" t="s">
        <v>622</v>
      </c>
      <c r="G1812">
        <v>24</v>
      </c>
      <c r="H1812">
        <v>21</v>
      </c>
      <c r="I1812">
        <v>3</v>
      </c>
      <c r="J1812">
        <v>0</v>
      </c>
      <c r="K1812" s="9">
        <v>4.3770491803278686</v>
      </c>
    </row>
    <row r="1813" spans="1:11" x14ac:dyDescent="0.45">
      <c r="A1813" t="s">
        <v>179</v>
      </c>
      <c r="B1813" t="s">
        <v>624</v>
      </c>
      <c r="C1813" t="s">
        <v>7</v>
      </c>
      <c r="D1813">
        <v>6</v>
      </c>
      <c r="E1813" t="s">
        <v>513</v>
      </c>
      <c r="F1813" t="s">
        <v>622</v>
      </c>
      <c r="G1813">
        <v>15</v>
      </c>
      <c r="H1813">
        <v>9</v>
      </c>
      <c r="I1813">
        <v>1</v>
      </c>
      <c r="J1813">
        <v>1</v>
      </c>
      <c r="K1813" s="9">
        <v>4.924050632911392</v>
      </c>
    </row>
    <row r="1814" spans="1:11" x14ac:dyDescent="0.45">
      <c r="A1814" t="s">
        <v>179</v>
      </c>
      <c r="B1814" t="s">
        <v>624</v>
      </c>
      <c r="C1814" t="s">
        <v>7</v>
      </c>
      <c r="D1814">
        <v>7</v>
      </c>
      <c r="E1814" t="s">
        <v>465</v>
      </c>
      <c r="F1814" t="s">
        <v>622</v>
      </c>
      <c r="G1814">
        <v>4</v>
      </c>
      <c r="H1814">
        <v>3</v>
      </c>
      <c r="I1814">
        <v>1</v>
      </c>
      <c r="J1814">
        <v>0</v>
      </c>
      <c r="K1814" s="9">
        <v>5.6607142857142856</v>
      </c>
    </row>
    <row r="1815" spans="1:11" x14ac:dyDescent="0.45">
      <c r="A1815" t="s">
        <v>179</v>
      </c>
      <c r="B1815" t="s">
        <v>624</v>
      </c>
      <c r="C1815" t="s">
        <v>7</v>
      </c>
      <c r="D1815">
        <v>8</v>
      </c>
      <c r="E1815" t="s">
        <v>308</v>
      </c>
      <c r="F1815" t="s">
        <v>622</v>
      </c>
      <c r="G1815">
        <v>4</v>
      </c>
      <c r="H1815">
        <v>2</v>
      </c>
      <c r="I1815">
        <v>1</v>
      </c>
      <c r="J1815">
        <v>0</v>
      </c>
      <c r="K1815" s="9">
        <v>6.1385542168674698</v>
      </c>
    </row>
    <row r="1816" spans="1:11" x14ac:dyDescent="0.45">
      <c r="A1816" t="s">
        <v>179</v>
      </c>
      <c r="B1816" t="s">
        <v>624</v>
      </c>
      <c r="C1816" t="s">
        <v>7</v>
      </c>
      <c r="D1816">
        <v>9</v>
      </c>
      <c r="E1816" t="s">
        <v>515</v>
      </c>
      <c r="F1816" t="s">
        <v>622</v>
      </c>
      <c r="G1816">
        <v>0</v>
      </c>
      <c r="H1816">
        <v>1</v>
      </c>
      <c r="I1816">
        <v>0</v>
      </c>
      <c r="J1816">
        <v>0</v>
      </c>
      <c r="K1816" s="9">
        <v>6.5693779904306222</v>
      </c>
    </row>
    <row r="1817" spans="1:11" x14ac:dyDescent="0.45">
      <c r="A1817" t="s">
        <v>179</v>
      </c>
      <c r="B1817" t="s">
        <v>624</v>
      </c>
      <c r="C1817" t="s">
        <v>7</v>
      </c>
      <c r="D1817">
        <v>10</v>
      </c>
      <c r="E1817" t="s">
        <v>549</v>
      </c>
      <c r="F1817" t="s">
        <v>622</v>
      </c>
      <c r="G1817">
        <v>7</v>
      </c>
      <c r="H1817">
        <v>6</v>
      </c>
      <c r="I1817">
        <v>1</v>
      </c>
      <c r="J1817">
        <v>0</v>
      </c>
      <c r="K1817" s="9">
        <v>5.4565217391304346</v>
      </c>
    </row>
    <row r="1818" spans="1:11" x14ac:dyDescent="0.45">
      <c r="A1818" t="s">
        <v>179</v>
      </c>
      <c r="B1818" t="s">
        <v>624</v>
      </c>
      <c r="C1818" t="s">
        <v>7</v>
      </c>
      <c r="D1818">
        <v>11</v>
      </c>
      <c r="E1818" t="s">
        <v>322</v>
      </c>
      <c r="F1818" t="s">
        <v>623</v>
      </c>
      <c r="G1818">
        <v>1</v>
      </c>
      <c r="H1818">
        <v>1</v>
      </c>
      <c r="I1818">
        <v>0</v>
      </c>
      <c r="J1818">
        <v>0</v>
      </c>
      <c r="K1818" s="9">
        <v>6.5693779904306222</v>
      </c>
    </row>
    <row r="1819" spans="1:11" x14ac:dyDescent="0.45">
      <c r="A1819" t="s">
        <v>180</v>
      </c>
      <c r="B1819" t="s">
        <v>663</v>
      </c>
      <c r="C1819" t="s">
        <v>19</v>
      </c>
      <c r="D1819">
        <v>1</v>
      </c>
      <c r="E1819" t="s">
        <v>360</v>
      </c>
      <c r="F1819" t="s">
        <v>622</v>
      </c>
      <c r="G1819">
        <v>26</v>
      </c>
      <c r="H1819">
        <v>28</v>
      </c>
      <c r="I1819">
        <v>3</v>
      </c>
      <c r="J1819">
        <v>0</v>
      </c>
      <c r="K1819" s="9">
        <v>3.806451612903226</v>
      </c>
    </row>
    <row r="1820" spans="1:11" x14ac:dyDescent="0.45">
      <c r="A1820" t="s">
        <v>180</v>
      </c>
      <c r="B1820" t="s">
        <v>663</v>
      </c>
      <c r="C1820" t="s">
        <v>19</v>
      </c>
      <c r="D1820">
        <v>2</v>
      </c>
      <c r="E1820" t="s">
        <v>359</v>
      </c>
      <c r="F1820" t="s">
        <v>622</v>
      </c>
      <c r="G1820">
        <v>26</v>
      </c>
      <c r="H1820">
        <v>15</v>
      </c>
      <c r="I1820">
        <v>4</v>
      </c>
      <c r="J1820">
        <v>1</v>
      </c>
      <c r="K1820" s="9">
        <v>4.7777777777777777</v>
      </c>
    </row>
    <row r="1821" spans="1:11" x14ac:dyDescent="0.45">
      <c r="A1821" t="s">
        <v>180</v>
      </c>
      <c r="B1821" t="s">
        <v>663</v>
      </c>
      <c r="C1821" t="s">
        <v>19</v>
      </c>
      <c r="D1821">
        <v>3</v>
      </c>
      <c r="E1821" t="s">
        <v>501</v>
      </c>
      <c r="F1821" t="s">
        <v>622</v>
      </c>
      <c r="G1821">
        <v>8</v>
      </c>
      <c r="H1821">
        <v>11</v>
      </c>
      <c r="I1821">
        <v>1</v>
      </c>
      <c r="J1821">
        <v>0</v>
      </c>
      <c r="K1821" s="9">
        <v>4.9649122807017543</v>
      </c>
    </row>
    <row r="1822" spans="1:11" x14ac:dyDescent="0.45">
      <c r="A1822" t="s">
        <v>180</v>
      </c>
      <c r="B1822" t="s">
        <v>663</v>
      </c>
      <c r="C1822" t="s">
        <v>19</v>
      </c>
      <c r="D1822">
        <v>4</v>
      </c>
      <c r="E1822" t="s">
        <v>363</v>
      </c>
      <c r="F1822" t="s">
        <v>623</v>
      </c>
      <c r="G1822">
        <v>68</v>
      </c>
      <c r="H1822">
        <v>37</v>
      </c>
      <c r="I1822">
        <v>5</v>
      </c>
      <c r="J1822">
        <v>6</v>
      </c>
      <c r="K1822" s="9">
        <v>3.5555555555555554</v>
      </c>
    </row>
    <row r="1823" spans="1:11" x14ac:dyDescent="0.45">
      <c r="A1823" t="s">
        <v>180</v>
      </c>
      <c r="B1823" t="s">
        <v>663</v>
      </c>
      <c r="C1823" t="s">
        <v>19</v>
      </c>
      <c r="D1823">
        <v>5</v>
      </c>
      <c r="E1823" t="s">
        <v>502</v>
      </c>
      <c r="F1823" t="s">
        <v>622</v>
      </c>
      <c r="G1823">
        <v>0</v>
      </c>
      <c r="H1823">
        <v>3</v>
      </c>
      <c r="I1823">
        <v>0</v>
      </c>
      <c r="J1823">
        <v>0</v>
      </c>
      <c r="K1823" s="9">
        <v>5.6607142857142856</v>
      </c>
    </row>
    <row r="1824" spans="1:11" x14ac:dyDescent="0.45">
      <c r="A1824" t="s">
        <v>180</v>
      </c>
      <c r="B1824" t="s">
        <v>663</v>
      </c>
      <c r="C1824" t="s">
        <v>19</v>
      </c>
      <c r="D1824">
        <v>6</v>
      </c>
      <c r="E1824" t="s">
        <v>362</v>
      </c>
      <c r="F1824" t="s">
        <v>622</v>
      </c>
      <c r="G1824">
        <v>0</v>
      </c>
      <c r="H1824">
        <v>1</v>
      </c>
      <c r="I1824">
        <v>0</v>
      </c>
      <c r="J1824">
        <v>0</v>
      </c>
      <c r="K1824" s="9">
        <v>6.5693779904306222</v>
      </c>
    </row>
    <row r="1825" spans="1:11" x14ac:dyDescent="0.45">
      <c r="A1825" t="s">
        <v>180</v>
      </c>
      <c r="B1825" t="s">
        <v>663</v>
      </c>
      <c r="C1825" t="s">
        <v>19</v>
      </c>
      <c r="D1825">
        <v>7</v>
      </c>
      <c r="E1825" t="s">
        <v>503</v>
      </c>
      <c r="F1825" t="s">
        <v>622</v>
      </c>
      <c r="G1825">
        <v>6</v>
      </c>
      <c r="H1825">
        <v>12</v>
      </c>
      <c r="I1825">
        <v>0</v>
      </c>
      <c r="J1825">
        <v>0</v>
      </c>
      <c r="K1825" s="9">
        <v>4.8024691358024691</v>
      </c>
    </row>
    <row r="1826" spans="1:11" x14ac:dyDescent="0.45">
      <c r="A1826" t="s">
        <v>180</v>
      </c>
      <c r="B1826" t="s">
        <v>663</v>
      </c>
      <c r="C1826" t="s">
        <v>19</v>
      </c>
      <c r="D1826">
        <v>8</v>
      </c>
      <c r="E1826" t="s">
        <v>392</v>
      </c>
      <c r="F1826" t="s">
        <v>623</v>
      </c>
      <c r="G1826">
        <v>13</v>
      </c>
      <c r="H1826">
        <v>14</v>
      </c>
      <c r="I1826">
        <v>1</v>
      </c>
      <c r="J1826">
        <v>0</v>
      </c>
      <c r="K1826" s="9">
        <v>4.8461538461538458</v>
      </c>
    </row>
    <row r="1827" spans="1:11" x14ac:dyDescent="0.45">
      <c r="A1827" t="s">
        <v>180</v>
      </c>
      <c r="B1827" t="s">
        <v>663</v>
      </c>
      <c r="C1827" t="s">
        <v>13</v>
      </c>
      <c r="D1827">
        <v>1</v>
      </c>
      <c r="E1827" t="s">
        <v>294</v>
      </c>
      <c r="F1827" t="s">
        <v>622</v>
      </c>
      <c r="G1827">
        <v>16</v>
      </c>
      <c r="H1827">
        <v>24</v>
      </c>
      <c r="I1827">
        <v>1</v>
      </c>
      <c r="J1827">
        <v>0</v>
      </c>
      <c r="K1827" s="9">
        <v>4.0606060606060606</v>
      </c>
    </row>
    <row r="1828" spans="1:11" x14ac:dyDescent="0.45">
      <c r="A1828" t="s">
        <v>180</v>
      </c>
      <c r="B1828" t="s">
        <v>663</v>
      </c>
      <c r="C1828" t="s">
        <v>13</v>
      </c>
      <c r="D1828">
        <v>2</v>
      </c>
      <c r="E1828" t="s">
        <v>388</v>
      </c>
      <c r="F1828" t="s">
        <v>622</v>
      </c>
      <c r="G1828">
        <v>66</v>
      </c>
      <c r="H1828">
        <v>47</v>
      </c>
      <c r="I1828">
        <v>2</v>
      </c>
      <c r="J1828">
        <v>6</v>
      </c>
      <c r="K1828" s="9">
        <v>3</v>
      </c>
    </row>
    <row r="1829" spans="1:11" x14ac:dyDescent="0.45">
      <c r="A1829" t="s">
        <v>180</v>
      </c>
      <c r="B1829" t="s">
        <v>663</v>
      </c>
      <c r="C1829" t="s">
        <v>13</v>
      </c>
      <c r="D1829">
        <v>3</v>
      </c>
      <c r="E1829" t="s">
        <v>343</v>
      </c>
      <c r="F1829" t="s">
        <v>622</v>
      </c>
      <c r="G1829">
        <v>48</v>
      </c>
      <c r="H1829">
        <v>36</v>
      </c>
      <c r="I1829">
        <v>5</v>
      </c>
      <c r="J1829">
        <v>0</v>
      </c>
      <c r="K1829" s="9">
        <v>4.083333333333333</v>
      </c>
    </row>
    <row r="1830" spans="1:11" x14ac:dyDescent="0.45">
      <c r="A1830" t="s">
        <v>180</v>
      </c>
      <c r="B1830" t="s">
        <v>663</v>
      </c>
      <c r="C1830" t="s">
        <v>13</v>
      </c>
      <c r="D1830">
        <v>4</v>
      </c>
      <c r="E1830" t="s">
        <v>311</v>
      </c>
      <c r="F1830" t="s">
        <v>623</v>
      </c>
      <c r="G1830">
        <v>7</v>
      </c>
      <c r="H1830">
        <v>2</v>
      </c>
      <c r="I1830">
        <v>0</v>
      </c>
      <c r="J1830">
        <v>1</v>
      </c>
      <c r="K1830" s="9">
        <v>6.1385542168674698</v>
      </c>
    </row>
    <row r="1831" spans="1:11" x14ac:dyDescent="0.45">
      <c r="A1831" t="s">
        <v>180</v>
      </c>
      <c r="B1831" t="s">
        <v>663</v>
      </c>
      <c r="C1831" t="s">
        <v>13</v>
      </c>
      <c r="D1831">
        <v>5</v>
      </c>
      <c r="E1831" t="s">
        <v>345</v>
      </c>
      <c r="F1831" t="s">
        <v>623</v>
      </c>
      <c r="G1831">
        <v>8</v>
      </c>
      <c r="H1831">
        <v>2</v>
      </c>
      <c r="I1831">
        <v>2</v>
      </c>
      <c r="J1831">
        <v>0</v>
      </c>
      <c r="K1831" s="9">
        <v>6.1385542168674698</v>
      </c>
    </row>
    <row r="1832" spans="1:11" x14ac:dyDescent="0.45">
      <c r="A1832" t="s">
        <v>181</v>
      </c>
      <c r="B1832" t="s">
        <v>682</v>
      </c>
      <c r="C1832" t="s">
        <v>6</v>
      </c>
      <c r="D1832">
        <v>1</v>
      </c>
      <c r="E1832" t="s">
        <v>297</v>
      </c>
      <c r="F1832" t="s">
        <v>622</v>
      </c>
      <c r="G1832">
        <v>15</v>
      </c>
      <c r="H1832">
        <v>11</v>
      </c>
      <c r="I1832">
        <v>1</v>
      </c>
      <c r="J1832">
        <v>0</v>
      </c>
      <c r="K1832" s="9">
        <v>4.9649122807017543</v>
      </c>
    </row>
    <row r="1833" spans="1:11" x14ac:dyDescent="0.45">
      <c r="A1833" t="s">
        <v>181</v>
      </c>
      <c r="B1833" t="s">
        <v>682</v>
      </c>
      <c r="C1833" t="s">
        <v>6</v>
      </c>
      <c r="D1833">
        <v>2</v>
      </c>
      <c r="E1833" t="s">
        <v>290</v>
      </c>
      <c r="F1833" t="s">
        <v>622</v>
      </c>
      <c r="G1833">
        <v>16</v>
      </c>
      <c r="H1833">
        <v>13</v>
      </c>
      <c r="I1833">
        <v>3</v>
      </c>
      <c r="J1833">
        <v>0</v>
      </c>
      <c r="K1833" s="9">
        <v>4.8939393939393936</v>
      </c>
    </row>
    <row r="1834" spans="1:11" x14ac:dyDescent="0.45">
      <c r="A1834" t="s">
        <v>181</v>
      </c>
      <c r="B1834" t="s">
        <v>682</v>
      </c>
      <c r="C1834" t="s">
        <v>6</v>
      </c>
      <c r="D1834">
        <v>3</v>
      </c>
      <c r="E1834" t="s">
        <v>299</v>
      </c>
      <c r="F1834" t="s">
        <v>622</v>
      </c>
      <c r="G1834">
        <v>48</v>
      </c>
      <c r="H1834">
        <v>35</v>
      </c>
      <c r="I1834">
        <v>3</v>
      </c>
      <c r="J1834">
        <v>2</v>
      </c>
      <c r="K1834" s="9">
        <v>3.5769230769230771</v>
      </c>
    </row>
    <row r="1835" spans="1:11" x14ac:dyDescent="0.45">
      <c r="A1835" t="s">
        <v>181</v>
      </c>
      <c r="B1835" t="s">
        <v>682</v>
      </c>
      <c r="C1835" t="s">
        <v>6</v>
      </c>
      <c r="D1835">
        <v>4</v>
      </c>
      <c r="E1835" t="s">
        <v>355</v>
      </c>
      <c r="F1835" t="s">
        <v>622</v>
      </c>
      <c r="G1835">
        <v>27</v>
      </c>
      <c r="H1835">
        <v>27</v>
      </c>
      <c r="I1835">
        <v>4</v>
      </c>
      <c r="J1835">
        <v>0</v>
      </c>
      <c r="K1835" s="9">
        <v>4.25</v>
      </c>
    </row>
    <row r="1836" spans="1:11" x14ac:dyDescent="0.45">
      <c r="A1836" t="s">
        <v>181</v>
      </c>
      <c r="B1836" t="s">
        <v>682</v>
      </c>
      <c r="C1836" t="s">
        <v>6</v>
      </c>
      <c r="D1836">
        <v>5</v>
      </c>
      <c r="E1836" t="s">
        <v>387</v>
      </c>
      <c r="F1836" t="s">
        <v>622</v>
      </c>
      <c r="G1836">
        <v>3</v>
      </c>
      <c r="H1836">
        <v>5</v>
      </c>
      <c r="I1836">
        <v>0</v>
      </c>
      <c r="J1836">
        <v>0</v>
      </c>
      <c r="K1836" s="9">
        <v>5.132075471698113</v>
      </c>
    </row>
    <row r="1837" spans="1:11" x14ac:dyDescent="0.45">
      <c r="A1837" t="s">
        <v>181</v>
      </c>
      <c r="B1837" t="s">
        <v>682</v>
      </c>
      <c r="C1837" t="s">
        <v>6</v>
      </c>
      <c r="D1837">
        <v>6</v>
      </c>
      <c r="E1837" t="s">
        <v>328</v>
      </c>
      <c r="F1837" t="s">
        <v>622</v>
      </c>
      <c r="G1837">
        <v>23</v>
      </c>
      <c r="H1837">
        <v>15</v>
      </c>
      <c r="I1837">
        <v>2</v>
      </c>
      <c r="J1837">
        <v>1</v>
      </c>
      <c r="K1837" s="9">
        <v>4.7777777777777777</v>
      </c>
    </row>
    <row r="1838" spans="1:11" x14ac:dyDescent="0.45">
      <c r="A1838" t="s">
        <v>181</v>
      </c>
      <c r="B1838" t="s">
        <v>682</v>
      </c>
      <c r="C1838" t="s">
        <v>6</v>
      </c>
      <c r="D1838">
        <v>7</v>
      </c>
      <c r="E1838" t="s">
        <v>356</v>
      </c>
      <c r="F1838" t="s">
        <v>622</v>
      </c>
      <c r="G1838">
        <v>3</v>
      </c>
      <c r="H1838">
        <v>6</v>
      </c>
      <c r="I1838">
        <v>0</v>
      </c>
      <c r="J1838">
        <v>0</v>
      </c>
      <c r="K1838" s="9">
        <v>5.4565217391304346</v>
      </c>
    </row>
    <row r="1839" spans="1:11" x14ac:dyDescent="0.45">
      <c r="A1839" t="s">
        <v>181</v>
      </c>
      <c r="B1839" t="s">
        <v>682</v>
      </c>
      <c r="C1839" t="s">
        <v>6</v>
      </c>
      <c r="D1839">
        <v>8</v>
      </c>
      <c r="E1839" t="s">
        <v>327</v>
      </c>
      <c r="F1839" t="s">
        <v>623</v>
      </c>
      <c r="G1839">
        <v>8</v>
      </c>
      <c r="H1839">
        <v>5</v>
      </c>
      <c r="I1839">
        <v>1</v>
      </c>
      <c r="J1839">
        <v>0</v>
      </c>
      <c r="K1839" s="9">
        <v>5.132075471698113</v>
      </c>
    </row>
    <row r="1840" spans="1:11" x14ac:dyDescent="0.45">
      <c r="A1840" t="s">
        <v>181</v>
      </c>
      <c r="B1840" t="s">
        <v>682</v>
      </c>
      <c r="C1840" t="s">
        <v>6</v>
      </c>
      <c r="D1840">
        <v>9</v>
      </c>
      <c r="E1840" t="s">
        <v>406</v>
      </c>
      <c r="F1840" t="s">
        <v>623</v>
      </c>
      <c r="G1840">
        <v>6</v>
      </c>
      <c r="H1840">
        <v>3</v>
      </c>
      <c r="I1840">
        <v>0</v>
      </c>
      <c r="J1840">
        <v>0</v>
      </c>
      <c r="K1840" s="9">
        <v>5.6607142857142856</v>
      </c>
    </row>
    <row r="1841" spans="1:11" x14ac:dyDescent="0.45">
      <c r="A1841" t="s">
        <v>181</v>
      </c>
      <c r="B1841" t="s">
        <v>682</v>
      </c>
      <c r="C1841" t="s">
        <v>20</v>
      </c>
      <c r="D1841">
        <v>1</v>
      </c>
      <c r="E1841" t="s">
        <v>373</v>
      </c>
      <c r="F1841" t="s">
        <v>622</v>
      </c>
      <c r="G1841">
        <v>75</v>
      </c>
      <c r="H1841">
        <v>50</v>
      </c>
      <c r="I1841">
        <v>5</v>
      </c>
      <c r="J1841">
        <v>3</v>
      </c>
      <c r="K1841" s="9">
        <v>2.9047619047619047</v>
      </c>
    </row>
    <row r="1842" spans="1:11" x14ac:dyDescent="0.45">
      <c r="A1842" t="s">
        <v>181</v>
      </c>
      <c r="B1842" t="s">
        <v>682</v>
      </c>
      <c r="C1842" t="s">
        <v>20</v>
      </c>
      <c r="D1842">
        <v>2</v>
      </c>
      <c r="E1842" t="s">
        <v>408</v>
      </c>
      <c r="F1842" t="s">
        <v>622</v>
      </c>
      <c r="G1842">
        <v>32</v>
      </c>
      <c r="H1842">
        <v>40</v>
      </c>
      <c r="I1842">
        <v>2</v>
      </c>
      <c r="J1842">
        <v>1</v>
      </c>
      <c r="K1842" s="9">
        <v>4</v>
      </c>
    </row>
    <row r="1843" spans="1:11" x14ac:dyDescent="0.45">
      <c r="A1843" t="s">
        <v>181</v>
      </c>
      <c r="B1843" t="s">
        <v>682</v>
      </c>
      <c r="C1843" t="s">
        <v>20</v>
      </c>
      <c r="D1843">
        <v>3</v>
      </c>
      <c r="E1843" t="s">
        <v>315</v>
      </c>
      <c r="F1843" t="s">
        <v>623</v>
      </c>
      <c r="G1843">
        <v>39</v>
      </c>
      <c r="H1843">
        <v>15</v>
      </c>
      <c r="I1843">
        <v>5</v>
      </c>
      <c r="J1843">
        <v>2</v>
      </c>
      <c r="K1843" s="9">
        <v>4.7777777777777777</v>
      </c>
    </row>
    <row r="1844" spans="1:11" x14ac:dyDescent="0.45">
      <c r="A1844" t="s">
        <v>181</v>
      </c>
      <c r="B1844" t="s">
        <v>682</v>
      </c>
      <c r="C1844" t="s">
        <v>20</v>
      </c>
      <c r="D1844">
        <v>4</v>
      </c>
      <c r="E1844" t="s">
        <v>416</v>
      </c>
      <c r="F1844" t="s">
        <v>623</v>
      </c>
      <c r="G1844">
        <v>5</v>
      </c>
      <c r="H1844">
        <v>2</v>
      </c>
      <c r="I1844">
        <v>1</v>
      </c>
      <c r="J1844">
        <v>0</v>
      </c>
      <c r="K1844" s="9">
        <v>6.1385542168674698</v>
      </c>
    </row>
    <row r="1845" spans="1:11" x14ac:dyDescent="0.45">
      <c r="A1845" t="s">
        <v>182</v>
      </c>
      <c r="B1845" t="s">
        <v>692</v>
      </c>
      <c r="C1845" t="s">
        <v>26</v>
      </c>
      <c r="D1845">
        <v>1</v>
      </c>
      <c r="E1845" t="s">
        <v>398</v>
      </c>
      <c r="F1845" t="s">
        <v>622</v>
      </c>
      <c r="G1845">
        <v>5</v>
      </c>
      <c r="H1845">
        <v>9</v>
      </c>
      <c r="I1845">
        <v>1</v>
      </c>
      <c r="J1845">
        <v>0</v>
      </c>
      <c r="K1845" s="9">
        <v>4.924050632911392</v>
      </c>
    </row>
    <row r="1846" spans="1:11" x14ac:dyDescent="0.45">
      <c r="A1846" t="s">
        <v>182</v>
      </c>
      <c r="B1846" t="s">
        <v>692</v>
      </c>
      <c r="C1846" t="s">
        <v>26</v>
      </c>
      <c r="D1846">
        <v>2</v>
      </c>
      <c r="E1846" t="s">
        <v>330</v>
      </c>
      <c r="F1846" t="s">
        <v>622</v>
      </c>
      <c r="G1846">
        <v>35</v>
      </c>
      <c r="H1846">
        <v>30</v>
      </c>
      <c r="I1846">
        <v>4</v>
      </c>
      <c r="J1846">
        <v>0</v>
      </c>
      <c r="K1846" s="9">
        <v>3.6774193548387095</v>
      </c>
    </row>
    <row r="1847" spans="1:11" x14ac:dyDescent="0.45">
      <c r="A1847" t="s">
        <v>182</v>
      </c>
      <c r="B1847" t="s">
        <v>692</v>
      </c>
      <c r="C1847" t="s">
        <v>26</v>
      </c>
      <c r="D1847">
        <v>3</v>
      </c>
      <c r="E1847" t="s">
        <v>459</v>
      </c>
      <c r="F1847" t="s">
        <v>622</v>
      </c>
      <c r="G1847">
        <v>8</v>
      </c>
      <c r="H1847">
        <v>8</v>
      </c>
      <c r="I1847">
        <v>2</v>
      </c>
      <c r="J1847">
        <v>0</v>
      </c>
      <c r="K1847" s="9">
        <v>4.9029126213592233</v>
      </c>
    </row>
    <row r="1848" spans="1:11" x14ac:dyDescent="0.45">
      <c r="A1848" t="s">
        <v>182</v>
      </c>
      <c r="B1848" t="s">
        <v>692</v>
      </c>
      <c r="C1848" t="s">
        <v>26</v>
      </c>
      <c r="D1848">
        <v>4</v>
      </c>
      <c r="E1848" t="s">
        <v>384</v>
      </c>
      <c r="F1848" t="s">
        <v>622</v>
      </c>
      <c r="G1848">
        <v>64</v>
      </c>
      <c r="H1848">
        <v>27</v>
      </c>
      <c r="I1848">
        <v>7</v>
      </c>
      <c r="J1848">
        <v>4</v>
      </c>
      <c r="K1848" s="9">
        <v>4.25</v>
      </c>
    </row>
    <row r="1849" spans="1:11" x14ac:dyDescent="0.45">
      <c r="A1849" t="s">
        <v>182</v>
      </c>
      <c r="B1849" t="s">
        <v>692</v>
      </c>
      <c r="C1849" t="s">
        <v>26</v>
      </c>
      <c r="D1849">
        <v>5</v>
      </c>
      <c r="E1849" t="s">
        <v>495</v>
      </c>
      <c r="F1849" t="s">
        <v>622</v>
      </c>
      <c r="G1849">
        <v>23</v>
      </c>
      <c r="H1849">
        <v>11</v>
      </c>
      <c r="I1849">
        <v>1</v>
      </c>
      <c r="J1849">
        <v>2</v>
      </c>
      <c r="K1849" s="9">
        <v>4.9649122807017543</v>
      </c>
    </row>
    <row r="1850" spans="1:11" x14ac:dyDescent="0.45">
      <c r="A1850" t="s">
        <v>182</v>
      </c>
      <c r="B1850" t="s">
        <v>692</v>
      </c>
      <c r="C1850" t="s">
        <v>26</v>
      </c>
      <c r="D1850">
        <v>6</v>
      </c>
      <c r="E1850" t="s">
        <v>543</v>
      </c>
      <c r="F1850" t="s">
        <v>622</v>
      </c>
      <c r="G1850">
        <v>0</v>
      </c>
      <c r="H1850">
        <v>1</v>
      </c>
      <c r="I1850">
        <v>0</v>
      </c>
      <c r="J1850">
        <v>0</v>
      </c>
      <c r="K1850" s="9">
        <v>6.5693779904306222</v>
      </c>
    </row>
    <row r="1851" spans="1:11" x14ac:dyDescent="0.45">
      <c r="A1851" t="s">
        <v>182</v>
      </c>
      <c r="B1851" t="s">
        <v>692</v>
      </c>
      <c r="C1851" t="s">
        <v>26</v>
      </c>
      <c r="D1851">
        <v>7</v>
      </c>
      <c r="E1851" t="s">
        <v>400</v>
      </c>
      <c r="F1851" t="s">
        <v>622</v>
      </c>
      <c r="G1851">
        <v>15</v>
      </c>
      <c r="H1851">
        <v>8</v>
      </c>
      <c r="I1851">
        <v>0</v>
      </c>
      <c r="J1851">
        <v>2</v>
      </c>
      <c r="K1851" s="9">
        <v>4.9029126213592233</v>
      </c>
    </row>
    <row r="1852" spans="1:11" x14ac:dyDescent="0.45">
      <c r="A1852" t="s">
        <v>182</v>
      </c>
      <c r="B1852" t="s">
        <v>692</v>
      </c>
      <c r="C1852" t="s">
        <v>26</v>
      </c>
      <c r="D1852">
        <v>8</v>
      </c>
      <c r="E1852" t="s">
        <v>341</v>
      </c>
      <c r="F1852" t="s">
        <v>622</v>
      </c>
      <c r="G1852">
        <v>1</v>
      </c>
      <c r="H1852">
        <v>1</v>
      </c>
      <c r="I1852">
        <v>0</v>
      </c>
      <c r="J1852">
        <v>0</v>
      </c>
      <c r="K1852" s="9">
        <v>6.5693779904306222</v>
      </c>
    </row>
    <row r="1853" spans="1:11" x14ac:dyDescent="0.45">
      <c r="A1853" t="s">
        <v>182</v>
      </c>
      <c r="B1853" t="s">
        <v>692</v>
      </c>
      <c r="C1853" t="s">
        <v>26</v>
      </c>
      <c r="D1853">
        <v>9</v>
      </c>
      <c r="E1853" t="s">
        <v>435</v>
      </c>
      <c r="F1853" t="s">
        <v>623</v>
      </c>
      <c r="G1853">
        <v>22</v>
      </c>
      <c r="H1853">
        <v>14</v>
      </c>
      <c r="I1853">
        <v>2</v>
      </c>
      <c r="J1853">
        <v>1</v>
      </c>
      <c r="K1853" s="9">
        <v>4.8461538461538458</v>
      </c>
    </row>
    <row r="1854" spans="1:11" x14ac:dyDescent="0.45">
      <c r="A1854" t="s">
        <v>182</v>
      </c>
      <c r="B1854" t="s">
        <v>692</v>
      </c>
      <c r="C1854" t="s">
        <v>26</v>
      </c>
      <c r="D1854">
        <v>10</v>
      </c>
      <c r="E1854" t="s">
        <v>542</v>
      </c>
      <c r="F1854" t="s">
        <v>622</v>
      </c>
      <c r="G1854">
        <v>2</v>
      </c>
      <c r="H1854">
        <v>6</v>
      </c>
      <c r="I1854">
        <v>0</v>
      </c>
      <c r="J1854">
        <v>0</v>
      </c>
      <c r="K1854" s="9">
        <v>5.4565217391304346</v>
      </c>
    </row>
    <row r="1855" spans="1:11" x14ac:dyDescent="0.45">
      <c r="A1855" t="s">
        <v>182</v>
      </c>
      <c r="B1855" t="s">
        <v>692</v>
      </c>
      <c r="C1855" t="s">
        <v>26</v>
      </c>
      <c r="D1855">
        <v>11</v>
      </c>
      <c r="E1855" t="s">
        <v>405</v>
      </c>
      <c r="F1855" t="s">
        <v>623</v>
      </c>
      <c r="G1855">
        <v>10</v>
      </c>
      <c r="H1855">
        <v>5</v>
      </c>
      <c r="I1855">
        <v>1</v>
      </c>
      <c r="J1855">
        <v>0</v>
      </c>
      <c r="K1855" s="9">
        <v>5.132075471698113</v>
      </c>
    </row>
    <row r="1856" spans="1:11" x14ac:dyDescent="0.45">
      <c r="A1856" t="s">
        <v>182</v>
      </c>
      <c r="B1856" t="s">
        <v>692</v>
      </c>
      <c r="C1856" t="s">
        <v>101</v>
      </c>
      <c r="D1856">
        <v>1</v>
      </c>
      <c r="E1856" t="s">
        <v>488</v>
      </c>
      <c r="F1856" t="s">
        <v>622</v>
      </c>
      <c r="G1856">
        <v>6</v>
      </c>
      <c r="H1856">
        <v>7</v>
      </c>
      <c r="I1856">
        <v>1</v>
      </c>
      <c r="J1856">
        <v>0</v>
      </c>
      <c r="K1856" s="9">
        <v>4.927835051546392</v>
      </c>
    </row>
    <row r="1857" spans="1:11" x14ac:dyDescent="0.45">
      <c r="A1857" t="s">
        <v>182</v>
      </c>
      <c r="B1857" t="s">
        <v>692</v>
      </c>
      <c r="C1857" t="s">
        <v>101</v>
      </c>
      <c r="D1857">
        <v>2</v>
      </c>
      <c r="E1857" t="s">
        <v>302</v>
      </c>
      <c r="F1857" t="s">
        <v>622</v>
      </c>
      <c r="G1857">
        <v>96</v>
      </c>
      <c r="H1857">
        <v>59</v>
      </c>
      <c r="I1857">
        <v>11</v>
      </c>
      <c r="J1857">
        <v>1</v>
      </c>
      <c r="K1857" s="9">
        <v>2.6666666666666665</v>
      </c>
    </row>
    <row r="1858" spans="1:11" x14ac:dyDescent="0.45">
      <c r="A1858" t="s">
        <v>182</v>
      </c>
      <c r="B1858" t="s">
        <v>692</v>
      </c>
      <c r="C1858" t="s">
        <v>101</v>
      </c>
      <c r="D1858">
        <v>3</v>
      </c>
      <c r="E1858" t="s">
        <v>534</v>
      </c>
      <c r="F1858" t="s">
        <v>622</v>
      </c>
      <c r="G1858">
        <v>35</v>
      </c>
      <c r="H1858">
        <v>30</v>
      </c>
      <c r="I1858">
        <v>4</v>
      </c>
      <c r="J1858">
        <v>1</v>
      </c>
      <c r="K1858" s="9">
        <v>3.6774193548387095</v>
      </c>
    </row>
    <row r="1859" spans="1:11" x14ac:dyDescent="0.45">
      <c r="A1859" t="s">
        <v>182</v>
      </c>
      <c r="B1859" t="s">
        <v>692</v>
      </c>
      <c r="C1859" t="s">
        <v>101</v>
      </c>
      <c r="D1859">
        <v>4</v>
      </c>
      <c r="E1859" t="s">
        <v>361</v>
      </c>
      <c r="F1859" t="s">
        <v>622</v>
      </c>
      <c r="G1859">
        <v>27</v>
      </c>
      <c r="H1859">
        <v>18</v>
      </c>
      <c r="I1859">
        <v>5</v>
      </c>
      <c r="J1859">
        <v>0</v>
      </c>
      <c r="K1859" s="9">
        <v>4.375</v>
      </c>
    </row>
    <row r="1860" spans="1:11" x14ac:dyDescent="0.45">
      <c r="A1860" t="s">
        <v>182</v>
      </c>
      <c r="B1860" t="s">
        <v>692</v>
      </c>
      <c r="C1860" t="s">
        <v>101</v>
      </c>
      <c r="D1860">
        <v>5</v>
      </c>
      <c r="E1860" t="s">
        <v>411</v>
      </c>
      <c r="F1860" t="s">
        <v>623</v>
      </c>
      <c r="G1860">
        <v>6</v>
      </c>
      <c r="H1860">
        <v>4</v>
      </c>
      <c r="I1860">
        <v>1</v>
      </c>
      <c r="J1860">
        <v>0</v>
      </c>
      <c r="K1860" s="9">
        <v>5.352380952380952</v>
      </c>
    </row>
    <row r="1861" spans="1:11" x14ac:dyDescent="0.45">
      <c r="A1861" t="s">
        <v>182</v>
      </c>
      <c r="B1861" t="s">
        <v>692</v>
      </c>
      <c r="C1861" t="s">
        <v>101</v>
      </c>
      <c r="D1861">
        <v>6</v>
      </c>
      <c r="E1861" t="s">
        <v>390</v>
      </c>
      <c r="F1861" t="s">
        <v>623</v>
      </c>
      <c r="G1861">
        <v>13</v>
      </c>
      <c r="H1861">
        <v>3</v>
      </c>
      <c r="I1861">
        <v>0</v>
      </c>
      <c r="J1861">
        <v>2</v>
      </c>
      <c r="K1861" s="9">
        <v>5.6607142857142856</v>
      </c>
    </row>
    <row r="1862" spans="1:11" x14ac:dyDescent="0.45">
      <c r="A1862" t="s">
        <v>183</v>
      </c>
      <c r="B1862" t="s">
        <v>693</v>
      </c>
      <c r="C1862" t="s">
        <v>10</v>
      </c>
      <c r="D1862">
        <v>1</v>
      </c>
      <c r="E1862" t="s">
        <v>329</v>
      </c>
      <c r="F1862" t="s">
        <v>622</v>
      </c>
      <c r="G1862">
        <v>61</v>
      </c>
      <c r="H1862">
        <v>34</v>
      </c>
      <c r="I1862">
        <v>9</v>
      </c>
      <c r="J1862">
        <v>2</v>
      </c>
      <c r="K1862" s="9">
        <v>4.4137931034482758</v>
      </c>
    </row>
    <row r="1863" spans="1:11" x14ac:dyDescent="0.45">
      <c r="A1863" t="s">
        <v>183</v>
      </c>
      <c r="B1863" t="s">
        <v>693</v>
      </c>
      <c r="C1863" t="s">
        <v>10</v>
      </c>
      <c r="D1863">
        <v>2</v>
      </c>
      <c r="E1863" t="s">
        <v>442</v>
      </c>
      <c r="F1863" t="s">
        <v>622</v>
      </c>
      <c r="G1863">
        <v>4</v>
      </c>
      <c r="H1863">
        <v>12</v>
      </c>
      <c r="I1863">
        <v>0</v>
      </c>
      <c r="J1863">
        <v>0</v>
      </c>
      <c r="K1863" s="9">
        <v>4.8024691358024691</v>
      </c>
    </row>
    <row r="1864" spans="1:11" x14ac:dyDescent="0.45">
      <c r="A1864" t="s">
        <v>183</v>
      </c>
      <c r="B1864" t="s">
        <v>693</v>
      </c>
      <c r="C1864" t="s">
        <v>10</v>
      </c>
      <c r="D1864">
        <v>3</v>
      </c>
      <c r="E1864" t="s">
        <v>499</v>
      </c>
      <c r="F1864" t="s">
        <v>622</v>
      </c>
      <c r="G1864">
        <v>3</v>
      </c>
      <c r="H1864">
        <v>10</v>
      </c>
      <c r="I1864">
        <v>0</v>
      </c>
      <c r="J1864">
        <v>0</v>
      </c>
      <c r="K1864" s="9">
        <v>4.7179487179487181</v>
      </c>
    </row>
    <row r="1865" spans="1:11" x14ac:dyDescent="0.45">
      <c r="A1865" t="s">
        <v>183</v>
      </c>
      <c r="B1865" t="s">
        <v>693</v>
      </c>
      <c r="C1865" t="s">
        <v>10</v>
      </c>
      <c r="D1865">
        <v>4</v>
      </c>
      <c r="E1865" t="s">
        <v>334</v>
      </c>
      <c r="F1865" t="s">
        <v>623</v>
      </c>
      <c r="G1865">
        <v>39</v>
      </c>
      <c r="H1865">
        <v>36</v>
      </c>
      <c r="I1865">
        <v>3</v>
      </c>
      <c r="J1865">
        <v>2</v>
      </c>
      <c r="K1865" s="9">
        <v>4.083333333333333</v>
      </c>
    </row>
    <row r="1866" spans="1:11" x14ac:dyDescent="0.45">
      <c r="A1866" t="s">
        <v>183</v>
      </c>
      <c r="B1866" t="s">
        <v>693</v>
      </c>
      <c r="C1866" t="s">
        <v>10</v>
      </c>
      <c r="D1866">
        <v>5</v>
      </c>
      <c r="E1866" t="s">
        <v>399</v>
      </c>
      <c r="F1866" t="s">
        <v>623</v>
      </c>
      <c r="G1866">
        <v>36</v>
      </c>
      <c r="H1866">
        <v>28</v>
      </c>
      <c r="I1866">
        <v>3</v>
      </c>
      <c r="J1866">
        <v>0</v>
      </c>
      <c r="K1866" s="9">
        <v>3.806451612903226</v>
      </c>
    </row>
    <row r="1867" spans="1:11" x14ac:dyDescent="0.45">
      <c r="A1867" t="s">
        <v>183</v>
      </c>
      <c r="B1867" t="s">
        <v>693</v>
      </c>
      <c r="C1867" t="s">
        <v>104</v>
      </c>
      <c r="D1867">
        <v>1</v>
      </c>
      <c r="E1867" t="s">
        <v>397</v>
      </c>
      <c r="F1867" t="s">
        <v>622</v>
      </c>
      <c r="G1867">
        <v>24</v>
      </c>
      <c r="H1867">
        <v>25</v>
      </c>
      <c r="I1867">
        <v>1</v>
      </c>
      <c r="J1867">
        <v>1</v>
      </c>
      <c r="K1867" s="9">
        <v>4.4782608695652177</v>
      </c>
    </row>
    <row r="1868" spans="1:11" x14ac:dyDescent="0.45">
      <c r="A1868" t="s">
        <v>183</v>
      </c>
      <c r="B1868" t="s">
        <v>693</v>
      </c>
      <c r="C1868" t="s">
        <v>104</v>
      </c>
      <c r="D1868">
        <v>2</v>
      </c>
      <c r="E1868" t="s">
        <v>422</v>
      </c>
      <c r="F1868" t="s">
        <v>622</v>
      </c>
      <c r="G1868">
        <v>80</v>
      </c>
      <c r="H1868">
        <v>52</v>
      </c>
      <c r="I1868">
        <v>9</v>
      </c>
      <c r="J1868">
        <v>2</v>
      </c>
      <c r="K1868" s="9">
        <v>2.9090909090909092</v>
      </c>
    </row>
    <row r="1869" spans="1:11" x14ac:dyDescent="0.45">
      <c r="A1869" t="s">
        <v>183</v>
      </c>
      <c r="B1869" t="s">
        <v>693</v>
      </c>
      <c r="C1869" t="s">
        <v>104</v>
      </c>
      <c r="D1869">
        <v>3</v>
      </c>
      <c r="E1869" t="s">
        <v>410</v>
      </c>
      <c r="F1869" t="s">
        <v>622</v>
      </c>
      <c r="G1869">
        <v>5</v>
      </c>
      <c r="H1869">
        <v>13</v>
      </c>
      <c r="I1869">
        <v>0</v>
      </c>
      <c r="J1869">
        <v>0</v>
      </c>
      <c r="K1869" s="9">
        <v>4.8939393939393936</v>
      </c>
    </row>
    <row r="1870" spans="1:11" x14ac:dyDescent="0.45">
      <c r="A1870" t="s">
        <v>183</v>
      </c>
      <c r="B1870" t="s">
        <v>693</v>
      </c>
      <c r="C1870" t="s">
        <v>104</v>
      </c>
      <c r="D1870">
        <v>4</v>
      </c>
      <c r="E1870" t="s">
        <v>426</v>
      </c>
      <c r="F1870" t="s">
        <v>622</v>
      </c>
      <c r="G1870">
        <v>11</v>
      </c>
      <c r="H1870">
        <v>13</v>
      </c>
      <c r="I1870">
        <v>0</v>
      </c>
      <c r="J1870">
        <v>0</v>
      </c>
      <c r="K1870" s="9">
        <v>4.8939393939393936</v>
      </c>
    </row>
    <row r="1871" spans="1:11" x14ac:dyDescent="0.45">
      <c r="A1871" t="s">
        <v>183</v>
      </c>
      <c r="B1871" t="s">
        <v>693</v>
      </c>
      <c r="C1871" t="s">
        <v>104</v>
      </c>
      <c r="D1871">
        <v>5</v>
      </c>
      <c r="E1871" t="s">
        <v>366</v>
      </c>
      <c r="F1871" t="s">
        <v>623</v>
      </c>
      <c r="G1871">
        <v>19</v>
      </c>
      <c r="H1871">
        <v>14</v>
      </c>
      <c r="I1871">
        <v>0</v>
      </c>
      <c r="J1871">
        <v>1</v>
      </c>
      <c r="K1871" s="9">
        <v>4.8461538461538458</v>
      </c>
    </row>
    <row r="1872" spans="1:11" x14ac:dyDescent="0.45">
      <c r="A1872" t="s">
        <v>183</v>
      </c>
      <c r="B1872" t="s">
        <v>693</v>
      </c>
      <c r="C1872" t="s">
        <v>104</v>
      </c>
      <c r="D1872">
        <v>6</v>
      </c>
      <c r="E1872" t="s">
        <v>521</v>
      </c>
      <c r="F1872" t="s">
        <v>623</v>
      </c>
      <c r="G1872">
        <v>10</v>
      </c>
      <c r="H1872">
        <v>3</v>
      </c>
      <c r="I1872">
        <v>1</v>
      </c>
      <c r="J1872">
        <v>1</v>
      </c>
      <c r="K1872" s="9">
        <v>5.6607142857142856</v>
      </c>
    </row>
    <row r="1873" spans="1:11" x14ac:dyDescent="0.45">
      <c r="A1873" t="s">
        <v>184</v>
      </c>
      <c r="B1873" t="s">
        <v>648</v>
      </c>
      <c r="C1873" t="s">
        <v>19</v>
      </c>
      <c r="D1873">
        <v>1</v>
      </c>
      <c r="E1873" t="s">
        <v>359</v>
      </c>
      <c r="F1873" t="s">
        <v>622</v>
      </c>
      <c r="G1873">
        <v>3</v>
      </c>
      <c r="H1873">
        <v>12</v>
      </c>
      <c r="I1873">
        <v>0</v>
      </c>
      <c r="J1873">
        <v>0</v>
      </c>
      <c r="K1873" s="9">
        <v>4.8024691358024691</v>
      </c>
    </row>
    <row r="1874" spans="1:11" x14ac:dyDescent="0.45">
      <c r="A1874" t="s">
        <v>184</v>
      </c>
      <c r="B1874" t="s">
        <v>648</v>
      </c>
      <c r="C1874" t="s">
        <v>19</v>
      </c>
      <c r="D1874">
        <v>2</v>
      </c>
      <c r="E1874" t="s">
        <v>360</v>
      </c>
      <c r="F1874" t="s">
        <v>622</v>
      </c>
      <c r="G1874">
        <v>14</v>
      </c>
      <c r="H1874">
        <v>21</v>
      </c>
      <c r="I1874">
        <v>1</v>
      </c>
      <c r="J1874">
        <v>0</v>
      </c>
      <c r="K1874" s="9">
        <v>4.3770491803278686</v>
      </c>
    </row>
    <row r="1875" spans="1:11" x14ac:dyDescent="0.45">
      <c r="A1875" t="s">
        <v>184</v>
      </c>
      <c r="B1875" t="s">
        <v>648</v>
      </c>
      <c r="C1875" t="s">
        <v>19</v>
      </c>
      <c r="D1875">
        <v>3</v>
      </c>
      <c r="E1875" t="s">
        <v>501</v>
      </c>
      <c r="F1875" t="s">
        <v>622</v>
      </c>
      <c r="G1875">
        <v>29</v>
      </c>
      <c r="H1875">
        <v>19</v>
      </c>
      <c r="I1875">
        <v>2</v>
      </c>
      <c r="J1875">
        <v>2</v>
      </c>
      <c r="K1875" s="9">
        <v>4.5660377358490569</v>
      </c>
    </row>
    <row r="1876" spans="1:11" x14ac:dyDescent="0.45">
      <c r="A1876" t="s">
        <v>184</v>
      </c>
      <c r="B1876" t="s">
        <v>648</v>
      </c>
      <c r="C1876" t="s">
        <v>19</v>
      </c>
      <c r="D1876">
        <v>4</v>
      </c>
      <c r="E1876" t="s">
        <v>363</v>
      </c>
      <c r="F1876" t="s">
        <v>622</v>
      </c>
      <c r="G1876">
        <v>52</v>
      </c>
      <c r="H1876">
        <v>36</v>
      </c>
      <c r="I1876">
        <v>5</v>
      </c>
      <c r="J1876">
        <v>2</v>
      </c>
      <c r="K1876" s="9">
        <v>4.083333333333333</v>
      </c>
    </row>
    <row r="1877" spans="1:11" x14ac:dyDescent="0.45">
      <c r="A1877" t="s">
        <v>184</v>
      </c>
      <c r="B1877" t="s">
        <v>648</v>
      </c>
      <c r="C1877" t="s">
        <v>19</v>
      </c>
      <c r="D1877">
        <v>5</v>
      </c>
      <c r="E1877" t="s">
        <v>502</v>
      </c>
      <c r="F1877" t="s">
        <v>623</v>
      </c>
      <c r="G1877">
        <v>38</v>
      </c>
      <c r="H1877">
        <v>27</v>
      </c>
      <c r="I1877">
        <v>3</v>
      </c>
      <c r="J1877">
        <v>2</v>
      </c>
      <c r="K1877" s="9">
        <v>4.25</v>
      </c>
    </row>
    <row r="1878" spans="1:11" x14ac:dyDescent="0.45">
      <c r="A1878" t="s">
        <v>184</v>
      </c>
      <c r="B1878" t="s">
        <v>648</v>
      </c>
      <c r="C1878" t="s">
        <v>19</v>
      </c>
      <c r="D1878">
        <v>6</v>
      </c>
      <c r="E1878" t="s">
        <v>362</v>
      </c>
      <c r="F1878" t="s">
        <v>623</v>
      </c>
      <c r="G1878">
        <v>22</v>
      </c>
      <c r="H1878">
        <v>5</v>
      </c>
      <c r="I1878">
        <v>0</v>
      </c>
      <c r="J1878">
        <v>3</v>
      </c>
      <c r="K1878" s="9">
        <v>5.132075471698113</v>
      </c>
    </row>
    <row r="1879" spans="1:11" x14ac:dyDescent="0.45">
      <c r="A1879" t="s">
        <v>184</v>
      </c>
      <c r="B1879" t="s">
        <v>648</v>
      </c>
      <c r="C1879" t="s">
        <v>7</v>
      </c>
      <c r="D1879">
        <v>1</v>
      </c>
      <c r="E1879" t="s">
        <v>481</v>
      </c>
      <c r="F1879" t="s">
        <v>622</v>
      </c>
      <c r="G1879">
        <v>7</v>
      </c>
      <c r="H1879">
        <v>11</v>
      </c>
      <c r="I1879">
        <v>0</v>
      </c>
      <c r="J1879">
        <v>0</v>
      </c>
      <c r="K1879" s="9">
        <v>4.9649122807017543</v>
      </c>
    </row>
    <row r="1880" spans="1:11" x14ac:dyDescent="0.45">
      <c r="A1880" t="s">
        <v>184</v>
      </c>
      <c r="B1880" t="s">
        <v>648</v>
      </c>
      <c r="C1880" t="s">
        <v>7</v>
      </c>
      <c r="D1880">
        <v>2</v>
      </c>
      <c r="E1880" t="s">
        <v>304</v>
      </c>
      <c r="F1880" t="s">
        <v>623</v>
      </c>
      <c r="G1880">
        <v>50</v>
      </c>
      <c r="H1880">
        <v>41</v>
      </c>
      <c r="I1880">
        <v>6</v>
      </c>
      <c r="J1880">
        <v>1</v>
      </c>
      <c r="K1880" s="9">
        <v>3.0909090909090908</v>
      </c>
    </row>
    <row r="1881" spans="1:11" x14ac:dyDescent="0.45">
      <c r="A1881" t="s">
        <v>184</v>
      </c>
      <c r="B1881" t="s">
        <v>648</v>
      </c>
      <c r="C1881" t="s">
        <v>7</v>
      </c>
      <c r="D1881">
        <v>3</v>
      </c>
      <c r="E1881" t="s">
        <v>332</v>
      </c>
      <c r="F1881" t="s">
        <v>622</v>
      </c>
      <c r="G1881">
        <v>10</v>
      </c>
      <c r="H1881">
        <v>6</v>
      </c>
      <c r="I1881">
        <v>2</v>
      </c>
      <c r="J1881">
        <v>0</v>
      </c>
      <c r="K1881" s="9">
        <v>5.4565217391304346</v>
      </c>
    </row>
    <row r="1882" spans="1:11" x14ac:dyDescent="0.45">
      <c r="A1882" t="s">
        <v>184</v>
      </c>
      <c r="B1882" t="s">
        <v>648</v>
      </c>
      <c r="C1882" t="s">
        <v>7</v>
      </c>
      <c r="D1882">
        <v>4</v>
      </c>
      <c r="E1882" t="s">
        <v>513</v>
      </c>
      <c r="F1882" t="s">
        <v>622</v>
      </c>
      <c r="G1882">
        <v>17</v>
      </c>
      <c r="H1882">
        <v>12</v>
      </c>
      <c r="I1882">
        <v>0</v>
      </c>
      <c r="J1882">
        <v>2</v>
      </c>
      <c r="K1882" s="9">
        <v>4.8024691358024691</v>
      </c>
    </row>
    <row r="1883" spans="1:11" x14ac:dyDescent="0.45">
      <c r="A1883" t="s">
        <v>184</v>
      </c>
      <c r="B1883" t="s">
        <v>648</v>
      </c>
      <c r="C1883" t="s">
        <v>7</v>
      </c>
      <c r="D1883">
        <v>5</v>
      </c>
      <c r="E1883" t="s">
        <v>306</v>
      </c>
      <c r="F1883" t="s">
        <v>622</v>
      </c>
      <c r="G1883">
        <v>8</v>
      </c>
      <c r="H1883">
        <v>7</v>
      </c>
      <c r="I1883">
        <v>0</v>
      </c>
      <c r="J1883">
        <v>1</v>
      </c>
      <c r="K1883" s="9">
        <v>4.927835051546392</v>
      </c>
    </row>
    <row r="1884" spans="1:11" x14ac:dyDescent="0.45">
      <c r="A1884" t="s">
        <v>184</v>
      </c>
      <c r="B1884" t="s">
        <v>648</v>
      </c>
      <c r="C1884" t="s">
        <v>7</v>
      </c>
      <c r="D1884">
        <v>6</v>
      </c>
      <c r="E1884" t="s">
        <v>440</v>
      </c>
      <c r="F1884" t="s">
        <v>622</v>
      </c>
      <c r="G1884">
        <v>11</v>
      </c>
      <c r="H1884">
        <v>5</v>
      </c>
      <c r="I1884">
        <v>1</v>
      </c>
      <c r="J1884">
        <v>1</v>
      </c>
      <c r="K1884" s="9">
        <v>5.132075471698113</v>
      </c>
    </row>
    <row r="1885" spans="1:11" x14ac:dyDescent="0.45">
      <c r="A1885" t="s">
        <v>184</v>
      </c>
      <c r="B1885" t="s">
        <v>648</v>
      </c>
      <c r="C1885" t="s">
        <v>7</v>
      </c>
      <c r="D1885">
        <v>7</v>
      </c>
      <c r="E1885" t="s">
        <v>465</v>
      </c>
      <c r="F1885" t="s">
        <v>623</v>
      </c>
      <c r="G1885">
        <v>56</v>
      </c>
      <c r="H1885">
        <v>15</v>
      </c>
      <c r="I1885">
        <v>4</v>
      </c>
      <c r="J1885">
        <v>6</v>
      </c>
      <c r="K1885" s="9">
        <v>4.7777777777777777</v>
      </c>
    </row>
    <row r="1886" spans="1:11" x14ac:dyDescent="0.45">
      <c r="A1886" t="s">
        <v>185</v>
      </c>
      <c r="B1886" t="s">
        <v>640</v>
      </c>
      <c r="C1886" t="s">
        <v>23</v>
      </c>
      <c r="D1886">
        <v>1</v>
      </c>
      <c r="E1886" t="s">
        <v>458</v>
      </c>
      <c r="F1886" t="s">
        <v>623</v>
      </c>
      <c r="G1886">
        <v>70</v>
      </c>
      <c r="H1886">
        <v>47</v>
      </c>
      <c r="I1886">
        <v>0</v>
      </c>
      <c r="J1886">
        <v>6</v>
      </c>
      <c r="K1886" s="9">
        <v>3</v>
      </c>
    </row>
    <row r="1887" spans="1:11" x14ac:dyDescent="0.45">
      <c r="A1887" t="s">
        <v>185</v>
      </c>
      <c r="B1887" t="s">
        <v>640</v>
      </c>
      <c r="C1887" t="s">
        <v>23</v>
      </c>
      <c r="D1887">
        <v>2</v>
      </c>
      <c r="E1887" t="s">
        <v>383</v>
      </c>
      <c r="F1887" t="s">
        <v>622</v>
      </c>
      <c r="G1887">
        <v>4</v>
      </c>
      <c r="H1887">
        <v>6</v>
      </c>
      <c r="I1887">
        <v>0</v>
      </c>
      <c r="J1887">
        <v>0</v>
      </c>
      <c r="K1887" s="9">
        <v>5.4565217391304346</v>
      </c>
    </row>
    <row r="1888" spans="1:11" x14ac:dyDescent="0.45">
      <c r="A1888" t="s">
        <v>185</v>
      </c>
      <c r="B1888" t="s">
        <v>640</v>
      </c>
      <c r="C1888" t="s">
        <v>23</v>
      </c>
      <c r="D1888">
        <v>3</v>
      </c>
      <c r="E1888" t="s">
        <v>342</v>
      </c>
      <c r="F1888" t="s">
        <v>622</v>
      </c>
      <c r="G1888">
        <v>37</v>
      </c>
      <c r="H1888">
        <v>29</v>
      </c>
      <c r="I1888">
        <v>2</v>
      </c>
      <c r="J1888">
        <v>2</v>
      </c>
      <c r="K1888" s="9">
        <v>4.0454545454545459</v>
      </c>
    </row>
    <row r="1889" spans="1:11" x14ac:dyDescent="0.45">
      <c r="A1889" t="s">
        <v>185</v>
      </c>
      <c r="B1889" t="s">
        <v>640</v>
      </c>
      <c r="C1889" t="s">
        <v>23</v>
      </c>
      <c r="D1889">
        <v>4</v>
      </c>
      <c r="E1889" t="s">
        <v>386</v>
      </c>
      <c r="F1889" t="s">
        <v>622</v>
      </c>
      <c r="G1889">
        <v>8</v>
      </c>
      <c r="H1889">
        <v>8</v>
      </c>
      <c r="I1889">
        <v>0</v>
      </c>
      <c r="J1889">
        <v>1</v>
      </c>
      <c r="K1889" s="9">
        <v>4.9029126213592233</v>
      </c>
    </row>
    <row r="1890" spans="1:11" x14ac:dyDescent="0.45">
      <c r="A1890" t="s">
        <v>185</v>
      </c>
      <c r="B1890" t="s">
        <v>640</v>
      </c>
      <c r="C1890" t="s">
        <v>23</v>
      </c>
      <c r="D1890">
        <v>5</v>
      </c>
      <c r="E1890" t="s">
        <v>336</v>
      </c>
      <c r="F1890" t="s">
        <v>623</v>
      </c>
      <c r="G1890">
        <v>42</v>
      </c>
      <c r="H1890">
        <v>31</v>
      </c>
      <c r="I1890">
        <v>4</v>
      </c>
      <c r="J1890">
        <v>2</v>
      </c>
      <c r="K1890" s="9">
        <v>3.4375</v>
      </c>
    </row>
    <row r="1891" spans="1:11" x14ac:dyDescent="0.45">
      <c r="A1891" t="s">
        <v>185</v>
      </c>
      <c r="B1891" t="s">
        <v>640</v>
      </c>
      <c r="C1891" t="s">
        <v>13</v>
      </c>
      <c r="D1891">
        <v>1</v>
      </c>
      <c r="E1891" t="s">
        <v>294</v>
      </c>
      <c r="F1891" t="s">
        <v>622</v>
      </c>
      <c r="G1891">
        <v>29</v>
      </c>
      <c r="H1891">
        <v>20</v>
      </c>
      <c r="I1891">
        <v>5</v>
      </c>
      <c r="J1891">
        <v>0</v>
      </c>
      <c r="K1891" s="9">
        <v>4.9473684210526319</v>
      </c>
    </row>
    <row r="1892" spans="1:11" x14ac:dyDescent="0.45">
      <c r="A1892" t="s">
        <v>185</v>
      </c>
      <c r="B1892" t="s">
        <v>640</v>
      </c>
      <c r="C1892" t="s">
        <v>13</v>
      </c>
      <c r="D1892">
        <v>2</v>
      </c>
      <c r="E1892" t="s">
        <v>388</v>
      </c>
      <c r="F1892" t="s">
        <v>622</v>
      </c>
      <c r="G1892">
        <v>26</v>
      </c>
      <c r="H1892">
        <v>25</v>
      </c>
      <c r="I1892">
        <v>4</v>
      </c>
      <c r="J1892">
        <v>0</v>
      </c>
      <c r="K1892" s="9">
        <v>4.4782608695652177</v>
      </c>
    </row>
    <row r="1893" spans="1:11" x14ac:dyDescent="0.45">
      <c r="A1893" t="s">
        <v>185</v>
      </c>
      <c r="B1893" t="s">
        <v>640</v>
      </c>
      <c r="C1893" t="s">
        <v>13</v>
      </c>
      <c r="D1893">
        <v>3</v>
      </c>
      <c r="E1893" t="s">
        <v>343</v>
      </c>
      <c r="F1893" t="s">
        <v>622</v>
      </c>
      <c r="G1893">
        <v>5</v>
      </c>
      <c r="H1893">
        <v>6</v>
      </c>
      <c r="I1893">
        <v>0</v>
      </c>
      <c r="J1893">
        <v>0</v>
      </c>
      <c r="K1893" s="9">
        <v>5.4565217391304346</v>
      </c>
    </row>
    <row r="1894" spans="1:11" x14ac:dyDescent="0.45">
      <c r="A1894" t="s">
        <v>185</v>
      </c>
      <c r="B1894" t="s">
        <v>640</v>
      </c>
      <c r="C1894" t="s">
        <v>13</v>
      </c>
      <c r="D1894">
        <v>4</v>
      </c>
      <c r="E1894" t="s">
        <v>550</v>
      </c>
      <c r="F1894" t="s">
        <v>622</v>
      </c>
      <c r="G1894">
        <v>0</v>
      </c>
      <c r="H1894">
        <v>2</v>
      </c>
      <c r="I1894">
        <v>0</v>
      </c>
      <c r="J1894">
        <v>0</v>
      </c>
      <c r="K1894" s="9">
        <v>6.1385542168674698</v>
      </c>
    </row>
    <row r="1895" spans="1:11" x14ac:dyDescent="0.45">
      <c r="A1895" t="s">
        <v>185</v>
      </c>
      <c r="B1895" t="s">
        <v>640</v>
      </c>
      <c r="C1895" t="s">
        <v>13</v>
      </c>
      <c r="D1895">
        <v>5</v>
      </c>
      <c r="E1895" t="s">
        <v>552</v>
      </c>
      <c r="F1895" t="s">
        <v>622</v>
      </c>
      <c r="G1895">
        <v>5</v>
      </c>
      <c r="H1895">
        <v>10</v>
      </c>
      <c r="I1895">
        <v>0</v>
      </c>
      <c r="J1895">
        <v>0</v>
      </c>
      <c r="K1895" s="9">
        <v>4.7179487179487181</v>
      </c>
    </row>
    <row r="1896" spans="1:11" x14ac:dyDescent="0.45">
      <c r="A1896" t="s">
        <v>185</v>
      </c>
      <c r="B1896" t="s">
        <v>640</v>
      </c>
      <c r="C1896" t="s">
        <v>13</v>
      </c>
      <c r="D1896">
        <v>6</v>
      </c>
      <c r="E1896" t="s">
        <v>347</v>
      </c>
      <c r="F1896" t="s">
        <v>622</v>
      </c>
      <c r="G1896">
        <v>45</v>
      </c>
      <c r="H1896">
        <v>26</v>
      </c>
      <c r="I1896">
        <v>4</v>
      </c>
      <c r="J1896">
        <v>3</v>
      </c>
      <c r="K1896" s="9">
        <v>4.1568627450980395</v>
      </c>
    </row>
    <row r="1897" spans="1:11" x14ac:dyDescent="0.45">
      <c r="A1897" t="s">
        <v>185</v>
      </c>
      <c r="B1897" t="s">
        <v>640</v>
      </c>
      <c r="C1897" t="s">
        <v>13</v>
      </c>
      <c r="D1897">
        <v>7</v>
      </c>
      <c r="E1897" t="s">
        <v>311</v>
      </c>
      <c r="F1897" t="s">
        <v>623</v>
      </c>
      <c r="G1897">
        <v>44</v>
      </c>
      <c r="H1897">
        <v>23</v>
      </c>
      <c r="I1897">
        <v>7</v>
      </c>
      <c r="J1897">
        <v>1</v>
      </c>
      <c r="K1897" s="9">
        <v>5.1142857142857139</v>
      </c>
    </row>
    <row r="1898" spans="1:11" x14ac:dyDescent="0.45">
      <c r="A1898" t="s">
        <v>185</v>
      </c>
      <c r="B1898" t="s">
        <v>640</v>
      </c>
      <c r="C1898" t="s">
        <v>13</v>
      </c>
      <c r="D1898">
        <v>8</v>
      </c>
      <c r="E1898" t="s">
        <v>349</v>
      </c>
      <c r="F1898" t="s">
        <v>623</v>
      </c>
      <c r="G1898">
        <v>9</v>
      </c>
      <c r="H1898">
        <v>4</v>
      </c>
      <c r="I1898">
        <v>0</v>
      </c>
      <c r="J1898">
        <v>1</v>
      </c>
      <c r="K1898" s="9">
        <v>5.352380952380952</v>
      </c>
    </row>
    <row r="1899" spans="1:11" x14ac:dyDescent="0.45">
      <c r="A1899" t="s">
        <v>186</v>
      </c>
      <c r="B1899" t="s">
        <v>694</v>
      </c>
      <c r="C1899" t="s">
        <v>104</v>
      </c>
      <c r="D1899">
        <v>1</v>
      </c>
      <c r="E1899" t="s">
        <v>397</v>
      </c>
      <c r="F1899" t="s">
        <v>622</v>
      </c>
      <c r="G1899">
        <v>68</v>
      </c>
      <c r="H1899">
        <v>50</v>
      </c>
      <c r="I1899">
        <v>6</v>
      </c>
      <c r="J1899">
        <v>1</v>
      </c>
      <c r="K1899" s="9">
        <v>2.9047619047619047</v>
      </c>
    </row>
    <row r="1900" spans="1:11" x14ac:dyDescent="0.45">
      <c r="A1900" t="s">
        <v>186</v>
      </c>
      <c r="B1900" t="s">
        <v>694</v>
      </c>
      <c r="C1900" t="s">
        <v>104</v>
      </c>
      <c r="D1900">
        <v>2</v>
      </c>
      <c r="E1900" t="s">
        <v>422</v>
      </c>
      <c r="F1900" t="s">
        <v>622</v>
      </c>
      <c r="G1900">
        <v>1</v>
      </c>
      <c r="H1900">
        <v>4</v>
      </c>
      <c r="I1900">
        <v>0</v>
      </c>
      <c r="J1900">
        <v>0</v>
      </c>
      <c r="K1900" s="9">
        <v>5.352380952380952</v>
      </c>
    </row>
    <row r="1901" spans="1:11" x14ac:dyDescent="0.45">
      <c r="A1901" t="s">
        <v>186</v>
      </c>
      <c r="B1901" t="s">
        <v>694</v>
      </c>
      <c r="C1901" t="s">
        <v>104</v>
      </c>
      <c r="D1901">
        <v>3</v>
      </c>
      <c r="E1901" t="s">
        <v>410</v>
      </c>
      <c r="F1901" t="s">
        <v>622</v>
      </c>
      <c r="G1901">
        <v>1</v>
      </c>
      <c r="H1901">
        <v>5</v>
      </c>
      <c r="I1901">
        <v>0</v>
      </c>
      <c r="J1901">
        <v>0</v>
      </c>
      <c r="K1901" s="9">
        <v>5.132075471698113</v>
      </c>
    </row>
    <row r="1902" spans="1:11" x14ac:dyDescent="0.45">
      <c r="A1902" t="s">
        <v>186</v>
      </c>
      <c r="B1902" t="s">
        <v>694</v>
      </c>
      <c r="C1902" t="s">
        <v>104</v>
      </c>
      <c r="D1902">
        <v>4</v>
      </c>
      <c r="E1902" t="s">
        <v>374</v>
      </c>
      <c r="F1902" t="s">
        <v>622</v>
      </c>
      <c r="G1902">
        <v>11</v>
      </c>
      <c r="H1902">
        <v>10</v>
      </c>
      <c r="I1902">
        <v>1</v>
      </c>
      <c r="J1902">
        <v>1</v>
      </c>
      <c r="K1902" s="9">
        <v>4.7179487179487181</v>
      </c>
    </row>
    <row r="1903" spans="1:11" x14ac:dyDescent="0.45">
      <c r="A1903" t="s">
        <v>186</v>
      </c>
      <c r="B1903" t="s">
        <v>694</v>
      </c>
      <c r="C1903" t="s">
        <v>104</v>
      </c>
      <c r="D1903">
        <v>5</v>
      </c>
      <c r="E1903" t="s">
        <v>426</v>
      </c>
      <c r="F1903" t="s">
        <v>622</v>
      </c>
      <c r="G1903">
        <v>51</v>
      </c>
      <c r="H1903">
        <v>33</v>
      </c>
      <c r="I1903">
        <v>3</v>
      </c>
      <c r="J1903">
        <v>3</v>
      </c>
      <c r="K1903" s="9">
        <v>2.8421052631578947</v>
      </c>
    </row>
    <row r="1904" spans="1:11" x14ac:dyDescent="0.45">
      <c r="A1904" t="s">
        <v>186</v>
      </c>
      <c r="B1904" t="s">
        <v>694</v>
      </c>
      <c r="C1904" t="s">
        <v>104</v>
      </c>
      <c r="D1904">
        <v>6</v>
      </c>
      <c r="E1904" t="s">
        <v>521</v>
      </c>
      <c r="F1904" t="s">
        <v>622</v>
      </c>
      <c r="G1904">
        <v>19</v>
      </c>
      <c r="H1904">
        <v>12</v>
      </c>
      <c r="I1904">
        <v>3</v>
      </c>
      <c r="J1904">
        <v>0</v>
      </c>
      <c r="K1904" s="9">
        <v>4.8024691358024691</v>
      </c>
    </row>
    <row r="1905" spans="1:11" x14ac:dyDescent="0.45">
      <c r="A1905" t="s">
        <v>186</v>
      </c>
      <c r="B1905" t="s">
        <v>694</v>
      </c>
      <c r="C1905" t="s">
        <v>104</v>
      </c>
      <c r="D1905">
        <v>7</v>
      </c>
      <c r="E1905" t="s">
        <v>366</v>
      </c>
      <c r="F1905" t="s">
        <v>622</v>
      </c>
      <c r="G1905">
        <v>6</v>
      </c>
      <c r="H1905">
        <v>3</v>
      </c>
      <c r="I1905">
        <v>1</v>
      </c>
      <c r="J1905">
        <v>0</v>
      </c>
      <c r="K1905" s="9">
        <v>5.6607142857142856</v>
      </c>
    </row>
    <row r="1906" spans="1:11" x14ac:dyDescent="0.45">
      <c r="A1906" t="s">
        <v>186</v>
      </c>
      <c r="B1906" t="s">
        <v>694</v>
      </c>
      <c r="C1906" t="s">
        <v>104</v>
      </c>
      <c r="D1906">
        <v>8</v>
      </c>
      <c r="E1906" t="s">
        <v>378</v>
      </c>
      <c r="F1906" t="s">
        <v>623</v>
      </c>
      <c r="G1906">
        <v>8</v>
      </c>
      <c r="H1906">
        <v>3</v>
      </c>
      <c r="I1906">
        <v>0</v>
      </c>
      <c r="J1906">
        <v>1</v>
      </c>
      <c r="K1906" s="9">
        <v>5.6607142857142856</v>
      </c>
    </row>
    <row r="1907" spans="1:11" x14ac:dyDescent="0.45">
      <c r="A1907" t="s">
        <v>186</v>
      </c>
      <c r="B1907" t="s">
        <v>694</v>
      </c>
      <c r="C1907" t="s">
        <v>20</v>
      </c>
      <c r="D1907">
        <v>1</v>
      </c>
      <c r="E1907" t="s">
        <v>373</v>
      </c>
      <c r="F1907" t="s">
        <v>622</v>
      </c>
      <c r="G1907">
        <v>13</v>
      </c>
      <c r="H1907">
        <v>11</v>
      </c>
      <c r="I1907">
        <v>2</v>
      </c>
      <c r="J1907">
        <v>0</v>
      </c>
      <c r="K1907" s="9">
        <v>4.9649122807017543</v>
      </c>
    </row>
    <row r="1908" spans="1:11" x14ac:dyDescent="0.45">
      <c r="A1908" t="s">
        <v>186</v>
      </c>
      <c r="B1908" t="s">
        <v>694</v>
      </c>
      <c r="C1908" t="s">
        <v>20</v>
      </c>
      <c r="D1908">
        <v>2</v>
      </c>
      <c r="E1908" t="s">
        <v>408</v>
      </c>
      <c r="F1908" t="s">
        <v>622</v>
      </c>
      <c r="G1908">
        <v>16</v>
      </c>
      <c r="H1908">
        <v>16</v>
      </c>
      <c r="I1908">
        <v>1</v>
      </c>
      <c r="J1908">
        <v>1</v>
      </c>
      <c r="K1908" s="9">
        <v>4.7608695652173916</v>
      </c>
    </row>
    <row r="1909" spans="1:11" x14ac:dyDescent="0.45">
      <c r="A1909" t="s">
        <v>186</v>
      </c>
      <c r="B1909" t="s">
        <v>694</v>
      </c>
      <c r="C1909" t="s">
        <v>20</v>
      </c>
      <c r="D1909">
        <v>3</v>
      </c>
      <c r="E1909" t="s">
        <v>315</v>
      </c>
      <c r="F1909" t="s">
        <v>622</v>
      </c>
      <c r="G1909">
        <v>44</v>
      </c>
      <c r="H1909">
        <v>30</v>
      </c>
      <c r="I1909">
        <v>5</v>
      </c>
      <c r="J1909">
        <v>1</v>
      </c>
      <c r="K1909" s="9">
        <v>3.6774193548387095</v>
      </c>
    </row>
    <row r="1910" spans="1:11" x14ac:dyDescent="0.45">
      <c r="A1910" t="s">
        <v>186</v>
      </c>
      <c r="B1910" t="s">
        <v>694</v>
      </c>
      <c r="C1910" t="s">
        <v>20</v>
      </c>
      <c r="D1910">
        <v>4</v>
      </c>
      <c r="E1910" t="s">
        <v>401</v>
      </c>
      <c r="F1910" t="s">
        <v>622</v>
      </c>
      <c r="G1910">
        <v>12</v>
      </c>
      <c r="H1910">
        <v>14</v>
      </c>
      <c r="I1910">
        <v>0</v>
      </c>
      <c r="J1910">
        <v>0</v>
      </c>
      <c r="K1910" s="9">
        <v>4.8461538461538458</v>
      </c>
    </row>
    <row r="1911" spans="1:11" x14ac:dyDescent="0.45">
      <c r="A1911" t="s">
        <v>186</v>
      </c>
      <c r="B1911" t="s">
        <v>694</v>
      </c>
      <c r="C1911" t="s">
        <v>20</v>
      </c>
      <c r="D1911">
        <v>5</v>
      </c>
      <c r="E1911" t="s">
        <v>416</v>
      </c>
      <c r="F1911" t="s">
        <v>622</v>
      </c>
      <c r="G1911">
        <v>34</v>
      </c>
      <c r="H1911">
        <v>24</v>
      </c>
      <c r="I1911">
        <v>3</v>
      </c>
      <c r="J1911">
        <v>2</v>
      </c>
      <c r="K1911" s="9">
        <v>4.0606060606060606</v>
      </c>
    </row>
    <row r="1912" spans="1:11" x14ac:dyDescent="0.45">
      <c r="A1912" t="s">
        <v>186</v>
      </c>
      <c r="B1912" t="s">
        <v>694</v>
      </c>
      <c r="C1912" t="s">
        <v>20</v>
      </c>
      <c r="D1912">
        <v>6</v>
      </c>
      <c r="E1912" t="s">
        <v>467</v>
      </c>
      <c r="F1912" t="s">
        <v>622</v>
      </c>
      <c r="G1912">
        <v>18</v>
      </c>
      <c r="H1912">
        <v>14</v>
      </c>
      <c r="I1912">
        <v>1</v>
      </c>
      <c r="J1912">
        <v>0</v>
      </c>
      <c r="K1912" s="9">
        <v>4.8461538461538458</v>
      </c>
    </row>
    <row r="1913" spans="1:11" x14ac:dyDescent="0.45">
      <c r="A1913" t="s">
        <v>186</v>
      </c>
      <c r="B1913" t="s">
        <v>694</v>
      </c>
      <c r="C1913" t="s">
        <v>20</v>
      </c>
      <c r="D1913">
        <v>7</v>
      </c>
      <c r="E1913" t="s">
        <v>376</v>
      </c>
      <c r="F1913" t="s">
        <v>622</v>
      </c>
      <c r="G1913">
        <v>0</v>
      </c>
      <c r="H1913">
        <v>1</v>
      </c>
      <c r="I1913">
        <v>0</v>
      </c>
      <c r="J1913">
        <v>0</v>
      </c>
      <c r="K1913" s="9">
        <v>6.5693779904306222</v>
      </c>
    </row>
    <row r="1914" spans="1:11" x14ac:dyDescent="0.45">
      <c r="A1914" t="s">
        <v>186</v>
      </c>
      <c r="B1914" t="s">
        <v>694</v>
      </c>
      <c r="C1914" t="s">
        <v>20</v>
      </c>
      <c r="D1914">
        <v>8</v>
      </c>
      <c r="E1914" t="s">
        <v>494</v>
      </c>
      <c r="F1914" t="s">
        <v>622</v>
      </c>
      <c r="G1914">
        <v>8</v>
      </c>
      <c r="H1914">
        <v>8</v>
      </c>
      <c r="I1914">
        <v>0</v>
      </c>
      <c r="J1914">
        <v>1</v>
      </c>
      <c r="K1914" s="9">
        <v>4.9029126213592233</v>
      </c>
    </row>
    <row r="1915" spans="1:11" x14ac:dyDescent="0.45">
      <c r="A1915" t="s">
        <v>186</v>
      </c>
      <c r="B1915" t="s">
        <v>694</v>
      </c>
      <c r="C1915" t="s">
        <v>20</v>
      </c>
      <c r="D1915">
        <v>9</v>
      </c>
      <c r="E1915" t="s">
        <v>409</v>
      </c>
      <c r="F1915" t="s">
        <v>622</v>
      </c>
      <c r="G1915">
        <v>1</v>
      </c>
      <c r="H1915">
        <v>2</v>
      </c>
      <c r="I1915">
        <v>0</v>
      </c>
      <c r="J1915">
        <v>0</v>
      </c>
      <c r="K1915" s="9">
        <v>6.1385542168674698</v>
      </c>
    </row>
    <row r="1916" spans="1:11" x14ac:dyDescent="0.45">
      <c r="A1916" t="s">
        <v>186</v>
      </c>
      <c r="B1916" t="s">
        <v>694</v>
      </c>
      <c r="C1916" t="s">
        <v>20</v>
      </c>
      <c r="D1916">
        <v>10</v>
      </c>
      <c r="E1916" t="s">
        <v>382</v>
      </c>
      <c r="F1916" t="s">
        <v>623</v>
      </c>
      <c r="G1916">
        <v>1</v>
      </c>
      <c r="H1916">
        <v>1</v>
      </c>
      <c r="I1916">
        <v>0</v>
      </c>
      <c r="J1916">
        <v>0</v>
      </c>
      <c r="K1916" s="9">
        <v>6.5693779904306222</v>
      </c>
    </row>
    <row r="1917" spans="1:11" x14ac:dyDescent="0.45">
      <c r="A1917" t="s">
        <v>187</v>
      </c>
      <c r="B1917" t="s">
        <v>659</v>
      </c>
      <c r="C1917" t="s">
        <v>26</v>
      </c>
      <c r="D1917">
        <v>1</v>
      </c>
      <c r="E1917" t="s">
        <v>398</v>
      </c>
      <c r="F1917" t="s">
        <v>622</v>
      </c>
      <c r="G1917">
        <v>4</v>
      </c>
      <c r="H1917">
        <v>2</v>
      </c>
      <c r="I1917">
        <v>1</v>
      </c>
      <c r="J1917">
        <v>0</v>
      </c>
      <c r="K1917" s="9">
        <v>6.1385542168674698</v>
      </c>
    </row>
    <row r="1918" spans="1:11" x14ac:dyDescent="0.45">
      <c r="A1918" t="s">
        <v>187</v>
      </c>
      <c r="B1918" t="s">
        <v>659</v>
      </c>
      <c r="C1918" t="s">
        <v>26</v>
      </c>
      <c r="D1918">
        <v>2</v>
      </c>
      <c r="E1918" t="s">
        <v>330</v>
      </c>
      <c r="F1918" t="s">
        <v>622</v>
      </c>
      <c r="G1918">
        <v>33</v>
      </c>
      <c r="H1918">
        <v>24</v>
      </c>
      <c r="I1918">
        <v>4</v>
      </c>
      <c r="J1918">
        <v>1</v>
      </c>
      <c r="K1918" s="9">
        <v>4.0606060606060606</v>
      </c>
    </row>
    <row r="1919" spans="1:11" x14ac:dyDescent="0.45">
      <c r="A1919" t="s">
        <v>187</v>
      </c>
      <c r="B1919" t="s">
        <v>659</v>
      </c>
      <c r="C1919" t="s">
        <v>26</v>
      </c>
      <c r="D1919">
        <v>3</v>
      </c>
      <c r="E1919" t="s">
        <v>519</v>
      </c>
      <c r="F1919" t="s">
        <v>622</v>
      </c>
      <c r="G1919">
        <v>9</v>
      </c>
      <c r="H1919">
        <v>5</v>
      </c>
      <c r="I1919">
        <v>0</v>
      </c>
      <c r="J1919">
        <v>1</v>
      </c>
      <c r="K1919" s="9">
        <v>5.132075471698113</v>
      </c>
    </row>
    <row r="1920" spans="1:11" x14ac:dyDescent="0.45">
      <c r="A1920" t="s">
        <v>187</v>
      </c>
      <c r="B1920" t="s">
        <v>659</v>
      </c>
      <c r="C1920" t="s">
        <v>26</v>
      </c>
      <c r="D1920">
        <v>4</v>
      </c>
      <c r="E1920" t="s">
        <v>384</v>
      </c>
      <c r="F1920" t="s">
        <v>622</v>
      </c>
      <c r="G1920">
        <v>60</v>
      </c>
      <c r="H1920">
        <v>32</v>
      </c>
      <c r="I1920">
        <v>5</v>
      </c>
      <c r="J1920">
        <v>5</v>
      </c>
      <c r="K1920" s="9">
        <v>3.9375</v>
      </c>
    </row>
    <row r="1921" spans="1:11" x14ac:dyDescent="0.45">
      <c r="A1921" t="s">
        <v>187</v>
      </c>
      <c r="B1921" t="s">
        <v>659</v>
      </c>
      <c r="C1921" t="s">
        <v>26</v>
      </c>
      <c r="D1921">
        <v>5</v>
      </c>
      <c r="E1921" t="s">
        <v>495</v>
      </c>
      <c r="F1921" t="s">
        <v>622</v>
      </c>
      <c r="G1921">
        <v>26</v>
      </c>
      <c r="H1921">
        <v>17</v>
      </c>
      <c r="I1921">
        <v>0</v>
      </c>
      <c r="J1921">
        <v>3</v>
      </c>
      <c r="K1921" s="9">
        <v>4.82</v>
      </c>
    </row>
    <row r="1922" spans="1:11" x14ac:dyDescent="0.45">
      <c r="A1922" t="s">
        <v>187</v>
      </c>
      <c r="B1922" t="s">
        <v>659</v>
      </c>
      <c r="C1922" t="s">
        <v>26</v>
      </c>
      <c r="D1922">
        <v>6</v>
      </c>
      <c r="E1922" t="s">
        <v>400</v>
      </c>
      <c r="F1922" t="s">
        <v>622</v>
      </c>
      <c r="G1922">
        <v>6</v>
      </c>
      <c r="H1922">
        <v>11</v>
      </c>
      <c r="I1922">
        <v>0</v>
      </c>
      <c r="J1922">
        <v>0</v>
      </c>
      <c r="K1922" s="9">
        <v>4.9649122807017543</v>
      </c>
    </row>
    <row r="1923" spans="1:11" x14ac:dyDescent="0.45">
      <c r="A1923" t="s">
        <v>187</v>
      </c>
      <c r="B1923" t="s">
        <v>659</v>
      </c>
      <c r="C1923" t="s">
        <v>26</v>
      </c>
      <c r="D1923">
        <v>7</v>
      </c>
      <c r="E1923" t="s">
        <v>543</v>
      </c>
      <c r="F1923" t="s">
        <v>622</v>
      </c>
      <c r="G1923">
        <v>3</v>
      </c>
      <c r="H1923">
        <v>7</v>
      </c>
      <c r="I1923">
        <v>0</v>
      </c>
      <c r="J1923">
        <v>0</v>
      </c>
      <c r="K1923" s="9">
        <v>4.927835051546392</v>
      </c>
    </row>
    <row r="1924" spans="1:11" x14ac:dyDescent="0.45">
      <c r="A1924" t="s">
        <v>187</v>
      </c>
      <c r="B1924" t="s">
        <v>659</v>
      </c>
      <c r="C1924" t="s">
        <v>26</v>
      </c>
      <c r="D1924">
        <v>8</v>
      </c>
      <c r="E1924" t="s">
        <v>341</v>
      </c>
      <c r="F1924" t="s">
        <v>623</v>
      </c>
      <c r="G1924">
        <v>12</v>
      </c>
      <c r="H1924">
        <v>12</v>
      </c>
      <c r="I1924">
        <v>1</v>
      </c>
      <c r="J1924">
        <v>0</v>
      </c>
      <c r="K1924" s="9">
        <v>4.8024691358024691</v>
      </c>
    </row>
    <row r="1925" spans="1:11" x14ac:dyDescent="0.45">
      <c r="A1925" t="s">
        <v>187</v>
      </c>
      <c r="B1925" t="s">
        <v>659</v>
      </c>
      <c r="C1925" t="s">
        <v>26</v>
      </c>
      <c r="D1925">
        <v>9</v>
      </c>
      <c r="E1925" t="s">
        <v>435</v>
      </c>
      <c r="F1925" t="s">
        <v>622</v>
      </c>
      <c r="G1925">
        <v>12</v>
      </c>
      <c r="H1925">
        <v>8</v>
      </c>
      <c r="I1925">
        <v>1</v>
      </c>
      <c r="J1925">
        <v>1</v>
      </c>
      <c r="K1925" s="9">
        <v>4.9029126213592233</v>
      </c>
    </row>
    <row r="1926" spans="1:11" x14ac:dyDescent="0.45">
      <c r="A1926" t="s">
        <v>187</v>
      </c>
      <c r="B1926" t="s">
        <v>659</v>
      </c>
      <c r="C1926" t="s">
        <v>26</v>
      </c>
      <c r="D1926">
        <v>10</v>
      </c>
      <c r="E1926" t="s">
        <v>542</v>
      </c>
      <c r="F1926" t="s">
        <v>623</v>
      </c>
      <c r="G1926">
        <v>1</v>
      </c>
      <c r="H1926">
        <v>2</v>
      </c>
      <c r="I1926">
        <v>0</v>
      </c>
      <c r="J1926">
        <v>0</v>
      </c>
      <c r="K1926" s="9">
        <v>6.1385542168674698</v>
      </c>
    </row>
    <row r="1927" spans="1:11" x14ac:dyDescent="0.45">
      <c r="A1927" t="s">
        <v>187</v>
      </c>
      <c r="B1927" t="s">
        <v>659</v>
      </c>
      <c r="C1927" t="s">
        <v>6</v>
      </c>
      <c r="D1927">
        <v>1</v>
      </c>
      <c r="E1927" t="s">
        <v>297</v>
      </c>
      <c r="F1927" t="s">
        <v>622</v>
      </c>
      <c r="G1927">
        <v>13</v>
      </c>
      <c r="H1927">
        <v>10</v>
      </c>
      <c r="I1927">
        <v>2</v>
      </c>
      <c r="J1927">
        <v>0</v>
      </c>
      <c r="K1927" s="9">
        <v>4.7179487179487181</v>
      </c>
    </row>
    <row r="1928" spans="1:11" x14ac:dyDescent="0.45">
      <c r="A1928" t="s">
        <v>187</v>
      </c>
      <c r="B1928" t="s">
        <v>659</v>
      </c>
      <c r="C1928" t="s">
        <v>6</v>
      </c>
      <c r="D1928">
        <v>2</v>
      </c>
      <c r="E1928" t="s">
        <v>290</v>
      </c>
      <c r="F1928" t="s">
        <v>622</v>
      </c>
      <c r="G1928">
        <v>1</v>
      </c>
      <c r="H1928">
        <v>4</v>
      </c>
      <c r="I1928">
        <v>0</v>
      </c>
      <c r="J1928">
        <v>0</v>
      </c>
      <c r="K1928" s="9">
        <v>5.352380952380952</v>
      </c>
    </row>
    <row r="1929" spans="1:11" x14ac:dyDescent="0.45">
      <c r="A1929" t="s">
        <v>187</v>
      </c>
      <c r="B1929" t="s">
        <v>659</v>
      </c>
      <c r="C1929" t="s">
        <v>6</v>
      </c>
      <c r="D1929">
        <v>3</v>
      </c>
      <c r="E1929" t="s">
        <v>299</v>
      </c>
      <c r="F1929" t="s">
        <v>622</v>
      </c>
      <c r="G1929">
        <v>0</v>
      </c>
      <c r="H1929">
        <v>2</v>
      </c>
      <c r="I1929">
        <v>0</v>
      </c>
      <c r="J1929">
        <v>0</v>
      </c>
      <c r="K1929" s="9">
        <v>6.1385542168674698</v>
      </c>
    </row>
    <row r="1930" spans="1:11" x14ac:dyDescent="0.45">
      <c r="A1930" t="s">
        <v>187</v>
      </c>
      <c r="B1930" t="s">
        <v>659</v>
      </c>
      <c r="C1930" t="s">
        <v>6</v>
      </c>
      <c r="D1930">
        <v>4</v>
      </c>
      <c r="E1930" t="s">
        <v>355</v>
      </c>
      <c r="F1930" t="s">
        <v>622</v>
      </c>
      <c r="G1930">
        <v>13</v>
      </c>
      <c r="H1930">
        <v>21</v>
      </c>
      <c r="I1930">
        <v>2</v>
      </c>
      <c r="J1930">
        <v>0</v>
      </c>
      <c r="K1930" s="9">
        <v>4.3770491803278686</v>
      </c>
    </row>
    <row r="1931" spans="1:11" x14ac:dyDescent="0.45">
      <c r="A1931" t="s">
        <v>187</v>
      </c>
      <c r="B1931" t="s">
        <v>659</v>
      </c>
      <c r="C1931" t="s">
        <v>6</v>
      </c>
      <c r="D1931">
        <v>5</v>
      </c>
      <c r="E1931" t="s">
        <v>328</v>
      </c>
      <c r="F1931" t="s">
        <v>622</v>
      </c>
      <c r="G1931">
        <v>0</v>
      </c>
      <c r="H1931">
        <v>3</v>
      </c>
      <c r="I1931">
        <v>0</v>
      </c>
      <c r="J1931">
        <v>0</v>
      </c>
      <c r="K1931" s="9">
        <v>5.6607142857142856</v>
      </c>
    </row>
    <row r="1932" spans="1:11" x14ac:dyDescent="0.45">
      <c r="A1932" t="s">
        <v>187</v>
      </c>
      <c r="B1932" t="s">
        <v>659</v>
      </c>
      <c r="C1932" t="s">
        <v>6</v>
      </c>
      <c r="D1932">
        <v>6</v>
      </c>
      <c r="E1932" t="s">
        <v>387</v>
      </c>
      <c r="F1932" t="s">
        <v>622</v>
      </c>
      <c r="G1932">
        <v>57</v>
      </c>
      <c r="H1932">
        <v>30</v>
      </c>
      <c r="I1932">
        <v>6</v>
      </c>
      <c r="J1932">
        <v>3</v>
      </c>
      <c r="K1932" s="9">
        <v>3.6774193548387095</v>
      </c>
    </row>
    <row r="1933" spans="1:11" x14ac:dyDescent="0.45">
      <c r="A1933" t="s">
        <v>187</v>
      </c>
      <c r="B1933" t="s">
        <v>659</v>
      </c>
      <c r="C1933" t="s">
        <v>6</v>
      </c>
      <c r="D1933">
        <v>7</v>
      </c>
      <c r="E1933" t="s">
        <v>356</v>
      </c>
      <c r="F1933" t="s">
        <v>622</v>
      </c>
      <c r="G1933">
        <v>23</v>
      </c>
      <c r="H1933">
        <v>28</v>
      </c>
      <c r="I1933">
        <v>1</v>
      </c>
      <c r="J1933">
        <v>1</v>
      </c>
      <c r="K1933" s="9">
        <v>3.806451612903226</v>
      </c>
    </row>
    <row r="1934" spans="1:11" x14ac:dyDescent="0.45">
      <c r="A1934" t="s">
        <v>187</v>
      </c>
      <c r="B1934" t="s">
        <v>659</v>
      </c>
      <c r="C1934" t="s">
        <v>6</v>
      </c>
      <c r="D1934">
        <v>8</v>
      </c>
      <c r="E1934" t="s">
        <v>327</v>
      </c>
      <c r="F1934" t="s">
        <v>622</v>
      </c>
      <c r="G1934">
        <v>0</v>
      </c>
      <c r="H1934">
        <v>1</v>
      </c>
      <c r="I1934">
        <v>0</v>
      </c>
      <c r="J1934">
        <v>0</v>
      </c>
      <c r="K1934" s="9">
        <v>6.5693779904306222</v>
      </c>
    </row>
    <row r="1935" spans="1:11" x14ac:dyDescent="0.45">
      <c r="A1935" t="s">
        <v>187</v>
      </c>
      <c r="B1935" t="s">
        <v>659</v>
      </c>
      <c r="C1935" t="s">
        <v>6</v>
      </c>
      <c r="D1935">
        <v>9</v>
      </c>
      <c r="E1935" t="s">
        <v>537</v>
      </c>
      <c r="F1935" t="s">
        <v>622</v>
      </c>
      <c r="G1935">
        <v>8</v>
      </c>
      <c r="H1935">
        <v>4</v>
      </c>
      <c r="I1935">
        <v>0</v>
      </c>
      <c r="J1935">
        <v>1</v>
      </c>
      <c r="K1935" s="9">
        <v>5.352380952380952</v>
      </c>
    </row>
    <row r="1936" spans="1:11" x14ac:dyDescent="0.45">
      <c r="A1936" t="s">
        <v>187</v>
      </c>
      <c r="B1936" t="s">
        <v>659</v>
      </c>
      <c r="C1936" t="s">
        <v>6</v>
      </c>
      <c r="D1936">
        <v>10</v>
      </c>
      <c r="E1936" t="s">
        <v>406</v>
      </c>
      <c r="F1936" t="s">
        <v>622</v>
      </c>
      <c r="G1936">
        <v>5</v>
      </c>
      <c r="H1936">
        <v>5</v>
      </c>
      <c r="I1936">
        <v>0</v>
      </c>
      <c r="J1936">
        <v>0</v>
      </c>
      <c r="K1936" s="9">
        <v>5.132075471698113</v>
      </c>
    </row>
    <row r="1937" spans="1:11" x14ac:dyDescent="0.45">
      <c r="A1937" t="s">
        <v>187</v>
      </c>
      <c r="B1937" t="s">
        <v>659</v>
      </c>
      <c r="C1937" t="s">
        <v>6</v>
      </c>
      <c r="D1937">
        <v>11</v>
      </c>
      <c r="E1937" t="s">
        <v>509</v>
      </c>
      <c r="F1937" t="s">
        <v>623</v>
      </c>
      <c r="G1937">
        <v>2</v>
      </c>
      <c r="H1937">
        <v>2</v>
      </c>
      <c r="I1937">
        <v>0</v>
      </c>
      <c r="J1937">
        <v>0</v>
      </c>
      <c r="K1937" s="9">
        <v>6.1385542168674698</v>
      </c>
    </row>
    <row r="1938" spans="1:11" x14ac:dyDescent="0.45">
      <c r="A1938" t="s">
        <v>188</v>
      </c>
      <c r="B1938" t="s">
        <v>695</v>
      </c>
      <c r="C1938" t="s">
        <v>101</v>
      </c>
      <c r="D1938">
        <v>1</v>
      </c>
      <c r="E1938" t="s">
        <v>488</v>
      </c>
      <c r="F1938" t="s">
        <v>622</v>
      </c>
      <c r="G1938">
        <v>1</v>
      </c>
      <c r="H1938">
        <v>2</v>
      </c>
      <c r="I1938">
        <v>0</v>
      </c>
      <c r="J1938">
        <v>0</v>
      </c>
      <c r="K1938" s="9">
        <v>6.1385542168674698</v>
      </c>
    </row>
    <row r="1939" spans="1:11" x14ac:dyDescent="0.45">
      <c r="A1939" t="s">
        <v>188</v>
      </c>
      <c r="B1939" t="s">
        <v>695</v>
      </c>
      <c r="C1939" t="s">
        <v>101</v>
      </c>
      <c r="D1939">
        <v>2</v>
      </c>
      <c r="E1939" t="s">
        <v>302</v>
      </c>
      <c r="F1939" t="s">
        <v>622</v>
      </c>
      <c r="G1939">
        <v>84</v>
      </c>
      <c r="H1939">
        <v>46</v>
      </c>
      <c r="I1939">
        <v>6</v>
      </c>
      <c r="J1939">
        <v>4</v>
      </c>
      <c r="K1939" s="9">
        <v>3.4375</v>
      </c>
    </row>
    <row r="1940" spans="1:11" x14ac:dyDescent="0.45">
      <c r="A1940" t="s">
        <v>188</v>
      </c>
      <c r="B1940" t="s">
        <v>695</v>
      </c>
      <c r="C1940" t="s">
        <v>101</v>
      </c>
      <c r="D1940">
        <v>3</v>
      </c>
      <c r="E1940" t="s">
        <v>460</v>
      </c>
      <c r="F1940" t="s">
        <v>622</v>
      </c>
      <c r="G1940">
        <v>13</v>
      </c>
      <c r="H1940">
        <v>20</v>
      </c>
      <c r="I1940">
        <v>1</v>
      </c>
      <c r="J1940">
        <v>0</v>
      </c>
      <c r="K1940" s="9">
        <v>4.9473684210526319</v>
      </c>
    </row>
    <row r="1941" spans="1:11" x14ac:dyDescent="0.45">
      <c r="A1941" t="s">
        <v>188</v>
      </c>
      <c r="B1941" t="s">
        <v>695</v>
      </c>
      <c r="C1941" t="s">
        <v>101</v>
      </c>
      <c r="D1941">
        <v>4</v>
      </c>
      <c r="E1941" t="s">
        <v>361</v>
      </c>
      <c r="F1941" t="s">
        <v>622</v>
      </c>
      <c r="G1941">
        <v>31</v>
      </c>
      <c r="H1941">
        <v>27</v>
      </c>
      <c r="I1941">
        <v>4</v>
      </c>
      <c r="J1941">
        <v>0</v>
      </c>
      <c r="K1941" s="9">
        <v>4.25</v>
      </c>
    </row>
    <row r="1942" spans="1:11" x14ac:dyDescent="0.45">
      <c r="A1942" t="s">
        <v>188</v>
      </c>
      <c r="B1942" t="s">
        <v>695</v>
      </c>
      <c r="C1942" t="s">
        <v>101</v>
      </c>
      <c r="D1942">
        <v>5</v>
      </c>
      <c r="E1942" t="s">
        <v>411</v>
      </c>
      <c r="F1942" t="s">
        <v>623</v>
      </c>
      <c r="G1942">
        <v>20</v>
      </c>
      <c r="H1942">
        <v>15</v>
      </c>
      <c r="I1942">
        <v>2</v>
      </c>
      <c r="J1942">
        <v>0</v>
      </c>
      <c r="K1942" s="9">
        <v>4.7777777777777777</v>
      </c>
    </row>
    <row r="1943" spans="1:11" x14ac:dyDescent="0.45">
      <c r="A1943" t="s">
        <v>188</v>
      </c>
      <c r="B1943" t="s">
        <v>695</v>
      </c>
      <c r="C1943" t="s">
        <v>101</v>
      </c>
      <c r="D1943">
        <v>6</v>
      </c>
      <c r="E1943" t="s">
        <v>390</v>
      </c>
      <c r="F1943" t="s">
        <v>622</v>
      </c>
      <c r="G1943">
        <v>14</v>
      </c>
      <c r="H1943">
        <v>8</v>
      </c>
      <c r="I1943">
        <v>1</v>
      </c>
      <c r="J1943">
        <v>1</v>
      </c>
      <c r="K1943" s="9">
        <v>4.9029126213592233</v>
      </c>
    </row>
    <row r="1944" spans="1:11" x14ac:dyDescent="0.45">
      <c r="A1944" t="s">
        <v>188</v>
      </c>
      <c r="B1944" t="s">
        <v>695</v>
      </c>
      <c r="C1944" t="s">
        <v>101</v>
      </c>
      <c r="D1944">
        <v>7</v>
      </c>
      <c r="E1944" t="s">
        <v>540</v>
      </c>
      <c r="F1944" t="s">
        <v>622</v>
      </c>
      <c r="G1944">
        <v>1</v>
      </c>
      <c r="H1944">
        <v>2</v>
      </c>
      <c r="I1944">
        <v>0</v>
      </c>
      <c r="J1944">
        <v>0</v>
      </c>
      <c r="K1944" s="9">
        <v>6.1385542168674698</v>
      </c>
    </row>
    <row r="1945" spans="1:11" x14ac:dyDescent="0.45">
      <c r="A1945" t="s">
        <v>188</v>
      </c>
      <c r="B1945" t="s">
        <v>695</v>
      </c>
      <c r="C1945" t="s">
        <v>101</v>
      </c>
      <c r="D1945">
        <v>8</v>
      </c>
      <c r="E1945" t="s">
        <v>379</v>
      </c>
      <c r="F1945" t="s">
        <v>623</v>
      </c>
      <c r="G1945">
        <v>0</v>
      </c>
      <c r="H1945">
        <v>1</v>
      </c>
      <c r="I1945">
        <v>0</v>
      </c>
      <c r="J1945">
        <v>0</v>
      </c>
      <c r="K1945" s="9">
        <v>6.5693779904306222</v>
      </c>
    </row>
    <row r="1946" spans="1:11" x14ac:dyDescent="0.45">
      <c r="A1946" t="s">
        <v>188</v>
      </c>
      <c r="B1946" t="s">
        <v>695</v>
      </c>
      <c r="C1946" t="s">
        <v>10</v>
      </c>
      <c r="D1946">
        <v>1</v>
      </c>
      <c r="E1946" t="s">
        <v>329</v>
      </c>
      <c r="F1946" t="s">
        <v>622</v>
      </c>
      <c r="G1946">
        <v>10</v>
      </c>
      <c r="H1946">
        <v>7</v>
      </c>
      <c r="I1946">
        <v>1</v>
      </c>
      <c r="J1946">
        <v>0</v>
      </c>
      <c r="K1946" s="9">
        <v>4.927835051546392</v>
      </c>
    </row>
    <row r="1947" spans="1:11" x14ac:dyDescent="0.45">
      <c r="A1947" t="s">
        <v>188</v>
      </c>
      <c r="B1947" t="s">
        <v>695</v>
      </c>
      <c r="C1947" t="s">
        <v>10</v>
      </c>
      <c r="D1947">
        <v>2</v>
      </c>
      <c r="E1947" t="s">
        <v>425</v>
      </c>
      <c r="F1947" t="s">
        <v>622</v>
      </c>
      <c r="G1947">
        <v>3</v>
      </c>
      <c r="H1947">
        <v>5</v>
      </c>
      <c r="I1947">
        <v>0</v>
      </c>
      <c r="J1947">
        <v>0</v>
      </c>
      <c r="K1947" s="9">
        <v>5.132075471698113</v>
      </c>
    </row>
    <row r="1948" spans="1:11" x14ac:dyDescent="0.45">
      <c r="A1948" t="s">
        <v>188</v>
      </c>
      <c r="B1948" t="s">
        <v>695</v>
      </c>
      <c r="C1948" t="s">
        <v>10</v>
      </c>
      <c r="D1948">
        <v>3</v>
      </c>
      <c r="E1948" t="s">
        <v>433</v>
      </c>
      <c r="F1948" t="s">
        <v>622</v>
      </c>
      <c r="G1948">
        <v>18</v>
      </c>
      <c r="H1948">
        <v>16</v>
      </c>
      <c r="I1948">
        <v>4</v>
      </c>
      <c r="J1948">
        <v>0</v>
      </c>
      <c r="K1948" s="9">
        <v>4.7608695652173916</v>
      </c>
    </row>
    <row r="1949" spans="1:11" x14ac:dyDescent="0.45">
      <c r="A1949" t="s">
        <v>188</v>
      </c>
      <c r="B1949" t="s">
        <v>695</v>
      </c>
      <c r="C1949" t="s">
        <v>10</v>
      </c>
      <c r="D1949">
        <v>4</v>
      </c>
      <c r="E1949" t="s">
        <v>334</v>
      </c>
      <c r="F1949" t="s">
        <v>622</v>
      </c>
      <c r="G1949">
        <v>43</v>
      </c>
      <c r="H1949">
        <v>29</v>
      </c>
      <c r="I1949">
        <v>7</v>
      </c>
      <c r="J1949">
        <v>0</v>
      </c>
      <c r="K1949" s="9">
        <v>4.0454545454545459</v>
      </c>
    </row>
    <row r="1950" spans="1:11" x14ac:dyDescent="0.45">
      <c r="A1950" t="s">
        <v>188</v>
      </c>
      <c r="B1950" t="s">
        <v>695</v>
      </c>
      <c r="C1950" t="s">
        <v>10</v>
      </c>
      <c r="D1950">
        <v>5</v>
      </c>
      <c r="E1950" t="s">
        <v>436</v>
      </c>
      <c r="F1950" t="s">
        <v>622</v>
      </c>
      <c r="G1950">
        <v>25</v>
      </c>
      <c r="H1950">
        <v>22</v>
      </c>
      <c r="I1950">
        <v>2</v>
      </c>
      <c r="J1950">
        <v>1</v>
      </c>
      <c r="K1950" s="9">
        <v>4.4423076923076925</v>
      </c>
    </row>
    <row r="1951" spans="1:11" x14ac:dyDescent="0.45">
      <c r="A1951" t="s">
        <v>188</v>
      </c>
      <c r="B1951" t="s">
        <v>695</v>
      </c>
      <c r="C1951" t="s">
        <v>10</v>
      </c>
      <c r="D1951">
        <v>6</v>
      </c>
      <c r="E1951" t="s">
        <v>499</v>
      </c>
      <c r="F1951" t="s">
        <v>622</v>
      </c>
      <c r="G1951">
        <v>20</v>
      </c>
      <c r="H1951">
        <v>12</v>
      </c>
      <c r="I1951">
        <v>2</v>
      </c>
      <c r="J1951">
        <v>1</v>
      </c>
      <c r="K1951" s="9">
        <v>4.8024691358024691</v>
      </c>
    </row>
    <row r="1952" spans="1:11" x14ac:dyDescent="0.45">
      <c r="A1952" t="s">
        <v>188</v>
      </c>
      <c r="B1952" t="s">
        <v>695</v>
      </c>
      <c r="C1952" t="s">
        <v>10</v>
      </c>
      <c r="D1952">
        <v>7</v>
      </c>
      <c r="E1952" t="s">
        <v>337</v>
      </c>
      <c r="F1952" t="s">
        <v>622</v>
      </c>
      <c r="G1952">
        <v>8</v>
      </c>
      <c r="H1952">
        <v>4</v>
      </c>
      <c r="I1952">
        <v>2</v>
      </c>
      <c r="J1952">
        <v>0</v>
      </c>
      <c r="K1952" s="9">
        <v>5.352380952380952</v>
      </c>
    </row>
    <row r="1953" spans="1:11" x14ac:dyDescent="0.45">
      <c r="A1953" t="s">
        <v>188</v>
      </c>
      <c r="B1953" t="s">
        <v>695</v>
      </c>
      <c r="C1953" t="s">
        <v>10</v>
      </c>
      <c r="D1953">
        <v>8</v>
      </c>
      <c r="E1953" t="s">
        <v>326</v>
      </c>
      <c r="F1953" t="s">
        <v>622</v>
      </c>
      <c r="G1953">
        <v>2</v>
      </c>
      <c r="H1953">
        <v>5</v>
      </c>
      <c r="I1953">
        <v>0</v>
      </c>
      <c r="J1953">
        <v>0</v>
      </c>
      <c r="K1953" s="9">
        <v>5.132075471698113</v>
      </c>
    </row>
    <row r="1954" spans="1:11" x14ac:dyDescent="0.45">
      <c r="A1954" t="s">
        <v>188</v>
      </c>
      <c r="B1954" t="s">
        <v>695</v>
      </c>
      <c r="C1954" t="s">
        <v>10</v>
      </c>
      <c r="D1954">
        <v>9</v>
      </c>
      <c r="E1954" t="s">
        <v>500</v>
      </c>
      <c r="F1954" t="s">
        <v>623</v>
      </c>
      <c r="G1954">
        <v>14</v>
      </c>
      <c r="H1954">
        <v>14</v>
      </c>
      <c r="I1954">
        <v>0</v>
      </c>
      <c r="J1954">
        <v>1</v>
      </c>
      <c r="K1954" s="9">
        <v>4.8461538461538458</v>
      </c>
    </row>
    <row r="1955" spans="1:11" x14ac:dyDescent="0.45">
      <c r="A1955" t="s">
        <v>188</v>
      </c>
      <c r="B1955" t="s">
        <v>695</v>
      </c>
      <c r="C1955" t="s">
        <v>10</v>
      </c>
      <c r="D1955">
        <v>10</v>
      </c>
      <c r="E1955" t="s">
        <v>444</v>
      </c>
      <c r="F1955" t="s">
        <v>622</v>
      </c>
      <c r="G1955">
        <v>0</v>
      </c>
      <c r="H1955">
        <v>1</v>
      </c>
      <c r="I1955">
        <v>0</v>
      </c>
      <c r="J1955">
        <v>0</v>
      </c>
      <c r="K1955" s="9">
        <v>6.5693779904306222</v>
      </c>
    </row>
    <row r="1956" spans="1:11" x14ac:dyDescent="0.45">
      <c r="A1956" t="s">
        <v>188</v>
      </c>
      <c r="B1956" t="s">
        <v>695</v>
      </c>
      <c r="C1956" t="s">
        <v>10</v>
      </c>
      <c r="D1956">
        <v>11</v>
      </c>
      <c r="E1956" t="s">
        <v>396</v>
      </c>
      <c r="F1956" t="s">
        <v>623</v>
      </c>
      <c r="G1956">
        <v>3</v>
      </c>
      <c r="H1956">
        <v>5</v>
      </c>
      <c r="I1956">
        <v>0</v>
      </c>
      <c r="J1956">
        <v>0</v>
      </c>
      <c r="K1956" s="9">
        <v>5.132075471698113</v>
      </c>
    </row>
    <row r="1957" spans="1:11" x14ac:dyDescent="0.45">
      <c r="A1957" t="s">
        <v>189</v>
      </c>
      <c r="B1957" t="s">
        <v>632</v>
      </c>
      <c r="C1957" t="s">
        <v>23</v>
      </c>
      <c r="D1957">
        <v>1</v>
      </c>
      <c r="E1957" t="s">
        <v>458</v>
      </c>
      <c r="F1957" t="s">
        <v>622</v>
      </c>
      <c r="G1957">
        <v>100</v>
      </c>
      <c r="H1957">
        <v>68</v>
      </c>
      <c r="I1957">
        <v>11</v>
      </c>
      <c r="J1957">
        <v>5</v>
      </c>
      <c r="K1957" s="9">
        <v>3</v>
      </c>
    </row>
    <row r="1958" spans="1:11" x14ac:dyDescent="0.45">
      <c r="A1958" t="s">
        <v>189</v>
      </c>
      <c r="B1958" t="s">
        <v>632</v>
      </c>
      <c r="C1958" t="s">
        <v>23</v>
      </c>
      <c r="D1958">
        <v>2</v>
      </c>
      <c r="E1958" t="s">
        <v>383</v>
      </c>
      <c r="F1958" t="s">
        <v>622</v>
      </c>
      <c r="G1958">
        <v>1</v>
      </c>
      <c r="H1958">
        <v>2</v>
      </c>
      <c r="I1958">
        <v>0</v>
      </c>
      <c r="J1958">
        <v>0</v>
      </c>
      <c r="K1958" s="9">
        <v>6.1385542168674698</v>
      </c>
    </row>
    <row r="1959" spans="1:11" x14ac:dyDescent="0.45">
      <c r="A1959" t="s">
        <v>189</v>
      </c>
      <c r="B1959" t="s">
        <v>632</v>
      </c>
      <c r="C1959" t="s">
        <v>23</v>
      </c>
      <c r="D1959">
        <v>3</v>
      </c>
      <c r="E1959" t="s">
        <v>342</v>
      </c>
      <c r="F1959" t="s">
        <v>622</v>
      </c>
      <c r="G1959">
        <v>7</v>
      </c>
      <c r="H1959">
        <v>7</v>
      </c>
      <c r="I1959">
        <v>1</v>
      </c>
      <c r="J1959">
        <v>0</v>
      </c>
      <c r="K1959" s="9">
        <v>4.927835051546392</v>
      </c>
    </row>
    <row r="1960" spans="1:11" x14ac:dyDescent="0.45">
      <c r="A1960" t="s">
        <v>189</v>
      </c>
      <c r="B1960" t="s">
        <v>632</v>
      </c>
      <c r="C1960" t="s">
        <v>23</v>
      </c>
      <c r="D1960">
        <v>4</v>
      </c>
      <c r="E1960" t="s">
        <v>386</v>
      </c>
      <c r="F1960" t="s">
        <v>622</v>
      </c>
      <c r="G1960">
        <v>30</v>
      </c>
      <c r="H1960">
        <v>21</v>
      </c>
      <c r="I1960">
        <v>1</v>
      </c>
      <c r="J1960">
        <v>3</v>
      </c>
      <c r="K1960" s="9">
        <v>4.3770491803278686</v>
      </c>
    </row>
    <row r="1961" spans="1:11" x14ac:dyDescent="0.45">
      <c r="A1961" t="s">
        <v>189</v>
      </c>
      <c r="B1961" t="s">
        <v>632</v>
      </c>
      <c r="C1961" t="s">
        <v>23</v>
      </c>
      <c r="D1961">
        <v>5</v>
      </c>
      <c r="E1961" t="s">
        <v>336</v>
      </c>
      <c r="F1961" t="s">
        <v>622</v>
      </c>
      <c r="G1961">
        <v>35</v>
      </c>
      <c r="H1961">
        <v>14</v>
      </c>
      <c r="I1961">
        <v>3</v>
      </c>
      <c r="J1961">
        <v>3</v>
      </c>
      <c r="K1961" s="9">
        <v>4.8461538461538458</v>
      </c>
    </row>
    <row r="1962" spans="1:11" x14ac:dyDescent="0.45">
      <c r="A1962" t="s">
        <v>189</v>
      </c>
      <c r="B1962" t="s">
        <v>632</v>
      </c>
      <c r="C1962" t="s">
        <v>23</v>
      </c>
      <c r="D1962">
        <v>6</v>
      </c>
      <c r="E1962" t="s">
        <v>431</v>
      </c>
      <c r="F1962" t="s">
        <v>622</v>
      </c>
      <c r="G1962">
        <v>5</v>
      </c>
      <c r="H1962">
        <v>4</v>
      </c>
      <c r="I1962">
        <v>1</v>
      </c>
      <c r="J1962">
        <v>0</v>
      </c>
      <c r="K1962" s="9">
        <v>5.352380952380952</v>
      </c>
    </row>
    <row r="1963" spans="1:11" x14ac:dyDescent="0.45">
      <c r="A1963" t="s">
        <v>189</v>
      </c>
      <c r="B1963" t="s">
        <v>632</v>
      </c>
      <c r="C1963" t="s">
        <v>23</v>
      </c>
      <c r="D1963">
        <v>7</v>
      </c>
      <c r="E1963" t="s">
        <v>339</v>
      </c>
      <c r="F1963" t="s">
        <v>622</v>
      </c>
      <c r="G1963">
        <v>1</v>
      </c>
      <c r="H1963">
        <v>1</v>
      </c>
      <c r="I1963">
        <v>0</v>
      </c>
      <c r="J1963">
        <v>0</v>
      </c>
      <c r="K1963" s="9">
        <v>6.5693779904306222</v>
      </c>
    </row>
    <row r="1964" spans="1:11" x14ac:dyDescent="0.45">
      <c r="A1964" t="s">
        <v>189</v>
      </c>
      <c r="B1964" t="s">
        <v>632</v>
      </c>
      <c r="C1964" t="s">
        <v>23</v>
      </c>
      <c r="D1964">
        <v>8</v>
      </c>
      <c r="E1964" t="s">
        <v>449</v>
      </c>
      <c r="F1964" t="s">
        <v>622</v>
      </c>
      <c r="G1964">
        <v>2</v>
      </c>
      <c r="H1964">
        <v>2</v>
      </c>
      <c r="I1964">
        <v>0</v>
      </c>
      <c r="J1964">
        <v>0</v>
      </c>
      <c r="K1964" s="9">
        <v>6.1385542168674698</v>
      </c>
    </row>
    <row r="1965" spans="1:11" x14ac:dyDescent="0.45">
      <c r="A1965" t="s">
        <v>189</v>
      </c>
      <c r="B1965" t="s">
        <v>632</v>
      </c>
      <c r="C1965" t="s">
        <v>23</v>
      </c>
      <c r="D1965">
        <v>9</v>
      </c>
      <c r="E1965" t="s">
        <v>370</v>
      </c>
      <c r="F1965" t="s">
        <v>623</v>
      </c>
      <c r="G1965">
        <v>1</v>
      </c>
      <c r="H1965">
        <v>1</v>
      </c>
      <c r="I1965">
        <v>0</v>
      </c>
      <c r="J1965">
        <v>0</v>
      </c>
      <c r="K1965" s="9">
        <v>6.5693779904306222</v>
      </c>
    </row>
    <row r="1966" spans="1:11" x14ac:dyDescent="0.45">
      <c r="A1966" t="s">
        <v>189</v>
      </c>
      <c r="B1966" t="s">
        <v>632</v>
      </c>
      <c r="C1966" t="s">
        <v>19</v>
      </c>
      <c r="D1966">
        <v>1</v>
      </c>
      <c r="E1966" t="s">
        <v>360</v>
      </c>
      <c r="F1966" t="s">
        <v>622</v>
      </c>
      <c r="G1966">
        <v>54</v>
      </c>
      <c r="H1966">
        <v>43</v>
      </c>
      <c r="I1966">
        <v>5</v>
      </c>
      <c r="J1966">
        <v>1</v>
      </c>
      <c r="K1966" s="9">
        <v>2.8888888888888888</v>
      </c>
    </row>
    <row r="1967" spans="1:11" x14ac:dyDescent="0.45">
      <c r="A1967" t="s">
        <v>189</v>
      </c>
      <c r="B1967" t="s">
        <v>632</v>
      </c>
      <c r="C1967" t="s">
        <v>19</v>
      </c>
      <c r="D1967">
        <v>2</v>
      </c>
      <c r="E1967" t="s">
        <v>359</v>
      </c>
      <c r="F1967" t="s">
        <v>622</v>
      </c>
      <c r="G1967">
        <v>10</v>
      </c>
      <c r="H1967">
        <v>5</v>
      </c>
      <c r="I1967">
        <v>0</v>
      </c>
      <c r="J1967">
        <v>1</v>
      </c>
      <c r="K1967" s="9">
        <v>5.132075471698113</v>
      </c>
    </row>
    <row r="1968" spans="1:11" x14ac:dyDescent="0.45">
      <c r="A1968" t="s">
        <v>189</v>
      </c>
      <c r="B1968" t="s">
        <v>632</v>
      </c>
      <c r="C1968" t="s">
        <v>19</v>
      </c>
      <c r="D1968">
        <v>3</v>
      </c>
      <c r="E1968" t="s">
        <v>453</v>
      </c>
      <c r="F1968" t="s">
        <v>622</v>
      </c>
      <c r="G1968">
        <v>5</v>
      </c>
      <c r="H1968">
        <v>4</v>
      </c>
      <c r="I1968">
        <v>1</v>
      </c>
      <c r="J1968">
        <v>0</v>
      </c>
      <c r="K1968" s="9">
        <v>5.352380952380952</v>
      </c>
    </row>
    <row r="1969" spans="1:11" x14ac:dyDescent="0.45">
      <c r="A1969" t="s">
        <v>189</v>
      </c>
      <c r="B1969" t="s">
        <v>632</v>
      </c>
      <c r="C1969" t="s">
        <v>19</v>
      </c>
      <c r="D1969">
        <v>4</v>
      </c>
      <c r="E1969" t="s">
        <v>502</v>
      </c>
      <c r="F1969" t="s">
        <v>622</v>
      </c>
      <c r="G1969">
        <v>61</v>
      </c>
      <c r="H1969">
        <v>33</v>
      </c>
      <c r="I1969">
        <v>3</v>
      </c>
      <c r="J1969">
        <v>5</v>
      </c>
      <c r="K1969" s="9">
        <v>2.8421052631578947</v>
      </c>
    </row>
    <row r="1970" spans="1:11" x14ac:dyDescent="0.45">
      <c r="A1970" t="s">
        <v>189</v>
      </c>
      <c r="B1970" t="s">
        <v>632</v>
      </c>
      <c r="C1970" t="s">
        <v>19</v>
      </c>
      <c r="D1970">
        <v>5</v>
      </c>
      <c r="E1970" t="s">
        <v>362</v>
      </c>
      <c r="F1970" t="s">
        <v>622</v>
      </c>
      <c r="G1970">
        <v>22</v>
      </c>
      <c r="H1970">
        <v>24</v>
      </c>
      <c r="I1970">
        <v>3</v>
      </c>
      <c r="J1970">
        <v>1</v>
      </c>
      <c r="K1970" s="9">
        <v>4.0606060606060606</v>
      </c>
    </row>
    <row r="1971" spans="1:11" x14ac:dyDescent="0.45">
      <c r="A1971" t="s">
        <v>189</v>
      </c>
      <c r="B1971" t="s">
        <v>632</v>
      </c>
      <c r="C1971" t="s">
        <v>19</v>
      </c>
      <c r="D1971">
        <v>6</v>
      </c>
      <c r="E1971" t="s">
        <v>447</v>
      </c>
      <c r="F1971" t="s">
        <v>622</v>
      </c>
      <c r="G1971">
        <v>1</v>
      </c>
      <c r="H1971">
        <v>3</v>
      </c>
      <c r="I1971">
        <v>0</v>
      </c>
      <c r="J1971">
        <v>0</v>
      </c>
      <c r="K1971" s="9">
        <v>5.6607142857142856</v>
      </c>
    </row>
    <row r="1972" spans="1:11" x14ac:dyDescent="0.45">
      <c r="A1972" t="s">
        <v>189</v>
      </c>
      <c r="B1972" t="s">
        <v>632</v>
      </c>
      <c r="C1972" t="s">
        <v>19</v>
      </c>
      <c r="D1972">
        <v>7</v>
      </c>
      <c r="E1972" t="s">
        <v>464</v>
      </c>
      <c r="F1972" t="s">
        <v>622</v>
      </c>
      <c r="G1972">
        <v>0</v>
      </c>
      <c r="H1972">
        <v>1</v>
      </c>
      <c r="I1972">
        <v>0</v>
      </c>
      <c r="J1972">
        <v>0</v>
      </c>
      <c r="K1972" s="9">
        <v>6.5693779904306222</v>
      </c>
    </row>
    <row r="1973" spans="1:11" x14ac:dyDescent="0.45">
      <c r="A1973" t="s">
        <v>189</v>
      </c>
      <c r="B1973" t="s">
        <v>632</v>
      </c>
      <c r="C1973" t="s">
        <v>19</v>
      </c>
      <c r="D1973">
        <v>8</v>
      </c>
      <c r="E1973" t="s">
        <v>473</v>
      </c>
      <c r="F1973" t="s">
        <v>622</v>
      </c>
      <c r="G1973">
        <v>6</v>
      </c>
      <c r="H1973">
        <v>8</v>
      </c>
      <c r="I1973">
        <v>1</v>
      </c>
      <c r="J1973">
        <v>0</v>
      </c>
      <c r="K1973" s="9">
        <v>4.9029126213592233</v>
      </c>
    </row>
    <row r="1974" spans="1:11" x14ac:dyDescent="0.45">
      <c r="A1974" t="s">
        <v>189</v>
      </c>
      <c r="B1974" t="s">
        <v>632</v>
      </c>
      <c r="C1974" t="s">
        <v>19</v>
      </c>
      <c r="D1974">
        <v>9</v>
      </c>
      <c r="E1974" t="s">
        <v>369</v>
      </c>
      <c r="F1974" t="s">
        <v>623</v>
      </c>
      <c r="G1974">
        <v>0</v>
      </c>
      <c r="H1974">
        <v>1</v>
      </c>
      <c r="I1974">
        <v>0</v>
      </c>
      <c r="J1974">
        <v>0</v>
      </c>
      <c r="K1974" s="9">
        <v>6.5693779904306222</v>
      </c>
    </row>
    <row r="1975" spans="1:11" x14ac:dyDescent="0.45">
      <c r="A1975" t="s">
        <v>190</v>
      </c>
      <c r="B1975" t="s">
        <v>656</v>
      </c>
      <c r="C1975" t="s">
        <v>26</v>
      </c>
      <c r="D1975">
        <v>1</v>
      </c>
      <c r="E1975" t="s">
        <v>398</v>
      </c>
      <c r="F1975" t="s">
        <v>622</v>
      </c>
      <c r="G1975">
        <v>1</v>
      </c>
      <c r="H1975">
        <v>5</v>
      </c>
      <c r="I1975">
        <v>0</v>
      </c>
      <c r="J1975">
        <v>0</v>
      </c>
      <c r="K1975" s="9">
        <v>5.132075471698113</v>
      </c>
    </row>
    <row r="1976" spans="1:11" x14ac:dyDescent="0.45">
      <c r="A1976" t="s">
        <v>190</v>
      </c>
      <c r="B1976" t="s">
        <v>656</v>
      </c>
      <c r="C1976" t="s">
        <v>26</v>
      </c>
      <c r="D1976">
        <v>2</v>
      </c>
      <c r="E1976" t="s">
        <v>330</v>
      </c>
      <c r="F1976" t="s">
        <v>622</v>
      </c>
      <c r="G1976">
        <v>16</v>
      </c>
      <c r="H1976">
        <v>15</v>
      </c>
      <c r="I1976">
        <v>1</v>
      </c>
      <c r="J1976">
        <v>1</v>
      </c>
      <c r="K1976" s="9">
        <v>4.7777777777777777</v>
      </c>
    </row>
    <row r="1977" spans="1:11" x14ac:dyDescent="0.45">
      <c r="A1977" t="s">
        <v>190</v>
      </c>
      <c r="B1977" t="s">
        <v>656</v>
      </c>
      <c r="C1977" t="s">
        <v>26</v>
      </c>
      <c r="D1977">
        <v>3</v>
      </c>
      <c r="E1977" t="s">
        <v>519</v>
      </c>
      <c r="F1977" t="s">
        <v>622</v>
      </c>
      <c r="G1977">
        <v>31</v>
      </c>
      <c r="H1977">
        <v>9</v>
      </c>
      <c r="I1977">
        <v>3</v>
      </c>
      <c r="J1977">
        <v>3</v>
      </c>
      <c r="K1977" s="9">
        <v>4.924050632911392</v>
      </c>
    </row>
    <row r="1978" spans="1:11" x14ac:dyDescent="0.45">
      <c r="A1978" t="s">
        <v>190</v>
      </c>
      <c r="B1978" t="s">
        <v>656</v>
      </c>
      <c r="C1978" t="s">
        <v>26</v>
      </c>
      <c r="D1978">
        <v>4</v>
      </c>
      <c r="E1978" t="s">
        <v>384</v>
      </c>
      <c r="F1978" t="s">
        <v>622</v>
      </c>
      <c r="G1978">
        <v>19</v>
      </c>
      <c r="H1978">
        <v>16</v>
      </c>
      <c r="I1978">
        <v>1</v>
      </c>
      <c r="J1978">
        <v>1</v>
      </c>
      <c r="K1978" s="9">
        <v>4.7608695652173916</v>
      </c>
    </row>
    <row r="1979" spans="1:11" x14ac:dyDescent="0.45">
      <c r="A1979" t="s">
        <v>190</v>
      </c>
      <c r="B1979" t="s">
        <v>656</v>
      </c>
      <c r="C1979" t="s">
        <v>26</v>
      </c>
      <c r="D1979">
        <v>5</v>
      </c>
      <c r="E1979" t="s">
        <v>554</v>
      </c>
      <c r="F1979" t="s">
        <v>622</v>
      </c>
      <c r="G1979">
        <v>11</v>
      </c>
      <c r="H1979">
        <v>13</v>
      </c>
      <c r="I1979">
        <v>1</v>
      </c>
      <c r="J1979">
        <v>0</v>
      </c>
      <c r="K1979" s="9">
        <v>4.8939393939393936</v>
      </c>
    </row>
    <row r="1980" spans="1:11" x14ac:dyDescent="0.45">
      <c r="A1980" t="s">
        <v>190</v>
      </c>
      <c r="B1980" t="s">
        <v>656</v>
      </c>
      <c r="C1980" t="s">
        <v>26</v>
      </c>
      <c r="D1980">
        <v>6</v>
      </c>
      <c r="E1980" t="s">
        <v>400</v>
      </c>
      <c r="F1980" t="s">
        <v>622</v>
      </c>
      <c r="G1980">
        <v>0</v>
      </c>
      <c r="H1980">
        <v>5</v>
      </c>
      <c r="I1980">
        <v>0</v>
      </c>
      <c r="J1980">
        <v>0</v>
      </c>
      <c r="K1980" s="9">
        <v>5.132075471698113</v>
      </c>
    </row>
    <row r="1981" spans="1:11" x14ac:dyDescent="0.45">
      <c r="A1981" t="s">
        <v>190</v>
      </c>
      <c r="B1981" t="s">
        <v>656</v>
      </c>
      <c r="C1981" t="s">
        <v>26</v>
      </c>
      <c r="D1981">
        <v>7</v>
      </c>
      <c r="E1981" t="s">
        <v>404</v>
      </c>
      <c r="F1981" t="s">
        <v>622</v>
      </c>
      <c r="G1981">
        <v>14</v>
      </c>
      <c r="H1981">
        <v>18</v>
      </c>
      <c r="I1981">
        <v>1</v>
      </c>
      <c r="J1981">
        <v>1</v>
      </c>
      <c r="K1981" s="9">
        <v>4.375</v>
      </c>
    </row>
    <row r="1982" spans="1:11" x14ac:dyDescent="0.45">
      <c r="A1982" t="s">
        <v>190</v>
      </c>
      <c r="B1982" t="s">
        <v>656</v>
      </c>
      <c r="C1982" t="s">
        <v>26</v>
      </c>
      <c r="D1982">
        <v>8</v>
      </c>
      <c r="E1982" t="s">
        <v>543</v>
      </c>
      <c r="F1982" t="s">
        <v>623</v>
      </c>
      <c r="G1982">
        <v>9</v>
      </c>
      <c r="H1982">
        <v>12</v>
      </c>
      <c r="I1982">
        <v>0</v>
      </c>
      <c r="J1982">
        <v>1</v>
      </c>
      <c r="K1982" s="9">
        <v>4.8024691358024691</v>
      </c>
    </row>
    <row r="1983" spans="1:11" x14ac:dyDescent="0.45">
      <c r="A1983" t="s">
        <v>190</v>
      </c>
      <c r="B1983" t="s">
        <v>656</v>
      </c>
      <c r="C1983" t="s">
        <v>26</v>
      </c>
      <c r="D1983">
        <v>9</v>
      </c>
      <c r="E1983" t="s">
        <v>435</v>
      </c>
      <c r="F1983" t="s">
        <v>622</v>
      </c>
      <c r="G1983">
        <v>0</v>
      </c>
      <c r="H1983">
        <v>2</v>
      </c>
      <c r="I1983">
        <v>0</v>
      </c>
      <c r="J1983">
        <v>0</v>
      </c>
      <c r="K1983" s="9">
        <v>6.1385542168674698</v>
      </c>
    </row>
    <row r="1984" spans="1:11" x14ac:dyDescent="0.45">
      <c r="A1984" t="s">
        <v>190</v>
      </c>
      <c r="B1984" t="s">
        <v>656</v>
      </c>
      <c r="C1984" t="s">
        <v>26</v>
      </c>
      <c r="D1984">
        <v>10</v>
      </c>
      <c r="E1984" t="s">
        <v>341</v>
      </c>
      <c r="F1984" t="s">
        <v>622</v>
      </c>
      <c r="G1984">
        <v>25</v>
      </c>
      <c r="H1984">
        <v>16</v>
      </c>
      <c r="I1984">
        <v>4</v>
      </c>
      <c r="J1984">
        <v>1</v>
      </c>
      <c r="K1984" s="9">
        <v>4.7608695652173916</v>
      </c>
    </row>
    <row r="1985" spans="1:11" x14ac:dyDescent="0.45">
      <c r="A1985" t="s">
        <v>190</v>
      </c>
      <c r="B1985" t="s">
        <v>656</v>
      </c>
      <c r="C1985" t="s">
        <v>26</v>
      </c>
      <c r="D1985">
        <v>11</v>
      </c>
      <c r="E1985" t="s">
        <v>405</v>
      </c>
      <c r="F1985" t="s">
        <v>622</v>
      </c>
      <c r="G1985">
        <v>0</v>
      </c>
      <c r="H1985">
        <v>1</v>
      </c>
      <c r="I1985">
        <v>0</v>
      </c>
      <c r="J1985">
        <v>0</v>
      </c>
      <c r="K1985" s="9">
        <v>6.5693779904306222</v>
      </c>
    </row>
    <row r="1986" spans="1:11" x14ac:dyDescent="0.45">
      <c r="A1986" t="s">
        <v>190</v>
      </c>
      <c r="B1986" t="s">
        <v>656</v>
      </c>
      <c r="C1986" t="s">
        <v>7</v>
      </c>
      <c r="D1986">
        <v>1</v>
      </c>
      <c r="E1986" t="s">
        <v>481</v>
      </c>
      <c r="F1986" t="s">
        <v>622</v>
      </c>
      <c r="G1986">
        <v>12</v>
      </c>
      <c r="H1986">
        <v>11</v>
      </c>
      <c r="I1986">
        <v>3</v>
      </c>
      <c r="J1986">
        <v>0</v>
      </c>
      <c r="K1986" s="9">
        <v>4.9649122807017543</v>
      </c>
    </row>
    <row r="1987" spans="1:11" x14ac:dyDescent="0.45">
      <c r="A1987" t="s">
        <v>190</v>
      </c>
      <c r="B1987" t="s">
        <v>656</v>
      </c>
      <c r="C1987" t="s">
        <v>7</v>
      </c>
      <c r="D1987">
        <v>2</v>
      </c>
      <c r="E1987" t="s">
        <v>304</v>
      </c>
      <c r="F1987" t="s">
        <v>622</v>
      </c>
      <c r="G1987">
        <v>3</v>
      </c>
      <c r="H1987">
        <v>7</v>
      </c>
      <c r="I1987">
        <v>0</v>
      </c>
      <c r="J1987">
        <v>0</v>
      </c>
      <c r="K1987" s="9">
        <v>4.927835051546392</v>
      </c>
    </row>
    <row r="1988" spans="1:11" x14ac:dyDescent="0.45">
      <c r="A1988" t="s">
        <v>190</v>
      </c>
      <c r="B1988" t="s">
        <v>656</v>
      </c>
      <c r="C1988" t="s">
        <v>7</v>
      </c>
      <c r="D1988">
        <v>3</v>
      </c>
      <c r="E1988" t="s">
        <v>332</v>
      </c>
      <c r="F1988" t="s">
        <v>622</v>
      </c>
      <c r="G1988">
        <v>26</v>
      </c>
      <c r="H1988">
        <v>15</v>
      </c>
      <c r="I1988">
        <v>5</v>
      </c>
      <c r="J1988">
        <v>0</v>
      </c>
      <c r="K1988" s="9">
        <v>4.7777777777777777</v>
      </c>
    </row>
    <row r="1989" spans="1:11" x14ac:dyDescent="0.45">
      <c r="A1989" t="s">
        <v>190</v>
      </c>
      <c r="B1989" t="s">
        <v>656</v>
      </c>
      <c r="C1989" t="s">
        <v>7</v>
      </c>
      <c r="D1989">
        <v>4</v>
      </c>
      <c r="E1989" t="s">
        <v>513</v>
      </c>
      <c r="F1989" t="s">
        <v>623</v>
      </c>
      <c r="G1989">
        <v>24</v>
      </c>
      <c r="H1989">
        <v>23</v>
      </c>
      <c r="I1989">
        <v>1</v>
      </c>
      <c r="J1989">
        <v>1</v>
      </c>
      <c r="K1989" s="9">
        <v>5.1142857142857139</v>
      </c>
    </row>
    <row r="1990" spans="1:11" x14ac:dyDescent="0.45">
      <c r="A1990" t="s">
        <v>190</v>
      </c>
      <c r="B1990" t="s">
        <v>656</v>
      </c>
      <c r="C1990" t="s">
        <v>7</v>
      </c>
      <c r="D1990">
        <v>5</v>
      </c>
      <c r="E1990" t="s">
        <v>306</v>
      </c>
      <c r="F1990" t="s">
        <v>622</v>
      </c>
      <c r="G1990">
        <v>0</v>
      </c>
      <c r="H1990">
        <v>2</v>
      </c>
      <c r="I1990">
        <v>0</v>
      </c>
      <c r="J1990">
        <v>0</v>
      </c>
      <c r="K1990" s="9">
        <v>6.1385542168674698</v>
      </c>
    </row>
    <row r="1991" spans="1:11" x14ac:dyDescent="0.45">
      <c r="A1991" t="s">
        <v>190</v>
      </c>
      <c r="B1991" t="s">
        <v>656</v>
      </c>
      <c r="C1991" t="s">
        <v>7</v>
      </c>
      <c r="D1991">
        <v>6</v>
      </c>
      <c r="E1991" t="s">
        <v>440</v>
      </c>
      <c r="F1991" t="s">
        <v>623</v>
      </c>
      <c r="G1991">
        <v>70</v>
      </c>
      <c r="H1991">
        <v>31</v>
      </c>
      <c r="I1991">
        <v>2</v>
      </c>
      <c r="J1991">
        <v>8</v>
      </c>
      <c r="K1991" s="9">
        <v>3.4375</v>
      </c>
    </row>
    <row r="1992" spans="1:11" x14ac:dyDescent="0.45">
      <c r="A1992" t="s">
        <v>191</v>
      </c>
      <c r="B1992" t="s">
        <v>696</v>
      </c>
      <c r="C1992" t="s">
        <v>6</v>
      </c>
      <c r="D1992">
        <v>1</v>
      </c>
      <c r="E1992" t="s">
        <v>297</v>
      </c>
      <c r="F1992" t="s">
        <v>622</v>
      </c>
      <c r="G1992">
        <v>50</v>
      </c>
      <c r="H1992">
        <v>27</v>
      </c>
      <c r="I1992">
        <v>8</v>
      </c>
      <c r="J1992">
        <v>1</v>
      </c>
      <c r="K1992" s="9">
        <v>4.25</v>
      </c>
    </row>
    <row r="1993" spans="1:11" x14ac:dyDescent="0.45">
      <c r="A1993" t="s">
        <v>191</v>
      </c>
      <c r="B1993" t="s">
        <v>696</v>
      </c>
      <c r="C1993" t="s">
        <v>6</v>
      </c>
      <c r="D1993">
        <v>2</v>
      </c>
      <c r="E1993" t="s">
        <v>290</v>
      </c>
      <c r="F1993" t="s">
        <v>622</v>
      </c>
      <c r="G1993">
        <v>1</v>
      </c>
      <c r="H1993">
        <v>4</v>
      </c>
      <c r="I1993">
        <v>0</v>
      </c>
      <c r="J1993">
        <v>0</v>
      </c>
      <c r="K1993" s="9">
        <v>5.352380952380952</v>
      </c>
    </row>
    <row r="1994" spans="1:11" x14ac:dyDescent="0.45">
      <c r="A1994" t="s">
        <v>191</v>
      </c>
      <c r="B1994" t="s">
        <v>696</v>
      </c>
      <c r="C1994" t="s">
        <v>6</v>
      </c>
      <c r="D1994">
        <v>3</v>
      </c>
      <c r="E1994" t="s">
        <v>299</v>
      </c>
      <c r="F1994" t="s">
        <v>622</v>
      </c>
      <c r="G1994">
        <v>35</v>
      </c>
      <c r="H1994">
        <v>22</v>
      </c>
      <c r="I1994">
        <v>4</v>
      </c>
      <c r="J1994">
        <v>2</v>
      </c>
      <c r="K1994" s="9">
        <v>4.4423076923076925</v>
      </c>
    </row>
    <row r="1995" spans="1:11" x14ac:dyDescent="0.45">
      <c r="A1995" t="s">
        <v>191</v>
      </c>
      <c r="B1995" t="s">
        <v>696</v>
      </c>
      <c r="C1995" t="s">
        <v>6</v>
      </c>
      <c r="D1995">
        <v>4</v>
      </c>
      <c r="E1995" t="s">
        <v>387</v>
      </c>
      <c r="F1995" t="s">
        <v>622</v>
      </c>
      <c r="G1995">
        <v>49</v>
      </c>
      <c r="H1995">
        <v>30</v>
      </c>
      <c r="I1995">
        <v>5</v>
      </c>
      <c r="J1995">
        <v>2</v>
      </c>
      <c r="K1995" s="9">
        <v>3.6774193548387095</v>
      </c>
    </row>
    <row r="1996" spans="1:11" x14ac:dyDescent="0.45">
      <c r="A1996" t="s">
        <v>191</v>
      </c>
      <c r="B1996" t="s">
        <v>696</v>
      </c>
      <c r="C1996" t="s">
        <v>6</v>
      </c>
      <c r="D1996">
        <v>5</v>
      </c>
      <c r="E1996" t="s">
        <v>355</v>
      </c>
      <c r="F1996" t="s">
        <v>622</v>
      </c>
      <c r="G1996">
        <v>27</v>
      </c>
      <c r="H1996">
        <v>20</v>
      </c>
      <c r="I1996">
        <v>2</v>
      </c>
      <c r="J1996">
        <v>2</v>
      </c>
      <c r="K1996" s="9">
        <v>4.9473684210526319</v>
      </c>
    </row>
    <row r="1997" spans="1:11" x14ac:dyDescent="0.45">
      <c r="A1997" t="s">
        <v>191</v>
      </c>
      <c r="B1997" t="s">
        <v>696</v>
      </c>
      <c r="C1997" t="s">
        <v>6</v>
      </c>
      <c r="D1997">
        <v>6</v>
      </c>
      <c r="E1997" t="s">
        <v>328</v>
      </c>
      <c r="F1997" t="s">
        <v>622</v>
      </c>
      <c r="G1997">
        <v>17</v>
      </c>
      <c r="H1997">
        <v>9</v>
      </c>
      <c r="I1997">
        <v>3</v>
      </c>
      <c r="J1997">
        <v>0</v>
      </c>
      <c r="K1997" s="9">
        <v>4.924050632911392</v>
      </c>
    </row>
    <row r="1998" spans="1:11" x14ac:dyDescent="0.45">
      <c r="A1998" t="s">
        <v>191</v>
      </c>
      <c r="B1998" t="s">
        <v>696</v>
      </c>
      <c r="C1998" t="s">
        <v>6</v>
      </c>
      <c r="D1998">
        <v>7</v>
      </c>
      <c r="E1998" t="s">
        <v>356</v>
      </c>
      <c r="F1998" t="s">
        <v>623</v>
      </c>
      <c r="G1998">
        <v>16</v>
      </c>
      <c r="H1998">
        <v>6</v>
      </c>
      <c r="I1998">
        <v>2</v>
      </c>
      <c r="J1998">
        <v>1</v>
      </c>
      <c r="K1998" s="9">
        <v>5.4565217391304346</v>
      </c>
    </row>
    <row r="1999" spans="1:11" x14ac:dyDescent="0.45">
      <c r="A1999" t="s">
        <v>191</v>
      </c>
      <c r="B1999" t="s">
        <v>696</v>
      </c>
      <c r="C1999" t="s">
        <v>6</v>
      </c>
      <c r="D1999">
        <v>8</v>
      </c>
      <c r="E1999" t="s">
        <v>537</v>
      </c>
      <c r="F1999" t="s">
        <v>622</v>
      </c>
      <c r="G1999">
        <v>0</v>
      </c>
      <c r="H1999">
        <v>1</v>
      </c>
      <c r="I1999">
        <v>0</v>
      </c>
      <c r="J1999">
        <v>0</v>
      </c>
      <c r="K1999" s="9">
        <v>6.5693779904306222</v>
      </c>
    </row>
    <row r="2000" spans="1:11" x14ac:dyDescent="0.45">
      <c r="A2000" t="s">
        <v>191</v>
      </c>
      <c r="B2000" t="s">
        <v>696</v>
      </c>
      <c r="C2000" t="s">
        <v>6</v>
      </c>
      <c r="D2000">
        <v>9</v>
      </c>
      <c r="E2000" t="s">
        <v>327</v>
      </c>
      <c r="F2000" t="s">
        <v>623</v>
      </c>
      <c r="G2000">
        <v>1</v>
      </c>
      <c r="H2000">
        <v>1</v>
      </c>
      <c r="I2000">
        <v>0</v>
      </c>
      <c r="J2000">
        <v>0</v>
      </c>
      <c r="K2000" s="9">
        <v>6.5693779904306222</v>
      </c>
    </row>
    <row r="2001" spans="1:11" x14ac:dyDescent="0.45">
      <c r="A2001" t="s">
        <v>191</v>
      </c>
      <c r="B2001" t="s">
        <v>696</v>
      </c>
      <c r="C2001" t="s">
        <v>104</v>
      </c>
      <c r="D2001">
        <v>1</v>
      </c>
      <c r="E2001" t="s">
        <v>397</v>
      </c>
      <c r="F2001" t="s">
        <v>622</v>
      </c>
      <c r="G2001">
        <v>40</v>
      </c>
      <c r="H2001">
        <v>26</v>
      </c>
      <c r="I2001">
        <v>2</v>
      </c>
      <c r="J2001">
        <v>3</v>
      </c>
      <c r="K2001" s="9">
        <v>4.1568627450980395</v>
      </c>
    </row>
    <row r="2002" spans="1:11" x14ac:dyDescent="0.45">
      <c r="A2002" t="s">
        <v>191</v>
      </c>
      <c r="B2002" t="s">
        <v>696</v>
      </c>
      <c r="C2002" t="s">
        <v>104</v>
      </c>
      <c r="D2002">
        <v>2</v>
      </c>
      <c r="E2002" t="s">
        <v>422</v>
      </c>
      <c r="F2002" t="s">
        <v>622</v>
      </c>
      <c r="G2002">
        <v>61</v>
      </c>
      <c r="H2002">
        <v>45</v>
      </c>
      <c r="I2002">
        <v>9</v>
      </c>
      <c r="J2002">
        <v>0</v>
      </c>
      <c r="K2002" s="9">
        <v>3.4375</v>
      </c>
    </row>
    <row r="2003" spans="1:11" x14ac:dyDescent="0.45">
      <c r="A2003" t="s">
        <v>191</v>
      </c>
      <c r="B2003" t="s">
        <v>696</v>
      </c>
      <c r="C2003" t="s">
        <v>104</v>
      </c>
      <c r="D2003">
        <v>3</v>
      </c>
      <c r="E2003" t="s">
        <v>374</v>
      </c>
      <c r="F2003" t="s">
        <v>622</v>
      </c>
      <c r="G2003">
        <v>5</v>
      </c>
      <c r="H2003">
        <v>6</v>
      </c>
      <c r="I2003">
        <v>0</v>
      </c>
      <c r="J2003">
        <v>0</v>
      </c>
      <c r="K2003" s="9">
        <v>5.4565217391304346</v>
      </c>
    </row>
    <row r="2004" spans="1:11" x14ac:dyDescent="0.45">
      <c r="A2004" t="s">
        <v>191</v>
      </c>
      <c r="B2004" t="s">
        <v>696</v>
      </c>
      <c r="C2004" t="s">
        <v>104</v>
      </c>
      <c r="D2004">
        <v>4</v>
      </c>
      <c r="E2004" t="s">
        <v>410</v>
      </c>
      <c r="F2004" t="s">
        <v>623</v>
      </c>
      <c r="G2004">
        <v>55</v>
      </c>
      <c r="H2004">
        <v>23</v>
      </c>
      <c r="I2004">
        <v>6</v>
      </c>
      <c r="J2004">
        <v>3</v>
      </c>
      <c r="K2004" s="9">
        <v>5.1142857142857139</v>
      </c>
    </row>
    <row r="2005" spans="1:11" x14ac:dyDescent="0.45">
      <c r="A2005" t="s">
        <v>191</v>
      </c>
      <c r="B2005" t="s">
        <v>696</v>
      </c>
      <c r="C2005" t="s">
        <v>104</v>
      </c>
      <c r="D2005">
        <v>5</v>
      </c>
      <c r="E2005" t="s">
        <v>426</v>
      </c>
      <c r="F2005" t="s">
        <v>622</v>
      </c>
      <c r="G2005">
        <v>13</v>
      </c>
      <c r="H2005">
        <v>8</v>
      </c>
      <c r="I2005">
        <v>1</v>
      </c>
      <c r="J2005">
        <v>1</v>
      </c>
      <c r="K2005" s="9">
        <v>4.9029126213592233</v>
      </c>
    </row>
    <row r="2006" spans="1:11" x14ac:dyDescent="0.45">
      <c r="A2006" t="s">
        <v>191</v>
      </c>
      <c r="B2006" t="s">
        <v>696</v>
      </c>
      <c r="C2006" t="s">
        <v>104</v>
      </c>
      <c r="D2006">
        <v>6</v>
      </c>
      <c r="E2006" t="s">
        <v>521</v>
      </c>
      <c r="F2006" t="s">
        <v>623</v>
      </c>
      <c r="G2006">
        <v>19</v>
      </c>
      <c r="H2006">
        <v>9</v>
      </c>
      <c r="I2006">
        <v>0</v>
      </c>
      <c r="J2006">
        <v>2</v>
      </c>
      <c r="K2006" s="9">
        <v>4.924050632911392</v>
      </c>
    </row>
    <row r="2007" spans="1:11" x14ac:dyDescent="0.45">
      <c r="A2007" t="s">
        <v>192</v>
      </c>
      <c r="B2007" t="s">
        <v>697</v>
      </c>
      <c r="C2007" t="s">
        <v>7</v>
      </c>
      <c r="D2007">
        <v>1</v>
      </c>
      <c r="E2007" t="s">
        <v>481</v>
      </c>
      <c r="F2007" t="s">
        <v>622</v>
      </c>
      <c r="G2007">
        <v>9</v>
      </c>
      <c r="H2007">
        <v>10</v>
      </c>
      <c r="I2007">
        <v>1</v>
      </c>
      <c r="J2007">
        <v>0</v>
      </c>
      <c r="K2007" s="9">
        <v>4.7179487179487181</v>
      </c>
    </row>
    <row r="2008" spans="1:11" x14ac:dyDescent="0.45">
      <c r="A2008" t="s">
        <v>192</v>
      </c>
      <c r="B2008" t="s">
        <v>697</v>
      </c>
      <c r="C2008" t="s">
        <v>7</v>
      </c>
      <c r="D2008">
        <v>2</v>
      </c>
      <c r="E2008" t="s">
        <v>304</v>
      </c>
      <c r="F2008" t="s">
        <v>622</v>
      </c>
      <c r="G2008">
        <v>10</v>
      </c>
      <c r="H2008">
        <v>14</v>
      </c>
      <c r="I2008">
        <v>1</v>
      </c>
      <c r="J2008">
        <v>0</v>
      </c>
      <c r="K2008" s="9">
        <v>4.8461538461538458</v>
      </c>
    </row>
    <row r="2009" spans="1:11" x14ac:dyDescent="0.45">
      <c r="A2009" t="s">
        <v>192</v>
      </c>
      <c r="B2009" t="s">
        <v>697</v>
      </c>
      <c r="C2009" t="s">
        <v>7</v>
      </c>
      <c r="D2009">
        <v>3</v>
      </c>
      <c r="E2009" t="s">
        <v>332</v>
      </c>
      <c r="F2009" t="s">
        <v>622</v>
      </c>
      <c r="G2009">
        <v>13</v>
      </c>
      <c r="H2009">
        <v>10</v>
      </c>
      <c r="I2009">
        <v>2</v>
      </c>
      <c r="J2009">
        <v>0</v>
      </c>
      <c r="K2009" s="9">
        <v>4.7179487179487181</v>
      </c>
    </row>
    <row r="2010" spans="1:11" x14ac:dyDescent="0.45">
      <c r="A2010" t="s">
        <v>192</v>
      </c>
      <c r="B2010" t="s">
        <v>697</v>
      </c>
      <c r="C2010" t="s">
        <v>7</v>
      </c>
      <c r="D2010">
        <v>4</v>
      </c>
      <c r="E2010" t="s">
        <v>306</v>
      </c>
      <c r="F2010" t="s">
        <v>622</v>
      </c>
      <c r="G2010">
        <v>10</v>
      </c>
      <c r="H2010">
        <v>5</v>
      </c>
      <c r="I2010">
        <v>1</v>
      </c>
      <c r="J2010">
        <v>1</v>
      </c>
      <c r="K2010" s="9">
        <v>5.132075471698113</v>
      </c>
    </row>
    <row r="2011" spans="1:11" x14ac:dyDescent="0.45">
      <c r="A2011" t="s">
        <v>192</v>
      </c>
      <c r="B2011" t="s">
        <v>697</v>
      </c>
      <c r="C2011" t="s">
        <v>7</v>
      </c>
      <c r="D2011">
        <v>5</v>
      </c>
      <c r="E2011" t="s">
        <v>308</v>
      </c>
      <c r="F2011" t="s">
        <v>622</v>
      </c>
      <c r="G2011">
        <v>12</v>
      </c>
      <c r="H2011">
        <v>8</v>
      </c>
      <c r="I2011">
        <v>1</v>
      </c>
      <c r="J2011">
        <v>1</v>
      </c>
      <c r="K2011" s="9">
        <v>4.9029126213592233</v>
      </c>
    </row>
    <row r="2012" spans="1:11" x14ac:dyDescent="0.45">
      <c r="A2012" t="s">
        <v>192</v>
      </c>
      <c r="B2012" t="s">
        <v>697</v>
      </c>
      <c r="C2012" t="s">
        <v>7</v>
      </c>
      <c r="D2012">
        <v>6</v>
      </c>
      <c r="E2012" t="s">
        <v>513</v>
      </c>
      <c r="F2012" t="s">
        <v>622</v>
      </c>
      <c r="G2012">
        <v>14</v>
      </c>
      <c r="H2012">
        <v>15</v>
      </c>
      <c r="I2012">
        <v>0</v>
      </c>
      <c r="J2012">
        <v>1</v>
      </c>
      <c r="K2012" s="9">
        <v>4.7777777777777777</v>
      </c>
    </row>
    <row r="2013" spans="1:11" x14ac:dyDescent="0.45">
      <c r="A2013" t="s">
        <v>192</v>
      </c>
      <c r="B2013" t="s">
        <v>697</v>
      </c>
      <c r="C2013" t="s">
        <v>7</v>
      </c>
      <c r="D2013">
        <v>7</v>
      </c>
      <c r="E2013" t="s">
        <v>529</v>
      </c>
      <c r="F2013" t="s">
        <v>622</v>
      </c>
      <c r="G2013">
        <v>0</v>
      </c>
      <c r="H2013">
        <v>1</v>
      </c>
      <c r="I2013">
        <v>0</v>
      </c>
      <c r="J2013">
        <v>0</v>
      </c>
      <c r="K2013" s="9">
        <v>6.5693779904306222</v>
      </c>
    </row>
    <row r="2014" spans="1:11" x14ac:dyDescent="0.45">
      <c r="A2014" t="s">
        <v>192</v>
      </c>
      <c r="B2014" t="s">
        <v>697</v>
      </c>
      <c r="C2014" t="s">
        <v>7</v>
      </c>
      <c r="D2014">
        <v>8</v>
      </c>
      <c r="E2014" t="s">
        <v>440</v>
      </c>
      <c r="F2014" t="s">
        <v>622</v>
      </c>
      <c r="G2014">
        <v>25</v>
      </c>
      <c r="H2014">
        <v>18</v>
      </c>
      <c r="I2014">
        <v>1</v>
      </c>
      <c r="J2014">
        <v>3</v>
      </c>
      <c r="K2014" s="9">
        <v>4.375</v>
      </c>
    </row>
    <row r="2015" spans="1:11" x14ac:dyDescent="0.45">
      <c r="A2015" t="s">
        <v>192</v>
      </c>
      <c r="B2015" t="s">
        <v>697</v>
      </c>
      <c r="C2015" t="s">
        <v>7</v>
      </c>
      <c r="D2015">
        <v>9</v>
      </c>
      <c r="E2015" t="s">
        <v>415</v>
      </c>
      <c r="F2015" t="s">
        <v>622</v>
      </c>
      <c r="G2015">
        <v>1</v>
      </c>
      <c r="H2015">
        <v>5</v>
      </c>
      <c r="I2015">
        <v>0</v>
      </c>
      <c r="J2015">
        <v>0</v>
      </c>
      <c r="K2015" s="9">
        <v>5.132075471698113</v>
      </c>
    </row>
    <row r="2016" spans="1:11" x14ac:dyDescent="0.45">
      <c r="A2016" t="s">
        <v>192</v>
      </c>
      <c r="B2016" t="s">
        <v>697</v>
      </c>
      <c r="C2016" t="s">
        <v>7</v>
      </c>
      <c r="D2016">
        <v>10</v>
      </c>
      <c r="E2016" t="s">
        <v>515</v>
      </c>
      <c r="F2016" t="s">
        <v>622</v>
      </c>
      <c r="G2016">
        <v>18</v>
      </c>
      <c r="H2016">
        <v>12</v>
      </c>
      <c r="I2016">
        <v>2</v>
      </c>
      <c r="J2016">
        <v>1</v>
      </c>
      <c r="K2016" s="9">
        <v>4.8024691358024691</v>
      </c>
    </row>
    <row r="2017" spans="1:11" x14ac:dyDescent="0.45">
      <c r="A2017" t="s">
        <v>192</v>
      </c>
      <c r="B2017" t="s">
        <v>697</v>
      </c>
      <c r="C2017" t="s">
        <v>7</v>
      </c>
      <c r="D2017">
        <v>11</v>
      </c>
      <c r="E2017" t="s">
        <v>322</v>
      </c>
      <c r="F2017" t="s">
        <v>623</v>
      </c>
      <c r="G2017">
        <v>10</v>
      </c>
      <c r="H2017">
        <v>16</v>
      </c>
      <c r="I2017">
        <v>2</v>
      </c>
      <c r="J2017">
        <v>0</v>
      </c>
      <c r="K2017" s="9">
        <v>4.7608695652173916</v>
      </c>
    </row>
    <row r="2018" spans="1:11" x14ac:dyDescent="0.45">
      <c r="A2018" t="s">
        <v>192</v>
      </c>
      <c r="B2018" t="s">
        <v>697</v>
      </c>
      <c r="C2018" t="s">
        <v>13</v>
      </c>
      <c r="D2018">
        <v>1</v>
      </c>
      <c r="E2018" t="s">
        <v>294</v>
      </c>
      <c r="F2018" t="s">
        <v>622</v>
      </c>
      <c r="G2018">
        <v>5</v>
      </c>
      <c r="H2018">
        <v>4</v>
      </c>
      <c r="I2018">
        <v>1</v>
      </c>
      <c r="J2018">
        <v>0</v>
      </c>
      <c r="K2018" s="9">
        <v>5.352380952380952</v>
      </c>
    </row>
    <row r="2019" spans="1:11" x14ac:dyDescent="0.45">
      <c r="A2019" t="s">
        <v>192</v>
      </c>
      <c r="B2019" t="s">
        <v>697</v>
      </c>
      <c r="C2019" t="s">
        <v>13</v>
      </c>
      <c r="D2019">
        <v>2</v>
      </c>
      <c r="E2019" t="s">
        <v>388</v>
      </c>
      <c r="F2019" t="s">
        <v>622</v>
      </c>
      <c r="G2019">
        <v>0</v>
      </c>
      <c r="H2019">
        <v>2</v>
      </c>
      <c r="I2019">
        <v>0</v>
      </c>
      <c r="J2019">
        <v>0</v>
      </c>
      <c r="K2019" s="9">
        <v>6.1385542168674698</v>
      </c>
    </row>
    <row r="2020" spans="1:11" x14ac:dyDescent="0.45">
      <c r="A2020" t="s">
        <v>192</v>
      </c>
      <c r="B2020" t="s">
        <v>697</v>
      </c>
      <c r="C2020" t="s">
        <v>13</v>
      </c>
      <c r="D2020">
        <v>3</v>
      </c>
      <c r="E2020" t="s">
        <v>343</v>
      </c>
      <c r="F2020" t="s">
        <v>622</v>
      </c>
      <c r="G2020">
        <v>12</v>
      </c>
      <c r="H2020">
        <v>7</v>
      </c>
      <c r="I2020">
        <v>2</v>
      </c>
      <c r="J2020">
        <v>0</v>
      </c>
      <c r="K2020" s="9">
        <v>4.927835051546392</v>
      </c>
    </row>
    <row r="2021" spans="1:11" x14ac:dyDescent="0.45">
      <c r="A2021" t="s">
        <v>192</v>
      </c>
      <c r="B2021" t="s">
        <v>697</v>
      </c>
      <c r="C2021" t="s">
        <v>13</v>
      </c>
      <c r="D2021">
        <v>4</v>
      </c>
      <c r="E2021" t="s">
        <v>550</v>
      </c>
      <c r="F2021" t="s">
        <v>622</v>
      </c>
      <c r="G2021">
        <v>18</v>
      </c>
      <c r="H2021">
        <v>28</v>
      </c>
      <c r="I2021">
        <v>3</v>
      </c>
      <c r="J2021">
        <v>0</v>
      </c>
      <c r="K2021" s="9">
        <v>3.806451612903226</v>
      </c>
    </row>
    <row r="2022" spans="1:11" x14ac:dyDescent="0.45">
      <c r="A2022" t="s">
        <v>192</v>
      </c>
      <c r="B2022" t="s">
        <v>697</v>
      </c>
      <c r="C2022" t="s">
        <v>13</v>
      </c>
      <c r="D2022">
        <v>5</v>
      </c>
      <c r="E2022" t="s">
        <v>552</v>
      </c>
      <c r="F2022" t="s">
        <v>622</v>
      </c>
      <c r="G2022">
        <v>28</v>
      </c>
      <c r="H2022">
        <v>40</v>
      </c>
      <c r="I2022">
        <v>1</v>
      </c>
      <c r="J2022">
        <v>1</v>
      </c>
      <c r="K2022" s="9">
        <v>4</v>
      </c>
    </row>
    <row r="2023" spans="1:11" x14ac:dyDescent="0.45">
      <c r="A2023" t="s">
        <v>192</v>
      </c>
      <c r="B2023" t="s">
        <v>697</v>
      </c>
      <c r="C2023" t="s">
        <v>13</v>
      </c>
      <c r="D2023">
        <v>6</v>
      </c>
      <c r="E2023" t="s">
        <v>347</v>
      </c>
      <c r="F2023" t="s">
        <v>622</v>
      </c>
      <c r="G2023">
        <v>27</v>
      </c>
      <c r="H2023">
        <v>20</v>
      </c>
      <c r="I2023">
        <v>0</v>
      </c>
      <c r="J2023">
        <v>3</v>
      </c>
      <c r="K2023" s="9">
        <v>4.9473684210526319</v>
      </c>
    </row>
    <row r="2024" spans="1:11" x14ac:dyDescent="0.45">
      <c r="A2024" t="s">
        <v>192</v>
      </c>
      <c r="B2024" t="s">
        <v>697</v>
      </c>
      <c r="C2024" t="s">
        <v>13</v>
      </c>
      <c r="D2024">
        <v>7</v>
      </c>
      <c r="E2024" t="s">
        <v>311</v>
      </c>
      <c r="F2024" t="s">
        <v>623</v>
      </c>
      <c r="G2024">
        <v>14</v>
      </c>
      <c r="H2024">
        <v>7</v>
      </c>
      <c r="I2024">
        <v>1</v>
      </c>
      <c r="J2024">
        <v>1</v>
      </c>
      <c r="K2024" s="9">
        <v>4.927835051546392</v>
      </c>
    </row>
    <row r="2025" spans="1:11" x14ac:dyDescent="0.45">
      <c r="A2025" t="s">
        <v>192</v>
      </c>
      <c r="B2025" t="s">
        <v>697</v>
      </c>
      <c r="C2025" t="s">
        <v>13</v>
      </c>
      <c r="D2025">
        <v>8</v>
      </c>
      <c r="E2025" t="s">
        <v>448</v>
      </c>
      <c r="F2025" t="s">
        <v>622</v>
      </c>
      <c r="G2025">
        <v>4</v>
      </c>
      <c r="H2025">
        <v>3</v>
      </c>
      <c r="I2025">
        <v>1</v>
      </c>
      <c r="J2025">
        <v>0</v>
      </c>
      <c r="K2025" s="9">
        <v>5.6607142857142856</v>
      </c>
    </row>
    <row r="2026" spans="1:11" x14ac:dyDescent="0.45">
      <c r="A2026" t="s">
        <v>192</v>
      </c>
      <c r="B2026" t="s">
        <v>697</v>
      </c>
      <c r="C2026" t="s">
        <v>13</v>
      </c>
      <c r="D2026">
        <v>9</v>
      </c>
      <c r="E2026" t="s">
        <v>349</v>
      </c>
      <c r="F2026" t="s">
        <v>623</v>
      </c>
      <c r="G2026">
        <v>10</v>
      </c>
      <c r="H2026">
        <v>6</v>
      </c>
      <c r="I2026">
        <v>2</v>
      </c>
      <c r="J2026">
        <v>0</v>
      </c>
      <c r="K2026" s="9">
        <v>5.4565217391304346</v>
      </c>
    </row>
    <row r="2027" spans="1:11" x14ac:dyDescent="0.45">
      <c r="A2027" t="s">
        <v>194</v>
      </c>
      <c r="B2027" t="s">
        <v>642</v>
      </c>
      <c r="C2027" t="s">
        <v>23</v>
      </c>
      <c r="D2027">
        <v>1</v>
      </c>
      <c r="E2027" t="s">
        <v>458</v>
      </c>
      <c r="F2027" t="s">
        <v>622</v>
      </c>
      <c r="G2027">
        <v>35</v>
      </c>
      <c r="H2027">
        <v>28</v>
      </c>
      <c r="I2027">
        <v>3</v>
      </c>
      <c r="J2027">
        <v>3</v>
      </c>
      <c r="K2027" s="9">
        <v>3.806451612903226</v>
      </c>
    </row>
    <row r="2028" spans="1:11" x14ac:dyDescent="0.45">
      <c r="A2028" t="s">
        <v>194</v>
      </c>
      <c r="B2028" t="s">
        <v>642</v>
      </c>
      <c r="C2028" t="s">
        <v>23</v>
      </c>
      <c r="D2028">
        <v>2</v>
      </c>
      <c r="E2028" t="s">
        <v>383</v>
      </c>
      <c r="F2028" t="s">
        <v>622</v>
      </c>
      <c r="G2028">
        <v>20</v>
      </c>
      <c r="H2028">
        <v>16</v>
      </c>
      <c r="I2028">
        <v>2</v>
      </c>
      <c r="J2028">
        <v>1</v>
      </c>
      <c r="K2028" s="9">
        <v>4.7608695652173916</v>
      </c>
    </row>
    <row r="2029" spans="1:11" x14ac:dyDescent="0.45">
      <c r="A2029" t="s">
        <v>194</v>
      </c>
      <c r="B2029" t="s">
        <v>642</v>
      </c>
      <c r="C2029" t="s">
        <v>23</v>
      </c>
      <c r="D2029">
        <v>3</v>
      </c>
      <c r="E2029" t="s">
        <v>386</v>
      </c>
      <c r="F2029" t="s">
        <v>622</v>
      </c>
      <c r="G2029">
        <v>55</v>
      </c>
      <c r="H2029">
        <v>27</v>
      </c>
      <c r="I2029">
        <v>3</v>
      </c>
      <c r="J2029">
        <v>5</v>
      </c>
      <c r="K2029" s="9">
        <v>4.25</v>
      </c>
    </row>
    <row r="2030" spans="1:11" x14ac:dyDescent="0.45">
      <c r="A2030" t="s">
        <v>194</v>
      </c>
      <c r="B2030" t="s">
        <v>642</v>
      </c>
      <c r="C2030" t="s">
        <v>23</v>
      </c>
      <c r="D2030">
        <v>4</v>
      </c>
      <c r="E2030" t="s">
        <v>342</v>
      </c>
      <c r="F2030" t="s">
        <v>622</v>
      </c>
      <c r="G2030">
        <v>41</v>
      </c>
      <c r="H2030">
        <v>29</v>
      </c>
      <c r="I2030">
        <v>4</v>
      </c>
      <c r="J2030">
        <v>2</v>
      </c>
      <c r="K2030" s="9">
        <v>4.0454545454545459</v>
      </c>
    </row>
    <row r="2031" spans="1:11" x14ac:dyDescent="0.45">
      <c r="A2031" t="s">
        <v>194</v>
      </c>
      <c r="B2031" t="s">
        <v>642</v>
      </c>
      <c r="C2031" t="s">
        <v>23</v>
      </c>
      <c r="D2031">
        <v>5</v>
      </c>
      <c r="E2031" t="s">
        <v>336</v>
      </c>
      <c r="F2031" t="s">
        <v>622</v>
      </c>
      <c r="G2031">
        <v>32</v>
      </c>
      <c r="H2031">
        <v>13</v>
      </c>
      <c r="I2031">
        <v>2</v>
      </c>
      <c r="J2031">
        <v>3</v>
      </c>
      <c r="K2031" s="9">
        <v>4.8939393939393936</v>
      </c>
    </row>
    <row r="2032" spans="1:11" x14ac:dyDescent="0.45">
      <c r="A2032" t="s">
        <v>194</v>
      </c>
      <c r="B2032" t="s">
        <v>642</v>
      </c>
      <c r="C2032" t="s">
        <v>23</v>
      </c>
      <c r="D2032">
        <v>6</v>
      </c>
      <c r="E2032" t="s">
        <v>431</v>
      </c>
      <c r="F2032" t="s">
        <v>622</v>
      </c>
      <c r="G2032">
        <v>12</v>
      </c>
      <c r="H2032">
        <v>9</v>
      </c>
      <c r="I2032">
        <v>2</v>
      </c>
      <c r="J2032">
        <v>0</v>
      </c>
      <c r="K2032" s="9">
        <v>4.924050632911392</v>
      </c>
    </row>
    <row r="2033" spans="1:11" x14ac:dyDescent="0.45">
      <c r="A2033" t="s">
        <v>194</v>
      </c>
      <c r="B2033" t="s">
        <v>642</v>
      </c>
      <c r="C2033" t="s">
        <v>23</v>
      </c>
      <c r="D2033">
        <v>7</v>
      </c>
      <c r="E2033" t="s">
        <v>367</v>
      </c>
      <c r="F2033" t="s">
        <v>623</v>
      </c>
      <c r="G2033">
        <v>1</v>
      </c>
      <c r="H2033">
        <v>2</v>
      </c>
      <c r="I2033">
        <v>0</v>
      </c>
      <c r="J2033">
        <v>0</v>
      </c>
      <c r="K2033" s="9">
        <v>6.1385542168674698</v>
      </c>
    </row>
    <row r="2034" spans="1:11" x14ac:dyDescent="0.45">
      <c r="A2034" t="s">
        <v>194</v>
      </c>
      <c r="B2034" t="s">
        <v>642</v>
      </c>
      <c r="C2034" t="s">
        <v>20</v>
      </c>
      <c r="D2034">
        <v>1</v>
      </c>
      <c r="E2034" t="s">
        <v>408</v>
      </c>
      <c r="F2034" t="s">
        <v>622</v>
      </c>
      <c r="G2034">
        <v>2</v>
      </c>
      <c r="H2034">
        <v>7</v>
      </c>
      <c r="I2034">
        <v>0</v>
      </c>
      <c r="J2034">
        <v>0</v>
      </c>
      <c r="K2034" s="9">
        <v>4.927835051546392</v>
      </c>
    </row>
    <row r="2035" spans="1:11" x14ac:dyDescent="0.45">
      <c r="A2035" t="s">
        <v>194</v>
      </c>
      <c r="B2035" t="s">
        <v>642</v>
      </c>
      <c r="C2035" t="s">
        <v>20</v>
      </c>
      <c r="D2035">
        <v>2</v>
      </c>
      <c r="E2035" t="s">
        <v>373</v>
      </c>
      <c r="F2035" t="s">
        <v>622</v>
      </c>
      <c r="G2035">
        <v>9</v>
      </c>
      <c r="H2035">
        <v>19</v>
      </c>
      <c r="I2035">
        <v>1</v>
      </c>
      <c r="J2035">
        <v>0</v>
      </c>
      <c r="K2035" s="9">
        <v>4.5660377358490569</v>
      </c>
    </row>
    <row r="2036" spans="1:11" x14ac:dyDescent="0.45">
      <c r="A2036" t="s">
        <v>194</v>
      </c>
      <c r="B2036" t="s">
        <v>642</v>
      </c>
      <c r="C2036" t="s">
        <v>20</v>
      </c>
      <c r="D2036">
        <v>3</v>
      </c>
      <c r="E2036" t="s">
        <v>315</v>
      </c>
      <c r="F2036" t="s">
        <v>622</v>
      </c>
      <c r="G2036">
        <v>0</v>
      </c>
      <c r="H2036">
        <v>3</v>
      </c>
      <c r="I2036">
        <v>0</v>
      </c>
      <c r="J2036">
        <v>0</v>
      </c>
      <c r="K2036" s="9">
        <v>5.6607142857142856</v>
      </c>
    </row>
    <row r="2037" spans="1:11" x14ac:dyDescent="0.45">
      <c r="A2037" t="s">
        <v>194</v>
      </c>
      <c r="B2037" t="s">
        <v>642</v>
      </c>
      <c r="C2037" t="s">
        <v>20</v>
      </c>
      <c r="D2037">
        <v>4</v>
      </c>
      <c r="E2037" t="s">
        <v>416</v>
      </c>
      <c r="F2037" t="s">
        <v>622</v>
      </c>
      <c r="G2037">
        <v>0</v>
      </c>
      <c r="H2037">
        <v>9</v>
      </c>
      <c r="I2037">
        <v>0</v>
      </c>
      <c r="J2037">
        <v>0</v>
      </c>
      <c r="K2037" s="9">
        <v>4.924050632911392</v>
      </c>
    </row>
    <row r="2038" spans="1:11" x14ac:dyDescent="0.45">
      <c r="A2038" t="s">
        <v>194</v>
      </c>
      <c r="B2038" t="s">
        <v>642</v>
      </c>
      <c r="C2038" t="s">
        <v>20</v>
      </c>
      <c r="D2038">
        <v>5</v>
      </c>
      <c r="E2038" t="s">
        <v>401</v>
      </c>
      <c r="F2038" t="s">
        <v>623</v>
      </c>
      <c r="G2038">
        <v>57</v>
      </c>
      <c r="H2038">
        <v>41</v>
      </c>
      <c r="I2038">
        <v>5</v>
      </c>
      <c r="J2038">
        <v>2</v>
      </c>
      <c r="K2038" s="9">
        <v>3.0909090909090908</v>
      </c>
    </row>
    <row r="2039" spans="1:11" x14ac:dyDescent="0.45">
      <c r="A2039" t="s">
        <v>194</v>
      </c>
      <c r="B2039" t="s">
        <v>642</v>
      </c>
      <c r="C2039" t="s">
        <v>20</v>
      </c>
      <c r="D2039">
        <v>6</v>
      </c>
      <c r="E2039" t="s">
        <v>376</v>
      </c>
      <c r="F2039" t="s">
        <v>622</v>
      </c>
      <c r="G2039">
        <v>4</v>
      </c>
      <c r="H2039">
        <v>6</v>
      </c>
      <c r="I2039">
        <v>0</v>
      </c>
      <c r="J2039">
        <v>0</v>
      </c>
      <c r="K2039" s="9">
        <v>5.4565217391304346</v>
      </c>
    </row>
    <row r="2040" spans="1:11" x14ac:dyDescent="0.45">
      <c r="A2040" t="s">
        <v>194</v>
      </c>
      <c r="B2040" t="s">
        <v>642</v>
      </c>
      <c r="C2040" t="s">
        <v>20</v>
      </c>
      <c r="D2040">
        <v>7</v>
      </c>
      <c r="E2040" t="s">
        <v>494</v>
      </c>
      <c r="F2040" t="s">
        <v>622</v>
      </c>
      <c r="G2040">
        <v>24</v>
      </c>
      <c r="H2040">
        <v>18</v>
      </c>
      <c r="I2040">
        <v>0</v>
      </c>
      <c r="J2040">
        <v>2</v>
      </c>
      <c r="K2040" s="9">
        <v>4.375</v>
      </c>
    </row>
    <row r="2041" spans="1:11" x14ac:dyDescent="0.45">
      <c r="A2041" t="s">
        <v>194</v>
      </c>
      <c r="B2041" t="s">
        <v>642</v>
      </c>
      <c r="C2041" t="s">
        <v>20</v>
      </c>
      <c r="D2041">
        <v>8</v>
      </c>
      <c r="E2041" t="s">
        <v>467</v>
      </c>
      <c r="F2041" t="s">
        <v>622</v>
      </c>
      <c r="G2041">
        <v>40</v>
      </c>
      <c r="H2041">
        <v>14</v>
      </c>
      <c r="I2041">
        <v>5</v>
      </c>
      <c r="J2041">
        <v>2</v>
      </c>
      <c r="K2041" s="9">
        <v>4.8461538461538458</v>
      </c>
    </row>
    <row r="2042" spans="1:11" x14ac:dyDescent="0.45">
      <c r="A2042" t="s">
        <v>194</v>
      </c>
      <c r="B2042" t="s">
        <v>642</v>
      </c>
      <c r="C2042" t="s">
        <v>20</v>
      </c>
      <c r="D2042">
        <v>9</v>
      </c>
      <c r="E2042" t="s">
        <v>409</v>
      </c>
      <c r="F2042" t="s">
        <v>623</v>
      </c>
      <c r="G2042">
        <v>3</v>
      </c>
      <c r="H2042">
        <v>4</v>
      </c>
      <c r="I2042">
        <v>0</v>
      </c>
      <c r="J2042">
        <v>0</v>
      </c>
      <c r="K2042" s="9">
        <v>5.352380952380952</v>
      </c>
    </row>
    <row r="2043" spans="1:11" x14ac:dyDescent="0.45">
      <c r="A2043" t="s">
        <v>195</v>
      </c>
      <c r="B2043" t="s">
        <v>698</v>
      </c>
      <c r="C2043" t="s">
        <v>104</v>
      </c>
      <c r="D2043">
        <v>1</v>
      </c>
      <c r="E2043" t="s">
        <v>397</v>
      </c>
      <c r="F2043" t="s">
        <v>622</v>
      </c>
      <c r="G2043">
        <v>0</v>
      </c>
      <c r="H2043">
        <v>1</v>
      </c>
      <c r="I2043">
        <v>0</v>
      </c>
      <c r="J2043">
        <v>0</v>
      </c>
      <c r="K2043" s="9">
        <v>6.5693779904306222</v>
      </c>
    </row>
    <row r="2044" spans="1:11" x14ac:dyDescent="0.45">
      <c r="A2044" t="s">
        <v>195</v>
      </c>
      <c r="B2044" t="s">
        <v>698</v>
      </c>
      <c r="C2044" t="s">
        <v>104</v>
      </c>
      <c r="D2044">
        <v>2</v>
      </c>
      <c r="E2044" t="s">
        <v>422</v>
      </c>
      <c r="F2044" t="s">
        <v>622</v>
      </c>
      <c r="G2044">
        <v>7</v>
      </c>
      <c r="H2044">
        <v>9</v>
      </c>
      <c r="I2044">
        <v>1</v>
      </c>
      <c r="J2044">
        <v>0</v>
      </c>
      <c r="K2044" s="9">
        <v>4.924050632911392</v>
      </c>
    </row>
    <row r="2045" spans="1:11" x14ac:dyDescent="0.45">
      <c r="A2045" t="s">
        <v>195</v>
      </c>
      <c r="B2045" t="s">
        <v>698</v>
      </c>
      <c r="C2045" t="s">
        <v>104</v>
      </c>
      <c r="D2045">
        <v>3</v>
      </c>
      <c r="E2045" t="s">
        <v>410</v>
      </c>
      <c r="F2045" t="s">
        <v>622</v>
      </c>
      <c r="G2045">
        <v>10</v>
      </c>
      <c r="H2045">
        <v>9</v>
      </c>
      <c r="I2045">
        <v>2</v>
      </c>
      <c r="J2045">
        <v>0</v>
      </c>
      <c r="K2045" s="9">
        <v>4.924050632911392</v>
      </c>
    </row>
    <row r="2046" spans="1:11" x14ac:dyDescent="0.45">
      <c r="A2046" t="s">
        <v>195</v>
      </c>
      <c r="B2046" t="s">
        <v>698</v>
      </c>
      <c r="C2046" t="s">
        <v>104</v>
      </c>
      <c r="D2046">
        <v>4</v>
      </c>
      <c r="E2046" t="s">
        <v>374</v>
      </c>
      <c r="F2046" t="s">
        <v>622</v>
      </c>
      <c r="G2046">
        <v>6</v>
      </c>
      <c r="H2046">
        <v>5</v>
      </c>
      <c r="I2046">
        <v>1</v>
      </c>
      <c r="J2046">
        <v>0</v>
      </c>
      <c r="K2046" s="9">
        <v>5.132075471698113</v>
      </c>
    </row>
    <row r="2047" spans="1:11" x14ac:dyDescent="0.45">
      <c r="A2047" t="s">
        <v>195</v>
      </c>
      <c r="B2047" t="s">
        <v>698</v>
      </c>
      <c r="C2047" t="s">
        <v>104</v>
      </c>
      <c r="D2047">
        <v>5</v>
      </c>
      <c r="E2047" t="s">
        <v>426</v>
      </c>
      <c r="F2047" t="s">
        <v>622</v>
      </c>
      <c r="G2047">
        <v>55</v>
      </c>
      <c r="H2047">
        <v>41</v>
      </c>
      <c r="I2047">
        <v>6</v>
      </c>
      <c r="J2047">
        <v>2</v>
      </c>
      <c r="K2047" s="9">
        <v>3.0909090909090908</v>
      </c>
    </row>
    <row r="2048" spans="1:11" x14ac:dyDescent="0.45">
      <c r="A2048" t="s">
        <v>195</v>
      </c>
      <c r="B2048" t="s">
        <v>698</v>
      </c>
      <c r="C2048" t="s">
        <v>104</v>
      </c>
      <c r="D2048">
        <v>6</v>
      </c>
      <c r="E2048" t="s">
        <v>521</v>
      </c>
      <c r="F2048" t="s">
        <v>622</v>
      </c>
      <c r="G2048">
        <v>54</v>
      </c>
      <c r="H2048">
        <v>41</v>
      </c>
      <c r="I2048">
        <v>4</v>
      </c>
      <c r="J2048">
        <v>3</v>
      </c>
      <c r="K2048" s="9">
        <v>3.0909090909090908</v>
      </c>
    </row>
    <row r="2049" spans="1:11" x14ac:dyDescent="0.45">
      <c r="A2049" t="s">
        <v>195</v>
      </c>
      <c r="B2049" t="s">
        <v>698</v>
      </c>
      <c r="C2049" t="s">
        <v>104</v>
      </c>
      <c r="D2049">
        <v>7</v>
      </c>
      <c r="E2049" t="s">
        <v>366</v>
      </c>
      <c r="F2049" t="s">
        <v>623</v>
      </c>
      <c r="G2049">
        <v>21</v>
      </c>
      <c r="H2049">
        <v>13</v>
      </c>
      <c r="I2049">
        <v>3</v>
      </c>
      <c r="J2049">
        <v>0</v>
      </c>
      <c r="K2049" s="9">
        <v>4.8939393939393936</v>
      </c>
    </row>
    <row r="2050" spans="1:11" x14ac:dyDescent="0.45">
      <c r="A2050" t="s">
        <v>195</v>
      </c>
      <c r="B2050" t="s">
        <v>698</v>
      </c>
      <c r="C2050" t="s">
        <v>104</v>
      </c>
      <c r="D2050">
        <v>8</v>
      </c>
      <c r="E2050" t="s">
        <v>491</v>
      </c>
      <c r="F2050" t="s">
        <v>623</v>
      </c>
      <c r="G2050">
        <v>1</v>
      </c>
      <c r="H2050">
        <v>1</v>
      </c>
      <c r="I2050">
        <v>0</v>
      </c>
      <c r="J2050">
        <v>0</v>
      </c>
      <c r="K2050" s="9">
        <v>6.5693779904306222</v>
      </c>
    </row>
    <row r="2051" spans="1:11" x14ac:dyDescent="0.45">
      <c r="A2051" t="s">
        <v>195</v>
      </c>
      <c r="B2051" t="s">
        <v>698</v>
      </c>
      <c r="C2051" t="s">
        <v>101</v>
      </c>
      <c r="D2051">
        <v>1</v>
      </c>
      <c r="E2051" t="s">
        <v>302</v>
      </c>
      <c r="F2051" t="s">
        <v>622</v>
      </c>
      <c r="G2051">
        <v>0</v>
      </c>
      <c r="H2051">
        <v>3</v>
      </c>
      <c r="I2051">
        <v>0</v>
      </c>
      <c r="J2051">
        <v>0</v>
      </c>
      <c r="K2051" s="9">
        <v>5.6607142857142856</v>
      </c>
    </row>
    <row r="2052" spans="1:11" x14ac:dyDescent="0.45">
      <c r="A2052" t="s">
        <v>195</v>
      </c>
      <c r="B2052" t="s">
        <v>698</v>
      </c>
      <c r="C2052" t="s">
        <v>101</v>
      </c>
      <c r="D2052">
        <v>2</v>
      </c>
      <c r="E2052" t="s">
        <v>488</v>
      </c>
      <c r="F2052" t="s">
        <v>622</v>
      </c>
      <c r="G2052">
        <v>30</v>
      </c>
      <c r="H2052">
        <v>29</v>
      </c>
      <c r="I2052">
        <v>4</v>
      </c>
      <c r="J2052">
        <v>0</v>
      </c>
      <c r="K2052" s="9">
        <v>4.0454545454545459</v>
      </c>
    </row>
    <row r="2053" spans="1:11" x14ac:dyDescent="0.45">
      <c r="A2053" t="s">
        <v>195</v>
      </c>
      <c r="B2053" t="s">
        <v>698</v>
      </c>
      <c r="C2053" t="s">
        <v>101</v>
      </c>
      <c r="D2053">
        <v>3</v>
      </c>
      <c r="E2053" t="s">
        <v>460</v>
      </c>
      <c r="F2053" t="s">
        <v>622</v>
      </c>
      <c r="G2053">
        <v>4</v>
      </c>
      <c r="H2053">
        <v>6</v>
      </c>
      <c r="I2053">
        <v>0</v>
      </c>
      <c r="J2053">
        <v>0</v>
      </c>
      <c r="K2053" s="9">
        <v>5.4565217391304346</v>
      </c>
    </row>
    <row r="2054" spans="1:11" x14ac:dyDescent="0.45">
      <c r="A2054" t="s">
        <v>195</v>
      </c>
      <c r="B2054" t="s">
        <v>698</v>
      </c>
      <c r="C2054" t="s">
        <v>101</v>
      </c>
      <c r="D2054">
        <v>4</v>
      </c>
      <c r="E2054" t="s">
        <v>361</v>
      </c>
      <c r="F2054" t="s">
        <v>622</v>
      </c>
      <c r="G2054">
        <v>33</v>
      </c>
      <c r="H2054">
        <v>28</v>
      </c>
      <c r="I2054">
        <v>5</v>
      </c>
      <c r="J2054">
        <v>1</v>
      </c>
      <c r="K2054" s="9">
        <v>3.806451612903226</v>
      </c>
    </row>
    <row r="2055" spans="1:11" x14ac:dyDescent="0.45">
      <c r="A2055" t="s">
        <v>195</v>
      </c>
      <c r="B2055" t="s">
        <v>698</v>
      </c>
      <c r="C2055" t="s">
        <v>101</v>
      </c>
      <c r="D2055">
        <v>5</v>
      </c>
      <c r="E2055" t="s">
        <v>411</v>
      </c>
      <c r="F2055" t="s">
        <v>622</v>
      </c>
      <c r="G2055">
        <v>30</v>
      </c>
      <c r="H2055">
        <v>21</v>
      </c>
      <c r="I2055">
        <v>1</v>
      </c>
      <c r="J2055">
        <v>2</v>
      </c>
      <c r="K2055" s="9">
        <v>4.3770491803278686</v>
      </c>
    </row>
    <row r="2056" spans="1:11" x14ac:dyDescent="0.45">
      <c r="A2056" t="s">
        <v>195</v>
      </c>
      <c r="B2056" t="s">
        <v>698</v>
      </c>
      <c r="C2056" t="s">
        <v>101</v>
      </c>
      <c r="D2056">
        <v>6</v>
      </c>
      <c r="E2056" t="s">
        <v>390</v>
      </c>
      <c r="F2056" t="s">
        <v>623</v>
      </c>
      <c r="G2056">
        <v>40</v>
      </c>
      <c r="H2056">
        <v>24</v>
      </c>
      <c r="I2056">
        <v>5</v>
      </c>
      <c r="J2056">
        <v>2</v>
      </c>
      <c r="K2056" s="9">
        <v>4.0606060606060606</v>
      </c>
    </row>
    <row r="2057" spans="1:11" x14ac:dyDescent="0.45">
      <c r="A2057" t="s">
        <v>195</v>
      </c>
      <c r="B2057" t="s">
        <v>698</v>
      </c>
      <c r="C2057" t="s">
        <v>101</v>
      </c>
      <c r="D2057">
        <v>7</v>
      </c>
      <c r="E2057" t="s">
        <v>540</v>
      </c>
      <c r="F2057" t="s">
        <v>623</v>
      </c>
      <c r="G2057">
        <v>15</v>
      </c>
      <c r="H2057">
        <v>7</v>
      </c>
      <c r="I2057">
        <v>3</v>
      </c>
      <c r="J2057">
        <v>0</v>
      </c>
      <c r="K2057" s="9">
        <v>4.927835051546392</v>
      </c>
    </row>
    <row r="2058" spans="1:11" x14ac:dyDescent="0.45">
      <c r="A2058" t="s">
        <v>196</v>
      </c>
      <c r="B2058" t="s">
        <v>635</v>
      </c>
      <c r="C2058" t="s">
        <v>13</v>
      </c>
      <c r="D2058">
        <v>1</v>
      </c>
      <c r="E2058" t="s">
        <v>294</v>
      </c>
      <c r="F2058" t="s">
        <v>622</v>
      </c>
      <c r="G2058">
        <v>88</v>
      </c>
      <c r="H2058">
        <v>57</v>
      </c>
      <c r="I2058">
        <v>3</v>
      </c>
      <c r="J2058">
        <v>7</v>
      </c>
      <c r="K2058" s="9">
        <v>2.8823529411764706</v>
      </c>
    </row>
    <row r="2059" spans="1:11" x14ac:dyDescent="0.45">
      <c r="A2059" t="s">
        <v>196</v>
      </c>
      <c r="B2059" t="s">
        <v>635</v>
      </c>
      <c r="C2059" t="s">
        <v>13</v>
      </c>
      <c r="D2059">
        <v>2</v>
      </c>
      <c r="E2059" t="s">
        <v>388</v>
      </c>
      <c r="F2059" t="s">
        <v>622</v>
      </c>
      <c r="G2059">
        <v>21</v>
      </c>
      <c r="H2059">
        <v>20</v>
      </c>
      <c r="I2059">
        <v>2</v>
      </c>
      <c r="J2059">
        <v>1</v>
      </c>
      <c r="K2059" s="9">
        <v>4.9473684210526319</v>
      </c>
    </row>
    <row r="2060" spans="1:11" x14ac:dyDescent="0.45">
      <c r="A2060" t="s">
        <v>196</v>
      </c>
      <c r="B2060" t="s">
        <v>635</v>
      </c>
      <c r="C2060" t="s">
        <v>13</v>
      </c>
      <c r="D2060">
        <v>3</v>
      </c>
      <c r="E2060" t="s">
        <v>343</v>
      </c>
      <c r="F2060" t="s">
        <v>623</v>
      </c>
      <c r="G2060">
        <v>41</v>
      </c>
      <c r="H2060">
        <v>29</v>
      </c>
      <c r="I2060">
        <v>1</v>
      </c>
      <c r="J2060">
        <v>2</v>
      </c>
      <c r="K2060" s="9">
        <v>4.0454545454545459</v>
      </c>
    </row>
    <row r="2061" spans="1:11" x14ac:dyDescent="0.45">
      <c r="A2061" t="s">
        <v>196</v>
      </c>
      <c r="B2061" t="s">
        <v>635</v>
      </c>
      <c r="C2061" t="s">
        <v>13</v>
      </c>
      <c r="D2061">
        <v>4</v>
      </c>
      <c r="E2061" t="s">
        <v>311</v>
      </c>
      <c r="F2061" t="s">
        <v>623</v>
      </c>
      <c r="G2061">
        <v>32</v>
      </c>
      <c r="H2061">
        <v>14</v>
      </c>
      <c r="I2061">
        <v>3</v>
      </c>
      <c r="J2061">
        <v>3</v>
      </c>
      <c r="K2061" s="9">
        <v>4.8461538461538458</v>
      </c>
    </row>
    <row r="2062" spans="1:11" x14ac:dyDescent="0.45">
      <c r="A2062" t="s">
        <v>196</v>
      </c>
      <c r="B2062" t="s">
        <v>635</v>
      </c>
      <c r="C2062" t="s">
        <v>26</v>
      </c>
      <c r="D2062">
        <v>1</v>
      </c>
      <c r="E2062" t="s">
        <v>398</v>
      </c>
      <c r="F2062" t="s">
        <v>622</v>
      </c>
      <c r="G2062">
        <v>32</v>
      </c>
      <c r="H2062">
        <v>24</v>
      </c>
      <c r="I2062">
        <v>2</v>
      </c>
      <c r="J2062">
        <v>2</v>
      </c>
      <c r="K2062" s="9">
        <v>4.0606060606060606</v>
      </c>
    </row>
    <row r="2063" spans="1:11" x14ac:dyDescent="0.45">
      <c r="A2063" t="s">
        <v>196</v>
      </c>
      <c r="B2063" t="s">
        <v>635</v>
      </c>
      <c r="C2063" t="s">
        <v>26</v>
      </c>
      <c r="D2063">
        <v>2</v>
      </c>
      <c r="E2063" t="s">
        <v>330</v>
      </c>
      <c r="F2063" t="s">
        <v>622</v>
      </c>
      <c r="G2063">
        <v>43</v>
      </c>
      <c r="H2063">
        <v>29</v>
      </c>
      <c r="I2063">
        <v>5</v>
      </c>
      <c r="J2063">
        <v>1</v>
      </c>
      <c r="K2063" s="9">
        <v>4.0454545454545459</v>
      </c>
    </row>
    <row r="2064" spans="1:11" x14ac:dyDescent="0.45">
      <c r="A2064" t="s">
        <v>196</v>
      </c>
      <c r="B2064" t="s">
        <v>635</v>
      </c>
      <c r="C2064" t="s">
        <v>26</v>
      </c>
      <c r="D2064">
        <v>3</v>
      </c>
      <c r="E2064" t="s">
        <v>519</v>
      </c>
      <c r="F2064" t="s">
        <v>622</v>
      </c>
      <c r="G2064">
        <v>43</v>
      </c>
      <c r="H2064">
        <v>22</v>
      </c>
      <c r="I2064">
        <v>2</v>
      </c>
      <c r="J2064">
        <v>4</v>
      </c>
      <c r="K2064" s="9">
        <v>4.4423076923076925</v>
      </c>
    </row>
    <row r="2065" spans="1:11" x14ac:dyDescent="0.45">
      <c r="A2065" t="s">
        <v>196</v>
      </c>
      <c r="B2065" t="s">
        <v>635</v>
      </c>
      <c r="C2065" t="s">
        <v>26</v>
      </c>
      <c r="D2065">
        <v>4</v>
      </c>
      <c r="E2065" t="s">
        <v>384</v>
      </c>
      <c r="F2065" t="s">
        <v>622</v>
      </c>
      <c r="G2065">
        <v>19</v>
      </c>
      <c r="H2065">
        <v>10</v>
      </c>
      <c r="I2065">
        <v>0</v>
      </c>
      <c r="J2065">
        <v>2</v>
      </c>
      <c r="K2065" s="9">
        <v>4.7179487179487181</v>
      </c>
    </row>
    <row r="2066" spans="1:11" x14ac:dyDescent="0.45">
      <c r="A2066" t="s">
        <v>196</v>
      </c>
      <c r="B2066" t="s">
        <v>635</v>
      </c>
      <c r="C2066" t="s">
        <v>26</v>
      </c>
      <c r="D2066">
        <v>5</v>
      </c>
      <c r="E2066" t="s">
        <v>554</v>
      </c>
      <c r="F2066" t="s">
        <v>622</v>
      </c>
      <c r="G2066">
        <v>0</v>
      </c>
      <c r="H2066">
        <v>1</v>
      </c>
      <c r="I2066">
        <v>0</v>
      </c>
      <c r="J2066">
        <v>0</v>
      </c>
      <c r="K2066" s="9">
        <v>6.5693779904306222</v>
      </c>
    </row>
    <row r="2067" spans="1:11" x14ac:dyDescent="0.45">
      <c r="A2067" t="s">
        <v>196</v>
      </c>
      <c r="B2067" t="s">
        <v>635</v>
      </c>
      <c r="C2067" t="s">
        <v>26</v>
      </c>
      <c r="D2067">
        <v>6</v>
      </c>
      <c r="E2067" t="s">
        <v>400</v>
      </c>
      <c r="F2067" t="s">
        <v>623</v>
      </c>
      <c r="G2067">
        <v>24</v>
      </c>
      <c r="H2067">
        <v>20</v>
      </c>
      <c r="I2067">
        <v>1</v>
      </c>
      <c r="J2067">
        <v>2</v>
      </c>
      <c r="K2067" s="9">
        <v>4.9473684210526319</v>
      </c>
    </row>
    <row r="2068" spans="1:11" x14ac:dyDescent="0.45">
      <c r="A2068" t="s">
        <v>196</v>
      </c>
      <c r="B2068" t="s">
        <v>635</v>
      </c>
      <c r="C2068" t="s">
        <v>26</v>
      </c>
      <c r="D2068">
        <v>7</v>
      </c>
      <c r="E2068" t="s">
        <v>543</v>
      </c>
      <c r="F2068" t="s">
        <v>623</v>
      </c>
      <c r="G2068">
        <v>25</v>
      </c>
      <c r="H2068">
        <v>8</v>
      </c>
      <c r="I2068">
        <v>1</v>
      </c>
      <c r="J2068">
        <v>3</v>
      </c>
      <c r="K2068" s="9">
        <v>4.9029126213592233</v>
      </c>
    </row>
    <row r="2069" spans="1:11" x14ac:dyDescent="0.45">
      <c r="A2069" t="s">
        <v>197</v>
      </c>
      <c r="B2069" t="s">
        <v>637</v>
      </c>
      <c r="C2069" t="s">
        <v>19</v>
      </c>
      <c r="D2069">
        <v>1</v>
      </c>
      <c r="E2069" t="s">
        <v>359</v>
      </c>
      <c r="F2069" t="s">
        <v>622</v>
      </c>
      <c r="G2069">
        <v>41</v>
      </c>
      <c r="H2069">
        <v>32</v>
      </c>
      <c r="I2069">
        <v>4</v>
      </c>
      <c r="J2069">
        <v>2</v>
      </c>
      <c r="K2069" s="9">
        <v>3.9375</v>
      </c>
    </row>
    <row r="2070" spans="1:11" x14ac:dyDescent="0.45">
      <c r="A2070" t="s">
        <v>197</v>
      </c>
      <c r="B2070" t="s">
        <v>637</v>
      </c>
      <c r="C2070" t="s">
        <v>19</v>
      </c>
      <c r="D2070">
        <v>2</v>
      </c>
      <c r="E2070" t="s">
        <v>360</v>
      </c>
      <c r="F2070" t="s">
        <v>623</v>
      </c>
      <c r="G2070">
        <v>81</v>
      </c>
      <c r="H2070">
        <v>48</v>
      </c>
      <c r="I2070">
        <v>11</v>
      </c>
      <c r="J2070">
        <v>2</v>
      </c>
      <c r="K2070" s="9">
        <v>3.2105263157894739</v>
      </c>
    </row>
    <row r="2071" spans="1:11" x14ac:dyDescent="0.45">
      <c r="A2071" t="s">
        <v>197</v>
      </c>
      <c r="B2071" t="s">
        <v>637</v>
      </c>
      <c r="C2071" t="s">
        <v>19</v>
      </c>
      <c r="D2071">
        <v>3</v>
      </c>
      <c r="E2071" t="s">
        <v>453</v>
      </c>
      <c r="F2071" t="s">
        <v>622</v>
      </c>
      <c r="G2071">
        <v>8</v>
      </c>
      <c r="H2071">
        <v>9</v>
      </c>
      <c r="I2071">
        <v>0</v>
      </c>
      <c r="J2071">
        <v>0</v>
      </c>
      <c r="K2071" s="9">
        <v>4.924050632911392</v>
      </c>
    </row>
    <row r="2072" spans="1:11" x14ac:dyDescent="0.45">
      <c r="A2072" t="s">
        <v>197</v>
      </c>
      <c r="B2072" t="s">
        <v>637</v>
      </c>
      <c r="C2072" t="s">
        <v>19</v>
      </c>
      <c r="D2072">
        <v>4</v>
      </c>
      <c r="E2072" t="s">
        <v>502</v>
      </c>
      <c r="F2072" t="s">
        <v>622</v>
      </c>
      <c r="G2072">
        <v>22</v>
      </c>
      <c r="H2072">
        <v>15</v>
      </c>
      <c r="I2072">
        <v>3</v>
      </c>
      <c r="J2072">
        <v>0</v>
      </c>
      <c r="K2072" s="9">
        <v>4.7777777777777777</v>
      </c>
    </row>
    <row r="2073" spans="1:11" x14ac:dyDescent="0.45">
      <c r="A2073" t="s">
        <v>197</v>
      </c>
      <c r="B2073" t="s">
        <v>637</v>
      </c>
      <c r="C2073" t="s">
        <v>19</v>
      </c>
      <c r="D2073">
        <v>5</v>
      </c>
      <c r="E2073" t="s">
        <v>362</v>
      </c>
      <c r="F2073" t="s">
        <v>622</v>
      </c>
      <c r="G2073">
        <v>3</v>
      </c>
      <c r="H2073">
        <v>6</v>
      </c>
      <c r="I2073">
        <v>0</v>
      </c>
      <c r="J2073">
        <v>0</v>
      </c>
      <c r="K2073" s="9">
        <v>5.4565217391304346</v>
      </c>
    </row>
    <row r="2074" spans="1:11" x14ac:dyDescent="0.45">
      <c r="A2074" t="s">
        <v>197</v>
      </c>
      <c r="B2074" t="s">
        <v>637</v>
      </c>
      <c r="C2074" t="s">
        <v>19</v>
      </c>
      <c r="D2074">
        <v>6</v>
      </c>
      <c r="E2074" t="s">
        <v>447</v>
      </c>
      <c r="F2074" t="s">
        <v>622</v>
      </c>
      <c r="G2074">
        <v>12</v>
      </c>
      <c r="H2074">
        <v>8</v>
      </c>
      <c r="I2074">
        <v>0</v>
      </c>
      <c r="J2074">
        <v>1</v>
      </c>
      <c r="K2074" s="9">
        <v>4.9029126213592233</v>
      </c>
    </row>
    <row r="2075" spans="1:11" x14ac:dyDescent="0.45">
      <c r="A2075" t="s">
        <v>197</v>
      </c>
      <c r="B2075" t="s">
        <v>637</v>
      </c>
      <c r="C2075" t="s">
        <v>19</v>
      </c>
      <c r="D2075">
        <v>7</v>
      </c>
      <c r="E2075" t="s">
        <v>464</v>
      </c>
      <c r="F2075" t="s">
        <v>623</v>
      </c>
      <c r="G2075">
        <v>7</v>
      </c>
      <c r="H2075">
        <v>2</v>
      </c>
      <c r="I2075">
        <v>0</v>
      </c>
      <c r="J2075">
        <v>1</v>
      </c>
      <c r="K2075" s="9">
        <v>6.1385542168674698</v>
      </c>
    </row>
    <row r="2076" spans="1:11" x14ac:dyDescent="0.45">
      <c r="A2076" t="s">
        <v>197</v>
      </c>
      <c r="B2076" t="s">
        <v>637</v>
      </c>
      <c r="C2076" t="s">
        <v>10</v>
      </c>
      <c r="D2076">
        <v>1</v>
      </c>
      <c r="E2076" t="s">
        <v>329</v>
      </c>
      <c r="F2076" t="s">
        <v>622</v>
      </c>
      <c r="G2076">
        <v>38</v>
      </c>
      <c r="H2076">
        <v>24</v>
      </c>
      <c r="I2076">
        <v>4</v>
      </c>
      <c r="J2076">
        <v>2</v>
      </c>
      <c r="K2076" s="9">
        <v>4.0606060606060606</v>
      </c>
    </row>
    <row r="2077" spans="1:11" x14ac:dyDescent="0.45">
      <c r="A2077" t="s">
        <v>197</v>
      </c>
      <c r="B2077" t="s">
        <v>637</v>
      </c>
      <c r="C2077" t="s">
        <v>10</v>
      </c>
      <c r="D2077">
        <v>2</v>
      </c>
      <c r="E2077" t="s">
        <v>425</v>
      </c>
      <c r="F2077" t="s">
        <v>622</v>
      </c>
      <c r="G2077">
        <v>21</v>
      </c>
      <c r="H2077">
        <v>14</v>
      </c>
      <c r="I2077">
        <v>4</v>
      </c>
      <c r="J2077">
        <v>0</v>
      </c>
      <c r="K2077" s="9">
        <v>4.8461538461538458</v>
      </c>
    </row>
    <row r="2078" spans="1:11" x14ac:dyDescent="0.45">
      <c r="A2078" t="s">
        <v>197</v>
      </c>
      <c r="B2078" t="s">
        <v>637</v>
      </c>
      <c r="C2078" t="s">
        <v>10</v>
      </c>
      <c r="D2078">
        <v>3</v>
      </c>
      <c r="E2078" t="s">
        <v>433</v>
      </c>
      <c r="F2078" t="s">
        <v>622</v>
      </c>
      <c r="G2078">
        <v>0</v>
      </c>
      <c r="H2078">
        <v>2</v>
      </c>
      <c r="I2078">
        <v>0</v>
      </c>
      <c r="J2078">
        <v>0</v>
      </c>
      <c r="K2078" s="9">
        <v>6.1385542168674698</v>
      </c>
    </row>
    <row r="2079" spans="1:11" x14ac:dyDescent="0.45">
      <c r="A2079" t="s">
        <v>197</v>
      </c>
      <c r="B2079" t="s">
        <v>637</v>
      </c>
      <c r="C2079" t="s">
        <v>10</v>
      </c>
      <c r="D2079">
        <v>4</v>
      </c>
      <c r="E2079" t="s">
        <v>334</v>
      </c>
      <c r="F2079" t="s">
        <v>622</v>
      </c>
      <c r="G2079">
        <v>1</v>
      </c>
      <c r="H2079">
        <v>2</v>
      </c>
      <c r="I2079">
        <v>0</v>
      </c>
      <c r="J2079">
        <v>0</v>
      </c>
      <c r="K2079" s="9">
        <v>6.1385542168674698</v>
      </c>
    </row>
    <row r="2080" spans="1:11" x14ac:dyDescent="0.45">
      <c r="A2080" t="s">
        <v>197</v>
      </c>
      <c r="B2080" t="s">
        <v>637</v>
      </c>
      <c r="C2080" t="s">
        <v>10</v>
      </c>
      <c r="D2080">
        <v>5</v>
      </c>
      <c r="E2080" t="s">
        <v>436</v>
      </c>
      <c r="F2080" t="s">
        <v>623</v>
      </c>
      <c r="G2080">
        <v>48</v>
      </c>
      <c r="H2080">
        <v>38</v>
      </c>
      <c r="I2080">
        <v>4</v>
      </c>
      <c r="J2080">
        <v>2</v>
      </c>
      <c r="K2080" s="9">
        <v>3.6842105263157894</v>
      </c>
    </row>
    <row r="2081" spans="1:11" x14ac:dyDescent="0.45">
      <c r="A2081" t="s">
        <v>197</v>
      </c>
      <c r="B2081" t="s">
        <v>637</v>
      </c>
      <c r="C2081" t="s">
        <v>10</v>
      </c>
      <c r="D2081">
        <v>6</v>
      </c>
      <c r="E2081" t="s">
        <v>499</v>
      </c>
      <c r="F2081" t="s">
        <v>622</v>
      </c>
      <c r="G2081">
        <v>0</v>
      </c>
      <c r="H2081">
        <v>2</v>
      </c>
      <c r="I2081">
        <v>0</v>
      </c>
      <c r="J2081">
        <v>0</v>
      </c>
      <c r="K2081" s="9">
        <v>6.1385542168674698</v>
      </c>
    </row>
    <row r="2082" spans="1:11" x14ac:dyDescent="0.45">
      <c r="A2082" t="s">
        <v>197</v>
      </c>
      <c r="B2082" t="s">
        <v>637</v>
      </c>
      <c r="C2082" t="s">
        <v>10</v>
      </c>
      <c r="D2082">
        <v>7</v>
      </c>
      <c r="E2082" t="s">
        <v>326</v>
      </c>
      <c r="F2082" t="s">
        <v>622</v>
      </c>
      <c r="G2082">
        <v>22</v>
      </c>
      <c r="H2082">
        <v>11</v>
      </c>
      <c r="I2082">
        <v>4</v>
      </c>
      <c r="J2082">
        <v>0</v>
      </c>
      <c r="K2082" s="9">
        <v>4.9649122807017543</v>
      </c>
    </row>
    <row r="2083" spans="1:11" x14ac:dyDescent="0.45">
      <c r="A2083" t="s">
        <v>197</v>
      </c>
      <c r="B2083" t="s">
        <v>637</v>
      </c>
      <c r="C2083" t="s">
        <v>10</v>
      </c>
      <c r="D2083">
        <v>8</v>
      </c>
      <c r="E2083" t="s">
        <v>337</v>
      </c>
      <c r="F2083" t="s">
        <v>623</v>
      </c>
      <c r="G2083">
        <v>38</v>
      </c>
      <c r="H2083">
        <v>17</v>
      </c>
      <c r="I2083">
        <v>2</v>
      </c>
      <c r="J2083">
        <v>3</v>
      </c>
      <c r="K2083" s="9">
        <v>4.82</v>
      </c>
    </row>
    <row r="2084" spans="1:11" x14ac:dyDescent="0.45">
      <c r="A2084" t="s">
        <v>198</v>
      </c>
      <c r="B2084" t="s">
        <v>621</v>
      </c>
      <c r="C2084" t="s">
        <v>6</v>
      </c>
      <c r="D2084">
        <v>1</v>
      </c>
      <c r="E2084" t="s">
        <v>290</v>
      </c>
      <c r="F2084" t="s">
        <v>622</v>
      </c>
      <c r="G2084">
        <v>0</v>
      </c>
      <c r="H2084">
        <v>4</v>
      </c>
      <c r="I2084">
        <v>0</v>
      </c>
      <c r="J2084">
        <v>0</v>
      </c>
      <c r="K2084" s="9">
        <v>5.352380952380952</v>
      </c>
    </row>
    <row r="2085" spans="1:11" x14ac:dyDescent="0.45">
      <c r="A2085" t="s">
        <v>198</v>
      </c>
      <c r="B2085" t="s">
        <v>621</v>
      </c>
      <c r="C2085" t="s">
        <v>6</v>
      </c>
      <c r="D2085">
        <v>2</v>
      </c>
      <c r="E2085" t="s">
        <v>505</v>
      </c>
      <c r="F2085" t="s">
        <v>622</v>
      </c>
      <c r="G2085">
        <v>3</v>
      </c>
      <c r="H2085">
        <v>8</v>
      </c>
      <c r="I2085">
        <v>0</v>
      </c>
      <c r="J2085">
        <v>0</v>
      </c>
      <c r="K2085" s="9">
        <v>4.9029126213592233</v>
      </c>
    </row>
    <row r="2086" spans="1:11" x14ac:dyDescent="0.45">
      <c r="A2086" t="s">
        <v>198</v>
      </c>
      <c r="B2086" t="s">
        <v>621</v>
      </c>
      <c r="C2086" t="s">
        <v>6</v>
      </c>
      <c r="D2086">
        <v>3</v>
      </c>
      <c r="E2086" t="s">
        <v>297</v>
      </c>
      <c r="F2086" t="s">
        <v>622</v>
      </c>
      <c r="G2086">
        <v>28</v>
      </c>
      <c r="H2086">
        <v>21</v>
      </c>
      <c r="I2086">
        <v>2</v>
      </c>
      <c r="J2086">
        <v>2</v>
      </c>
      <c r="K2086" s="9">
        <v>4.3770491803278686</v>
      </c>
    </row>
    <row r="2087" spans="1:11" x14ac:dyDescent="0.45">
      <c r="A2087" t="s">
        <v>198</v>
      </c>
      <c r="B2087" t="s">
        <v>621</v>
      </c>
      <c r="C2087" t="s">
        <v>6</v>
      </c>
      <c r="D2087">
        <v>4</v>
      </c>
      <c r="E2087" t="s">
        <v>355</v>
      </c>
      <c r="F2087" t="s">
        <v>622</v>
      </c>
      <c r="G2087">
        <v>15</v>
      </c>
      <c r="H2087">
        <v>17</v>
      </c>
      <c r="I2087">
        <v>1</v>
      </c>
      <c r="J2087">
        <v>1</v>
      </c>
      <c r="K2087" s="9">
        <v>4.82</v>
      </c>
    </row>
    <row r="2088" spans="1:11" x14ac:dyDescent="0.45">
      <c r="A2088" t="s">
        <v>198</v>
      </c>
      <c r="B2088" t="s">
        <v>621</v>
      </c>
      <c r="C2088" t="s">
        <v>6</v>
      </c>
      <c r="D2088">
        <v>5</v>
      </c>
      <c r="E2088" t="s">
        <v>328</v>
      </c>
      <c r="F2088" t="s">
        <v>623</v>
      </c>
      <c r="G2088">
        <v>26</v>
      </c>
      <c r="H2088">
        <v>28</v>
      </c>
      <c r="I2088">
        <v>0</v>
      </c>
      <c r="J2088">
        <v>1</v>
      </c>
      <c r="K2088" s="9">
        <v>3.806451612903226</v>
      </c>
    </row>
    <row r="2089" spans="1:11" x14ac:dyDescent="0.45">
      <c r="A2089" t="s">
        <v>198</v>
      </c>
      <c r="B2089" t="s">
        <v>621</v>
      </c>
      <c r="C2089" t="s">
        <v>6</v>
      </c>
      <c r="D2089">
        <v>6</v>
      </c>
      <c r="E2089" t="s">
        <v>387</v>
      </c>
      <c r="F2089" t="s">
        <v>622</v>
      </c>
      <c r="G2089">
        <v>3</v>
      </c>
      <c r="H2089">
        <v>6</v>
      </c>
      <c r="I2089">
        <v>0</v>
      </c>
      <c r="J2089">
        <v>0</v>
      </c>
      <c r="K2089" s="9">
        <v>5.4565217391304346</v>
      </c>
    </row>
    <row r="2090" spans="1:11" x14ac:dyDescent="0.45">
      <c r="A2090" t="s">
        <v>198</v>
      </c>
      <c r="B2090" t="s">
        <v>621</v>
      </c>
      <c r="C2090" t="s">
        <v>6</v>
      </c>
      <c r="D2090">
        <v>7</v>
      </c>
      <c r="E2090" t="s">
        <v>356</v>
      </c>
      <c r="F2090" t="s">
        <v>623</v>
      </c>
      <c r="G2090">
        <v>50</v>
      </c>
      <c r="H2090">
        <v>38</v>
      </c>
      <c r="I2090">
        <v>7</v>
      </c>
      <c r="J2090">
        <v>1</v>
      </c>
      <c r="K2090" s="9">
        <v>3.6842105263157894</v>
      </c>
    </row>
    <row r="2091" spans="1:11" x14ac:dyDescent="0.45">
      <c r="A2091" t="s">
        <v>198</v>
      </c>
      <c r="B2091" t="s">
        <v>621</v>
      </c>
      <c r="C2091" t="s">
        <v>7</v>
      </c>
      <c r="D2091">
        <v>1</v>
      </c>
      <c r="E2091" t="s">
        <v>481</v>
      </c>
      <c r="F2091" t="s">
        <v>622</v>
      </c>
      <c r="G2091">
        <v>44</v>
      </c>
      <c r="H2091">
        <v>34</v>
      </c>
      <c r="I2091">
        <v>6</v>
      </c>
      <c r="J2091">
        <v>1</v>
      </c>
      <c r="K2091" s="9">
        <v>4.4137931034482758</v>
      </c>
    </row>
    <row r="2092" spans="1:11" x14ac:dyDescent="0.45">
      <c r="A2092" t="s">
        <v>198</v>
      </c>
      <c r="B2092" t="s">
        <v>621</v>
      </c>
      <c r="C2092" t="s">
        <v>7</v>
      </c>
      <c r="D2092">
        <v>2</v>
      </c>
      <c r="E2092" t="s">
        <v>304</v>
      </c>
      <c r="F2092" t="s">
        <v>622</v>
      </c>
      <c r="G2092">
        <v>16</v>
      </c>
      <c r="H2092">
        <v>16</v>
      </c>
      <c r="I2092">
        <v>2</v>
      </c>
      <c r="J2092">
        <v>0</v>
      </c>
      <c r="K2092" s="9">
        <v>4.7608695652173916</v>
      </c>
    </row>
    <row r="2093" spans="1:11" x14ac:dyDescent="0.45">
      <c r="A2093" t="s">
        <v>198</v>
      </c>
      <c r="B2093" t="s">
        <v>621</v>
      </c>
      <c r="C2093" t="s">
        <v>7</v>
      </c>
      <c r="D2093">
        <v>3</v>
      </c>
      <c r="E2093" t="s">
        <v>306</v>
      </c>
      <c r="F2093" t="s">
        <v>622</v>
      </c>
      <c r="G2093">
        <v>21</v>
      </c>
      <c r="H2093">
        <v>17</v>
      </c>
      <c r="I2093">
        <v>2</v>
      </c>
      <c r="J2093">
        <v>1</v>
      </c>
      <c r="K2093" s="9">
        <v>4.82</v>
      </c>
    </row>
    <row r="2094" spans="1:11" x14ac:dyDescent="0.45">
      <c r="A2094" t="s">
        <v>198</v>
      </c>
      <c r="B2094" t="s">
        <v>621</v>
      </c>
      <c r="C2094" t="s">
        <v>7</v>
      </c>
      <c r="D2094">
        <v>4</v>
      </c>
      <c r="E2094" t="s">
        <v>332</v>
      </c>
      <c r="F2094" t="s">
        <v>623</v>
      </c>
      <c r="G2094">
        <v>20</v>
      </c>
      <c r="H2094">
        <v>19</v>
      </c>
      <c r="I2094">
        <v>1</v>
      </c>
      <c r="J2094">
        <v>0</v>
      </c>
      <c r="K2094" s="9">
        <v>4.5660377358490569</v>
      </c>
    </row>
    <row r="2095" spans="1:11" x14ac:dyDescent="0.45">
      <c r="A2095" t="s">
        <v>198</v>
      </c>
      <c r="B2095" t="s">
        <v>621</v>
      </c>
      <c r="C2095" t="s">
        <v>7</v>
      </c>
      <c r="D2095">
        <v>5</v>
      </c>
      <c r="E2095" t="s">
        <v>513</v>
      </c>
      <c r="F2095" t="s">
        <v>622</v>
      </c>
      <c r="G2095">
        <v>25</v>
      </c>
      <c r="H2095">
        <v>22</v>
      </c>
      <c r="I2095">
        <v>1</v>
      </c>
      <c r="J2095">
        <v>1</v>
      </c>
      <c r="K2095" s="9">
        <v>4.4423076923076925</v>
      </c>
    </row>
    <row r="2096" spans="1:11" x14ac:dyDescent="0.45">
      <c r="A2096" t="s">
        <v>198</v>
      </c>
      <c r="B2096" t="s">
        <v>621</v>
      </c>
      <c r="C2096" t="s">
        <v>7</v>
      </c>
      <c r="D2096">
        <v>6</v>
      </c>
      <c r="E2096" t="s">
        <v>529</v>
      </c>
      <c r="F2096" t="s">
        <v>623</v>
      </c>
      <c r="G2096">
        <v>3</v>
      </c>
      <c r="H2096">
        <v>3</v>
      </c>
      <c r="I2096">
        <v>0</v>
      </c>
      <c r="J2096">
        <v>0</v>
      </c>
      <c r="K2096" s="9">
        <v>5.6607142857142856</v>
      </c>
    </row>
    <row r="2097" spans="1:11" x14ac:dyDescent="0.45">
      <c r="A2097" t="s">
        <v>200</v>
      </c>
      <c r="B2097" t="s">
        <v>699</v>
      </c>
      <c r="C2097" t="s">
        <v>101</v>
      </c>
      <c r="D2097">
        <v>1</v>
      </c>
      <c r="E2097" t="s">
        <v>380</v>
      </c>
      <c r="F2097" t="s">
        <v>622</v>
      </c>
      <c r="G2097">
        <v>54</v>
      </c>
      <c r="H2097">
        <v>39</v>
      </c>
      <c r="I2097">
        <v>5</v>
      </c>
      <c r="J2097">
        <v>1</v>
      </c>
      <c r="K2097" s="9">
        <v>2.7083333333333335</v>
      </c>
    </row>
    <row r="2098" spans="1:11" x14ac:dyDescent="0.45">
      <c r="A2098" t="s">
        <v>200</v>
      </c>
      <c r="B2098" t="s">
        <v>699</v>
      </c>
      <c r="C2098" t="s">
        <v>101</v>
      </c>
      <c r="D2098">
        <v>2</v>
      </c>
      <c r="E2098" t="s">
        <v>302</v>
      </c>
      <c r="F2098" t="s">
        <v>622</v>
      </c>
      <c r="G2098">
        <v>39</v>
      </c>
      <c r="H2098">
        <v>20</v>
      </c>
      <c r="I2098">
        <v>7</v>
      </c>
      <c r="J2098">
        <v>0</v>
      </c>
      <c r="K2098" s="9">
        <v>4.9473684210526319</v>
      </c>
    </row>
    <row r="2099" spans="1:11" x14ac:dyDescent="0.45">
      <c r="A2099" t="s">
        <v>200</v>
      </c>
      <c r="B2099" t="s">
        <v>699</v>
      </c>
      <c r="C2099" t="s">
        <v>101</v>
      </c>
      <c r="D2099">
        <v>3</v>
      </c>
      <c r="E2099" t="s">
        <v>534</v>
      </c>
      <c r="F2099" t="s">
        <v>622</v>
      </c>
      <c r="G2099">
        <v>96</v>
      </c>
      <c r="H2099">
        <v>47</v>
      </c>
      <c r="I2099">
        <v>8</v>
      </c>
      <c r="J2099">
        <v>6</v>
      </c>
      <c r="K2099" s="9">
        <v>3</v>
      </c>
    </row>
    <row r="2100" spans="1:11" x14ac:dyDescent="0.45">
      <c r="A2100" t="s">
        <v>200</v>
      </c>
      <c r="B2100" t="s">
        <v>699</v>
      </c>
      <c r="C2100" t="s">
        <v>101</v>
      </c>
      <c r="D2100">
        <v>4</v>
      </c>
      <c r="E2100" t="s">
        <v>361</v>
      </c>
      <c r="F2100" t="s">
        <v>623</v>
      </c>
      <c r="G2100">
        <v>21</v>
      </c>
      <c r="H2100">
        <v>12</v>
      </c>
      <c r="I2100">
        <v>0</v>
      </c>
      <c r="J2100">
        <v>2</v>
      </c>
      <c r="K2100" s="9">
        <v>4.8024691358024691</v>
      </c>
    </row>
    <row r="2101" spans="1:11" x14ac:dyDescent="0.45">
      <c r="A2101" t="s">
        <v>200</v>
      </c>
      <c r="B2101" t="s">
        <v>699</v>
      </c>
      <c r="C2101" t="s">
        <v>101</v>
      </c>
      <c r="D2101">
        <v>5</v>
      </c>
      <c r="E2101" t="s">
        <v>379</v>
      </c>
      <c r="F2101" t="s">
        <v>622</v>
      </c>
      <c r="G2101">
        <v>0</v>
      </c>
      <c r="H2101">
        <v>2</v>
      </c>
      <c r="I2101">
        <v>0</v>
      </c>
      <c r="J2101">
        <v>0</v>
      </c>
      <c r="K2101" s="9">
        <v>6.1385542168674698</v>
      </c>
    </row>
    <row r="2102" spans="1:11" x14ac:dyDescent="0.45">
      <c r="A2102" t="s">
        <v>200</v>
      </c>
      <c r="B2102" t="s">
        <v>699</v>
      </c>
      <c r="C2102" t="s">
        <v>6</v>
      </c>
      <c r="D2102">
        <v>1</v>
      </c>
      <c r="E2102" t="s">
        <v>290</v>
      </c>
      <c r="F2102" t="s">
        <v>622</v>
      </c>
      <c r="G2102">
        <v>26</v>
      </c>
      <c r="H2102">
        <v>16</v>
      </c>
      <c r="I2102">
        <v>3</v>
      </c>
      <c r="J2102">
        <v>1</v>
      </c>
      <c r="K2102" s="9">
        <v>4.7608695652173916</v>
      </c>
    </row>
    <row r="2103" spans="1:11" x14ac:dyDescent="0.45">
      <c r="A2103" t="s">
        <v>200</v>
      </c>
      <c r="B2103" t="s">
        <v>699</v>
      </c>
      <c r="C2103" t="s">
        <v>6</v>
      </c>
      <c r="D2103">
        <v>2</v>
      </c>
      <c r="E2103" t="s">
        <v>505</v>
      </c>
      <c r="F2103" t="s">
        <v>622</v>
      </c>
      <c r="G2103">
        <v>47</v>
      </c>
      <c r="H2103">
        <v>25</v>
      </c>
      <c r="I2103">
        <v>4</v>
      </c>
      <c r="J2103">
        <v>2</v>
      </c>
      <c r="K2103" s="9">
        <v>4.4782608695652177</v>
      </c>
    </row>
    <row r="2104" spans="1:11" x14ac:dyDescent="0.45">
      <c r="A2104" t="s">
        <v>200</v>
      </c>
      <c r="B2104" t="s">
        <v>699</v>
      </c>
      <c r="C2104" t="s">
        <v>6</v>
      </c>
      <c r="D2104">
        <v>3</v>
      </c>
      <c r="E2104" t="s">
        <v>387</v>
      </c>
      <c r="F2104" t="s">
        <v>623</v>
      </c>
      <c r="G2104">
        <v>32</v>
      </c>
      <c r="H2104">
        <v>21</v>
      </c>
      <c r="I2104">
        <v>0</v>
      </c>
      <c r="J2104">
        <v>2</v>
      </c>
      <c r="K2104" s="9">
        <v>4.3770491803278686</v>
      </c>
    </row>
    <row r="2105" spans="1:11" x14ac:dyDescent="0.45">
      <c r="A2105" t="s">
        <v>200</v>
      </c>
      <c r="B2105" t="s">
        <v>699</v>
      </c>
      <c r="C2105" t="s">
        <v>6</v>
      </c>
      <c r="D2105">
        <v>4</v>
      </c>
      <c r="E2105" t="s">
        <v>481</v>
      </c>
      <c r="F2105" t="s">
        <v>622</v>
      </c>
      <c r="G2105">
        <v>27</v>
      </c>
      <c r="H2105">
        <v>13</v>
      </c>
      <c r="I2105">
        <v>2</v>
      </c>
      <c r="J2105">
        <v>2</v>
      </c>
      <c r="K2105" s="9">
        <v>4.8939393939393936</v>
      </c>
    </row>
    <row r="2106" spans="1:11" x14ac:dyDescent="0.45">
      <c r="A2106" t="s">
        <v>200</v>
      </c>
      <c r="B2106" t="s">
        <v>699</v>
      </c>
      <c r="C2106" t="s">
        <v>6</v>
      </c>
      <c r="D2106">
        <v>5</v>
      </c>
      <c r="E2106" t="s">
        <v>355</v>
      </c>
      <c r="F2106" t="s">
        <v>622</v>
      </c>
      <c r="G2106">
        <v>19</v>
      </c>
      <c r="H2106">
        <v>8</v>
      </c>
      <c r="I2106">
        <v>1</v>
      </c>
      <c r="J2106">
        <v>2</v>
      </c>
      <c r="K2106" s="9">
        <v>4.9029126213592233</v>
      </c>
    </row>
    <row r="2107" spans="1:11" x14ac:dyDescent="0.45">
      <c r="A2107" t="s">
        <v>200</v>
      </c>
      <c r="B2107" t="s">
        <v>699</v>
      </c>
      <c r="C2107" t="s">
        <v>6</v>
      </c>
      <c r="D2107">
        <v>6</v>
      </c>
      <c r="E2107" t="s">
        <v>356</v>
      </c>
      <c r="F2107" t="s">
        <v>622</v>
      </c>
      <c r="G2107">
        <v>0</v>
      </c>
      <c r="H2107">
        <v>1</v>
      </c>
      <c r="I2107">
        <v>0</v>
      </c>
      <c r="J2107">
        <v>0</v>
      </c>
      <c r="K2107" s="9">
        <v>6.5693779904306222</v>
      </c>
    </row>
    <row r="2108" spans="1:11" x14ac:dyDescent="0.45">
      <c r="A2108" t="s">
        <v>200</v>
      </c>
      <c r="B2108" t="s">
        <v>699</v>
      </c>
      <c r="C2108" t="s">
        <v>6</v>
      </c>
      <c r="D2108">
        <v>7</v>
      </c>
      <c r="E2108" t="s">
        <v>328</v>
      </c>
      <c r="F2108" t="s">
        <v>623</v>
      </c>
      <c r="G2108">
        <v>15</v>
      </c>
      <c r="H2108">
        <v>6</v>
      </c>
      <c r="I2108">
        <v>1</v>
      </c>
      <c r="J2108">
        <v>1</v>
      </c>
      <c r="K2108" s="9">
        <v>5.4565217391304346</v>
      </c>
    </row>
    <row r="2109" spans="1:11" x14ac:dyDescent="0.45">
      <c r="A2109" t="s">
        <v>201</v>
      </c>
      <c r="B2109" t="s">
        <v>700</v>
      </c>
      <c r="C2109" t="s">
        <v>101</v>
      </c>
      <c r="D2109">
        <v>1</v>
      </c>
      <c r="E2109" t="s">
        <v>380</v>
      </c>
      <c r="F2109" t="s">
        <v>622</v>
      </c>
      <c r="G2109">
        <v>18</v>
      </c>
      <c r="H2109">
        <v>16</v>
      </c>
      <c r="I2109">
        <v>3</v>
      </c>
      <c r="J2109">
        <v>0</v>
      </c>
      <c r="K2109" s="9">
        <v>4.7608695652173916</v>
      </c>
    </row>
    <row r="2110" spans="1:11" x14ac:dyDescent="0.45">
      <c r="A2110" t="s">
        <v>201</v>
      </c>
      <c r="B2110" t="s">
        <v>700</v>
      </c>
      <c r="C2110" t="s">
        <v>101</v>
      </c>
      <c r="D2110">
        <v>2</v>
      </c>
      <c r="E2110" t="s">
        <v>302</v>
      </c>
      <c r="F2110" t="s">
        <v>622</v>
      </c>
      <c r="G2110">
        <v>129</v>
      </c>
      <c r="H2110">
        <v>60</v>
      </c>
      <c r="I2110">
        <v>7</v>
      </c>
      <c r="J2110">
        <v>10</v>
      </c>
      <c r="K2110" s="9">
        <v>2</v>
      </c>
    </row>
    <row r="2111" spans="1:11" x14ac:dyDescent="0.45">
      <c r="A2111" t="s">
        <v>201</v>
      </c>
      <c r="B2111" t="s">
        <v>700</v>
      </c>
      <c r="C2111" t="s">
        <v>101</v>
      </c>
      <c r="D2111">
        <v>3</v>
      </c>
      <c r="E2111" t="s">
        <v>534</v>
      </c>
      <c r="F2111" t="s">
        <v>622</v>
      </c>
      <c r="G2111">
        <v>43</v>
      </c>
      <c r="H2111">
        <v>31</v>
      </c>
      <c r="I2111">
        <v>5</v>
      </c>
      <c r="J2111">
        <v>1</v>
      </c>
      <c r="K2111" s="9">
        <v>3.4375</v>
      </c>
    </row>
    <row r="2112" spans="1:11" x14ac:dyDescent="0.45">
      <c r="A2112" t="s">
        <v>201</v>
      </c>
      <c r="B2112" t="s">
        <v>700</v>
      </c>
      <c r="C2112" t="s">
        <v>101</v>
      </c>
      <c r="D2112">
        <v>4</v>
      </c>
      <c r="E2112" t="s">
        <v>361</v>
      </c>
      <c r="F2112" t="s">
        <v>623</v>
      </c>
      <c r="G2112">
        <v>28</v>
      </c>
      <c r="H2112">
        <v>13</v>
      </c>
      <c r="I2112">
        <v>2</v>
      </c>
      <c r="J2112">
        <v>2</v>
      </c>
      <c r="K2112" s="9">
        <v>4.8939393939393936</v>
      </c>
    </row>
    <row r="2113" spans="1:11" x14ac:dyDescent="0.45">
      <c r="A2113" t="s">
        <v>201</v>
      </c>
      <c r="B2113" t="s">
        <v>700</v>
      </c>
      <c r="C2113" t="s">
        <v>101</v>
      </c>
      <c r="D2113">
        <v>5</v>
      </c>
      <c r="E2113" t="s">
        <v>379</v>
      </c>
      <c r="F2113" t="s">
        <v>623</v>
      </c>
      <c r="G2113">
        <v>5</v>
      </c>
      <c r="H2113">
        <v>2</v>
      </c>
      <c r="I2113">
        <v>1</v>
      </c>
      <c r="J2113">
        <v>0</v>
      </c>
      <c r="K2113" s="9">
        <v>6.1385542168674698</v>
      </c>
    </row>
    <row r="2114" spans="1:11" x14ac:dyDescent="0.45">
      <c r="A2114" t="s">
        <v>201</v>
      </c>
      <c r="B2114" t="s">
        <v>700</v>
      </c>
      <c r="C2114" t="s">
        <v>19</v>
      </c>
      <c r="D2114">
        <v>1</v>
      </c>
      <c r="E2114" t="s">
        <v>359</v>
      </c>
      <c r="F2114" t="s">
        <v>622</v>
      </c>
      <c r="G2114">
        <v>8</v>
      </c>
      <c r="H2114">
        <v>7</v>
      </c>
      <c r="I2114">
        <v>1</v>
      </c>
      <c r="J2114">
        <v>0</v>
      </c>
      <c r="K2114" s="9">
        <v>4.927835051546392</v>
      </c>
    </row>
    <row r="2115" spans="1:11" x14ac:dyDescent="0.45">
      <c r="A2115" t="s">
        <v>201</v>
      </c>
      <c r="B2115" t="s">
        <v>700</v>
      </c>
      <c r="C2115" t="s">
        <v>19</v>
      </c>
      <c r="D2115">
        <v>2</v>
      </c>
      <c r="E2115" t="s">
        <v>559</v>
      </c>
      <c r="F2115" t="s">
        <v>622</v>
      </c>
      <c r="G2115">
        <v>4</v>
      </c>
      <c r="H2115">
        <v>3</v>
      </c>
      <c r="I2115">
        <v>1</v>
      </c>
      <c r="J2115">
        <v>0</v>
      </c>
      <c r="K2115" s="9">
        <v>5.6607142857142856</v>
      </c>
    </row>
    <row r="2116" spans="1:11" x14ac:dyDescent="0.45">
      <c r="A2116" t="s">
        <v>201</v>
      </c>
      <c r="B2116" t="s">
        <v>700</v>
      </c>
      <c r="C2116" t="s">
        <v>19</v>
      </c>
      <c r="D2116">
        <v>3</v>
      </c>
      <c r="E2116" t="s">
        <v>560</v>
      </c>
      <c r="F2116" t="s">
        <v>622</v>
      </c>
      <c r="G2116">
        <v>30</v>
      </c>
      <c r="H2116">
        <v>20</v>
      </c>
      <c r="I2116">
        <v>2</v>
      </c>
      <c r="J2116">
        <v>2</v>
      </c>
      <c r="K2116" s="9">
        <v>4.9473684210526319</v>
      </c>
    </row>
    <row r="2117" spans="1:11" x14ac:dyDescent="0.45">
      <c r="A2117" t="s">
        <v>201</v>
      </c>
      <c r="B2117" t="s">
        <v>700</v>
      </c>
      <c r="C2117" t="s">
        <v>19</v>
      </c>
      <c r="D2117">
        <v>4</v>
      </c>
      <c r="E2117" t="s">
        <v>363</v>
      </c>
      <c r="F2117" t="s">
        <v>622</v>
      </c>
      <c r="G2117">
        <v>61</v>
      </c>
      <c r="H2117">
        <v>38</v>
      </c>
      <c r="I2117">
        <v>7</v>
      </c>
      <c r="J2117">
        <v>2</v>
      </c>
      <c r="K2117" s="9">
        <v>3.6842105263157894</v>
      </c>
    </row>
    <row r="2118" spans="1:11" x14ac:dyDescent="0.45">
      <c r="A2118" t="s">
        <v>201</v>
      </c>
      <c r="B2118" t="s">
        <v>700</v>
      </c>
      <c r="C2118" t="s">
        <v>19</v>
      </c>
      <c r="D2118">
        <v>5</v>
      </c>
      <c r="E2118" t="s">
        <v>502</v>
      </c>
      <c r="F2118" t="s">
        <v>622</v>
      </c>
      <c r="G2118">
        <v>43</v>
      </c>
      <c r="H2118">
        <v>14</v>
      </c>
      <c r="I2118">
        <v>5</v>
      </c>
      <c r="J2118">
        <v>3</v>
      </c>
      <c r="K2118" s="9">
        <v>4.8461538461538458</v>
      </c>
    </row>
    <row r="2119" spans="1:11" x14ac:dyDescent="0.45">
      <c r="A2119" t="s">
        <v>201</v>
      </c>
      <c r="B2119" t="s">
        <v>700</v>
      </c>
      <c r="C2119" t="s">
        <v>19</v>
      </c>
      <c r="D2119">
        <v>6</v>
      </c>
      <c r="E2119" t="s">
        <v>561</v>
      </c>
      <c r="F2119" t="s">
        <v>622</v>
      </c>
      <c r="G2119">
        <v>5</v>
      </c>
      <c r="H2119">
        <v>7</v>
      </c>
      <c r="I2119">
        <v>0</v>
      </c>
      <c r="J2119">
        <v>0</v>
      </c>
      <c r="K2119" s="9">
        <v>4.927835051546392</v>
      </c>
    </row>
    <row r="2120" spans="1:11" x14ac:dyDescent="0.45">
      <c r="A2120" t="s">
        <v>201</v>
      </c>
      <c r="B2120" t="s">
        <v>700</v>
      </c>
      <c r="C2120" t="s">
        <v>19</v>
      </c>
      <c r="D2120">
        <v>7</v>
      </c>
      <c r="E2120" t="s">
        <v>447</v>
      </c>
      <c r="F2120" t="s">
        <v>622</v>
      </c>
      <c r="G2120">
        <v>2</v>
      </c>
      <c r="H2120">
        <v>3</v>
      </c>
      <c r="I2120">
        <v>0</v>
      </c>
      <c r="J2120">
        <v>0</v>
      </c>
      <c r="K2120" s="9">
        <v>5.6607142857142856</v>
      </c>
    </row>
    <row r="2121" spans="1:11" x14ac:dyDescent="0.45">
      <c r="A2121" t="s">
        <v>201</v>
      </c>
      <c r="B2121" t="s">
        <v>700</v>
      </c>
      <c r="C2121" t="s">
        <v>19</v>
      </c>
      <c r="D2121">
        <v>8</v>
      </c>
      <c r="E2121" t="s">
        <v>406</v>
      </c>
      <c r="F2121" t="s">
        <v>622</v>
      </c>
      <c r="G2121">
        <v>2</v>
      </c>
      <c r="H2121">
        <v>5</v>
      </c>
      <c r="I2121">
        <v>0</v>
      </c>
      <c r="J2121">
        <v>0</v>
      </c>
      <c r="K2121" s="9">
        <v>5.132075471698113</v>
      </c>
    </row>
    <row r="2122" spans="1:11" x14ac:dyDescent="0.45">
      <c r="A2122" t="s">
        <v>201</v>
      </c>
      <c r="B2122" t="s">
        <v>700</v>
      </c>
      <c r="C2122" t="s">
        <v>19</v>
      </c>
      <c r="D2122">
        <v>9</v>
      </c>
      <c r="E2122" t="s">
        <v>368</v>
      </c>
      <c r="F2122" t="s">
        <v>622</v>
      </c>
      <c r="G2122">
        <v>0</v>
      </c>
      <c r="H2122">
        <v>2</v>
      </c>
      <c r="I2122">
        <v>0</v>
      </c>
      <c r="J2122">
        <v>0</v>
      </c>
      <c r="K2122" s="9">
        <v>6.1385542168674698</v>
      </c>
    </row>
    <row r="2123" spans="1:11" x14ac:dyDescent="0.45">
      <c r="A2123" t="s">
        <v>201</v>
      </c>
      <c r="B2123" t="s">
        <v>700</v>
      </c>
      <c r="C2123" t="s">
        <v>19</v>
      </c>
      <c r="D2123">
        <v>10</v>
      </c>
      <c r="E2123" t="s">
        <v>524</v>
      </c>
      <c r="F2123" t="s">
        <v>622</v>
      </c>
      <c r="G2123">
        <v>6</v>
      </c>
      <c r="H2123">
        <v>7</v>
      </c>
      <c r="I2123">
        <v>1</v>
      </c>
      <c r="J2123">
        <v>0</v>
      </c>
      <c r="K2123" s="9">
        <v>4.927835051546392</v>
      </c>
    </row>
    <row r="2124" spans="1:11" x14ac:dyDescent="0.45">
      <c r="A2124" t="s">
        <v>201</v>
      </c>
      <c r="B2124" t="s">
        <v>700</v>
      </c>
      <c r="C2124" t="s">
        <v>19</v>
      </c>
      <c r="D2124">
        <v>11</v>
      </c>
      <c r="E2124" t="s">
        <v>562</v>
      </c>
      <c r="F2124" t="s">
        <v>623</v>
      </c>
      <c r="G2124">
        <v>3</v>
      </c>
      <c r="H2124">
        <v>5</v>
      </c>
      <c r="I2124">
        <v>0</v>
      </c>
      <c r="J2124">
        <v>0</v>
      </c>
      <c r="K2124" s="9">
        <v>5.132075471698113</v>
      </c>
    </row>
    <row r="2125" spans="1:11" x14ac:dyDescent="0.45">
      <c r="A2125" t="s">
        <v>203</v>
      </c>
      <c r="B2125" t="s">
        <v>701</v>
      </c>
      <c r="C2125" t="s">
        <v>19</v>
      </c>
      <c r="D2125">
        <v>1</v>
      </c>
      <c r="E2125" t="s">
        <v>360</v>
      </c>
      <c r="F2125" t="s">
        <v>622</v>
      </c>
      <c r="G2125">
        <v>15</v>
      </c>
      <c r="H2125">
        <v>12</v>
      </c>
      <c r="I2125">
        <v>3</v>
      </c>
      <c r="J2125">
        <v>0</v>
      </c>
      <c r="K2125" s="9">
        <v>4.8024691358024691</v>
      </c>
    </row>
    <row r="2126" spans="1:11" x14ac:dyDescent="0.45">
      <c r="A2126" t="s">
        <v>203</v>
      </c>
      <c r="B2126" t="s">
        <v>701</v>
      </c>
      <c r="C2126" t="s">
        <v>19</v>
      </c>
      <c r="D2126">
        <v>2</v>
      </c>
      <c r="E2126" t="s">
        <v>359</v>
      </c>
      <c r="F2126" t="s">
        <v>622</v>
      </c>
      <c r="G2126">
        <v>11</v>
      </c>
      <c r="H2126">
        <v>10</v>
      </c>
      <c r="I2126">
        <v>1</v>
      </c>
      <c r="J2126">
        <v>1</v>
      </c>
      <c r="K2126" s="9">
        <v>4.7179487179487181</v>
      </c>
    </row>
    <row r="2127" spans="1:11" x14ac:dyDescent="0.45">
      <c r="A2127" t="s">
        <v>203</v>
      </c>
      <c r="B2127" t="s">
        <v>701</v>
      </c>
      <c r="C2127" t="s">
        <v>19</v>
      </c>
      <c r="D2127">
        <v>3</v>
      </c>
      <c r="E2127" t="s">
        <v>560</v>
      </c>
      <c r="F2127" t="s">
        <v>622</v>
      </c>
      <c r="G2127">
        <v>41</v>
      </c>
      <c r="H2127">
        <v>23</v>
      </c>
      <c r="I2127">
        <v>6</v>
      </c>
      <c r="J2127">
        <v>1</v>
      </c>
      <c r="K2127" s="9">
        <v>5.1142857142857139</v>
      </c>
    </row>
    <row r="2128" spans="1:11" x14ac:dyDescent="0.45">
      <c r="A2128" t="s">
        <v>203</v>
      </c>
      <c r="B2128" t="s">
        <v>701</v>
      </c>
      <c r="C2128" t="s">
        <v>19</v>
      </c>
      <c r="D2128">
        <v>4</v>
      </c>
      <c r="E2128" t="s">
        <v>363</v>
      </c>
      <c r="F2128" t="s">
        <v>622</v>
      </c>
      <c r="G2128">
        <v>33</v>
      </c>
      <c r="H2128">
        <v>20</v>
      </c>
      <c r="I2128">
        <v>2</v>
      </c>
      <c r="J2128">
        <v>2</v>
      </c>
      <c r="K2128" s="9">
        <v>4.9473684210526319</v>
      </c>
    </row>
    <row r="2129" spans="1:11" x14ac:dyDescent="0.45">
      <c r="A2129" t="s">
        <v>203</v>
      </c>
      <c r="B2129" t="s">
        <v>701</v>
      </c>
      <c r="C2129" t="s">
        <v>19</v>
      </c>
      <c r="D2129">
        <v>5</v>
      </c>
      <c r="E2129" t="s">
        <v>502</v>
      </c>
      <c r="F2129" t="s">
        <v>622</v>
      </c>
      <c r="G2129">
        <v>26</v>
      </c>
      <c r="H2129">
        <v>22</v>
      </c>
      <c r="I2129">
        <v>0</v>
      </c>
      <c r="J2129">
        <v>2</v>
      </c>
      <c r="K2129" s="9">
        <v>4.4423076923076925</v>
      </c>
    </row>
    <row r="2130" spans="1:11" x14ac:dyDescent="0.45">
      <c r="A2130" t="s">
        <v>203</v>
      </c>
      <c r="B2130" t="s">
        <v>701</v>
      </c>
      <c r="C2130" t="s">
        <v>19</v>
      </c>
      <c r="D2130">
        <v>6</v>
      </c>
      <c r="E2130" t="s">
        <v>447</v>
      </c>
      <c r="F2130" t="s">
        <v>622</v>
      </c>
      <c r="G2130">
        <v>13</v>
      </c>
      <c r="H2130">
        <v>13</v>
      </c>
      <c r="I2130">
        <v>1</v>
      </c>
      <c r="J2130">
        <v>0</v>
      </c>
      <c r="K2130" s="9">
        <v>4.8939393939393936</v>
      </c>
    </row>
    <row r="2131" spans="1:11" x14ac:dyDescent="0.45">
      <c r="A2131" t="s">
        <v>203</v>
      </c>
      <c r="B2131" t="s">
        <v>701</v>
      </c>
      <c r="C2131" t="s">
        <v>19</v>
      </c>
      <c r="D2131">
        <v>7</v>
      </c>
      <c r="E2131" t="s">
        <v>559</v>
      </c>
      <c r="F2131" t="s">
        <v>622</v>
      </c>
      <c r="G2131">
        <v>23</v>
      </c>
      <c r="H2131">
        <v>12</v>
      </c>
      <c r="I2131">
        <v>2</v>
      </c>
      <c r="J2131">
        <v>2</v>
      </c>
      <c r="K2131" s="9">
        <v>4.8024691358024691</v>
      </c>
    </row>
    <row r="2132" spans="1:11" x14ac:dyDescent="0.45">
      <c r="A2132" t="s">
        <v>203</v>
      </c>
      <c r="B2132" t="s">
        <v>701</v>
      </c>
      <c r="C2132" t="s">
        <v>19</v>
      </c>
      <c r="D2132">
        <v>8</v>
      </c>
      <c r="E2132" t="s">
        <v>406</v>
      </c>
      <c r="F2132" t="s">
        <v>622</v>
      </c>
      <c r="G2132">
        <v>4</v>
      </c>
      <c r="H2132">
        <v>7</v>
      </c>
      <c r="I2132">
        <v>0</v>
      </c>
      <c r="J2132">
        <v>0</v>
      </c>
      <c r="K2132" s="9">
        <v>4.927835051546392</v>
      </c>
    </row>
    <row r="2133" spans="1:11" x14ac:dyDescent="0.45">
      <c r="A2133" t="s">
        <v>203</v>
      </c>
      <c r="B2133" t="s">
        <v>701</v>
      </c>
      <c r="C2133" t="s">
        <v>19</v>
      </c>
      <c r="D2133">
        <v>9</v>
      </c>
      <c r="E2133" t="s">
        <v>504</v>
      </c>
      <c r="F2133" t="s">
        <v>623</v>
      </c>
      <c r="G2133">
        <v>0</v>
      </c>
      <c r="H2133">
        <v>1</v>
      </c>
      <c r="I2133">
        <v>0</v>
      </c>
      <c r="J2133">
        <v>0</v>
      </c>
      <c r="K2133" s="9">
        <v>6.5693779904306222</v>
      </c>
    </row>
    <row r="2134" spans="1:11" x14ac:dyDescent="0.45">
      <c r="A2134" t="s">
        <v>203</v>
      </c>
      <c r="B2134" t="s">
        <v>701</v>
      </c>
      <c r="C2134" t="s">
        <v>104</v>
      </c>
      <c r="D2134">
        <v>1</v>
      </c>
      <c r="E2134" t="s">
        <v>564</v>
      </c>
      <c r="F2134" t="s">
        <v>622</v>
      </c>
      <c r="G2134">
        <v>18</v>
      </c>
      <c r="H2134">
        <v>13</v>
      </c>
      <c r="I2134">
        <v>3</v>
      </c>
      <c r="J2134">
        <v>0</v>
      </c>
      <c r="K2134" s="9">
        <v>4.8939393939393936</v>
      </c>
    </row>
    <row r="2135" spans="1:11" x14ac:dyDescent="0.45">
      <c r="A2135" t="s">
        <v>203</v>
      </c>
      <c r="B2135" t="s">
        <v>701</v>
      </c>
      <c r="C2135" t="s">
        <v>104</v>
      </c>
      <c r="D2135">
        <v>2</v>
      </c>
      <c r="E2135" t="s">
        <v>496</v>
      </c>
      <c r="F2135" t="s">
        <v>622</v>
      </c>
      <c r="G2135">
        <v>3</v>
      </c>
      <c r="H2135">
        <v>6</v>
      </c>
      <c r="I2135">
        <v>0</v>
      </c>
      <c r="J2135">
        <v>0</v>
      </c>
      <c r="K2135" s="9">
        <v>5.4565217391304346</v>
      </c>
    </row>
    <row r="2136" spans="1:11" x14ac:dyDescent="0.45">
      <c r="A2136" t="s">
        <v>203</v>
      </c>
      <c r="B2136" t="s">
        <v>701</v>
      </c>
      <c r="C2136" t="s">
        <v>104</v>
      </c>
      <c r="D2136">
        <v>3</v>
      </c>
      <c r="E2136" t="s">
        <v>366</v>
      </c>
      <c r="F2136" t="s">
        <v>622</v>
      </c>
      <c r="G2136">
        <v>8</v>
      </c>
      <c r="H2136">
        <v>11</v>
      </c>
      <c r="I2136">
        <v>1</v>
      </c>
      <c r="J2136">
        <v>0</v>
      </c>
      <c r="K2136" s="9">
        <v>4.9649122807017543</v>
      </c>
    </row>
    <row r="2137" spans="1:11" x14ac:dyDescent="0.45">
      <c r="A2137" t="s">
        <v>203</v>
      </c>
      <c r="B2137" t="s">
        <v>701</v>
      </c>
      <c r="C2137" t="s">
        <v>104</v>
      </c>
      <c r="D2137">
        <v>4</v>
      </c>
      <c r="E2137" t="s">
        <v>331</v>
      </c>
      <c r="F2137" t="s">
        <v>622</v>
      </c>
      <c r="G2137">
        <v>40</v>
      </c>
      <c r="H2137">
        <v>27</v>
      </c>
      <c r="I2137">
        <v>5</v>
      </c>
      <c r="J2137">
        <v>1</v>
      </c>
      <c r="K2137" s="9">
        <v>4.25</v>
      </c>
    </row>
    <row r="2138" spans="1:11" x14ac:dyDescent="0.45">
      <c r="A2138" t="s">
        <v>203</v>
      </c>
      <c r="B2138" t="s">
        <v>701</v>
      </c>
      <c r="C2138" t="s">
        <v>104</v>
      </c>
      <c r="D2138">
        <v>5</v>
      </c>
      <c r="E2138" t="s">
        <v>521</v>
      </c>
      <c r="F2138" t="s">
        <v>622</v>
      </c>
      <c r="G2138">
        <v>1</v>
      </c>
      <c r="H2138">
        <v>7</v>
      </c>
      <c r="I2138">
        <v>0</v>
      </c>
      <c r="J2138">
        <v>0</v>
      </c>
      <c r="K2138" s="9">
        <v>4.927835051546392</v>
      </c>
    </row>
    <row r="2139" spans="1:11" x14ac:dyDescent="0.45">
      <c r="A2139" t="s">
        <v>203</v>
      </c>
      <c r="B2139" t="s">
        <v>701</v>
      </c>
      <c r="C2139" t="s">
        <v>104</v>
      </c>
      <c r="D2139">
        <v>6</v>
      </c>
      <c r="E2139" t="s">
        <v>416</v>
      </c>
      <c r="F2139" t="s">
        <v>622</v>
      </c>
      <c r="G2139">
        <v>0</v>
      </c>
      <c r="H2139">
        <v>1</v>
      </c>
      <c r="I2139">
        <v>0</v>
      </c>
      <c r="J2139">
        <v>0</v>
      </c>
      <c r="K2139" s="9">
        <v>6.5693779904306222</v>
      </c>
    </row>
    <row r="2140" spans="1:11" x14ac:dyDescent="0.45">
      <c r="A2140" t="s">
        <v>203</v>
      </c>
      <c r="B2140" t="s">
        <v>701</v>
      </c>
      <c r="C2140" t="s">
        <v>104</v>
      </c>
      <c r="D2140">
        <v>7</v>
      </c>
      <c r="E2140" t="s">
        <v>426</v>
      </c>
      <c r="F2140" t="s">
        <v>622</v>
      </c>
      <c r="G2140">
        <v>15</v>
      </c>
      <c r="H2140">
        <v>13</v>
      </c>
      <c r="I2140">
        <v>0</v>
      </c>
      <c r="J2140">
        <v>1</v>
      </c>
      <c r="K2140" s="9">
        <v>4.8939393939393936</v>
      </c>
    </row>
    <row r="2141" spans="1:11" x14ac:dyDescent="0.45">
      <c r="A2141" t="s">
        <v>203</v>
      </c>
      <c r="B2141" t="s">
        <v>701</v>
      </c>
      <c r="C2141" t="s">
        <v>104</v>
      </c>
      <c r="D2141">
        <v>8</v>
      </c>
      <c r="E2141" t="s">
        <v>516</v>
      </c>
      <c r="F2141" t="s">
        <v>622</v>
      </c>
      <c r="G2141">
        <v>2</v>
      </c>
      <c r="H2141">
        <v>3</v>
      </c>
      <c r="I2141">
        <v>0</v>
      </c>
      <c r="J2141">
        <v>0</v>
      </c>
      <c r="K2141" s="9">
        <v>5.6607142857142856</v>
      </c>
    </row>
    <row r="2142" spans="1:11" x14ac:dyDescent="0.45">
      <c r="A2142" t="s">
        <v>203</v>
      </c>
      <c r="B2142" t="s">
        <v>701</v>
      </c>
      <c r="C2142" t="s">
        <v>104</v>
      </c>
      <c r="D2142">
        <v>9</v>
      </c>
      <c r="E2142" t="s">
        <v>407</v>
      </c>
      <c r="F2142" t="s">
        <v>622</v>
      </c>
      <c r="G2142">
        <v>3</v>
      </c>
      <c r="H2142">
        <v>6</v>
      </c>
      <c r="I2142">
        <v>0</v>
      </c>
      <c r="J2142">
        <v>0</v>
      </c>
      <c r="K2142" s="9">
        <v>5.4565217391304346</v>
      </c>
    </row>
    <row r="2143" spans="1:11" x14ac:dyDescent="0.45">
      <c r="A2143" t="s">
        <v>203</v>
      </c>
      <c r="B2143" t="s">
        <v>701</v>
      </c>
      <c r="C2143" t="s">
        <v>104</v>
      </c>
      <c r="D2143">
        <v>10</v>
      </c>
      <c r="E2143" t="s">
        <v>565</v>
      </c>
      <c r="F2143" t="s">
        <v>623</v>
      </c>
      <c r="G2143">
        <v>1</v>
      </c>
      <c r="H2143">
        <v>5</v>
      </c>
      <c r="I2143">
        <v>0</v>
      </c>
      <c r="J2143">
        <v>0</v>
      </c>
      <c r="K2143" s="9">
        <v>5.132075471698113</v>
      </c>
    </row>
    <row r="2144" spans="1:11" x14ac:dyDescent="0.45">
      <c r="A2144" t="s">
        <v>203</v>
      </c>
      <c r="B2144" t="s">
        <v>701</v>
      </c>
      <c r="C2144" t="s">
        <v>104</v>
      </c>
      <c r="D2144">
        <v>11</v>
      </c>
      <c r="E2144" t="s">
        <v>492</v>
      </c>
      <c r="F2144" t="s">
        <v>622</v>
      </c>
      <c r="G2144">
        <v>0</v>
      </c>
      <c r="H2144">
        <v>7</v>
      </c>
      <c r="I2144">
        <v>0</v>
      </c>
      <c r="J2144">
        <v>0</v>
      </c>
      <c r="K2144" s="9">
        <v>4.927835051546392</v>
      </c>
    </row>
    <row r="2145" spans="1:11" x14ac:dyDescent="0.45">
      <c r="A2145" t="s">
        <v>204</v>
      </c>
      <c r="B2145" t="s">
        <v>674</v>
      </c>
      <c r="C2145" t="s">
        <v>6</v>
      </c>
      <c r="D2145">
        <v>1</v>
      </c>
      <c r="E2145" t="s">
        <v>290</v>
      </c>
      <c r="F2145" t="s">
        <v>622</v>
      </c>
      <c r="G2145">
        <v>60</v>
      </c>
      <c r="H2145">
        <v>44</v>
      </c>
      <c r="I2145">
        <v>7</v>
      </c>
      <c r="J2145">
        <v>1</v>
      </c>
      <c r="K2145" s="9">
        <v>3.35</v>
      </c>
    </row>
    <row r="2146" spans="1:11" x14ac:dyDescent="0.45">
      <c r="A2146" t="s">
        <v>204</v>
      </c>
      <c r="B2146" t="s">
        <v>674</v>
      </c>
      <c r="C2146" t="s">
        <v>6</v>
      </c>
      <c r="D2146">
        <v>2</v>
      </c>
      <c r="E2146" t="s">
        <v>505</v>
      </c>
      <c r="F2146" t="s">
        <v>622</v>
      </c>
      <c r="G2146">
        <v>40</v>
      </c>
      <c r="H2146">
        <v>34</v>
      </c>
      <c r="I2146">
        <v>4</v>
      </c>
      <c r="J2146">
        <v>0</v>
      </c>
      <c r="K2146" s="9">
        <v>4.4137931034482758</v>
      </c>
    </row>
    <row r="2147" spans="1:11" x14ac:dyDescent="0.45">
      <c r="A2147" t="s">
        <v>204</v>
      </c>
      <c r="B2147" t="s">
        <v>674</v>
      </c>
      <c r="C2147" t="s">
        <v>6</v>
      </c>
      <c r="D2147">
        <v>3</v>
      </c>
      <c r="E2147" t="s">
        <v>387</v>
      </c>
      <c r="F2147" t="s">
        <v>622</v>
      </c>
      <c r="G2147">
        <v>1</v>
      </c>
      <c r="H2147">
        <v>3</v>
      </c>
      <c r="I2147">
        <v>0</v>
      </c>
      <c r="J2147">
        <v>0</v>
      </c>
      <c r="K2147" s="9">
        <v>5.6607142857142856</v>
      </c>
    </row>
    <row r="2148" spans="1:11" x14ac:dyDescent="0.45">
      <c r="A2148" t="s">
        <v>204</v>
      </c>
      <c r="B2148" t="s">
        <v>674</v>
      </c>
      <c r="C2148" t="s">
        <v>6</v>
      </c>
      <c r="D2148">
        <v>4</v>
      </c>
      <c r="E2148" t="s">
        <v>481</v>
      </c>
      <c r="F2148" t="s">
        <v>622</v>
      </c>
      <c r="G2148">
        <v>17</v>
      </c>
      <c r="H2148">
        <v>10</v>
      </c>
      <c r="I2148">
        <v>0</v>
      </c>
      <c r="J2148">
        <v>1</v>
      </c>
      <c r="K2148" s="9">
        <v>4.7179487179487181</v>
      </c>
    </row>
    <row r="2149" spans="1:11" x14ac:dyDescent="0.45">
      <c r="A2149" t="s">
        <v>204</v>
      </c>
      <c r="B2149" t="s">
        <v>674</v>
      </c>
      <c r="C2149" t="s">
        <v>6</v>
      </c>
      <c r="D2149">
        <v>5</v>
      </c>
      <c r="E2149" t="s">
        <v>355</v>
      </c>
      <c r="F2149" t="s">
        <v>622</v>
      </c>
      <c r="G2149">
        <v>17</v>
      </c>
      <c r="H2149">
        <v>9</v>
      </c>
      <c r="I2149">
        <v>1</v>
      </c>
      <c r="J2149">
        <v>1</v>
      </c>
      <c r="K2149" s="9">
        <v>4.924050632911392</v>
      </c>
    </row>
    <row r="2150" spans="1:11" x14ac:dyDescent="0.45">
      <c r="A2150" t="s">
        <v>204</v>
      </c>
      <c r="B2150" t="s">
        <v>674</v>
      </c>
      <c r="C2150" t="s">
        <v>6</v>
      </c>
      <c r="D2150">
        <v>6</v>
      </c>
      <c r="E2150" t="s">
        <v>328</v>
      </c>
      <c r="F2150" t="s">
        <v>622</v>
      </c>
      <c r="G2150">
        <v>22</v>
      </c>
      <c r="H2150">
        <v>16</v>
      </c>
      <c r="I2150">
        <v>2</v>
      </c>
      <c r="J2150">
        <v>0</v>
      </c>
      <c r="K2150" s="9">
        <v>4.7608695652173916</v>
      </c>
    </row>
    <row r="2151" spans="1:11" x14ac:dyDescent="0.45">
      <c r="A2151" t="s">
        <v>204</v>
      </c>
      <c r="B2151" t="s">
        <v>674</v>
      </c>
      <c r="C2151" t="s">
        <v>6</v>
      </c>
      <c r="D2151">
        <v>7</v>
      </c>
      <c r="E2151" t="s">
        <v>356</v>
      </c>
      <c r="F2151" t="s">
        <v>622</v>
      </c>
      <c r="G2151">
        <v>1</v>
      </c>
      <c r="H2151">
        <v>2</v>
      </c>
      <c r="I2151">
        <v>0</v>
      </c>
      <c r="J2151">
        <v>0</v>
      </c>
      <c r="K2151" s="9">
        <v>6.1385542168674698</v>
      </c>
    </row>
    <row r="2152" spans="1:11" x14ac:dyDescent="0.45">
      <c r="A2152" t="s">
        <v>204</v>
      </c>
      <c r="B2152" t="s">
        <v>674</v>
      </c>
      <c r="C2152" t="s">
        <v>6</v>
      </c>
      <c r="D2152">
        <v>8</v>
      </c>
      <c r="E2152" t="s">
        <v>299</v>
      </c>
      <c r="F2152" t="s">
        <v>623</v>
      </c>
      <c r="G2152">
        <v>9</v>
      </c>
      <c r="H2152">
        <v>4</v>
      </c>
      <c r="I2152">
        <v>0</v>
      </c>
      <c r="J2152">
        <v>1</v>
      </c>
      <c r="K2152" s="9">
        <v>5.352380952380952</v>
      </c>
    </row>
    <row r="2153" spans="1:11" x14ac:dyDescent="0.45">
      <c r="A2153" t="s">
        <v>204</v>
      </c>
      <c r="B2153" t="s">
        <v>674</v>
      </c>
      <c r="C2153" t="s">
        <v>101</v>
      </c>
      <c r="D2153">
        <v>1</v>
      </c>
      <c r="E2153" t="s">
        <v>380</v>
      </c>
      <c r="F2153" t="s">
        <v>622</v>
      </c>
      <c r="G2153">
        <v>12</v>
      </c>
      <c r="H2153">
        <v>11</v>
      </c>
      <c r="I2153">
        <v>2</v>
      </c>
      <c r="J2153">
        <v>0</v>
      </c>
      <c r="K2153" s="9">
        <v>4.9649122807017543</v>
      </c>
    </row>
    <row r="2154" spans="1:11" x14ac:dyDescent="0.45">
      <c r="A2154" t="s">
        <v>204</v>
      </c>
      <c r="B2154" t="s">
        <v>674</v>
      </c>
      <c r="C2154" t="s">
        <v>101</v>
      </c>
      <c r="D2154">
        <v>2</v>
      </c>
      <c r="E2154" t="s">
        <v>302</v>
      </c>
      <c r="F2154" t="s">
        <v>622</v>
      </c>
      <c r="G2154">
        <v>42</v>
      </c>
      <c r="H2154">
        <v>38</v>
      </c>
      <c r="I2154">
        <v>4</v>
      </c>
      <c r="J2154">
        <v>1</v>
      </c>
      <c r="K2154" s="9">
        <v>3.6842105263157894</v>
      </c>
    </row>
    <row r="2155" spans="1:11" x14ac:dyDescent="0.45">
      <c r="A2155" t="s">
        <v>204</v>
      </c>
      <c r="B2155" t="s">
        <v>674</v>
      </c>
      <c r="C2155" t="s">
        <v>101</v>
      </c>
      <c r="D2155">
        <v>3</v>
      </c>
      <c r="E2155" t="s">
        <v>361</v>
      </c>
      <c r="F2155" t="s">
        <v>622</v>
      </c>
      <c r="G2155">
        <v>8</v>
      </c>
      <c r="H2155">
        <v>7</v>
      </c>
      <c r="I2155">
        <v>1</v>
      </c>
      <c r="J2155">
        <v>0</v>
      </c>
      <c r="K2155" s="9">
        <v>4.927835051546392</v>
      </c>
    </row>
    <row r="2156" spans="1:11" x14ac:dyDescent="0.45">
      <c r="A2156" t="s">
        <v>204</v>
      </c>
      <c r="B2156" t="s">
        <v>674</v>
      </c>
      <c r="C2156" t="s">
        <v>101</v>
      </c>
      <c r="D2156">
        <v>4</v>
      </c>
      <c r="E2156" t="s">
        <v>567</v>
      </c>
      <c r="F2156" t="s">
        <v>622</v>
      </c>
      <c r="G2156">
        <v>17</v>
      </c>
      <c r="H2156">
        <v>16</v>
      </c>
      <c r="I2156">
        <v>1</v>
      </c>
      <c r="J2156">
        <v>1</v>
      </c>
      <c r="K2156" s="9">
        <v>4.7608695652173916</v>
      </c>
    </row>
    <row r="2157" spans="1:11" x14ac:dyDescent="0.45">
      <c r="A2157" t="s">
        <v>204</v>
      </c>
      <c r="B2157" t="s">
        <v>674</v>
      </c>
      <c r="C2157" t="s">
        <v>101</v>
      </c>
      <c r="D2157">
        <v>5</v>
      </c>
      <c r="E2157" t="s">
        <v>411</v>
      </c>
      <c r="F2157" t="s">
        <v>622</v>
      </c>
      <c r="G2157">
        <v>4</v>
      </c>
      <c r="H2157">
        <v>6</v>
      </c>
      <c r="I2157">
        <v>0</v>
      </c>
      <c r="J2157">
        <v>0</v>
      </c>
      <c r="K2157" s="9">
        <v>5.4565217391304346</v>
      </c>
    </row>
    <row r="2158" spans="1:11" x14ac:dyDescent="0.45">
      <c r="A2158" t="s">
        <v>204</v>
      </c>
      <c r="B2158" t="s">
        <v>674</v>
      </c>
      <c r="C2158" t="s">
        <v>101</v>
      </c>
      <c r="D2158">
        <v>6</v>
      </c>
      <c r="E2158" t="s">
        <v>460</v>
      </c>
      <c r="F2158" t="s">
        <v>622</v>
      </c>
      <c r="G2158">
        <v>14</v>
      </c>
      <c r="H2158">
        <v>10</v>
      </c>
      <c r="I2158">
        <v>0</v>
      </c>
      <c r="J2158">
        <v>1</v>
      </c>
      <c r="K2158" s="9">
        <v>4.7179487179487181</v>
      </c>
    </row>
    <row r="2159" spans="1:11" x14ac:dyDescent="0.45">
      <c r="A2159" t="s">
        <v>204</v>
      </c>
      <c r="B2159" t="s">
        <v>674</v>
      </c>
      <c r="C2159" t="s">
        <v>101</v>
      </c>
      <c r="D2159">
        <v>7</v>
      </c>
      <c r="E2159" t="s">
        <v>390</v>
      </c>
      <c r="F2159" t="s">
        <v>622</v>
      </c>
      <c r="G2159">
        <v>3</v>
      </c>
      <c r="H2159">
        <v>5</v>
      </c>
      <c r="I2159">
        <v>0</v>
      </c>
      <c r="J2159">
        <v>0</v>
      </c>
      <c r="K2159" s="9">
        <v>5.132075471698113</v>
      </c>
    </row>
    <row r="2160" spans="1:11" x14ac:dyDescent="0.45">
      <c r="A2160" t="s">
        <v>204</v>
      </c>
      <c r="B2160" t="s">
        <v>674</v>
      </c>
      <c r="C2160" t="s">
        <v>101</v>
      </c>
      <c r="D2160">
        <v>8</v>
      </c>
      <c r="E2160" t="s">
        <v>379</v>
      </c>
      <c r="F2160" t="s">
        <v>622</v>
      </c>
      <c r="G2160">
        <v>30</v>
      </c>
      <c r="H2160">
        <v>16</v>
      </c>
      <c r="I2160">
        <v>3</v>
      </c>
      <c r="J2160">
        <v>2</v>
      </c>
      <c r="K2160" s="9">
        <v>4.7608695652173916</v>
      </c>
    </row>
    <row r="2161" spans="1:11" x14ac:dyDescent="0.45">
      <c r="A2161" t="s">
        <v>204</v>
      </c>
      <c r="B2161" t="s">
        <v>674</v>
      </c>
      <c r="C2161" t="s">
        <v>101</v>
      </c>
      <c r="D2161">
        <v>9</v>
      </c>
      <c r="E2161" t="s">
        <v>548</v>
      </c>
      <c r="F2161" t="s">
        <v>622</v>
      </c>
      <c r="G2161">
        <v>0</v>
      </c>
      <c r="H2161">
        <v>1</v>
      </c>
      <c r="I2161">
        <v>0</v>
      </c>
      <c r="J2161">
        <v>0</v>
      </c>
      <c r="K2161" s="9">
        <v>6.5693779904306222</v>
      </c>
    </row>
    <row r="2162" spans="1:11" x14ac:dyDescent="0.45">
      <c r="A2162" t="s">
        <v>204</v>
      </c>
      <c r="B2162" t="s">
        <v>674</v>
      </c>
      <c r="C2162" t="s">
        <v>101</v>
      </c>
      <c r="D2162">
        <v>10</v>
      </c>
      <c r="E2162" t="s">
        <v>556</v>
      </c>
      <c r="F2162" t="s">
        <v>623</v>
      </c>
      <c r="G2162">
        <v>7</v>
      </c>
      <c r="H2162">
        <v>5</v>
      </c>
      <c r="I2162">
        <v>1</v>
      </c>
      <c r="J2162">
        <v>0</v>
      </c>
      <c r="K2162" s="9">
        <v>5.132075471698113</v>
      </c>
    </row>
    <row r="2163" spans="1:11" x14ac:dyDescent="0.45">
      <c r="A2163" t="s">
        <v>204</v>
      </c>
      <c r="B2163" t="s">
        <v>674</v>
      </c>
      <c r="C2163" t="s">
        <v>101</v>
      </c>
      <c r="D2163">
        <v>11</v>
      </c>
      <c r="E2163" t="s">
        <v>403</v>
      </c>
      <c r="F2163" t="s">
        <v>622</v>
      </c>
      <c r="G2163">
        <v>5</v>
      </c>
      <c r="H2163">
        <v>5</v>
      </c>
      <c r="I2163">
        <v>1</v>
      </c>
      <c r="J2163">
        <v>0</v>
      </c>
      <c r="K2163" s="9">
        <v>5.132075471698113</v>
      </c>
    </row>
    <row r="2164" spans="1:11" x14ac:dyDescent="0.45">
      <c r="A2164" t="s">
        <v>205</v>
      </c>
      <c r="B2164" t="s">
        <v>684</v>
      </c>
      <c r="C2164" t="s">
        <v>13</v>
      </c>
      <c r="D2164">
        <v>1</v>
      </c>
      <c r="E2164" t="s">
        <v>343</v>
      </c>
      <c r="F2164" t="s">
        <v>623</v>
      </c>
      <c r="G2164">
        <v>101</v>
      </c>
      <c r="H2164">
        <v>61</v>
      </c>
      <c r="I2164">
        <v>13</v>
      </c>
      <c r="J2164">
        <v>1</v>
      </c>
      <c r="K2164" s="9">
        <v>2.6363636363636362</v>
      </c>
    </row>
    <row r="2165" spans="1:11" x14ac:dyDescent="0.45">
      <c r="A2165" t="s">
        <v>205</v>
      </c>
      <c r="B2165" t="s">
        <v>684</v>
      </c>
      <c r="C2165" t="s">
        <v>13</v>
      </c>
      <c r="D2165">
        <v>2</v>
      </c>
      <c r="E2165" t="s">
        <v>294</v>
      </c>
      <c r="F2165" t="s">
        <v>622</v>
      </c>
      <c r="G2165">
        <v>28</v>
      </c>
      <c r="H2165">
        <v>19</v>
      </c>
      <c r="I2165">
        <v>5</v>
      </c>
      <c r="J2165">
        <v>0</v>
      </c>
      <c r="K2165" s="9">
        <v>4.5660377358490569</v>
      </c>
    </row>
    <row r="2166" spans="1:11" x14ac:dyDescent="0.45">
      <c r="A2166" t="s">
        <v>205</v>
      </c>
      <c r="B2166" t="s">
        <v>684</v>
      </c>
      <c r="C2166" t="s">
        <v>13</v>
      </c>
      <c r="D2166">
        <v>3</v>
      </c>
      <c r="E2166" t="s">
        <v>345</v>
      </c>
      <c r="F2166" t="s">
        <v>622</v>
      </c>
      <c r="G2166">
        <v>11</v>
      </c>
      <c r="H2166">
        <v>5</v>
      </c>
      <c r="I2166">
        <v>1</v>
      </c>
      <c r="J2166">
        <v>1</v>
      </c>
      <c r="K2166" s="9">
        <v>5.132075471698113</v>
      </c>
    </row>
    <row r="2167" spans="1:11" x14ac:dyDescent="0.45">
      <c r="A2167" t="s">
        <v>205</v>
      </c>
      <c r="B2167" t="s">
        <v>684</v>
      </c>
      <c r="C2167" t="s">
        <v>13</v>
      </c>
      <c r="D2167">
        <v>4</v>
      </c>
      <c r="E2167" t="s">
        <v>430</v>
      </c>
      <c r="F2167" t="s">
        <v>622</v>
      </c>
      <c r="G2167">
        <v>1</v>
      </c>
      <c r="H2167">
        <v>3</v>
      </c>
      <c r="I2167">
        <v>0</v>
      </c>
      <c r="J2167">
        <v>0</v>
      </c>
      <c r="K2167" s="9">
        <v>5.6607142857142856</v>
      </c>
    </row>
    <row r="2168" spans="1:11" x14ac:dyDescent="0.45">
      <c r="A2168" t="s">
        <v>205</v>
      </c>
      <c r="B2168" t="s">
        <v>684</v>
      </c>
      <c r="C2168" t="s">
        <v>13</v>
      </c>
      <c r="D2168">
        <v>5</v>
      </c>
      <c r="E2168" t="s">
        <v>568</v>
      </c>
      <c r="F2168" t="s">
        <v>622</v>
      </c>
      <c r="G2168">
        <v>26</v>
      </c>
      <c r="H2168">
        <v>16</v>
      </c>
      <c r="I2168">
        <v>5</v>
      </c>
      <c r="J2168">
        <v>0</v>
      </c>
      <c r="K2168" s="9">
        <v>4.7608695652173916</v>
      </c>
    </row>
    <row r="2169" spans="1:11" x14ac:dyDescent="0.45">
      <c r="A2169" t="s">
        <v>205</v>
      </c>
      <c r="B2169" t="s">
        <v>684</v>
      </c>
      <c r="C2169" t="s">
        <v>13</v>
      </c>
      <c r="D2169">
        <v>6</v>
      </c>
      <c r="E2169" t="s">
        <v>311</v>
      </c>
      <c r="F2169" t="s">
        <v>622</v>
      </c>
      <c r="G2169">
        <v>0</v>
      </c>
      <c r="H2169">
        <v>1</v>
      </c>
      <c r="I2169">
        <v>0</v>
      </c>
      <c r="J2169">
        <v>0</v>
      </c>
      <c r="K2169" s="9">
        <v>6.5693779904306222</v>
      </c>
    </row>
    <row r="2170" spans="1:11" x14ac:dyDescent="0.45">
      <c r="A2170" t="s">
        <v>205</v>
      </c>
      <c r="B2170" t="s">
        <v>684</v>
      </c>
      <c r="C2170" t="s">
        <v>13</v>
      </c>
      <c r="D2170">
        <v>7</v>
      </c>
      <c r="E2170" t="s">
        <v>388</v>
      </c>
      <c r="F2170" t="s">
        <v>623</v>
      </c>
      <c r="G2170">
        <v>23</v>
      </c>
      <c r="H2170">
        <v>15</v>
      </c>
      <c r="I2170">
        <v>1</v>
      </c>
      <c r="J2170">
        <v>1</v>
      </c>
      <c r="K2170" s="9">
        <v>4.7777777777777777</v>
      </c>
    </row>
    <row r="2171" spans="1:11" x14ac:dyDescent="0.45">
      <c r="A2171" t="s">
        <v>205</v>
      </c>
      <c r="B2171" t="s">
        <v>684</v>
      </c>
      <c r="C2171" t="s">
        <v>101</v>
      </c>
      <c r="D2171">
        <v>1</v>
      </c>
      <c r="E2171" t="s">
        <v>380</v>
      </c>
      <c r="F2171" t="s">
        <v>622</v>
      </c>
      <c r="G2171">
        <v>12</v>
      </c>
      <c r="H2171">
        <v>14</v>
      </c>
      <c r="I2171">
        <v>2</v>
      </c>
      <c r="J2171">
        <v>0</v>
      </c>
      <c r="K2171" s="9">
        <v>4.8461538461538458</v>
      </c>
    </row>
    <row r="2172" spans="1:11" x14ac:dyDescent="0.45">
      <c r="A2172" t="s">
        <v>205</v>
      </c>
      <c r="B2172" t="s">
        <v>684</v>
      </c>
      <c r="C2172" t="s">
        <v>101</v>
      </c>
      <c r="D2172">
        <v>2</v>
      </c>
      <c r="E2172" t="s">
        <v>302</v>
      </c>
      <c r="F2172" t="s">
        <v>623</v>
      </c>
      <c r="G2172">
        <v>104</v>
      </c>
      <c r="H2172">
        <v>52</v>
      </c>
      <c r="I2172">
        <v>5</v>
      </c>
      <c r="J2172">
        <v>8</v>
      </c>
      <c r="K2172" s="9">
        <v>2.9090909090909092</v>
      </c>
    </row>
    <row r="2173" spans="1:11" x14ac:dyDescent="0.45">
      <c r="A2173" t="s">
        <v>205</v>
      </c>
      <c r="B2173" t="s">
        <v>684</v>
      </c>
      <c r="C2173" t="s">
        <v>101</v>
      </c>
      <c r="D2173">
        <v>3</v>
      </c>
      <c r="E2173" t="s">
        <v>460</v>
      </c>
      <c r="F2173" t="s">
        <v>622</v>
      </c>
      <c r="G2173">
        <v>53</v>
      </c>
      <c r="H2173">
        <v>35</v>
      </c>
      <c r="I2173">
        <v>7</v>
      </c>
      <c r="J2173">
        <v>2</v>
      </c>
      <c r="K2173" s="9">
        <v>3.5769230769230771</v>
      </c>
    </row>
    <row r="2174" spans="1:11" x14ac:dyDescent="0.45">
      <c r="A2174" t="s">
        <v>205</v>
      </c>
      <c r="B2174" t="s">
        <v>684</v>
      </c>
      <c r="C2174" t="s">
        <v>101</v>
      </c>
      <c r="D2174">
        <v>4</v>
      </c>
      <c r="E2174" t="s">
        <v>567</v>
      </c>
      <c r="F2174" t="s">
        <v>622</v>
      </c>
      <c r="G2174">
        <v>0</v>
      </c>
      <c r="H2174">
        <v>3</v>
      </c>
      <c r="I2174">
        <v>0</v>
      </c>
      <c r="J2174">
        <v>0</v>
      </c>
      <c r="K2174" s="9">
        <v>5.6607142857142856</v>
      </c>
    </row>
    <row r="2175" spans="1:11" x14ac:dyDescent="0.45">
      <c r="A2175" t="s">
        <v>205</v>
      </c>
      <c r="B2175" t="s">
        <v>684</v>
      </c>
      <c r="C2175" t="s">
        <v>101</v>
      </c>
      <c r="D2175">
        <v>5</v>
      </c>
      <c r="E2175" t="s">
        <v>411</v>
      </c>
      <c r="F2175" t="s">
        <v>622</v>
      </c>
      <c r="G2175">
        <v>6</v>
      </c>
      <c r="H2175">
        <v>7</v>
      </c>
      <c r="I2175">
        <v>1</v>
      </c>
      <c r="J2175">
        <v>0</v>
      </c>
      <c r="K2175" s="9">
        <v>4.927835051546392</v>
      </c>
    </row>
    <row r="2176" spans="1:11" x14ac:dyDescent="0.45">
      <c r="A2176" t="s">
        <v>205</v>
      </c>
      <c r="B2176" t="s">
        <v>684</v>
      </c>
      <c r="C2176" t="s">
        <v>101</v>
      </c>
      <c r="D2176">
        <v>6</v>
      </c>
      <c r="E2176" t="s">
        <v>390</v>
      </c>
      <c r="F2176" t="s">
        <v>623</v>
      </c>
      <c r="G2176">
        <v>4</v>
      </c>
      <c r="H2176">
        <v>5</v>
      </c>
      <c r="I2176">
        <v>0</v>
      </c>
      <c r="J2176">
        <v>0</v>
      </c>
      <c r="K2176" s="9">
        <v>5.132075471698113</v>
      </c>
    </row>
    <row r="2177" spans="1:11" x14ac:dyDescent="0.45">
      <c r="A2177" t="s">
        <v>206</v>
      </c>
      <c r="B2177" t="s">
        <v>671</v>
      </c>
      <c r="C2177" t="s">
        <v>20</v>
      </c>
      <c r="D2177">
        <v>1</v>
      </c>
      <c r="E2177" t="s">
        <v>572</v>
      </c>
      <c r="F2177" t="s">
        <v>622</v>
      </c>
      <c r="G2177">
        <v>69</v>
      </c>
      <c r="H2177">
        <v>47</v>
      </c>
      <c r="I2177">
        <v>9</v>
      </c>
      <c r="J2177">
        <v>2</v>
      </c>
      <c r="K2177" s="9">
        <v>3</v>
      </c>
    </row>
    <row r="2178" spans="1:11" x14ac:dyDescent="0.45">
      <c r="A2178" t="s">
        <v>206</v>
      </c>
      <c r="B2178" t="s">
        <v>671</v>
      </c>
      <c r="C2178" t="s">
        <v>20</v>
      </c>
      <c r="D2178">
        <v>2</v>
      </c>
      <c r="E2178" t="s">
        <v>398</v>
      </c>
      <c r="F2178" t="s">
        <v>622</v>
      </c>
      <c r="G2178">
        <v>83</v>
      </c>
      <c r="H2178">
        <v>46</v>
      </c>
      <c r="I2178">
        <v>8</v>
      </c>
      <c r="J2178">
        <v>4</v>
      </c>
      <c r="K2178" s="9">
        <v>3.4375</v>
      </c>
    </row>
    <row r="2179" spans="1:11" x14ac:dyDescent="0.45">
      <c r="A2179" t="s">
        <v>206</v>
      </c>
      <c r="B2179" t="s">
        <v>671</v>
      </c>
      <c r="C2179" t="s">
        <v>20</v>
      </c>
      <c r="D2179">
        <v>3</v>
      </c>
      <c r="E2179" t="s">
        <v>573</v>
      </c>
      <c r="F2179" t="s">
        <v>622</v>
      </c>
      <c r="G2179">
        <v>18</v>
      </c>
      <c r="H2179">
        <v>13</v>
      </c>
      <c r="I2179">
        <v>2</v>
      </c>
      <c r="J2179">
        <v>0</v>
      </c>
      <c r="K2179" s="9">
        <v>4.8939393939393936</v>
      </c>
    </row>
    <row r="2180" spans="1:11" x14ac:dyDescent="0.45">
      <c r="A2180" t="s">
        <v>206</v>
      </c>
      <c r="B2180" t="s">
        <v>671</v>
      </c>
      <c r="C2180" t="s">
        <v>20</v>
      </c>
      <c r="D2180">
        <v>4</v>
      </c>
      <c r="E2180" t="s">
        <v>389</v>
      </c>
      <c r="F2180" t="s">
        <v>622</v>
      </c>
      <c r="G2180">
        <v>1</v>
      </c>
      <c r="H2180">
        <v>4</v>
      </c>
      <c r="I2180">
        <v>0</v>
      </c>
      <c r="J2180">
        <v>0</v>
      </c>
      <c r="K2180" s="9">
        <v>5.352380952380952</v>
      </c>
    </row>
    <row r="2181" spans="1:11" x14ac:dyDescent="0.45">
      <c r="A2181" t="s">
        <v>206</v>
      </c>
      <c r="B2181" t="s">
        <v>671</v>
      </c>
      <c r="C2181" t="s">
        <v>20</v>
      </c>
      <c r="D2181">
        <v>5</v>
      </c>
      <c r="E2181" t="s">
        <v>401</v>
      </c>
      <c r="F2181" t="s">
        <v>623</v>
      </c>
      <c r="G2181">
        <v>13</v>
      </c>
      <c r="H2181">
        <v>7</v>
      </c>
      <c r="I2181">
        <v>0</v>
      </c>
      <c r="J2181">
        <v>1</v>
      </c>
      <c r="K2181" s="9">
        <v>4.927835051546392</v>
      </c>
    </row>
    <row r="2182" spans="1:11" x14ac:dyDescent="0.45">
      <c r="A2182" t="s">
        <v>206</v>
      </c>
      <c r="B2182" t="s">
        <v>671</v>
      </c>
      <c r="C2182" t="s">
        <v>20</v>
      </c>
      <c r="D2182">
        <v>6</v>
      </c>
      <c r="E2182" t="s">
        <v>574</v>
      </c>
      <c r="F2182" t="s">
        <v>622</v>
      </c>
      <c r="G2182">
        <v>0</v>
      </c>
      <c r="H2182">
        <v>1</v>
      </c>
      <c r="I2182">
        <v>0</v>
      </c>
      <c r="J2182">
        <v>0</v>
      </c>
      <c r="K2182" s="9">
        <v>6.5693779904306222</v>
      </c>
    </row>
    <row r="2183" spans="1:11" x14ac:dyDescent="0.45">
      <c r="A2183" t="s">
        <v>206</v>
      </c>
      <c r="B2183" t="s">
        <v>671</v>
      </c>
      <c r="C2183" t="s">
        <v>20</v>
      </c>
      <c r="D2183">
        <v>7</v>
      </c>
      <c r="E2183" t="s">
        <v>575</v>
      </c>
      <c r="F2183" t="s">
        <v>623</v>
      </c>
      <c r="G2183">
        <v>4</v>
      </c>
      <c r="H2183">
        <v>3</v>
      </c>
      <c r="I2183">
        <v>1</v>
      </c>
      <c r="J2183">
        <v>0</v>
      </c>
      <c r="K2183" s="9">
        <v>5.6607142857142856</v>
      </c>
    </row>
    <row r="2184" spans="1:11" x14ac:dyDescent="0.45">
      <c r="A2184" t="s">
        <v>206</v>
      </c>
      <c r="B2184" t="s">
        <v>671</v>
      </c>
      <c r="C2184" t="s">
        <v>19</v>
      </c>
      <c r="D2184">
        <v>1</v>
      </c>
      <c r="E2184" t="s">
        <v>360</v>
      </c>
      <c r="F2184" t="s">
        <v>622</v>
      </c>
      <c r="G2184">
        <v>14</v>
      </c>
      <c r="H2184">
        <v>12</v>
      </c>
      <c r="I2184">
        <v>1</v>
      </c>
      <c r="J2184">
        <v>1</v>
      </c>
      <c r="K2184" s="9">
        <v>4.8024691358024691</v>
      </c>
    </row>
    <row r="2185" spans="1:11" x14ac:dyDescent="0.45">
      <c r="A2185" t="s">
        <v>206</v>
      </c>
      <c r="B2185" t="s">
        <v>671</v>
      </c>
      <c r="C2185" t="s">
        <v>19</v>
      </c>
      <c r="D2185">
        <v>2</v>
      </c>
      <c r="E2185" t="s">
        <v>359</v>
      </c>
      <c r="F2185" t="s">
        <v>622</v>
      </c>
      <c r="G2185">
        <v>56</v>
      </c>
      <c r="H2185">
        <v>37</v>
      </c>
      <c r="I2185">
        <v>8</v>
      </c>
      <c r="J2185">
        <v>1</v>
      </c>
      <c r="K2185" s="9">
        <v>3.5555555555555554</v>
      </c>
    </row>
    <row r="2186" spans="1:11" x14ac:dyDescent="0.45">
      <c r="A2186" t="s">
        <v>206</v>
      </c>
      <c r="B2186" t="s">
        <v>671</v>
      </c>
      <c r="C2186" t="s">
        <v>19</v>
      </c>
      <c r="D2186">
        <v>3</v>
      </c>
      <c r="E2186" t="s">
        <v>560</v>
      </c>
      <c r="F2186" t="s">
        <v>623</v>
      </c>
      <c r="G2186">
        <v>100</v>
      </c>
      <c r="H2186">
        <v>47</v>
      </c>
      <c r="I2186">
        <v>8</v>
      </c>
      <c r="J2186">
        <v>8</v>
      </c>
      <c r="K2186" s="9">
        <v>3</v>
      </c>
    </row>
    <row r="2187" spans="1:11" x14ac:dyDescent="0.45">
      <c r="A2187" t="s">
        <v>206</v>
      </c>
      <c r="B2187" t="s">
        <v>671</v>
      </c>
      <c r="C2187" t="s">
        <v>19</v>
      </c>
      <c r="D2187">
        <v>4</v>
      </c>
      <c r="E2187" t="s">
        <v>363</v>
      </c>
      <c r="F2187" t="s">
        <v>623</v>
      </c>
      <c r="G2187">
        <v>25</v>
      </c>
      <c r="H2187">
        <v>16</v>
      </c>
      <c r="I2187">
        <v>4</v>
      </c>
      <c r="J2187">
        <v>0</v>
      </c>
      <c r="K2187" s="9">
        <v>4.7608695652173916</v>
      </c>
    </row>
    <row r="2188" spans="1:11" x14ac:dyDescent="0.45">
      <c r="A2188" t="s">
        <v>207</v>
      </c>
      <c r="B2188" t="s">
        <v>670</v>
      </c>
      <c r="C2188" t="s">
        <v>104</v>
      </c>
      <c r="D2188">
        <v>1</v>
      </c>
      <c r="E2188" t="s">
        <v>528</v>
      </c>
      <c r="F2188" t="s">
        <v>622</v>
      </c>
      <c r="G2188">
        <v>3</v>
      </c>
      <c r="H2188">
        <v>5</v>
      </c>
      <c r="I2188">
        <v>0</v>
      </c>
      <c r="J2188">
        <v>0</v>
      </c>
      <c r="K2188" s="9">
        <v>5.132075471698113</v>
      </c>
    </row>
    <row r="2189" spans="1:11" x14ac:dyDescent="0.45">
      <c r="A2189" t="s">
        <v>207</v>
      </c>
      <c r="B2189" t="s">
        <v>670</v>
      </c>
      <c r="C2189" t="s">
        <v>104</v>
      </c>
      <c r="D2189">
        <v>2</v>
      </c>
      <c r="E2189" t="s">
        <v>422</v>
      </c>
      <c r="F2189" t="s">
        <v>622</v>
      </c>
      <c r="G2189">
        <v>28</v>
      </c>
      <c r="H2189">
        <v>27</v>
      </c>
      <c r="I2189">
        <v>0</v>
      </c>
      <c r="J2189">
        <v>2</v>
      </c>
      <c r="K2189" s="9">
        <v>4.25</v>
      </c>
    </row>
    <row r="2190" spans="1:11" x14ac:dyDescent="0.45">
      <c r="A2190" t="s">
        <v>207</v>
      </c>
      <c r="B2190" t="s">
        <v>670</v>
      </c>
      <c r="C2190" t="s">
        <v>104</v>
      </c>
      <c r="D2190">
        <v>3</v>
      </c>
      <c r="E2190" t="s">
        <v>496</v>
      </c>
      <c r="F2190" t="s">
        <v>622</v>
      </c>
      <c r="G2190">
        <v>26</v>
      </c>
      <c r="H2190">
        <v>20</v>
      </c>
      <c r="I2190">
        <v>5</v>
      </c>
      <c r="J2190">
        <v>0</v>
      </c>
      <c r="K2190" s="9">
        <v>4.9473684210526319</v>
      </c>
    </row>
    <row r="2191" spans="1:11" x14ac:dyDescent="0.45">
      <c r="A2191" t="s">
        <v>207</v>
      </c>
      <c r="B2191" t="s">
        <v>670</v>
      </c>
      <c r="C2191" t="s">
        <v>104</v>
      </c>
      <c r="D2191">
        <v>4</v>
      </c>
      <c r="E2191" t="s">
        <v>331</v>
      </c>
      <c r="F2191" t="s">
        <v>622</v>
      </c>
      <c r="G2191">
        <v>0</v>
      </c>
      <c r="H2191">
        <v>2</v>
      </c>
      <c r="I2191">
        <v>0</v>
      </c>
      <c r="J2191">
        <v>0</v>
      </c>
      <c r="K2191" s="9">
        <v>6.1385542168674698</v>
      </c>
    </row>
    <row r="2192" spans="1:11" x14ac:dyDescent="0.45">
      <c r="A2192" t="s">
        <v>207</v>
      </c>
      <c r="B2192" t="s">
        <v>670</v>
      </c>
      <c r="C2192" t="s">
        <v>104</v>
      </c>
      <c r="D2192">
        <v>5</v>
      </c>
      <c r="E2192" t="s">
        <v>366</v>
      </c>
      <c r="F2192" t="s">
        <v>622</v>
      </c>
      <c r="G2192">
        <v>9</v>
      </c>
      <c r="H2192">
        <v>8</v>
      </c>
      <c r="I2192">
        <v>0</v>
      </c>
      <c r="J2192">
        <v>1</v>
      </c>
      <c r="K2192" s="9">
        <v>4.9029126213592233</v>
      </c>
    </row>
    <row r="2193" spans="1:11" x14ac:dyDescent="0.45">
      <c r="A2193" t="s">
        <v>207</v>
      </c>
      <c r="B2193" t="s">
        <v>670</v>
      </c>
      <c r="C2193" t="s">
        <v>104</v>
      </c>
      <c r="D2193">
        <v>6</v>
      </c>
      <c r="E2193" t="s">
        <v>521</v>
      </c>
      <c r="F2193" t="s">
        <v>622</v>
      </c>
      <c r="G2193">
        <v>25</v>
      </c>
      <c r="H2193">
        <v>21</v>
      </c>
      <c r="I2193">
        <v>2</v>
      </c>
      <c r="J2193">
        <v>1</v>
      </c>
      <c r="K2193" s="9">
        <v>4.3770491803278686</v>
      </c>
    </row>
    <row r="2194" spans="1:11" x14ac:dyDescent="0.45">
      <c r="A2194" t="s">
        <v>207</v>
      </c>
      <c r="B2194" t="s">
        <v>670</v>
      </c>
      <c r="C2194" t="s">
        <v>104</v>
      </c>
      <c r="D2194">
        <v>7</v>
      </c>
      <c r="E2194" t="s">
        <v>416</v>
      </c>
      <c r="F2194" t="s">
        <v>622</v>
      </c>
      <c r="G2194">
        <v>58</v>
      </c>
      <c r="H2194">
        <v>30</v>
      </c>
      <c r="I2194">
        <v>4</v>
      </c>
      <c r="J2194">
        <v>5</v>
      </c>
      <c r="K2194" s="9">
        <v>3.6774193548387095</v>
      </c>
    </row>
    <row r="2195" spans="1:11" x14ac:dyDescent="0.45">
      <c r="A2195" t="s">
        <v>207</v>
      </c>
      <c r="B2195" t="s">
        <v>670</v>
      </c>
      <c r="C2195" t="s">
        <v>104</v>
      </c>
      <c r="D2195">
        <v>8</v>
      </c>
      <c r="E2195" t="s">
        <v>516</v>
      </c>
      <c r="F2195" t="s">
        <v>623</v>
      </c>
      <c r="G2195">
        <v>11</v>
      </c>
      <c r="H2195">
        <v>4</v>
      </c>
      <c r="I2195">
        <v>1</v>
      </c>
      <c r="J2195">
        <v>1</v>
      </c>
      <c r="K2195" s="9">
        <v>5.352380952380952</v>
      </c>
    </row>
    <row r="2196" spans="1:11" x14ac:dyDescent="0.45">
      <c r="A2196" t="s">
        <v>207</v>
      </c>
      <c r="B2196" t="s">
        <v>670</v>
      </c>
      <c r="C2196" t="s">
        <v>104</v>
      </c>
      <c r="D2196">
        <v>9</v>
      </c>
      <c r="E2196" t="s">
        <v>407</v>
      </c>
      <c r="F2196" t="s">
        <v>622</v>
      </c>
      <c r="G2196">
        <v>2</v>
      </c>
      <c r="H2196">
        <v>2</v>
      </c>
      <c r="I2196">
        <v>0</v>
      </c>
      <c r="J2196">
        <v>0</v>
      </c>
      <c r="K2196" s="9">
        <v>6.1385542168674698</v>
      </c>
    </row>
    <row r="2197" spans="1:11" x14ac:dyDescent="0.45">
      <c r="A2197" t="s">
        <v>207</v>
      </c>
      <c r="B2197" t="s">
        <v>670</v>
      </c>
      <c r="C2197" t="s">
        <v>104</v>
      </c>
      <c r="D2197">
        <v>10</v>
      </c>
      <c r="E2197" t="s">
        <v>565</v>
      </c>
      <c r="F2197" t="s">
        <v>623</v>
      </c>
      <c r="G2197">
        <v>2</v>
      </c>
      <c r="H2197">
        <v>3</v>
      </c>
      <c r="I2197">
        <v>0</v>
      </c>
      <c r="J2197">
        <v>0</v>
      </c>
      <c r="K2197" s="9">
        <v>5.6607142857142856</v>
      </c>
    </row>
    <row r="2198" spans="1:11" x14ac:dyDescent="0.45">
      <c r="A2198" t="s">
        <v>207</v>
      </c>
      <c r="B2198" t="s">
        <v>670</v>
      </c>
      <c r="C2198" t="s">
        <v>7</v>
      </c>
      <c r="D2198">
        <v>1</v>
      </c>
      <c r="E2198" t="s">
        <v>372</v>
      </c>
      <c r="F2198" t="s">
        <v>622</v>
      </c>
      <c r="G2198">
        <v>45</v>
      </c>
      <c r="H2198">
        <v>28</v>
      </c>
      <c r="I2198">
        <v>7</v>
      </c>
      <c r="J2198">
        <v>1</v>
      </c>
      <c r="K2198" s="9">
        <v>3.806451612903226</v>
      </c>
    </row>
    <row r="2199" spans="1:11" x14ac:dyDescent="0.45">
      <c r="A2199" t="s">
        <v>207</v>
      </c>
      <c r="B2199" t="s">
        <v>670</v>
      </c>
      <c r="C2199" t="s">
        <v>7</v>
      </c>
      <c r="D2199">
        <v>2</v>
      </c>
      <c r="E2199" t="s">
        <v>304</v>
      </c>
      <c r="F2199" t="s">
        <v>622</v>
      </c>
      <c r="G2199">
        <v>24</v>
      </c>
      <c r="H2199">
        <v>15</v>
      </c>
      <c r="I2199">
        <v>3</v>
      </c>
      <c r="J2199">
        <v>1</v>
      </c>
      <c r="K2199" s="9">
        <v>4.7777777777777777</v>
      </c>
    </row>
    <row r="2200" spans="1:11" x14ac:dyDescent="0.45">
      <c r="A2200" t="s">
        <v>207</v>
      </c>
      <c r="B2200" t="s">
        <v>670</v>
      </c>
      <c r="C2200" t="s">
        <v>7</v>
      </c>
      <c r="D2200">
        <v>3</v>
      </c>
      <c r="E2200" t="s">
        <v>306</v>
      </c>
      <c r="F2200" t="s">
        <v>622</v>
      </c>
      <c r="G2200">
        <v>8</v>
      </c>
      <c r="H2200">
        <v>10</v>
      </c>
      <c r="I2200">
        <v>1</v>
      </c>
      <c r="J2200">
        <v>0</v>
      </c>
      <c r="K2200" s="9">
        <v>4.7179487179487181</v>
      </c>
    </row>
    <row r="2201" spans="1:11" x14ac:dyDescent="0.45">
      <c r="A2201" t="s">
        <v>207</v>
      </c>
      <c r="B2201" t="s">
        <v>670</v>
      </c>
      <c r="C2201" t="s">
        <v>7</v>
      </c>
      <c r="D2201">
        <v>4</v>
      </c>
      <c r="E2201" t="s">
        <v>578</v>
      </c>
      <c r="F2201" t="s">
        <v>622</v>
      </c>
      <c r="G2201">
        <v>10</v>
      </c>
      <c r="H2201">
        <v>15</v>
      </c>
      <c r="I2201">
        <v>0</v>
      </c>
      <c r="J2201">
        <v>0</v>
      </c>
      <c r="K2201" s="9">
        <v>4.7777777777777777</v>
      </c>
    </row>
    <row r="2202" spans="1:11" x14ac:dyDescent="0.45">
      <c r="A2202" t="s">
        <v>207</v>
      </c>
      <c r="B2202" t="s">
        <v>670</v>
      </c>
      <c r="C2202" t="s">
        <v>7</v>
      </c>
      <c r="D2202">
        <v>5</v>
      </c>
      <c r="E2202" t="s">
        <v>514</v>
      </c>
      <c r="F2202" t="s">
        <v>623</v>
      </c>
      <c r="G2202">
        <v>67</v>
      </c>
      <c r="H2202">
        <v>33</v>
      </c>
      <c r="I2202">
        <v>6</v>
      </c>
      <c r="J2202">
        <v>4</v>
      </c>
      <c r="K2202" s="9">
        <v>2.8421052631578947</v>
      </c>
    </row>
    <row r="2203" spans="1:11" x14ac:dyDescent="0.45">
      <c r="A2203" t="s">
        <v>207</v>
      </c>
      <c r="B2203" t="s">
        <v>670</v>
      </c>
      <c r="C2203" t="s">
        <v>7</v>
      </c>
      <c r="D2203">
        <v>6</v>
      </c>
      <c r="E2203" t="s">
        <v>440</v>
      </c>
      <c r="F2203" t="s">
        <v>622</v>
      </c>
      <c r="G2203">
        <v>7</v>
      </c>
      <c r="H2203">
        <v>9</v>
      </c>
      <c r="I2203">
        <v>0</v>
      </c>
      <c r="J2203">
        <v>1</v>
      </c>
      <c r="K2203" s="9">
        <v>4.924050632911392</v>
      </c>
    </row>
    <row r="2204" spans="1:11" x14ac:dyDescent="0.45">
      <c r="A2204" t="s">
        <v>207</v>
      </c>
      <c r="B2204" t="s">
        <v>670</v>
      </c>
      <c r="C2204" t="s">
        <v>7</v>
      </c>
      <c r="D2204">
        <v>7</v>
      </c>
      <c r="E2204" t="s">
        <v>326</v>
      </c>
      <c r="F2204" t="s">
        <v>622</v>
      </c>
      <c r="G2204">
        <v>3</v>
      </c>
      <c r="H2204">
        <v>7</v>
      </c>
      <c r="I2204">
        <v>0</v>
      </c>
      <c r="J2204">
        <v>0</v>
      </c>
      <c r="K2204" s="9">
        <v>4.927835051546392</v>
      </c>
    </row>
    <row r="2205" spans="1:11" x14ac:dyDescent="0.45">
      <c r="A2205" t="s">
        <v>207</v>
      </c>
      <c r="B2205" t="s">
        <v>670</v>
      </c>
      <c r="C2205" t="s">
        <v>7</v>
      </c>
      <c r="D2205">
        <v>8</v>
      </c>
      <c r="E2205" t="s">
        <v>308</v>
      </c>
      <c r="F2205" t="s">
        <v>622</v>
      </c>
      <c r="G2205">
        <v>1</v>
      </c>
      <c r="H2205">
        <v>2</v>
      </c>
      <c r="I2205">
        <v>0</v>
      </c>
      <c r="J2205">
        <v>0</v>
      </c>
      <c r="K2205" s="9">
        <v>6.1385542168674698</v>
      </c>
    </row>
    <row r="2206" spans="1:11" x14ac:dyDescent="0.45">
      <c r="A2206" t="s">
        <v>207</v>
      </c>
      <c r="B2206" t="s">
        <v>670</v>
      </c>
      <c r="C2206" t="s">
        <v>7</v>
      </c>
      <c r="D2206">
        <v>9</v>
      </c>
      <c r="E2206" t="s">
        <v>542</v>
      </c>
      <c r="F2206" t="s">
        <v>623</v>
      </c>
      <c r="G2206">
        <v>1</v>
      </c>
      <c r="H2206">
        <v>1</v>
      </c>
      <c r="I2206">
        <v>0</v>
      </c>
      <c r="J2206">
        <v>0</v>
      </c>
      <c r="K2206" s="9">
        <v>6.5693779904306222</v>
      </c>
    </row>
    <row r="2207" spans="1:11" x14ac:dyDescent="0.45">
      <c r="A2207" t="s">
        <v>209</v>
      </c>
      <c r="B2207" t="s">
        <v>633</v>
      </c>
      <c r="C2207" t="s">
        <v>6</v>
      </c>
      <c r="D2207">
        <v>1</v>
      </c>
      <c r="E2207" t="s">
        <v>290</v>
      </c>
      <c r="F2207" t="s">
        <v>622</v>
      </c>
      <c r="G2207">
        <v>79</v>
      </c>
      <c r="H2207">
        <v>50</v>
      </c>
      <c r="I2207">
        <v>3</v>
      </c>
      <c r="J2207">
        <v>7</v>
      </c>
      <c r="K2207" s="9">
        <v>2.9047619047619047</v>
      </c>
    </row>
    <row r="2208" spans="1:11" x14ac:dyDescent="0.45">
      <c r="A2208" t="s">
        <v>209</v>
      </c>
      <c r="B2208" t="s">
        <v>633</v>
      </c>
      <c r="C2208" t="s">
        <v>6</v>
      </c>
      <c r="D2208">
        <v>2</v>
      </c>
      <c r="E2208" t="s">
        <v>505</v>
      </c>
      <c r="F2208" t="s">
        <v>622</v>
      </c>
      <c r="G2208">
        <v>87</v>
      </c>
      <c r="H2208">
        <v>52</v>
      </c>
      <c r="I2208">
        <v>11</v>
      </c>
      <c r="J2208">
        <v>3</v>
      </c>
      <c r="K2208" s="9">
        <v>2.9090909090909092</v>
      </c>
    </row>
    <row r="2209" spans="1:11" x14ac:dyDescent="0.45">
      <c r="A2209" t="s">
        <v>209</v>
      </c>
      <c r="B2209" t="s">
        <v>633</v>
      </c>
      <c r="C2209" t="s">
        <v>6</v>
      </c>
      <c r="D2209">
        <v>3</v>
      </c>
      <c r="E2209" t="s">
        <v>387</v>
      </c>
      <c r="F2209" t="s">
        <v>622</v>
      </c>
      <c r="G2209">
        <v>22</v>
      </c>
      <c r="H2209">
        <v>9</v>
      </c>
      <c r="I2209">
        <v>0</v>
      </c>
      <c r="J2209">
        <v>3</v>
      </c>
      <c r="K2209" s="9">
        <v>4.924050632911392</v>
      </c>
    </row>
    <row r="2210" spans="1:11" x14ac:dyDescent="0.45">
      <c r="A2210" t="s">
        <v>209</v>
      </c>
      <c r="B2210" t="s">
        <v>633</v>
      </c>
      <c r="C2210" t="s">
        <v>6</v>
      </c>
      <c r="D2210">
        <v>4</v>
      </c>
      <c r="E2210" t="s">
        <v>356</v>
      </c>
      <c r="F2210" t="s">
        <v>623</v>
      </c>
      <c r="G2210">
        <v>5</v>
      </c>
      <c r="H2210">
        <v>4</v>
      </c>
      <c r="I2210">
        <v>0</v>
      </c>
      <c r="J2210">
        <v>0</v>
      </c>
      <c r="K2210" s="9">
        <v>5.352380952380952</v>
      </c>
    </row>
    <row r="2211" spans="1:11" x14ac:dyDescent="0.45">
      <c r="A2211" t="s">
        <v>209</v>
      </c>
      <c r="B2211" t="s">
        <v>633</v>
      </c>
      <c r="C2211" t="s">
        <v>6</v>
      </c>
      <c r="D2211">
        <v>5</v>
      </c>
      <c r="E2211" t="s">
        <v>328</v>
      </c>
      <c r="F2211" t="s">
        <v>623</v>
      </c>
      <c r="G2211">
        <v>20</v>
      </c>
      <c r="H2211">
        <v>7</v>
      </c>
      <c r="I2211">
        <v>3</v>
      </c>
      <c r="J2211">
        <v>1</v>
      </c>
      <c r="K2211" s="9">
        <v>4.927835051546392</v>
      </c>
    </row>
    <row r="2212" spans="1:11" x14ac:dyDescent="0.45">
      <c r="A2212" t="s">
        <v>209</v>
      </c>
      <c r="B2212" t="s">
        <v>633</v>
      </c>
      <c r="C2212" t="s">
        <v>10</v>
      </c>
      <c r="D2212">
        <v>1</v>
      </c>
      <c r="E2212" t="s">
        <v>329</v>
      </c>
      <c r="F2212" t="s">
        <v>622</v>
      </c>
      <c r="G2212">
        <v>5</v>
      </c>
      <c r="H2212">
        <v>7</v>
      </c>
      <c r="I2212">
        <v>1</v>
      </c>
      <c r="J2212">
        <v>0</v>
      </c>
      <c r="K2212" s="9">
        <v>4.927835051546392</v>
      </c>
    </row>
    <row r="2213" spans="1:11" x14ac:dyDescent="0.45">
      <c r="A2213" t="s">
        <v>209</v>
      </c>
      <c r="B2213" t="s">
        <v>633</v>
      </c>
      <c r="C2213" t="s">
        <v>10</v>
      </c>
      <c r="D2213">
        <v>2</v>
      </c>
      <c r="E2213" t="s">
        <v>442</v>
      </c>
      <c r="F2213" t="s">
        <v>622</v>
      </c>
      <c r="G2213">
        <v>86</v>
      </c>
      <c r="H2213">
        <v>58</v>
      </c>
      <c r="I2213">
        <v>7</v>
      </c>
      <c r="J2213">
        <v>5</v>
      </c>
      <c r="K2213" s="9">
        <v>3.2</v>
      </c>
    </row>
    <row r="2214" spans="1:11" x14ac:dyDescent="0.45">
      <c r="A2214" t="s">
        <v>209</v>
      </c>
      <c r="B2214" t="s">
        <v>633</v>
      </c>
      <c r="C2214" t="s">
        <v>10</v>
      </c>
      <c r="D2214">
        <v>3</v>
      </c>
      <c r="E2214" t="s">
        <v>580</v>
      </c>
      <c r="F2214" t="s">
        <v>622</v>
      </c>
      <c r="G2214">
        <v>3</v>
      </c>
      <c r="H2214">
        <v>6</v>
      </c>
      <c r="I2214">
        <v>0</v>
      </c>
      <c r="J2214">
        <v>0</v>
      </c>
      <c r="K2214" s="9">
        <v>5.4565217391304346</v>
      </c>
    </row>
    <row r="2215" spans="1:11" x14ac:dyDescent="0.45">
      <c r="A2215" t="s">
        <v>209</v>
      </c>
      <c r="B2215" t="s">
        <v>633</v>
      </c>
      <c r="C2215" t="s">
        <v>10</v>
      </c>
      <c r="D2215">
        <v>4</v>
      </c>
      <c r="E2215" t="s">
        <v>581</v>
      </c>
      <c r="F2215" t="s">
        <v>622</v>
      </c>
      <c r="G2215">
        <v>0</v>
      </c>
      <c r="H2215">
        <v>1</v>
      </c>
      <c r="I2215">
        <v>0</v>
      </c>
      <c r="J2215">
        <v>0</v>
      </c>
      <c r="K2215" s="9">
        <v>6.5693779904306222</v>
      </c>
    </row>
    <row r="2216" spans="1:11" x14ac:dyDescent="0.45">
      <c r="A2216" t="s">
        <v>209</v>
      </c>
      <c r="B2216" t="s">
        <v>633</v>
      </c>
      <c r="C2216" t="s">
        <v>10</v>
      </c>
      <c r="D2216">
        <v>5</v>
      </c>
      <c r="E2216" t="s">
        <v>582</v>
      </c>
      <c r="F2216" t="s">
        <v>622</v>
      </c>
      <c r="G2216">
        <v>13</v>
      </c>
      <c r="H2216">
        <v>15</v>
      </c>
      <c r="I2216">
        <v>1</v>
      </c>
      <c r="J2216">
        <v>0</v>
      </c>
      <c r="K2216" s="9">
        <v>4.7777777777777777</v>
      </c>
    </row>
    <row r="2217" spans="1:11" x14ac:dyDescent="0.45">
      <c r="A2217" t="s">
        <v>209</v>
      </c>
      <c r="B2217" t="s">
        <v>633</v>
      </c>
      <c r="C2217" t="s">
        <v>10</v>
      </c>
      <c r="D2217">
        <v>6</v>
      </c>
      <c r="E2217" t="s">
        <v>337</v>
      </c>
      <c r="F2217" t="s">
        <v>622</v>
      </c>
      <c r="G2217">
        <v>15</v>
      </c>
      <c r="H2217">
        <v>8</v>
      </c>
      <c r="I2217">
        <v>1</v>
      </c>
      <c r="J2217">
        <v>1</v>
      </c>
      <c r="K2217" s="9">
        <v>4.9029126213592233</v>
      </c>
    </row>
    <row r="2218" spans="1:11" x14ac:dyDescent="0.45">
      <c r="A2218" t="s">
        <v>209</v>
      </c>
      <c r="B2218" t="s">
        <v>633</v>
      </c>
      <c r="C2218" t="s">
        <v>10</v>
      </c>
      <c r="D2218">
        <v>7</v>
      </c>
      <c r="E2218" t="s">
        <v>545</v>
      </c>
      <c r="F2218" t="s">
        <v>622</v>
      </c>
      <c r="G2218">
        <v>7</v>
      </c>
      <c r="H2218">
        <v>9</v>
      </c>
      <c r="I2218">
        <v>1</v>
      </c>
      <c r="J2218">
        <v>0</v>
      </c>
      <c r="K2218" s="9">
        <v>4.924050632911392</v>
      </c>
    </row>
    <row r="2219" spans="1:11" x14ac:dyDescent="0.45">
      <c r="A2219" t="s">
        <v>209</v>
      </c>
      <c r="B2219" t="s">
        <v>633</v>
      </c>
      <c r="C2219" t="s">
        <v>10</v>
      </c>
      <c r="D2219">
        <v>8</v>
      </c>
      <c r="E2219" t="s">
        <v>436</v>
      </c>
      <c r="F2219" t="s">
        <v>622</v>
      </c>
      <c r="G2219">
        <v>6</v>
      </c>
      <c r="H2219">
        <v>12</v>
      </c>
      <c r="I2219">
        <v>0</v>
      </c>
      <c r="J2219">
        <v>0</v>
      </c>
      <c r="K2219" s="9">
        <v>4.8024691358024691</v>
      </c>
    </row>
    <row r="2220" spans="1:11" x14ac:dyDescent="0.45">
      <c r="A2220" t="s">
        <v>209</v>
      </c>
      <c r="B2220" t="s">
        <v>633</v>
      </c>
      <c r="C2220" t="s">
        <v>10</v>
      </c>
      <c r="D2220">
        <v>9</v>
      </c>
      <c r="E2220" t="s">
        <v>338</v>
      </c>
      <c r="F2220" t="s">
        <v>623</v>
      </c>
      <c r="G2220">
        <v>0</v>
      </c>
      <c r="H2220">
        <v>1</v>
      </c>
      <c r="I2220">
        <v>0</v>
      </c>
      <c r="J2220">
        <v>0</v>
      </c>
      <c r="K2220" s="9">
        <v>6.5693779904306222</v>
      </c>
    </row>
    <row r="2221" spans="1:11" x14ac:dyDescent="0.45">
      <c r="A2221" t="s">
        <v>209</v>
      </c>
      <c r="B2221" t="s">
        <v>633</v>
      </c>
      <c r="C2221" t="s">
        <v>10</v>
      </c>
      <c r="D2221">
        <v>10</v>
      </c>
      <c r="E2221" t="s">
        <v>500</v>
      </c>
      <c r="F2221" t="s">
        <v>622</v>
      </c>
      <c r="G2221">
        <v>0</v>
      </c>
      <c r="H2221">
        <v>1</v>
      </c>
      <c r="I2221">
        <v>0</v>
      </c>
      <c r="J2221">
        <v>0</v>
      </c>
      <c r="K2221" s="9">
        <v>6.5693779904306222</v>
      </c>
    </row>
    <row r="2222" spans="1:11" x14ac:dyDescent="0.45">
      <c r="A2222" t="s">
        <v>209</v>
      </c>
      <c r="B2222" t="s">
        <v>633</v>
      </c>
      <c r="C2222" t="s">
        <v>10</v>
      </c>
      <c r="D2222">
        <v>11</v>
      </c>
      <c r="E2222" t="s">
        <v>394</v>
      </c>
      <c r="F2222" t="s">
        <v>623</v>
      </c>
      <c r="G2222">
        <v>0</v>
      </c>
      <c r="H2222">
        <v>2</v>
      </c>
      <c r="I2222">
        <v>0</v>
      </c>
      <c r="J2222">
        <v>0</v>
      </c>
      <c r="K2222" s="9">
        <v>6.1385542168674698</v>
      </c>
    </row>
    <row r="2223" spans="1:11" x14ac:dyDescent="0.45">
      <c r="A2223" t="s">
        <v>210</v>
      </c>
      <c r="B2223" t="s">
        <v>661</v>
      </c>
      <c r="C2223" t="s">
        <v>26</v>
      </c>
      <c r="D2223">
        <v>1</v>
      </c>
      <c r="E2223" t="s">
        <v>454</v>
      </c>
      <c r="F2223" t="s">
        <v>622</v>
      </c>
      <c r="G2223">
        <v>2</v>
      </c>
      <c r="H2223">
        <v>2</v>
      </c>
      <c r="I2223">
        <v>0</v>
      </c>
      <c r="J2223">
        <v>0</v>
      </c>
      <c r="K2223" s="9">
        <v>6.1385542168674698</v>
      </c>
    </row>
    <row r="2224" spans="1:11" x14ac:dyDescent="0.45">
      <c r="A2224" t="s">
        <v>210</v>
      </c>
      <c r="B2224" t="s">
        <v>661</v>
      </c>
      <c r="C2224" t="s">
        <v>26</v>
      </c>
      <c r="D2224">
        <v>2</v>
      </c>
      <c r="E2224" t="s">
        <v>330</v>
      </c>
      <c r="F2224" t="s">
        <v>622</v>
      </c>
      <c r="G2224">
        <v>17</v>
      </c>
      <c r="H2224">
        <v>12</v>
      </c>
      <c r="I2224">
        <v>2</v>
      </c>
      <c r="J2224">
        <v>1</v>
      </c>
      <c r="K2224" s="9">
        <v>4.8024691358024691</v>
      </c>
    </row>
    <row r="2225" spans="1:11" x14ac:dyDescent="0.45">
      <c r="A2225" t="s">
        <v>210</v>
      </c>
      <c r="B2225" t="s">
        <v>661</v>
      </c>
      <c r="C2225" t="s">
        <v>26</v>
      </c>
      <c r="D2225">
        <v>3</v>
      </c>
      <c r="E2225" t="s">
        <v>583</v>
      </c>
      <c r="F2225" t="s">
        <v>622</v>
      </c>
      <c r="G2225">
        <v>19</v>
      </c>
      <c r="H2225">
        <v>12</v>
      </c>
      <c r="I2225">
        <v>3</v>
      </c>
      <c r="J2225">
        <v>1</v>
      </c>
      <c r="K2225" s="9">
        <v>4.8024691358024691</v>
      </c>
    </row>
    <row r="2226" spans="1:11" x14ac:dyDescent="0.45">
      <c r="A2226" t="s">
        <v>210</v>
      </c>
      <c r="B2226" t="s">
        <v>661</v>
      </c>
      <c r="C2226" t="s">
        <v>26</v>
      </c>
      <c r="D2226">
        <v>4</v>
      </c>
      <c r="E2226" t="s">
        <v>384</v>
      </c>
      <c r="F2226" t="s">
        <v>622</v>
      </c>
      <c r="G2226">
        <v>9</v>
      </c>
      <c r="H2226">
        <v>13</v>
      </c>
      <c r="I2226">
        <v>1</v>
      </c>
      <c r="J2226">
        <v>0</v>
      </c>
      <c r="K2226" s="9">
        <v>4.8939393939393936</v>
      </c>
    </row>
    <row r="2227" spans="1:11" x14ac:dyDescent="0.45">
      <c r="A2227" t="s">
        <v>210</v>
      </c>
      <c r="B2227" t="s">
        <v>661</v>
      </c>
      <c r="C2227" t="s">
        <v>26</v>
      </c>
      <c r="D2227">
        <v>5</v>
      </c>
      <c r="E2227" t="s">
        <v>420</v>
      </c>
      <c r="F2227" t="s">
        <v>623</v>
      </c>
      <c r="G2227">
        <v>49</v>
      </c>
      <c r="H2227">
        <v>31</v>
      </c>
      <c r="I2227">
        <v>4</v>
      </c>
      <c r="J2227">
        <v>2</v>
      </c>
      <c r="K2227" s="9">
        <v>3.4375</v>
      </c>
    </row>
    <row r="2228" spans="1:11" x14ac:dyDescent="0.45">
      <c r="A2228" t="s">
        <v>210</v>
      </c>
      <c r="B2228" t="s">
        <v>661</v>
      </c>
      <c r="C2228" t="s">
        <v>26</v>
      </c>
      <c r="D2228">
        <v>6</v>
      </c>
      <c r="E2228" t="s">
        <v>495</v>
      </c>
      <c r="F2228" t="s">
        <v>622</v>
      </c>
      <c r="G2228">
        <v>44</v>
      </c>
      <c r="H2228">
        <v>28</v>
      </c>
      <c r="I2228">
        <v>3</v>
      </c>
      <c r="J2228">
        <v>3</v>
      </c>
      <c r="K2228" s="9">
        <v>3.806451612903226</v>
      </c>
    </row>
    <row r="2229" spans="1:11" x14ac:dyDescent="0.45">
      <c r="A2229" t="s">
        <v>210</v>
      </c>
      <c r="B2229" t="s">
        <v>661</v>
      </c>
      <c r="C2229" t="s">
        <v>26</v>
      </c>
      <c r="D2229">
        <v>7</v>
      </c>
      <c r="E2229" t="s">
        <v>400</v>
      </c>
      <c r="F2229" t="s">
        <v>623</v>
      </c>
      <c r="G2229">
        <v>41</v>
      </c>
      <c r="H2229">
        <v>23</v>
      </c>
      <c r="I2229">
        <v>4</v>
      </c>
      <c r="J2229">
        <v>2</v>
      </c>
      <c r="K2229" s="9">
        <v>5.1142857142857139</v>
      </c>
    </row>
    <row r="2230" spans="1:11" x14ac:dyDescent="0.45">
      <c r="A2230" t="s">
        <v>210</v>
      </c>
      <c r="B2230" t="s">
        <v>661</v>
      </c>
      <c r="C2230" t="s">
        <v>23</v>
      </c>
      <c r="D2230">
        <v>1</v>
      </c>
      <c r="E2230" t="s">
        <v>383</v>
      </c>
      <c r="F2230" t="s">
        <v>622</v>
      </c>
      <c r="G2230">
        <v>50</v>
      </c>
      <c r="H2230">
        <v>36</v>
      </c>
      <c r="I2230">
        <v>8</v>
      </c>
      <c r="J2230">
        <v>0</v>
      </c>
      <c r="K2230" s="9">
        <v>4.083333333333333</v>
      </c>
    </row>
    <row r="2231" spans="1:11" x14ac:dyDescent="0.45">
      <c r="A2231" t="s">
        <v>210</v>
      </c>
      <c r="B2231" t="s">
        <v>661</v>
      </c>
      <c r="C2231" t="s">
        <v>23</v>
      </c>
      <c r="D2231">
        <v>2</v>
      </c>
      <c r="E2231" t="s">
        <v>458</v>
      </c>
      <c r="F2231" t="s">
        <v>622</v>
      </c>
      <c r="G2231">
        <v>0</v>
      </c>
      <c r="H2231">
        <v>4</v>
      </c>
      <c r="I2231">
        <v>0</v>
      </c>
      <c r="J2231">
        <v>0</v>
      </c>
      <c r="K2231" s="9">
        <v>5.352380952380952</v>
      </c>
    </row>
    <row r="2232" spans="1:11" x14ac:dyDescent="0.45">
      <c r="A2232" t="s">
        <v>210</v>
      </c>
      <c r="B2232" t="s">
        <v>661</v>
      </c>
      <c r="C2232" t="s">
        <v>23</v>
      </c>
      <c r="D2232">
        <v>3</v>
      </c>
      <c r="E2232" t="s">
        <v>342</v>
      </c>
      <c r="F2232" t="s">
        <v>622</v>
      </c>
      <c r="G2232">
        <v>51</v>
      </c>
      <c r="H2232">
        <v>30</v>
      </c>
      <c r="I2232">
        <v>5</v>
      </c>
      <c r="J2232">
        <v>3</v>
      </c>
      <c r="K2232" s="9">
        <v>3.6774193548387095</v>
      </c>
    </row>
    <row r="2233" spans="1:11" x14ac:dyDescent="0.45">
      <c r="A2233" t="s">
        <v>210</v>
      </c>
      <c r="B2233" t="s">
        <v>661</v>
      </c>
      <c r="C2233" t="s">
        <v>23</v>
      </c>
      <c r="D2233">
        <v>4</v>
      </c>
      <c r="E2233" t="s">
        <v>386</v>
      </c>
      <c r="F2233" t="s">
        <v>622</v>
      </c>
      <c r="G2233">
        <v>2</v>
      </c>
      <c r="H2233">
        <v>3</v>
      </c>
      <c r="I2233">
        <v>0</v>
      </c>
      <c r="J2233">
        <v>0</v>
      </c>
      <c r="K2233" s="9">
        <v>5.6607142857142856</v>
      </c>
    </row>
    <row r="2234" spans="1:11" x14ac:dyDescent="0.45">
      <c r="A2234" t="s">
        <v>210</v>
      </c>
      <c r="B2234" t="s">
        <v>661</v>
      </c>
      <c r="C2234" t="s">
        <v>23</v>
      </c>
      <c r="D2234">
        <v>5</v>
      </c>
      <c r="E2234" t="s">
        <v>336</v>
      </c>
      <c r="F2234" t="s">
        <v>622</v>
      </c>
      <c r="G2234">
        <v>46</v>
      </c>
      <c r="H2234">
        <v>28</v>
      </c>
      <c r="I2234">
        <v>4</v>
      </c>
      <c r="J2234">
        <v>3</v>
      </c>
      <c r="K2234" s="9">
        <v>3.806451612903226</v>
      </c>
    </row>
    <row r="2235" spans="1:11" x14ac:dyDescent="0.45">
      <c r="A2235" t="s">
        <v>210</v>
      </c>
      <c r="B2235" t="s">
        <v>661</v>
      </c>
      <c r="C2235" t="s">
        <v>23</v>
      </c>
      <c r="D2235">
        <v>6</v>
      </c>
      <c r="E2235" t="s">
        <v>431</v>
      </c>
      <c r="F2235" t="s">
        <v>622</v>
      </c>
      <c r="G2235">
        <v>20</v>
      </c>
      <c r="H2235">
        <v>12</v>
      </c>
      <c r="I2235">
        <v>1</v>
      </c>
      <c r="J2235">
        <v>2</v>
      </c>
      <c r="K2235" s="9">
        <v>4.8024691358024691</v>
      </c>
    </row>
    <row r="2236" spans="1:11" x14ac:dyDescent="0.45">
      <c r="A2236" t="s">
        <v>210</v>
      </c>
      <c r="B2236" t="s">
        <v>661</v>
      </c>
      <c r="C2236" t="s">
        <v>23</v>
      </c>
      <c r="D2236">
        <v>7</v>
      </c>
      <c r="E2236" t="s">
        <v>584</v>
      </c>
      <c r="F2236" t="s">
        <v>623</v>
      </c>
      <c r="G2236">
        <v>10</v>
      </c>
      <c r="H2236">
        <v>4</v>
      </c>
      <c r="I2236">
        <v>0</v>
      </c>
      <c r="J2236">
        <v>1</v>
      </c>
      <c r="K2236" s="9">
        <v>5.352380952380952</v>
      </c>
    </row>
    <row r="2237" spans="1:11" x14ac:dyDescent="0.45">
      <c r="A2237" t="s">
        <v>210</v>
      </c>
      <c r="B2237" t="s">
        <v>661</v>
      </c>
      <c r="C2237" t="s">
        <v>23</v>
      </c>
      <c r="D2237">
        <v>8</v>
      </c>
      <c r="E2237" t="s">
        <v>370</v>
      </c>
      <c r="F2237" t="s">
        <v>623</v>
      </c>
      <c r="G2237">
        <v>1</v>
      </c>
      <c r="H2237">
        <v>2</v>
      </c>
      <c r="I2237">
        <v>0</v>
      </c>
      <c r="J2237">
        <v>0</v>
      </c>
      <c r="K2237" s="9">
        <v>6.1385542168674698</v>
      </c>
    </row>
    <row r="2238" spans="1:11" x14ac:dyDescent="0.45">
      <c r="A2238" t="s">
        <v>211</v>
      </c>
      <c r="B2238" t="s">
        <v>631</v>
      </c>
      <c r="C2238" t="s">
        <v>20</v>
      </c>
      <c r="D2238">
        <v>1</v>
      </c>
      <c r="E2238" t="s">
        <v>373</v>
      </c>
      <c r="F2238" t="s">
        <v>622</v>
      </c>
      <c r="G2238">
        <v>11</v>
      </c>
      <c r="H2238">
        <v>14</v>
      </c>
      <c r="I2238">
        <v>2</v>
      </c>
      <c r="J2238">
        <v>0</v>
      </c>
      <c r="K2238" s="9">
        <v>4.8461538461538458</v>
      </c>
    </row>
    <row r="2239" spans="1:11" x14ac:dyDescent="0.45">
      <c r="A2239" t="s">
        <v>211</v>
      </c>
      <c r="B2239" t="s">
        <v>631</v>
      </c>
      <c r="C2239" t="s">
        <v>20</v>
      </c>
      <c r="D2239">
        <v>2</v>
      </c>
      <c r="E2239" t="s">
        <v>315</v>
      </c>
      <c r="F2239" t="s">
        <v>622</v>
      </c>
      <c r="G2239">
        <v>15</v>
      </c>
      <c r="H2239">
        <v>12</v>
      </c>
      <c r="I2239">
        <v>2</v>
      </c>
      <c r="J2239">
        <v>1</v>
      </c>
      <c r="K2239" s="9">
        <v>4.8024691358024691</v>
      </c>
    </row>
    <row r="2240" spans="1:11" x14ac:dyDescent="0.45">
      <c r="A2240" t="s">
        <v>211</v>
      </c>
      <c r="B2240" t="s">
        <v>631</v>
      </c>
      <c r="C2240" t="s">
        <v>20</v>
      </c>
      <c r="D2240">
        <v>3</v>
      </c>
      <c r="E2240" t="s">
        <v>401</v>
      </c>
      <c r="F2240" t="s">
        <v>622</v>
      </c>
      <c r="G2240">
        <v>18</v>
      </c>
      <c r="H2240">
        <v>20</v>
      </c>
      <c r="I2240">
        <v>0</v>
      </c>
      <c r="J2240">
        <v>0</v>
      </c>
      <c r="K2240" s="9">
        <v>4.9473684210526319</v>
      </c>
    </row>
    <row r="2241" spans="1:11" x14ac:dyDescent="0.45">
      <c r="A2241" t="s">
        <v>211</v>
      </c>
      <c r="B2241" t="s">
        <v>631</v>
      </c>
      <c r="C2241" t="s">
        <v>20</v>
      </c>
      <c r="D2241">
        <v>4</v>
      </c>
      <c r="E2241" t="s">
        <v>573</v>
      </c>
      <c r="F2241" t="s">
        <v>622</v>
      </c>
      <c r="G2241">
        <v>104</v>
      </c>
      <c r="H2241">
        <v>51</v>
      </c>
      <c r="I2241">
        <v>8</v>
      </c>
      <c r="J2241">
        <v>6</v>
      </c>
      <c r="K2241" s="9">
        <v>3.2352941176470589</v>
      </c>
    </row>
    <row r="2242" spans="1:11" x14ac:dyDescent="0.45">
      <c r="A2242" t="s">
        <v>211</v>
      </c>
      <c r="B2242" t="s">
        <v>631</v>
      </c>
      <c r="C2242" t="s">
        <v>20</v>
      </c>
      <c r="D2242">
        <v>5</v>
      </c>
      <c r="E2242" t="s">
        <v>574</v>
      </c>
      <c r="F2242" t="s">
        <v>623</v>
      </c>
      <c r="G2242">
        <v>27</v>
      </c>
      <c r="H2242">
        <v>19</v>
      </c>
      <c r="I2242">
        <v>2</v>
      </c>
      <c r="J2242">
        <v>1</v>
      </c>
      <c r="K2242" s="9">
        <v>4.5660377358490569</v>
      </c>
    </row>
    <row r="2243" spans="1:11" x14ac:dyDescent="0.45">
      <c r="A2243" t="s">
        <v>211</v>
      </c>
      <c r="B2243" t="s">
        <v>631</v>
      </c>
      <c r="C2243" t="s">
        <v>20</v>
      </c>
      <c r="D2243">
        <v>6</v>
      </c>
      <c r="E2243" t="s">
        <v>389</v>
      </c>
      <c r="F2243" t="s">
        <v>622</v>
      </c>
      <c r="G2243">
        <v>5</v>
      </c>
      <c r="H2243">
        <v>4</v>
      </c>
      <c r="I2243">
        <v>1</v>
      </c>
      <c r="J2243">
        <v>0</v>
      </c>
      <c r="K2243" s="9">
        <v>5.352380952380952</v>
      </c>
    </row>
    <row r="2244" spans="1:11" x14ac:dyDescent="0.45">
      <c r="A2244" t="s">
        <v>211</v>
      </c>
      <c r="B2244" t="s">
        <v>631</v>
      </c>
      <c r="C2244" t="s">
        <v>13</v>
      </c>
      <c r="D2244">
        <v>1</v>
      </c>
      <c r="E2244" t="s">
        <v>343</v>
      </c>
      <c r="F2244" t="s">
        <v>622</v>
      </c>
      <c r="G2244">
        <v>100</v>
      </c>
      <c r="H2244">
        <v>63</v>
      </c>
      <c r="I2244">
        <v>12</v>
      </c>
      <c r="J2244">
        <v>4</v>
      </c>
      <c r="K2244" s="9">
        <v>2.75</v>
      </c>
    </row>
    <row r="2245" spans="1:11" x14ac:dyDescent="0.45">
      <c r="A2245" t="s">
        <v>211</v>
      </c>
      <c r="B2245" t="s">
        <v>631</v>
      </c>
      <c r="C2245" t="s">
        <v>13</v>
      </c>
      <c r="D2245">
        <v>2</v>
      </c>
      <c r="E2245" t="s">
        <v>294</v>
      </c>
      <c r="F2245" t="s">
        <v>622</v>
      </c>
      <c r="G2245">
        <v>71</v>
      </c>
      <c r="H2245">
        <v>47</v>
      </c>
      <c r="I2245">
        <v>7</v>
      </c>
      <c r="J2245">
        <v>2</v>
      </c>
      <c r="K2245" s="9">
        <v>3</v>
      </c>
    </row>
    <row r="2246" spans="1:11" x14ac:dyDescent="0.45">
      <c r="A2246" t="s">
        <v>211</v>
      </c>
      <c r="B2246" t="s">
        <v>631</v>
      </c>
      <c r="C2246" t="s">
        <v>13</v>
      </c>
      <c r="D2246">
        <v>3</v>
      </c>
      <c r="E2246" t="s">
        <v>345</v>
      </c>
      <c r="F2246" t="s">
        <v>623</v>
      </c>
      <c r="G2246">
        <v>5</v>
      </c>
      <c r="H2246">
        <v>3</v>
      </c>
      <c r="I2246">
        <v>1</v>
      </c>
      <c r="J2246">
        <v>0</v>
      </c>
      <c r="K2246" s="9">
        <v>5.6607142857142856</v>
      </c>
    </row>
    <row r="2247" spans="1:11" x14ac:dyDescent="0.45">
      <c r="A2247" t="s">
        <v>211</v>
      </c>
      <c r="B2247" t="s">
        <v>631</v>
      </c>
      <c r="C2247" t="s">
        <v>13</v>
      </c>
      <c r="D2247">
        <v>4</v>
      </c>
      <c r="E2247" t="s">
        <v>568</v>
      </c>
      <c r="F2247" t="s">
        <v>623</v>
      </c>
      <c r="G2247">
        <v>4</v>
      </c>
      <c r="H2247">
        <v>4</v>
      </c>
      <c r="I2247">
        <v>0</v>
      </c>
      <c r="J2247">
        <v>0</v>
      </c>
      <c r="K2247" s="9">
        <v>5.352380952380952</v>
      </c>
    </row>
    <row r="2248" spans="1:11" x14ac:dyDescent="0.45">
      <c r="A2248" t="s">
        <v>212</v>
      </c>
      <c r="B2248" t="s">
        <v>672</v>
      </c>
      <c r="C2248" t="s">
        <v>10</v>
      </c>
      <c r="D2248">
        <v>1</v>
      </c>
      <c r="E2248" t="s">
        <v>442</v>
      </c>
      <c r="F2248" t="s">
        <v>622</v>
      </c>
      <c r="G2248">
        <v>46</v>
      </c>
      <c r="H2248">
        <v>31</v>
      </c>
      <c r="I2248">
        <v>5</v>
      </c>
      <c r="J2248">
        <v>2</v>
      </c>
      <c r="K2248" s="9">
        <v>3.4375</v>
      </c>
    </row>
    <row r="2249" spans="1:11" x14ac:dyDescent="0.45">
      <c r="A2249" t="s">
        <v>212</v>
      </c>
      <c r="B2249" t="s">
        <v>672</v>
      </c>
      <c r="C2249" t="s">
        <v>10</v>
      </c>
      <c r="D2249">
        <v>2</v>
      </c>
      <c r="E2249" t="s">
        <v>329</v>
      </c>
      <c r="F2249" t="s">
        <v>622</v>
      </c>
      <c r="G2249">
        <v>54</v>
      </c>
      <c r="H2249">
        <v>38</v>
      </c>
      <c r="I2249">
        <v>7</v>
      </c>
      <c r="J2249">
        <v>1</v>
      </c>
      <c r="K2249" s="9">
        <v>3.6842105263157894</v>
      </c>
    </row>
    <row r="2250" spans="1:11" x14ac:dyDescent="0.45">
      <c r="A2250" t="s">
        <v>212</v>
      </c>
      <c r="B2250" t="s">
        <v>672</v>
      </c>
      <c r="C2250" t="s">
        <v>10</v>
      </c>
      <c r="D2250">
        <v>3</v>
      </c>
      <c r="E2250" t="s">
        <v>581</v>
      </c>
      <c r="F2250" t="s">
        <v>623</v>
      </c>
      <c r="G2250">
        <v>82</v>
      </c>
      <c r="H2250">
        <v>37</v>
      </c>
      <c r="I2250">
        <v>6</v>
      </c>
      <c r="J2250">
        <v>6</v>
      </c>
      <c r="K2250" s="9">
        <v>3.5555555555555554</v>
      </c>
    </row>
    <row r="2251" spans="1:11" x14ac:dyDescent="0.45">
      <c r="A2251" t="s">
        <v>212</v>
      </c>
      <c r="B2251" t="s">
        <v>672</v>
      </c>
      <c r="C2251" t="s">
        <v>10</v>
      </c>
      <c r="D2251">
        <v>4</v>
      </c>
      <c r="E2251" t="s">
        <v>580</v>
      </c>
      <c r="F2251" t="s">
        <v>623</v>
      </c>
      <c r="G2251">
        <v>26</v>
      </c>
      <c r="H2251">
        <v>14</v>
      </c>
      <c r="I2251">
        <v>2</v>
      </c>
      <c r="J2251">
        <v>2</v>
      </c>
      <c r="K2251" s="9">
        <v>4.8461538461538458</v>
      </c>
    </row>
    <row r="2252" spans="1:11" x14ac:dyDescent="0.45">
      <c r="A2252" t="s">
        <v>212</v>
      </c>
      <c r="B2252" t="s">
        <v>672</v>
      </c>
      <c r="C2252" t="s">
        <v>26</v>
      </c>
      <c r="D2252">
        <v>1</v>
      </c>
      <c r="E2252" t="s">
        <v>454</v>
      </c>
      <c r="F2252" t="s">
        <v>622</v>
      </c>
      <c r="G2252">
        <v>22</v>
      </c>
      <c r="H2252">
        <v>19</v>
      </c>
      <c r="I2252">
        <v>4</v>
      </c>
      <c r="J2252">
        <v>0</v>
      </c>
      <c r="K2252" s="9">
        <v>4.5660377358490569</v>
      </c>
    </row>
    <row r="2253" spans="1:11" x14ac:dyDescent="0.45">
      <c r="A2253" t="s">
        <v>212</v>
      </c>
      <c r="B2253" t="s">
        <v>672</v>
      </c>
      <c r="C2253" t="s">
        <v>26</v>
      </c>
      <c r="D2253">
        <v>2</v>
      </c>
      <c r="E2253" t="s">
        <v>330</v>
      </c>
      <c r="F2253" t="s">
        <v>622</v>
      </c>
      <c r="G2253">
        <v>0</v>
      </c>
      <c r="H2253">
        <v>1</v>
      </c>
      <c r="I2253">
        <v>0</v>
      </c>
      <c r="J2253">
        <v>0</v>
      </c>
      <c r="K2253" s="9">
        <v>6.5693779904306222</v>
      </c>
    </row>
    <row r="2254" spans="1:11" x14ac:dyDescent="0.45">
      <c r="A2254" t="s">
        <v>212</v>
      </c>
      <c r="B2254" t="s">
        <v>672</v>
      </c>
      <c r="C2254" t="s">
        <v>26</v>
      </c>
      <c r="D2254">
        <v>3</v>
      </c>
      <c r="E2254" t="s">
        <v>583</v>
      </c>
      <c r="F2254" t="s">
        <v>622</v>
      </c>
      <c r="G2254">
        <v>55</v>
      </c>
      <c r="H2254">
        <v>42</v>
      </c>
      <c r="I2254">
        <v>5</v>
      </c>
      <c r="J2254">
        <v>2</v>
      </c>
      <c r="K2254" s="9">
        <v>3.3913043478260869</v>
      </c>
    </row>
    <row r="2255" spans="1:11" x14ac:dyDescent="0.45">
      <c r="A2255" t="s">
        <v>212</v>
      </c>
      <c r="B2255" t="s">
        <v>672</v>
      </c>
      <c r="C2255" t="s">
        <v>26</v>
      </c>
      <c r="D2255">
        <v>4</v>
      </c>
      <c r="E2255" t="s">
        <v>384</v>
      </c>
      <c r="F2255" t="s">
        <v>622</v>
      </c>
      <c r="G2255">
        <v>94</v>
      </c>
      <c r="H2255">
        <v>48</v>
      </c>
      <c r="I2255">
        <v>5</v>
      </c>
      <c r="J2255">
        <v>9</v>
      </c>
      <c r="K2255" s="9">
        <v>3.2105263157894739</v>
      </c>
    </row>
    <row r="2256" spans="1:11" x14ac:dyDescent="0.45">
      <c r="A2256" t="s">
        <v>212</v>
      </c>
      <c r="B2256" t="s">
        <v>672</v>
      </c>
      <c r="C2256" t="s">
        <v>26</v>
      </c>
      <c r="D2256">
        <v>5</v>
      </c>
      <c r="E2256" t="s">
        <v>495</v>
      </c>
      <c r="F2256" t="s">
        <v>622</v>
      </c>
      <c r="G2256">
        <v>0</v>
      </c>
      <c r="H2256">
        <v>3</v>
      </c>
      <c r="I2256">
        <v>0</v>
      </c>
      <c r="J2256">
        <v>0</v>
      </c>
      <c r="K2256" s="9">
        <v>5.6607142857142856</v>
      </c>
    </row>
    <row r="2257" spans="1:11" x14ac:dyDescent="0.45">
      <c r="A2257" t="s">
        <v>212</v>
      </c>
      <c r="B2257" t="s">
        <v>672</v>
      </c>
      <c r="C2257" t="s">
        <v>26</v>
      </c>
      <c r="D2257">
        <v>6</v>
      </c>
      <c r="E2257" t="s">
        <v>400</v>
      </c>
      <c r="F2257" t="s">
        <v>622</v>
      </c>
      <c r="G2257">
        <v>6</v>
      </c>
      <c r="H2257">
        <v>3</v>
      </c>
      <c r="I2257">
        <v>0</v>
      </c>
      <c r="J2257">
        <v>1</v>
      </c>
      <c r="K2257" s="9">
        <v>5.6607142857142856</v>
      </c>
    </row>
    <row r="2258" spans="1:11" x14ac:dyDescent="0.45">
      <c r="A2258" t="s">
        <v>212</v>
      </c>
      <c r="B2258" t="s">
        <v>672</v>
      </c>
      <c r="C2258" t="s">
        <v>26</v>
      </c>
      <c r="D2258">
        <v>7</v>
      </c>
      <c r="E2258" t="s">
        <v>420</v>
      </c>
      <c r="F2258" t="s">
        <v>622</v>
      </c>
      <c r="G2258">
        <v>11</v>
      </c>
      <c r="H2258">
        <v>5</v>
      </c>
      <c r="I2258">
        <v>1</v>
      </c>
      <c r="J2258">
        <v>1</v>
      </c>
      <c r="K2258" s="9">
        <v>5.132075471698113</v>
      </c>
    </row>
    <row r="2259" spans="1:11" x14ac:dyDescent="0.45">
      <c r="A2259" t="s">
        <v>212</v>
      </c>
      <c r="B2259" t="s">
        <v>672</v>
      </c>
      <c r="C2259" t="s">
        <v>26</v>
      </c>
      <c r="D2259">
        <v>8</v>
      </c>
      <c r="E2259" t="s">
        <v>404</v>
      </c>
      <c r="F2259" t="s">
        <v>622</v>
      </c>
      <c r="G2259">
        <v>0</v>
      </c>
      <c r="H2259">
        <v>1</v>
      </c>
      <c r="I2259">
        <v>0</v>
      </c>
      <c r="J2259">
        <v>0</v>
      </c>
      <c r="K2259" s="9">
        <v>6.5693779904306222</v>
      </c>
    </row>
    <row r="2260" spans="1:11" x14ac:dyDescent="0.45">
      <c r="A2260" t="s">
        <v>212</v>
      </c>
      <c r="B2260" t="s">
        <v>672</v>
      </c>
      <c r="C2260" t="s">
        <v>26</v>
      </c>
      <c r="D2260">
        <v>9</v>
      </c>
      <c r="E2260" t="s">
        <v>435</v>
      </c>
      <c r="F2260" t="s">
        <v>623</v>
      </c>
      <c r="G2260">
        <v>0</v>
      </c>
      <c r="H2260">
        <v>0</v>
      </c>
      <c r="I2260">
        <v>0</v>
      </c>
      <c r="J2260">
        <v>0</v>
      </c>
      <c r="K2260" s="9">
        <v>6.2519685039370083</v>
      </c>
    </row>
    <row r="2261" spans="1:11" x14ac:dyDescent="0.45">
      <c r="A2261" t="s">
        <v>213</v>
      </c>
      <c r="B2261" t="s">
        <v>687</v>
      </c>
      <c r="C2261" t="s">
        <v>104</v>
      </c>
      <c r="D2261">
        <v>1</v>
      </c>
      <c r="E2261" t="s">
        <v>426</v>
      </c>
      <c r="F2261" t="s">
        <v>622</v>
      </c>
      <c r="G2261">
        <v>5</v>
      </c>
      <c r="H2261">
        <v>7</v>
      </c>
      <c r="I2261">
        <v>0</v>
      </c>
      <c r="J2261">
        <v>0</v>
      </c>
      <c r="K2261" s="9">
        <v>4.927835051546392</v>
      </c>
    </row>
    <row r="2262" spans="1:11" x14ac:dyDescent="0.45">
      <c r="A2262" t="s">
        <v>213</v>
      </c>
      <c r="B2262" t="s">
        <v>687</v>
      </c>
      <c r="C2262" t="s">
        <v>104</v>
      </c>
      <c r="D2262">
        <v>2</v>
      </c>
      <c r="E2262" t="s">
        <v>422</v>
      </c>
      <c r="F2262" t="s">
        <v>622</v>
      </c>
      <c r="G2262">
        <v>16</v>
      </c>
      <c r="H2262">
        <v>15</v>
      </c>
      <c r="I2262">
        <v>0</v>
      </c>
      <c r="J2262">
        <v>2</v>
      </c>
      <c r="K2262" s="9">
        <v>4.7777777777777777</v>
      </c>
    </row>
    <row r="2263" spans="1:11" x14ac:dyDescent="0.45">
      <c r="A2263" t="s">
        <v>213</v>
      </c>
      <c r="B2263" t="s">
        <v>687</v>
      </c>
      <c r="C2263" t="s">
        <v>104</v>
      </c>
      <c r="D2263">
        <v>3</v>
      </c>
      <c r="E2263" t="s">
        <v>496</v>
      </c>
      <c r="F2263" t="s">
        <v>622</v>
      </c>
      <c r="G2263">
        <v>0</v>
      </c>
      <c r="H2263">
        <v>1</v>
      </c>
      <c r="I2263">
        <v>0</v>
      </c>
      <c r="J2263">
        <v>0</v>
      </c>
      <c r="K2263" s="9">
        <v>6.5693779904306222</v>
      </c>
    </row>
    <row r="2264" spans="1:11" x14ac:dyDescent="0.45">
      <c r="A2264" t="s">
        <v>213</v>
      </c>
      <c r="B2264" t="s">
        <v>687</v>
      </c>
      <c r="C2264" t="s">
        <v>104</v>
      </c>
      <c r="D2264">
        <v>4</v>
      </c>
      <c r="E2264" t="s">
        <v>366</v>
      </c>
      <c r="F2264" t="s">
        <v>622</v>
      </c>
      <c r="G2264">
        <v>49</v>
      </c>
      <c r="H2264">
        <v>42</v>
      </c>
      <c r="I2264">
        <v>1</v>
      </c>
      <c r="J2264">
        <v>1</v>
      </c>
      <c r="K2264" s="9">
        <v>3.3913043478260869</v>
      </c>
    </row>
    <row r="2265" spans="1:11" x14ac:dyDescent="0.45">
      <c r="A2265" t="s">
        <v>213</v>
      </c>
      <c r="B2265" t="s">
        <v>687</v>
      </c>
      <c r="C2265" t="s">
        <v>104</v>
      </c>
      <c r="D2265">
        <v>5</v>
      </c>
      <c r="E2265" t="s">
        <v>331</v>
      </c>
      <c r="F2265" t="s">
        <v>623</v>
      </c>
      <c r="G2265">
        <v>89</v>
      </c>
      <c r="H2265">
        <v>47</v>
      </c>
      <c r="I2265">
        <v>4</v>
      </c>
      <c r="J2265">
        <v>8</v>
      </c>
      <c r="K2265" s="9">
        <v>3</v>
      </c>
    </row>
    <row r="2266" spans="1:11" x14ac:dyDescent="0.45">
      <c r="A2266" t="s">
        <v>213</v>
      </c>
      <c r="B2266" t="s">
        <v>687</v>
      </c>
      <c r="C2266" t="s">
        <v>104</v>
      </c>
      <c r="D2266">
        <v>6</v>
      </c>
      <c r="E2266" t="s">
        <v>416</v>
      </c>
      <c r="F2266" t="s">
        <v>623</v>
      </c>
      <c r="G2266">
        <v>8</v>
      </c>
      <c r="H2266">
        <v>8</v>
      </c>
      <c r="I2266">
        <v>1</v>
      </c>
      <c r="J2266">
        <v>0</v>
      </c>
      <c r="K2266" s="9">
        <v>4.9029126213592233</v>
      </c>
    </row>
    <row r="2267" spans="1:11" x14ac:dyDescent="0.45">
      <c r="A2267" t="s">
        <v>213</v>
      </c>
      <c r="B2267" t="s">
        <v>687</v>
      </c>
      <c r="C2267" t="s">
        <v>19</v>
      </c>
      <c r="D2267">
        <v>1</v>
      </c>
      <c r="E2267" t="s">
        <v>360</v>
      </c>
      <c r="F2267" t="s">
        <v>622</v>
      </c>
      <c r="G2267">
        <v>59</v>
      </c>
      <c r="H2267">
        <v>39</v>
      </c>
      <c r="I2267">
        <v>8</v>
      </c>
      <c r="J2267">
        <v>1</v>
      </c>
      <c r="K2267" s="9">
        <v>2.7083333333333335</v>
      </c>
    </row>
    <row r="2268" spans="1:11" x14ac:dyDescent="0.45">
      <c r="A2268" t="s">
        <v>213</v>
      </c>
      <c r="B2268" t="s">
        <v>687</v>
      </c>
      <c r="C2268" t="s">
        <v>19</v>
      </c>
      <c r="D2268">
        <v>2</v>
      </c>
      <c r="E2268" t="s">
        <v>359</v>
      </c>
      <c r="F2268" t="s">
        <v>622</v>
      </c>
      <c r="G2268">
        <v>37</v>
      </c>
      <c r="H2268">
        <v>25</v>
      </c>
      <c r="I2268">
        <v>1</v>
      </c>
      <c r="J2268">
        <v>3</v>
      </c>
      <c r="K2268" s="9">
        <v>4.4782608695652177</v>
      </c>
    </row>
    <row r="2269" spans="1:11" x14ac:dyDescent="0.45">
      <c r="A2269" t="s">
        <v>213</v>
      </c>
      <c r="B2269" t="s">
        <v>687</v>
      </c>
      <c r="C2269" t="s">
        <v>19</v>
      </c>
      <c r="D2269">
        <v>3</v>
      </c>
      <c r="E2269" t="s">
        <v>363</v>
      </c>
      <c r="F2269" t="s">
        <v>622</v>
      </c>
      <c r="G2269">
        <v>7</v>
      </c>
      <c r="H2269">
        <v>9</v>
      </c>
      <c r="I2269">
        <v>0</v>
      </c>
      <c r="J2269">
        <v>0</v>
      </c>
      <c r="K2269" s="9">
        <v>4.924050632911392</v>
      </c>
    </row>
    <row r="2270" spans="1:11" x14ac:dyDescent="0.45">
      <c r="A2270" t="s">
        <v>213</v>
      </c>
      <c r="B2270" t="s">
        <v>687</v>
      </c>
      <c r="C2270" t="s">
        <v>19</v>
      </c>
      <c r="D2270">
        <v>4</v>
      </c>
      <c r="E2270" t="s">
        <v>559</v>
      </c>
      <c r="F2270" t="s">
        <v>622</v>
      </c>
      <c r="G2270">
        <v>16</v>
      </c>
      <c r="H2270">
        <v>20</v>
      </c>
      <c r="I2270">
        <v>2</v>
      </c>
      <c r="J2270">
        <v>0</v>
      </c>
      <c r="K2270" s="9">
        <v>4.9473684210526319</v>
      </c>
    </row>
    <row r="2271" spans="1:11" x14ac:dyDescent="0.45">
      <c r="A2271" t="s">
        <v>213</v>
      </c>
      <c r="B2271" t="s">
        <v>687</v>
      </c>
      <c r="C2271" t="s">
        <v>19</v>
      </c>
      <c r="D2271">
        <v>5</v>
      </c>
      <c r="E2271" t="s">
        <v>447</v>
      </c>
      <c r="F2271" t="s">
        <v>623</v>
      </c>
      <c r="G2271">
        <v>32</v>
      </c>
      <c r="H2271">
        <v>19</v>
      </c>
      <c r="I2271">
        <v>1</v>
      </c>
      <c r="J2271">
        <v>3</v>
      </c>
      <c r="K2271" s="9">
        <v>4.5660377358490569</v>
      </c>
    </row>
    <row r="2272" spans="1:11" x14ac:dyDescent="0.45">
      <c r="A2272" t="s">
        <v>213</v>
      </c>
      <c r="B2272" t="s">
        <v>687</v>
      </c>
      <c r="C2272" t="s">
        <v>19</v>
      </c>
      <c r="D2272">
        <v>6</v>
      </c>
      <c r="E2272" t="s">
        <v>561</v>
      </c>
      <c r="F2272" t="s">
        <v>622</v>
      </c>
      <c r="G2272">
        <v>2</v>
      </c>
      <c r="H2272">
        <v>4</v>
      </c>
      <c r="I2272">
        <v>0</v>
      </c>
      <c r="J2272">
        <v>0</v>
      </c>
      <c r="K2272" s="9">
        <v>5.352380952380952</v>
      </c>
    </row>
    <row r="2273" spans="1:11" x14ac:dyDescent="0.45">
      <c r="A2273" t="s">
        <v>213</v>
      </c>
      <c r="B2273" t="s">
        <v>687</v>
      </c>
      <c r="C2273" t="s">
        <v>19</v>
      </c>
      <c r="D2273">
        <v>7</v>
      </c>
      <c r="E2273" t="s">
        <v>560</v>
      </c>
      <c r="F2273" t="s">
        <v>623</v>
      </c>
      <c r="G2273">
        <v>4</v>
      </c>
      <c r="H2273">
        <v>6</v>
      </c>
      <c r="I2273">
        <v>0</v>
      </c>
      <c r="J2273">
        <v>0</v>
      </c>
      <c r="K2273" s="9">
        <v>5.4565217391304346</v>
      </c>
    </row>
    <row r="2274" spans="1:11" x14ac:dyDescent="0.45">
      <c r="A2274" t="s">
        <v>214</v>
      </c>
      <c r="B2274" t="s">
        <v>691</v>
      </c>
      <c r="C2274" t="s">
        <v>101</v>
      </c>
      <c r="D2274">
        <v>1</v>
      </c>
      <c r="E2274" t="s">
        <v>380</v>
      </c>
      <c r="F2274" t="s">
        <v>622</v>
      </c>
      <c r="G2274">
        <v>0</v>
      </c>
      <c r="H2274">
        <v>3</v>
      </c>
      <c r="I2274">
        <v>0</v>
      </c>
      <c r="J2274">
        <v>0</v>
      </c>
      <c r="K2274" s="9">
        <v>5.6607142857142856</v>
      </c>
    </row>
    <row r="2275" spans="1:11" x14ac:dyDescent="0.45">
      <c r="A2275" t="s">
        <v>214</v>
      </c>
      <c r="B2275" t="s">
        <v>691</v>
      </c>
      <c r="C2275" t="s">
        <v>101</v>
      </c>
      <c r="D2275">
        <v>2</v>
      </c>
      <c r="E2275" t="s">
        <v>302</v>
      </c>
      <c r="F2275" t="s">
        <v>622</v>
      </c>
      <c r="G2275">
        <v>101</v>
      </c>
      <c r="H2275">
        <v>58</v>
      </c>
      <c r="I2275">
        <v>13</v>
      </c>
      <c r="J2275">
        <v>1</v>
      </c>
      <c r="K2275" s="9">
        <v>3.2</v>
      </c>
    </row>
    <row r="2276" spans="1:11" x14ac:dyDescent="0.45">
      <c r="A2276" t="s">
        <v>214</v>
      </c>
      <c r="B2276" t="s">
        <v>691</v>
      </c>
      <c r="C2276" t="s">
        <v>101</v>
      </c>
      <c r="D2276">
        <v>3</v>
      </c>
      <c r="E2276" t="s">
        <v>534</v>
      </c>
      <c r="F2276" t="s">
        <v>622</v>
      </c>
      <c r="G2276">
        <v>47</v>
      </c>
      <c r="H2276">
        <v>36</v>
      </c>
      <c r="I2276">
        <v>6</v>
      </c>
      <c r="J2276">
        <v>1</v>
      </c>
      <c r="K2276" s="9">
        <v>4.083333333333333</v>
      </c>
    </row>
    <row r="2277" spans="1:11" x14ac:dyDescent="0.45">
      <c r="A2277" t="s">
        <v>214</v>
      </c>
      <c r="B2277" t="s">
        <v>691</v>
      </c>
      <c r="C2277" t="s">
        <v>101</v>
      </c>
      <c r="D2277">
        <v>4</v>
      </c>
      <c r="E2277" t="s">
        <v>361</v>
      </c>
      <c r="F2277" t="s">
        <v>622</v>
      </c>
      <c r="G2277">
        <v>8</v>
      </c>
      <c r="H2277">
        <v>6</v>
      </c>
      <c r="I2277">
        <v>1</v>
      </c>
      <c r="J2277">
        <v>0</v>
      </c>
      <c r="K2277" s="9">
        <v>5.4565217391304346</v>
      </c>
    </row>
    <row r="2278" spans="1:11" x14ac:dyDescent="0.45">
      <c r="A2278" t="s">
        <v>214</v>
      </c>
      <c r="B2278" t="s">
        <v>691</v>
      </c>
      <c r="C2278" t="s">
        <v>101</v>
      </c>
      <c r="D2278">
        <v>5</v>
      </c>
      <c r="E2278" t="s">
        <v>411</v>
      </c>
      <c r="F2278" t="s">
        <v>622</v>
      </c>
      <c r="G2278">
        <v>7</v>
      </c>
      <c r="H2278">
        <v>5</v>
      </c>
      <c r="I2278">
        <v>1</v>
      </c>
      <c r="J2278">
        <v>0</v>
      </c>
      <c r="K2278" s="9">
        <v>5.132075471698113</v>
      </c>
    </row>
    <row r="2279" spans="1:11" x14ac:dyDescent="0.45">
      <c r="A2279" t="s">
        <v>214</v>
      </c>
      <c r="B2279" t="s">
        <v>691</v>
      </c>
      <c r="C2279" t="s">
        <v>101</v>
      </c>
      <c r="D2279">
        <v>6</v>
      </c>
      <c r="E2279" t="s">
        <v>390</v>
      </c>
      <c r="F2279" t="s">
        <v>622</v>
      </c>
      <c r="G2279">
        <v>3</v>
      </c>
      <c r="H2279">
        <v>3</v>
      </c>
      <c r="I2279">
        <v>0</v>
      </c>
      <c r="J2279">
        <v>0</v>
      </c>
      <c r="K2279" s="9">
        <v>5.6607142857142856</v>
      </c>
    </row>
    <row r="2280" spans="1:11" x14ac:dyDescent="0.45">
      <c r="A2280" t="s">
        <v>214</v>
      </c>
      <c r="B2280" t="s">
        <v>691</v>
      </c>
      <c r="C2280" t="s">
        <v>101</v>
      </c>
      <c r="D2280">
        <v>7</v>
      </c>
      <c r="E2280" t="s">
        <v>567</v>
      </c>
      <c r="F2280" t="s">
        <v>623</v>
      </c>
      <c r="G2280">
        <v>9</v>
      </c>
      <c r="H2280">
        <v>7</v>
      </c>
      <c r="I2280">
        <v>1</v>
      </c>
      <c r="J2280">
        <v>0</v>
      </c>
      <c r="K2280" s="9">
        <v>4.927835051546392</v>
      </c>
    </row>
    <row r="2281" spans="1:11" x14ac:dyDescent="0.45">
      <c r="A2281" t="s">
        <v>214</v>
      </c>
      <c r="B2281" t="s">
        <v>691</v>
      </c>
      <c r="C2281" t="s">
        <v>101</v>
      </c>
      <c r="D2281">
        <v>8</v>
      </c>
      <c r="E2281" t="s">
        <v>379</v>
      </c>
      <c r="F2281" t="s">
        <v>622</v>
      </c>
      <c r="G2281">
        <v>0</v>
      </c>
      <c r="H2281">
        <v>1</v>
      </c>
      <c r="I2281">
        <v>0</v>
      </c>
      <c r="J2281">
        <v>0</v>
      </c>
      <c r="K2281" s="9">
        <v>6.5693779904306222</v>
      </c>
    </row>
    <row r="2282" spans="1:11" x14ac:dyDescent="0.45">
      <c r="A2282" t="s">
        <v>214</v>
      </c>
      <c r="B2282" t="s">
        <v>691</v>
      </c>
      <c r="C2282" t="s">
        <v>101</v>
      </c>
      <c r="D2282">
        <v>9</v>
      </c>
      <c r="E2282" t="s">
        <v>556</v>
      </c>
      <c r="F2282" t="s">
        <v>622</v>
      </c>
      <c r="G2282">
        <v>0</v>
      </c>
      <c r="H2282">
        <v>1</v>
      </c>
      <c r="I2282">
        <v>0</v>
      </c>
      <c r="J2282">
        <v>0</v>
      </c>
      <c r="K2282" s="9">
        <v>6.5693779904306222</v>
      </c>
    </row>
    <row r="2283" spans="1:11" x14ac:dyDescent="0.45">
      <c r="A2283" t="s">
        <v>214</v>
      </c>
      <c r="B2283" t="s">
        <v>691</v>
      </c>
      <c r="C2283" t="s">
        <v>101</v>
      </c>
      <c r="D2283">
        <v>10</v>
      </c>
      <c r="E2283" t="s">
        <v>403</v>
      </c>
      <c r="F2283" t="s">
        <v>622</v>
      </c>
      <c r="G2283">
        <v>0</v>
      </c>
      <c r="H2283">
        <v>1</v>
      </c>
      <c r="I2283">
        <v>0</v>
      </c>
      <c r="J2283">
        <v>0</v>
      </c>
      <c r="K2283" s="9">
        <v>6.5693779904306222</v>
      </c>
    </row>
    <row r="2284" spans="1:11" x14ac:dyDescent="0.45">
      <c r="A2284" t="s">
        <v>214</v>
      </c>
      <c r="B2284" t="s">
        <v>691</v>
      </c>
      <c r="C2284" t="s">
        <v>101</v>
      </c>
      <c r="D2284">
        <v>11</v>
      </c>
      <c r="E2284" t="s">
        <v>558</v>
      </c>
      <c r="F2284" t="s">
        <v>623</v>
      </c>
      <c r="G2284">
        <v>0</v>
      </c>
      <c r="H2284">
        <v>1</v>
      </c>
      <c r="I2284">
        <v>0</v>
      </c>
      <c r="J2284">
        <v>0</v>
      </c>
      <c r="K2284" s="9">
        <v>6.5693779904306222</v>
      </c>
    </row>
    <row r="2285" spans="1:11" x14ac:dyDescent="0.45">
      <c r="A2285" t="s">
        <v>214</v>
      </c>
      <c r="B2285" t="s">
        <v>691</v>
      </c>
      <c r="C2285" t="s">
        <v>20</v>
      </c>
      <c r="D2285">
        <v>1</v>
      </c>
      <c r="E2285" t="s">
        <v>453</v>
      </c>
      <c r="F2285" t="s">
        <v>622</v>
      </c>
      <c r="G2285">
        <v>5</v>
      </c>
      <c r="H2285">
        <v>4</v>
      </c>
      <c r="I2285">
        <v>1</v>
      </c>
      <c r="J2285">
        <v>0</v>
      </c>
      <c r="K2285" s="9">
        <v>5.352380952380952</v>
      </c>
    </row>
    <row r="2286" spans="1:11" x14ac:dyDescent="0.45">
      <c r="A2286" t="s">
        <v>214</v>
      </c>
      <c r="B2286" t="s">
        <v>691</v>
      </c>
      <c r="C2286" t="s">
        <v>20</v>
      </c>
      <c r="D2286">
        <v>2</v>
      </c>
      <c r="E2286" t="s">
        <v>373</v>
      </c>
      <c r="F2286" t="s">
        <v>622</v>
      </c>
      <c r="G2286">
        <v>5</v>
      </c>
      <c r="H2286">
        <v>5</v>
      </c>
      <c r="I2286">
        <v>1</v>
      </c>
      <c r="J2286">
        <v>0</v>
      </c>
      <c r="K2286" s="9">
        <v>5.132075471698113</v>
      </c>
    </row>
    <row r="2287" spans="1:11" x14ac:dyDescent="0.45">
      <c r="A2287" t="s">
        <v>214</v>
      </c>
      <c r="B2287" t="s">
        <v>691</v>
      </c>
      <c r="C2287" t="s">
        <v>20</v>
      </c>
      <c r="D2287">
        <v>3</v>
      </c>
      <c r="E2287" t="s">
        <v>401</v>
      </c>
      <c r="F2287" t="s">
        <v>622</v>
      </c>
      <c r="G2287">
        <v>10</v>
      </c>
      <c r="H2287">
        <v>10</v>
      </c>
      <c r="I2287">
        <v>1</v>
      </c>
      <c r="J2287">
        <v>0</v>
      </c>
      <c r="K2287" s="9">
        <v>4.7179487179487181</v>
      </c>
    </row>
    <row r="2288" spans="1:11" x14ac:dyDescent="0.45">
      <c r="A2288" t="s">
        <v>214</v>
      </c>
      <c r="B2288" t="s">
        <v>691</v>
      </c>
      <c r="C2288" t="s">
        <v>20</v>
      </c>
      <c r="D2288">
        <v>4</v>
      </c>
      <c r="E2288" t="s">
        <v>315</v>
      </c>
      <c r="F2288" t="s">
        <v>622</v>
      </c>
      <c r="G2288">
        <v>1</v>
      </c>
      <c r="H2288">
        <v>2</v>
      </c>
      <c r="I2288">
        <v>0</v>
      </c>
      <c r="J2288">
        <v>0</v>
      </c>
      <c r="K2288" s="9">
        <v>6.1385542168674698</v>
      </c>
    </row>
    <row r="2289" spans="1:11" x14ac:dyDescent="0.45">
      <c r="A2289" t="s">
        <v>214</v>
      </c>
      <c r="B2289" t="s">
        <v>691</v>
      </c>
      <c r="C2289" t="s">
        <v>20</v>
      </c>
      <c r="D2289">
        <v>5</v>
      </c>
      <c r="E2289" t="s">
        <v>573</v>
      </c>
      <c r="F2289" t="s">
        <v>622</v>
      </c>
      <c r="G2289">
        <v>64</v>
      </c>
      <c r="H2289">
        <v>44</v>
      </c>
      <c r="I2289">
        <v>4</v>
      </c>
      <c r="J2289">
        <v>3</v>
      </c>
      <c r="K2289" s="9">
        <v>3.35</v>
      </c>
    </row>
    <row r="2290" spans="1:11" x14ac:dyDescent="0.45">
      <c r="A2290" t="s">
        <v>214</v>
      </c>
      <c r="B2290" t="s">
        <v>691</v>
      </c>
      <c r="C2290" t="s">
        <v>20</v>
      </c>
      <c r="D2290">
        <v>6</v>
      </c>
      <c r="E2290" t="s">
        <v>575</v>
      </c>
      <c r="F2290" t="s">
        <v>622</v>
      </c>
      <c r="G2290">
        <v>7</v>
      </c>
      <c r="H2290">
        <v>6</v>
      </c>
      <c r="I2290">
        <v>0</v>
      </c>
      <c r="J2290">
        <v>1</v>
      </c>
      <c r="K2290" s="9">
        <v>5.4565217391304346</v>
      </c>
    </row>
    <row r="2291" spans="1:11" x14ac:dyDescent="0.45">
      <c r="A2291" t="s">
        <v>214</v>
      </c>
      <c r="B2291" t="s">
        <v>691</v>
      </c>
      <c r="C2291" t="s">
        <v>20</v>
      </c>
      <c r="D2291">
        <v>7</v>
      </c>
      <c r="E2291" t="s">
        <v>376</v>
      </c>
      <c r="F2291" t="s">
        <v>622</v>
      </c>
      <c r="G2291">
        <v>4</v>
      </c>
      <c r="H2291">
        <v>3</v>
      </c>
      <c r="I2291">
        <v>1</v>
      </c>
      <c r="J2291">
        <v>0</v>
      </c>
      <c r="K2291" s="9">
        <v>5.6607142857142856</v>
      </c>
    </row>
    <row r="2292" spans="1:11" x14ac:dyDescent="0.45">
      <c r="A2292" t="s">
        <v>214</v>
      </c>
      <c r="B2292" t="s">
        <v>691</v>
      </c>
      <c r="C2292" t="s">
        <v>20</v>
      </c>
      <c r="D2292">
        <v>8</v>
      </c>
      <c r="E2292" t="s">
        <v>484</v>
      </c>
      <c r="F2292" t="s">
        <v>622</v>
      </c>
      <c r="G2292">
        <v>3</v>
      </c>
      <c r="H2292">
        <v>6</v>
      </c>
      <c r="I2292">
        <v>0</v>
      </c>
      <c r="J2292">
        <v>0</v>
      </c>
      <c r="K2292" s="9">
        <v>5.4565217391304346</v>
      </c>
    </row>
    <row r="2293" spans="1:11" x14ac:dyDescent="0.45">
      <c r="A2293" t="s">
        <v>214</v>
      </c>
      <c r="B2293" t="s">
        <v>691</v>
      </c>
      <c r="C2293" t="s">
        <v>20</v>
      </c>
      <c r="D2293">
        <v>9</v>
      </c>
      <c r="E2293" t="s">
        <v>409</v>
      </c>
      <c r="F2293" t="s">
        <v>622</v>
      </c>
      <c r="G2293">
        <v>27</v>
      </c>
      <c r="H2293">
        <v>26</v>
      </c>
      <c r="I2293">
        <v>3</v>
      </c>
      <c r="J2293">
        <v>0</v>
      </c>
      <c r="K2293" s="9">
        <v>4.1568627450980395</v>
      </c>
    </row>
    <row r="2294" spans="1:11" x14ac:dyDescent="0.45">
      <c r="A2294" t="s">
        <v>214</v>
      </c>
      <c r="B2294" t="s">
        <v>691</v>
      </c>
      <c r="C2294" t="s">
        <v>20</v>
      </c>
      <c r="D2294">
        <v>10</v>
      </c>
      <c r="E2294" t="s">
        <v>419</v>
      </c>
      <c r="F2294" t="s">
        <v>623</v>
      </c>
      <c r="G2294">
        <v>18</v>
      </c>
      <c r="H2294">
        <v>9</v>
      </c>
      <c r="I2294">
        <v>2</v>
      </c>
      <c r="J2294">
        <v>1</v>
      </c>
      <c r="K2294" s="9">
        <v>4.924050632911392</v>
      </c>
    </row>
    <row r="2295" spans="1:11" x14ac:dyDescent="0.45">
      <c r="A2295" t="s">
        <v>214</v>
      </c>
      <c r="B2295" t="s">
        <v>691</v>
      </c>
      <c r="C2295" t="s">
        <v>20</v>
      </c>
      <c r="D2295">
        <v>11</v>
      </c>
      <c r="E2295" t="s">
        <v>497</v>
      </c>
      <c r="F2295" t="s">
        <v>623</v>
      </c>
      <c r="G2295">
        <v>1</v>
      </c>
      <c r="H2295">
        <v>5</v>
      </c>
      <c r="I2295">
        <v>0</v>
      </c>
      <c r="J2295">
        <v>0</v>
      </c>
      <c r="K2295" s="9">
        <v>5.132075471698113</v>
      </c>
    </row>
    <row r="2296" spans="1:11" x14ac:dyDescent="0.45">
      <c r="A2296" t="s">
        <v>215</v>
      </c>
      <c r="B2296" t="s">
        <v>621</v>
      </c>
      <c r="C2296" t="s">
        <v>6</v>
      </c>
      <c r="D2296">
        <v>1</v>
      </c>
      <c r="E2296" t="s">
        <v>290</v>
      </c>
      <c r="F2296" t="s">
        <v>622</v>
      </c>
      <c r="G2296">
        <v>17</v>
      </c>
      <c r="H2296">
        <v>13</v>
      </c>
      <c r="I2296">
        <v>2</v>
      </c>
      <c r="J2296">
        <v>0</v>
      </c>
      <c r="K2296" s="9">
        <v>4.8939393939393936</v>
      </c>
    </row>
    <row r="2297" spans="1:11" x14ac:dyDescent="0.45">
      <c r="A2297" t="s">
        <v>215</v>
      </c>
      <c r="B2297" t="s">
        <v>621</v>
      </c>
      <c r="C2297" t="s">
        <v>6</v>
      </c>
      <c r="D2297">
        <v>2</v>
      </c>
      <c r="E2297" t="s">
        <v>505</v>
      </c>
      <c r="F2297" t="s">
        <v>622</v>
      </c>
      <c r="G2297">
        <v>30</v>
      </c>
      <c r="H2297">
        <v>28</v>
      </c>
      <c r="I2297">
        <v>3</v>
      </c>
      <c r="J2297">
        <v>0</v>
      </c>
      <c r="K2297" s="9">
        <v>3.806451612903226</v>
      </c>
    </row>
    <row r="2298" spans="1:11" x14ac:dyDescent="0.45">
      <c r="A2298" t="s">
        <v>215</v>
      </c>
      <c r="B2298" t="s">
        <v>621</v>
      </c>
      <c r="C2298" t="s">
        <v>6</v>
      </c>
      <c r="D2298">
        <v>3</v>
      </c>
      <c r="E2298" t="s">
        <v>481</v>
      </c>
      <c r="F2298" t="s">
        <v>622</v>
      </c>
      <c r="G2298">
        <v>16</v>
      </c>
      <c r="H2298">
        <v>11</v>
      </c>
      <c r="I2298">
        <v>1</v>
      </c>
      <c r="J2298">
        <v>1</v>
      </c>
      <c r="K2298" s="9">
        <v>4.9649122807017543</v>
      </c>
    </row>
    <row r="2299" spans="1:11" x14ac:dyDescent="0.45">
      <c r="A2299" t="s">
        <v>215</v>
      </c>
      <c r="B2299" t="s">
        <v>621</v>
      </c>
      <c r="C2299" t="s">
        <v>6</v>
      </c>
      <c r="D2299">
        <v>4</v>
      </c>
      <c r="E2299" t="s">
        <v>355</v>
      </c>
      <c r="F2299" t="s">
        <v>622</v>
      </c>
      <c r="G2299">
        <v>4</v>
      </c>
      <c r="H2299">
        <v>7</v>
      </c>
      <c r="I2299">
        <v>0</v>
      </c>
      <c r="J2299">
        <v>0</v>
      </c>
      <c r="K2299" s="9">
        <v>4.927835051546392</v>
      </c>
    </row>
    <row r="2300" spans="1:11" x14ac:dyDescent="0.45">
      <c r="A2300" t="s">
        <v>215</v>
      </c>
      <c r="B2300" t="s">
        <v>621</v>
      </c>
      <c r="C2300" t="s">
        <v>6</v>
      </c>
      <c r="D2300">
        <v>5</v>
      </c>
      <c r="E2300" t="s">
        <v>387</v>
      </c>
      <c r="F2300" t="s">
        <v>623</v>
      </c>
      <c r="G2300">
        <v>48</v>
      </c>
      <c r="H2300">
        <v>34</v>
      </c>
      <c r="I2300">
        <v>1</v>
      </c>
      <c r="J2300">
        <v>3</v>
      </c>
      <c r="K2300" s="9">
        <v>4.4137931034482758</v>
      </c>
    </row>
    <row r="2301" spans="1:11" x14ac:dyDescent="0.45">
      <c r="A2301" t="s">
        <v>215</v>
      </c>
      <c r="B2301" t="s">
        <v>621</v>
      </c>
      <c r="C2301" t="s">
        <v>6</v>
      </c>
      <c r="D2301">
        <v>6</v>
      </c>
      <c r="E2301" t="s">
        <v>299</v>
      </c>
      <c r="F2301" t="s">
        <v>622</v>
      </c>
      <c r="G2301">
        <v>1</v>
      </c>
      <c r="H2301">
        <v>2</v>
      </c>
      <c r="I2301">
        <v>0</v>
      </c>
      <c r="J2301">
        <v>0</v>
      </c>
      <c r="K2301" s="9">
        <v>6.1385542168674698</v>
      </c>
    </row>
    <row r="2302" spans="1:11" x14ac:dyDescent="0.45">
      <c r="A2302" t="s">
        <v>215</v>
      </c>
      <c r="B2302" t="s">
        <v>621</v>
      </c>
      <c r="C2302" t="s">
        <v>6</v>
      </c>
      <c r="D2302">
        <v>7</v>
      </c>
      <c r="E2302" t="s">
        <v>328</v>
      </c>
      <c r="F2302" t="s">
        <v>622</v>
      </c>
      <c r="G2302">
        <v>20</v>
      </c>
      <c r="H2302">
        <v>24</v>
      </c>
      <c r="I2302">
        <v>0</v>
      </c>
      <c r="J2302">
        <v>1</v>
      </c>
      <c r="K2302" s="9">
        <v>4.0606060606060606</v>
      </c>
    </row>
    <row r="2303" spans="1:11" x14ac:dyDescent="0.45">
      <c r="A2303" t="s">
        <v>215</v>
      </c>
      <c r="B2303" t="s">
        <v>621</v>
      </c>
      <c r="C2303" t="s">
        <v>6</v>
      </c>
      <c r="D2303">
        <v>8</v>
      </c>
      <c r="E2303" t="s">
        <v>356</v>
      </c>
      <c r="F2303" t="s">
        <v>623</v>
      </c>
      <c r="G2303">
        <v>2</v>
      </c>
      <c r="H2303">
        <v>3</v>
      </c>
      <c r="I2303">
        <v>0</v>
      </c>
      <c r="J2303">
        <v>0</v>
      </c>
      <c r="K2303" s="9">
        <v>5.6607142857142856</v>
      </c>
    </row>
    <row r="2304" spans="1:11" x14ac:dyDescent="0.45">
      <c r="A2304" t="s">
        <v>215</v>
      </c>
      <c r="B2304" t="s">
        <v>621</v>
      </c>
      <c r="C2304" t="s">
        <v>7</v>
      </c>
      <c r="D2304">
        <v>1</v>
      </c>
      <c r="E2304" t="s">
        <v>372</v>
      </c>
      <c r="F2304" t="s">
        <v>622</v>
      </c>
      <c r="G2304">
        <v>12</v>
      </c>
      <c r="H2304">
        <v>15</v>
      </c>
      <c r="I2304">
        <v>1</v>
      </c>
      <c r="J2304">
        <v>0</v>
      </c>
      <c r="K2304" s="9">
        <v>4.7777777777777777</v>
      </c>
    </row>
    <row r="2305" spans="1:11" x14ac:dyDescent="0.45">
      <c r="A2305" t="s">
        <v>215</v>
      </c>
      <c r="B2305" t="s">
        <v>621</v>
      </c>
      <c r="C2305" t="s">
        <v>7</v>
      </c>
      <c r="D2305">
        <v>2</v>
      </c>
      <c r="E2305" t="s">
        <v>578</v>
      </c>
      <c r="F2305" t="s">
        <v>622</v>
      </c>
      <c r="G2305">
        <v>1</v>
      </c>
      <c r="H2305">
        <v>4</v>
      </c>
      <c r="I2305">
        <v>0</v>
      </c>
      <c r="J2305">
        <v>0</v>
      </c>
      <c r="K2305" s="9">
        <v>5.352380952380952</v>
      </c>
    </row>
    <row r="2306" spans="1:11" x14ac:dyDescent="0.45">
      <c r="A2306" t="s">
        <v>215</v>
      </c>
      <c r="B2306" t="s">
        <v>621</v>
      </c>
      <c r="C2306" t="s">
        <v>7</v>
      </c>
      <c r="D2306">
        <v>3</v>
      </c>
      <c r="E2306" t="s">
        <v>304</v>
      </c>
      <c r="F2306" t="s">
        <v>622</v>
      </c>
      <c r="G2306">
        <v>9</v>
      </c>
      <c r="H2306">
        <v>4</v>
      </c>
      <c r="I2306">
        <v>2</v>
      </c>
      <c r="J2306">
        <v>0</v>
      </c>
      <c r="K2306" s="9">
        <v>5.352380952380952</v>
      </c>
    </row>
    <row r="2307" spans="1:11" x14ac:dyDescent="0.45">
      <c r="A2307" t="s">
        <v>215</v>
      </c>
      <c r="B2307" t="s">
        <v>621</v>
      </c>
      <c r="C2307" t="s">
        <v>7</v>
      </c>
      <c r="D2307">
        <v>4</v>
      </c>
      <c r="E2307" t="s">
        <v>306</v>
      </c>
      <c r="F2307" t="s">
        <v>623</v>
      </c>
      <c r="G2307">
        <v>57</v>
      </c>
      <c r="H2307">
        <v>44</v>
      </c>
      <c r="I2307">
        <v>6</v>
      </c>
      <c r="J2307">
        <v>1</v>
      </c>
      <c r="K2307" s="9">
        <v>3.35</v>
      </c>
    </row>
    <row r="2308" spans="1:11" x14ac:dyDescent="0.45">
      <c r="A2308" t="s">
        <v>215</v>
      </c>
      <c r="B2308" t="s">
        <v>621</v>
      </c>
      <c r="C2308" t="s">
        <v>7</v>
      </c>
      <c r="D2308">
        <v>5</v>
      </c>
      <c r="E2308" t="s">
        <v>514</v>
      </c>
      <c r="F2308" t="s">
        <v>622</v>
      </c>
      <c r="G2308">
        <v>54</v>
      </c>
      <c r="H2308">
        <v>43</v>
      </c>
      <c r="I2308">
        <v>4</v>
      </c>
      <c r="J2308">
        <v>3</v>
      </c>
      <c r="K2308" s="9">
        <v>2.8888888888888888</v>
      </c>
    </row>
    <row r="2309" spans="1:11" x14ac:dyDescent="0.45">
      <c r="A2309" t="s">
        <v>215</v>
      </c>
      <c r="B2309" t="s">
        <v>621</v>
      </c>
      <c r="C2309" t="s">
        <v>7</v>
      </c>
      <c r="D2309">
        <v>6</v>
      </c>
      <c r="E2309" t="s">
        <v>440</v>
      </c>
      <c r="F2309" t="s">
        <v>623</v>
      </c>
      <c r="G2309">
        <v>2</v>
      </c>
      <c r="H2309">
        <v>2</v>
      </c>
      <c r="I2309">
        <v>0</v>
      </c>
      <c r="J2309">
        <v>0</v>
      </c>
      <c r="K2309" s="9">
        <v>6.1385542168674698</v>
      </c>
    </row>
    <row r="2310" spans="1:11" x14ac:dyDescent="0.45">
      <c r="A2310" t="s">
        <v>217</v>
      </c>
      <c r="B2310" t="s">
        <v>665</v>
      </c>
      <c r="C2310" t="s">
        <v>13</v>
      </c>
      <c r="D2310">
        <v>1</v>
      </c>
      <c r="E2310" t="s">
        <v>343</v>
      </c>
      <c r="F2310" t="s">
        <v>622</v>
      </c>
      <c r="G2310">
        <v>18</v>
      </c>
      <c r="H2310">
        <v>19</v>
      </c>
      <c r="I2310">
        <v>1</v>
      </c>
      <c r="J2310">
        <v>0</v>
      </c>
      <c r="K2310" s="9">
        <v>4.5660377358490569</v>
      </c>
    </row>
    <row r="2311" spans="1:11" x14ac:dyDescent="0.45">
      <c r="A2311" t="s">
        <v>217</v>
      </c>
      <c r="B2311" t="s">
        <v>665</v>
      </c>
      <c r="C2311" t="s">
        <v>13</v>
      </c>
      <c r="D2311">
        <v>2</v>
      </c>
      <c r="E2311" t="s">
        <v>294</v>
      </c>
      <c r="F2311" t="s">
        <v>622</v>
      </c>
      <c r="G2311">
        <v>55</v>
      </c>
      <c r="H2311">
        <v>44</v>
      </c>
      <c r="I2311">
        <v>3</v>
      </c>
      <c r="J2311">
        <v>2</v>
      </c>
      <c r="K2311" s="9">
        <v>3.35</v>
      </c>
    </row>
    <row r="2312" spans="1:11" x14ac:dyDescent="0.45">
      <c r="A2312" t="s">
        <v>217</v>
      </c>
      <c r="B2312" t="s">
        <v>665</v>
      </c>
      <c r="C2312" t="s">
        <v>13</v>
      </c>
      <c r="D2312">
        <v>3</v>
      </c>
      <c r="E2312" t="s">
        <v>345</v>
      </c>
      <c r="F2312" t="s">
        <v>622</v>
      </c>
      <c r="G2312">
        <v>54</v>
      </c>
      <c r="H2312">
        <v>33</v>
      </c>
      <c r="I2312">
        <v>5</v>
      </c>
      <c r="J2312">
        <v>3</v>
      </c>
      <c r="K2312" s="9">
        <v>2.8421052631578947</v>
      </c>
    </row>
    <row r="2313" spans="1:11" x14ac:dyDescent="0.45">
      <c r="A2313" t="s">
        <v>217</v>
      </c>
      <c r="B2313" t="s">
        <v>665</v>
      </c>
      <c r="C2313" t="s">
        <v>13</v>
      </c>
      <c r="D2313">
        <v>4</v>
      </c>
      <c r="E2313" t="s">
        <v>430</v>
      </c>
      <c r="F2313" t="s">
        <v>622</v>
      </c>
      <c r="G2313">
        <v>1</v>
      </c>
      <c r="H2313">
        <v>2</v>
      </c>
      <c r="I2313">
        <v>0</v>
      </c>
      <c r="J2313">
        <v>0</v>
      </c>
      <c r="K2313" s="9">
        <v>6.1385542168674698</v>
      </c>
    </row>
    <row r="2314" spans="1:11" x14ac:dyDescent="0.45">
      <c r="A2314" t="s">
        <v>217</v>
      </c>
      <c r="B2314" t="s">
        <v>665</v>
      </c>
      <c r="C2314" t="s">
        <v>13</v>
      </c>
      <c r="D2314">
        <v>5</v>
      </c>
      <c r="E2314" t="s">
        <v>311</v>
      </c>
      <c r="F2314" t="s">
        <v>622</v>
      </c>
      <c r="G2314">
        <v>0</v>
      </c>
      <c r="H2314">
        <v>2</v>
      </c>
      <c r="I2314">
        <v>0</v>
      </c>
      <c r="J2314">
        <v>0</v>
      </c>
      <c r="K2314" s="9">
        <v>6.1385542168674698</v>
      </c>
    </row>
    <row r="2315" spans="1:11" x14ac:dyDescent="0.45">
      <c r="A2315" t="s">
        <v>217</v>
      </c>
      <c r="B2315" t="s">
        <v>665</v>
      </c>
      <c r="C2315" t="s">
        <v>13</v>
      </c>
      <c r="D2315">
        <v>6</v>
      </c>
      <c r="E2315" t="s">
        <v>568</v>
      </c>
      <c r="F2315" t="s">
        <v>623</v>
      </c>
      <c r="G2315">
        <v>9</v>
      </c>
      <c r="H2315">
        <v>9</v>
      </c>
      <c r="I2315">
        <v>0</v>
      </c>
      <c r="J2315">
        <v>0</v>
      </c>
      <c r="K2315" s="9">
        <v>4.924050632911392</v>
      </c>
    </row>
    <row r="2316" spans="1:11" x14ac:dyDescent="0.45">
      <c r="A2316" t="s">
        <v>217</v>
      </c>
      <c r="B2316" t="s">
        <v>665</v>
      </c>
      <c r="C2316" t="s">
        <v>13</v>
      </c>
      <c r="D2316">
        <v>7</v>
      </c>
      <c r="E2316" t="s">
        <v>388</v>
      </c>
      <c r="F2316" t="s">
        <v>623</v>
      </c>
      <c r="G2316">
        <v>29</v>
      </c>
      <c r="H2316">
        <v>11</v>
      </c>
      <c r="I2316">
        <v>3</v>
      </c>
      <c r="J2316">
        <v>2</v>
      </c>
      <c r="K2316" s="9">
        <v>4.9649122807017543</v>
      </c>
    </row>
    <row r="2317" spans="1:11" x14ac:dyDescent="0.45">
      <c r="A2317" t="s">
        <v>217</v>
      </c>
      <c r="B2317" t="s">
        <v>665</v>
      </c>
      <c r="C2317" t="s">
        <v>23</v>
      </c>
      <c r="D2317">
        <v>1</v>
      </c>
      <c r="E2317" t="s">
        <v>383</v>
      </c>
      <c r="F2317" t="s">
        <v>622</v>
      </c>
      <c r="G2317">
        <v>0</v>
      </c>
      <c r="H2317">
        <v>2</v>
      </c>
      <c r="I2317">
        <v>0</v>
      </c>
      <c r="J2317">
        <v>0</v>
      </c>
      <c r="K2317" s="9">
        <v>6.1385542168674698</v>
      </c>
    </row>
    <row r="2318" spans="1:11" x14ac:dyDescent="0.45">
      <c r="A2318" t="s">
        <v>217</v>
      </c>
      <c r="B2318" t="s">
        <v>665</v>
      </c>
      <c r="C2318" t="s">
        <v>23</v>
      </c>
      <c r="D2318">
        <v>2</v>
      </c>
      <c r="E2318" t="s">
        <v>458</v>
      </c>
      <c r="F2318" t="s">
        <v>622</v>
      </c>
      <c r="G2318">
        <v>0</v>
      </c>
      <c r="H2318">
        <v>2</v>
      </c>
      <c r="I2318">
        <v>0</v>
      </c>
      <c r="J2318">
        <v>0</v>
      </c>
      <c r="K2318" s="9">
        <v>6.1385542168674698</v>
      </c>
    </row>
    <row r="2319" spans="1:11" x14ac:dyDescent="0.45">
      <c r="A2319" t="s">
        <v>217</v>
      </c>
      <c r="B2319" t="s">
        <v>665</v>
      </c>
      <c r="C2319" t="s">
        <v>23</v>
      </c>
      <c r="D2319">
        <v>3</v>
      </c>
      <c r="E2319" t="s">
        <v>386</v>
      </c>
      <c r="F2319" t="s">
        <v>622</v>
      </c>
      <c r="G2319">
        <v>4</v>
      </c>
      <c r="H2319">
        <v>5</v>
      </c>
      <c r="I2319">
        <v>1</v>
      </c>
      <c r="J2319">
        <v>0</v>
      </c>
      <c r="K2319" s="9">
        <v>5.132075471698113</v>
      </c>
    </row>
    <row r="2320" spans="1:11" x14ac:dyDescent="0.45">
      <c r="A2320" t="s">
        <v>217</v>
      </c>
      <c r="B2320" t="s">
        <v>665</v>
      </c>
      <c r="C2320" t="s">
        <v>23</v>
      </c>
      <c r="D2320">
        <v>4</v>
      </c>
      <c r="E2320" t="s">
        <v>589</v>
      </c>
      <c r="F2320" t="s">
        <v>622</v>
      </c>
      <c r="G2320">
        <v>10</v>
      </c>
      <c r="H2320">
        <v>15</v>
      </c>
      <c r="I2320">
        <v>1</v>
      </c>
      <c r="J2320">
        <v>0</v>
      </c>
      <c r="K2320" s="9">
        <v>4.7777777777777777</v>
      </c>
    </row>
    <row r="2321" spans="1:11" x14ac:dyDescent="0.45">
      <c r="A2321" t="s">
        <v>217</v>
      </c>
      <c r="B2321" t="s">
        <v>665</v>
      </c>
      <c r="C2321" t="s">
        <v>23</v>
      </c>
      <c r="D2321">
        <v>5</v>
      </c>
      <c r="E2321" t="s">
        <v>342</v>
      </c>
      <c r="F2321" t="s">
        <v>622</v>
      </c>
      <c r="G2321">
        <v>4</v>
      </c>
      <c r="H2321">
        <v>4</v>
      </c>
      <c r="I2321">
        <v>1</v>
      </c>
      <c r="J2321">
        <v>0</v>
      </c>
      <c r="K2321" s="9">
        <v>5.352380952380952</v>
      </c>
    </row>
    <row r="2322" spans="1:11" x14ac:dyDescent="0.45">
      <c r="A2322" t="s">
        <v>217</v>
      </c>
      <c r="B2322" t="s">
        <v>665</v>
      </c>
      <c r="C2322" t="s">
        <v>23</v>
      </c>
      <c r="D2322">
        <v>6</v>
      </c>
      <c r="E2322" t="s">
        <v>336</v>
      </c>
      <c r="F2322" t="s">
        <v>622</v>
      </c>
      <c r="G2322">
        <v>35</v>
      </c>
      <c r="H2322">
        <v>19</v>
      </c>
      <c r="I2322">
        <v>1</v>
      </c>
      <c r="J2322">
        <v>4</v>
      </c>
      <c r="K2322" s="9">
        <v>4.5660377358490569</v>
      </c>
    </row>
    <row r="2323" spans="1:11" x14ac:dyDescent="0.45">
      <c r="A2323" t="s">
        <v>217</v>
      </c>
      <c r="B2323" t="s">
        <v>665</v>
      </c>
      <c r="C2323" t="s">
        <v>23</v>
      </c>
      <c r="D2323">
        <v>7</v>
      </c>
      <c r="E2323" t="s">
        <v>584</v>
      </c>
      <c r="F2323" t="s">
        <v>622</v>
      </c>
      <c r="G2323">
        <v>1</v>
      </c>
      <c r="H2323">
        <v>7</v>
      </c>
      <c r="I2323">
        <v>0</v>
      </c>
      <c r="J2323">
        <v>0</v>
      </c>
      <c r="K2323" s="9">
        <v>4.927835051546392</v>
      </c>
    </row>
    <row r="2324" spans="1:11" x14ac:dyDescent="0.45">
      <c r="A2324" t="s">
        <v>217</v>
      </c>
      <c r="B2324" t="s">
        <v>665</v>
      </c>
      <c r="C2324" t="s">
        <v>23</v>
      </c>
      <c r="D2324">
        <v>8</v>
      </c>
      <c r="E2324" t="s">
        <v>339</v>
      </c>
      <c r="F2324" t="s">
        <v>622</v>
      </c>
      <c r="G2324">
        <v>0</v>
      </c>
      <c r="H2324">
        <v>0</v>
      </c>
      <c r="I2324">
        <v>0</v>
      </c>
      <c r="J2324">
        <v>0</v>
      </c>
      <c r="K2324" s="9">
        <v>6.2519685039370083</v>
      </c>
    </row>
    <row r="2325" spans="1:11" x14ac:dyDescent="0.45">
      <c r="A2325" t="s">
        <v>217</v>
      </c>
      <c r="B2325" t="s">
        <v>665</v>
      </c>
      <c r="C2325" t="s">
        <v>23</v>
      </c>
      <c r="D2325">
        <v>9</v>
      </c>
      <c r="E2325" t="s">
        <v>585</v>
      </c>
      <c r="F2325" t="s">
        <v>622</v>
      </c>
      <c r="G2325">
        <v>2</v>
      </c>
      <c r="H2325">
        <v>6</v>
      </c>
      <c r="I2325">
        <v>0</v>
      </c>
      <c r="J2325">
        <v>0</v>
      </c>
      <c r="K2325" s="9">
        <v>5.4565217391304346</v>
      </c>
    </row>
    <row r="2326" spans="1:11" x14ac:dyDescent="0.45">
      <c r="A2326" t="s">
        <v>217</v>
      </c>
      <c r="B2326" t="s">
        <v>665</v>
      </c>
      <c r="C2326" t="s">
        <v>23</v>
      </c>
      <c r="D2326">
        <v>10</v>
      </c>
      <c r="E2326" t="s">
        <v>429</v>
      </c>
      <c r="F2326" t="s">
        <v>623</v>
      </c>
      <c r="G2326">
        <v>0</v>
      </c>
      <c r="H2326">
        <v>1</v>
      </c>
      <c r="I2326">
        <v>0</v>
      </c>
      <c r="J2326">
        <v>0</v>
      </c>
      <c r="K2326" s="9">
        <v>6.5693779904306222</v>
      </c>
    </row>
    <row r="2327" spans="1:11" x14ac:dyDescent="0.45">
      <c r="A2327" t="s">
        <v>217</v>
      </c>
      <c r="B2327" t="s">
        <v>665</v>
      </c>
      <c r="C2327" t="s">
        <v>23</v>
      </c>
      <c r="D2327">
        <v>11</v>
      </c>
      <c r="E2327" t="s">
        <v>421</v>
      </c>
      <c r="F2327" t="s">
        <v>622</v>
      </c>
      <c r="G2327">
        <v>0</v>
      </c>
      <c r="H2327">
        <v>2</v>
      </c>
      <c r="I2327">
        <v>0</v>
      </c>
      <c r="J2327">
        <v>0</v>
      </c>
      <c r="K2327" s="9">
        <v>6.1385542168674698</v>
      </c>
    </row>
    <row r="2328" spans="1:11" x14ac:dyDescent="0.45">
      <c r="A2328" t="s">
        <v>219</v>
      </c>
      <c r="B2328" t="s">
        <v>652</v>
      </c>
      <c r="C2328" t="s">
        <v>26</v>
      </c>
      <c r="D2328">
        <v>1</v>
      </c>
      <c r="E2328" t="s">
        <v>454</v>
      </c>
      <c r="F2328" t="s">
        <v>622</v>
      </c>
      <c r="G2328">
        <v>103</v>
      </c>
      <c r="H2328">
        <v>65</v>
      </c>
      <c r="I2328">
        <v>10</v>
      </c>
      <c r="J2328">
        <v>6</v>
      </c>
      <c r="K2328" s="9">
        <v>2.3333333333333335</v>
      </c>
    </row>
    <row r="2329" spans="1:11" x14ac:dyDescent="0.45">
      <c r="A2329" t="s">
        <v>219</v>
      </c>
      <c r="B2329" t="s">
        <v>652</v>
      </c>
      <c r="C2329" t="s">
        <v>26</v>
      </c>
      <c r="D2329">
        <v>2</v>
      </c>
      <c r="E2329" t="s">
        <v>330</v>
      </c>
      <c r="F2329" t="s">
        <v>622</v>
      </c>
      <c r="G2329">
        <v>7</v>
      </c>
      <c r="H2329">
        <v>5</v>
      </c>
      <c r="I2329">
        <v>0</v>
      </c>
      <c r="J2329">
        <v>1</v>
      </c>
      <c r="K2329" s="9">
        <v>5.132075471698113</v>
      </c>
    </row>
    <row r="2330" spans="1:11" x14ac:dyDescent="0.45">
      <c r="A2330" t="s">
        <v>219</v>
      </c>
      <c r="B2330" t="s">
        <v>652</v>
      </c>
      <c r="C2330" t="s">
        <v>26</v>
      </c>
      <c r="D2330">
        <v>3</v>
      </c>
      <c r="E2330" t="s">
        <v>384</v>
      </c>
      <c r="F2330" t="s">
        <v>622</v>
      </c>
      <c r="G2330">
        <v>4</v>
      </c>
      <c r="H2330">
        <v>5</v>
      </c>
      <c r="I2330">
        <v>1</v>
      </c>
      <c r="J2330">
        <v>0</v>
      </c>
      <c r="K2330" s="9">
        <v>5.132075471698113</v>
      </c>
    </row>
    <row r="2331" spans="1:11" x14ac:dyDescent="0.45">
      <c r="A2331" t="s">
        <v>219</v>
      </c>
      <c r="B2331" t="s">
        <v>652</v>
      </c>
      <c r="C2331" t="s">
        <v>26</v>
      </c>
      <c r="D2331">
        <v>4</v>
      </c>
      <c r="E2331" t="s">
        <v>495</v>
      </c>
      <c r="F2331" t="s">
        <v>622</v>
      </c>
      <c r="G2331">
        <v>5</v>
      </c>
      <c r="H2331">
        <v>5</v>
      </c>
      <c r="I2331">
        <v>1</v>
      </c>
      <c r="J2331">
        <v>0</v>
      </c>
      <c r="K2331" s="9">
        <v>5.132075471698113</v>
      </c>
    </row>
    <row r="2332" spans="1:11" x14ac:dyDescent="0.45">
      <c r="A2332" t="s">
        <v>219</v>
      </c>
      <c r="B2332" t="s">
        <v>652</v>
      </c>
      <c r="C2332" t="s">
        <v>26</v>
      </c>
      <c r="D2332">
        <v>5</v>
      </c>
      <c r="E2332" t="s">
        <v>420</v>
      </c>
      <c r="F2332" t="s">
        <v>622</v>
      </c>
      <c r="G2332">
        <v>20</v>
      </c>
      <c r="H2332">
        <v>24</v>
      </c>
      <c r="I2332">
        <v>1</v>
      </c>
      <c r="J2332">
        <v>0</v>
      </c>
      <c r="K2332" s="9">
        <v>4.0606060606060606</v>
      </c>
    </row>
    <row r="2333" spans="1:11" x14ac:dyDescent="0.45">
      <c r="A2333" t="s">
        <v>219</v>
      </c>
      <c r="B2333" t="s">
        <v>652</v>
      </c>
      <c r="C2333" t="s">
        <v>26</v>
      </c>
      <c r="D2333">
        <v>6</v>
      </c>
      <c r="E2333" t="s">
        <v>404</v>
      </c>
      <c r="F2333" t="s">
        <v>622</v>
      </c>
      <c r="G2333">
        <v>2</v>
      </c>
      <c r="H2333">
        <v>5</v>
      </c>
      <c r="I2333">
        <v>0</v>
      </c>
      <c r="J2333">
        <v>0</v>
      </c>
      <c r="K2333" s="9">
        <v>5.132075471698113</v>
      </c>
    </row>
    <row r="2334" spans="1:11" x14ac:dyDescent="0.45">
      <c r="A2334" t="s">
        <v>219</v>
      </c>
      <c r="B2334" t="s">
        <v>652</v>
      </c>
      <c r="C2334" t="s">
        <v>26</v>
      </c>
      <c r="D2334">
        <v>7</v>
      </c>
      <c r="E2334" t="s">
        <v>400</v>
      </c>
      <c r="F2334" t="s">
        <v>622</v>
      </c>
      <c r="G2334">
        <v>2</v>
      </c>
      <c r="H2334">
        <v>4</v>
      </c>
      <c r="I2334">
        <v>0</v>
      </c>
      <c r="J2334">
        <v>0</v>
      </c>
      <c r="K2334" s="9">
        <v>5.352380952380952</v>
      </c>
    </row>
    <row r="2335" spans="1:11" x14ac:dyDescent="0.45">
      <c r="A2335" t="s">
        <v>219</v>
      </c>
      <c r="B2335" t="s">
        <v>652</v>
      </c>
      <c r="C2335" t="s">
        <v>26</v>
      </c>
      <c r="D2335">
        <v>8</v>
      </c>
      <c r="E2335" t="s">
        <v>590</v>
      </c>
      <c r="F2335" t="s">
        <v>623</v>
      </c>
      <c r="G2335">
        <v>11</v>
      </c>
      <c r="H2335">
        <v>7</v>
      </c>
      <c r="I2335">
        <v>0</v>
      </c>
      <c r="J2335">
        <v>1</v>
      </c>
      <c r="K2335" s="9">
        <v>4.927835051546392</v>
      </c>
    </row>
    <row r="2336" spans="1:11" x14ac:dyDescent="0.45">
      <c r="A2336" t="s">
        <v>219</v>
      </c>
      <c r="B2336" t="s">
        <v>652</v>
      </c>
      <c r="C2336" t="s">
        <v>26</v>
      </c>
      <c r="D2336">
        <v>9</v>
      </c>
      <c r="E2336" t="s">
        <v>520</v>
      </c>
      <c r="F2336" t="s">
        <v>623</v>
      </c>
      <c r="G2336">
        <v>0</v>
      </c>
      <c r="H2336">
        <v>0</v>
      </c>
      <c r="I2336">
        <v>0</v>
      </c>
      <c r="J2336">
        <v>0</v>
      </c>
      <c r="K2336" s="9">
        <v>6.2519685039370083</v>
      </c>
    </row>
    <row r="2337" spans="1:11" x14ac:dyDescent="0.45">
      <c r="A2337" t="s">
        <v>219</v>
      </c>
      <c r="B2337" t="s">
        <v>652</v>
      </c>
      <c r="C2337" t="s">
        <v>10</v>
      </c>
      <c r="D2337">
        <v>1</v>
      </c>
      <c r="E2337" t="s">
        <v>442</v>
      </c>
      <c r="F2337" t="s">
        <v>622</v>
      </c>
      <c r="G2337">
        <v>54</v>
      </c>
      <c r="H2337">
        <v>27</v>
      </c>
      <c r="I2337">
        <v>10</v>
      </c>
      <c r="J2337">
        <v>1</v>
      </c>
      <c r="K2337" s="9">
        <v>4.25</v>
      </c>
    </row>
    <row r="2338" spans="1:11" x14ac:dyDescent="0.45">
      <c r="A2338" t="s">
        <v>219</v>
      </c>
      <c r="B2338" t="s">
        <v>652</v>
      </c>
      <c r="C2338" t="s">
        <v>10</v>
      </c>
      <c r="D2338">
        <v>2</v>
      </c>
      <c r="E2338" t="s">
        <v>580</v>
      </c>
      <c r="F2338" t="s">
        <v>622</v>
      </c>
      <c r="G2338">
        <v>21</v>
      </c>
      <c r="H2338">
        <v>17</v>
      </c>
      <c r="I2338">
        <v>3</v>
      </c>
      <c r="J2338">
        <v>0</v>
      </c>
      <c r="K2338" s="9">
        <v>4.82</v>
      </c>
    </row>
    <row r="2339" spans="1:11" x14ac:dyDescent="0.45">
      <c r="A2339" t="s">
        <v>219</v>
      </c>
      <c r="B2339" t="s">
        <v>652</v>
      </c>
      <c r="C2339" t="s">
        <v>10</v>
      </c>
      <c r="D2339">
        <v>3</v>
      </c>
      <c r="E2339" t="s">
        <v>498</v>
      </c>
      <c r="F2339" t="s">
        <v>622</v>
      </c>
      <c r="G2339">
        <v>3</v>
      </c>
      <c r="H2339">
        <v>4</v>
      </c>
      <c r="I2339">
        <v>0</v>
      </c>
      <c r="J2339">
        <v>0</v>
      </c>
      <c r="K2339" s="9">
        <v>5.352380952380952</v>
      </c>
    </row>
    <row r="2340" spans="1:11" x14ac:dyDescent="0.45">
      <c r="A2340" t="s">
        <v>219</v>
      </c>
      <c r="B2340" t="s">
        <v>652</v>
      </c>
      <c r="C2340" t="s">
        <v>10</v>
      </c>
      <c r="D2340">
        <v>4</v>
      </c>
      <c r="E2340" t="s">
        <v>581</v>
      </c>
      <c r="F2340" t="s">
        <v>622</v>
      </c>
      <c r="G2340">
        <v>5</v>
      </c>
      <c r="H2340">
        <v>5</v>
      </c>
      <c r="I2340">
        <v>1</v>
      </c>
      <c r="J2340">
        <v>0</v>
      </c>
      <c r="K2340" s="9">
        <v>5.132075471698113</v>
      </c>
    </row>
    <row r="2341" spans="1:11" x14ac:dyDescent="0.45">
      <c r="A2341" t="s">
        <v>219</v>
      </c>
      <c r="B2341" t="s">
        <v>652</v>
      </c>
      <c r="C2341" t="s">
        <v>10</v>
      </c>
      <c r="D2341">
        <v>5</v>
      </c>
      <c r="E2341" t="s">
        <v>337</v>
      </c>
      <c r="F2341" t="s">
        <v>622</v>
      </c>
      <c r="G2341">
        <v>1</v>
      </c>
      <c r="H2341">
        <v>2</v>
      </c>
      <c r="I2341">
        <v>0</v>
      </c>
      <c r="J2341">
        <v>0</v>
      </c>
      <c r="K2341" s="9">
        <v>6.1385542168674698</v>
      </c>
    </row>
    <row r="2342" spans="1:11" x14ac:dyDescent="0.45">
      <c r="A2342" t="s">
        <v>219</v>
      </c>
      <c r="B2342" t="s">
        <v>652</v>
      </c>
      <c r="C2342" t="s">
        <v>10</v>
      </c>
      <c r="D2342">
        <v>6</v>
      </c>
      <c r="E2342" t="s">
        <v>374</v>
      </c>
      <c r="F2342" t="s">
        <v>622</v>
      </c>
      <c r="G2342">
        <v>0</v>
      </c>
      <c r="H2342">
        <v>3</v>
      </c>
      <c r="I2342">
        <v>0</v>
      </c>
      <c r="J2342">
        <v>0</v>
      </c>
      <c r="K2342" s="9">
        <v>5.6607142857142856</v>
      </c>
    </row>
    <row r="2343" spans="1:11" x14ac:dyDescent="0.45">
      <c r="A2343" t="s">
        <v>219</v>
      </c>
      <c r="B2343" t="s">
        <v>652</v>
      </c>
      <c r="C2343" t="s">
        <v>10</v>
      </c>
      <c r="D2343">
        <v>7</v>
      </c>
      <c r="E2343" t="s">
        <v>545</v>
      </c>
      <c r="F2343" t="s">
        <v>622</v>
      </c>
      <c r="G2343">
        <v>16</v>
      </c>
      <c r="H2343">
        <v>18</v>
      </c>
      <c r="I2343">
        <v>1</v>
      </c>
      <c r="J2343">
        <v>1</v>
      </c>
      <c r="K2343" s="9">
        <v>4.375</v>
      </c>
    </row>
    <row r="2344" spans="1:11" x14ac:dyDescent="0.45">
      <c r="A2344" t="s">
        <v>219</v>
      </c>
      <c r="B2344" t="s">
        <v>652</v>
      </c>
      <c r="C2344" t="s">
        <v>10</v>
      </c>
      <c r="D2344">
        <v>8</v>
      </c>
      <c r="E2344" t="s">
        <v>591</v>
      </c>
      <c r="F2344" t="s">
        <v>622</v>
      </c>
      <c r="G2344">
        <v>16</v>
      </c>
      <c r="H2344">
        <v>20</v>
      </c>
      <c r="I2344">
        <v>2</v>
      </c>
      <c r="J2344">
        <v>0</v>
      </c>
      <c r="K2344" s="9">
        <v>4.9473684210526319</v>
      </c>
    </row>
    <row r="2345" spans="1:11" x14ac:dyDescent="0.45">
      <c r="A2345" t="s">
        <v>219</v>
      </c>
      <c r="B2345" t="s">
        <v>652</v>
      </c>
      <c r="C2345" t="s">
        <v>10</v>
      </c>
      <c r="D2345">
        <v>9</v>
      </c>
      <c r="E2345" t="s">
        <v>500</v>
      </c>
      <c r="F2345" t="s">
        <v>623</v>
      </c>
      <c r="G2345">
        <v>10</v>
      </c>
      <c r="H2345">
        <v>17</v>
      </c>
      <c r="I2345">
        <v>0</v>
      </c>
      <c r="J2345">
        <v>0</v>
      </c>
      <c r="K2345" s="9">
        <v>4.82</v>
      </c>
    </row>
    <row r="2346" spans="1:11" x14ac:dyDescent="0.45">
      <c r="A2346" t="s">
        <v>219</v>
      </c>
      <c r="B2346" t="s">
        <v>652</v>
      </c>
      <c r="C2346" t="s">
        <v>10</v>
      </c>
      <c r="D2346">
        <v>10</v>
      </c>
      <c r="E2346" t="s">
        <v>587</v>
      </c>
      <c r="F2346" t="s">
        <v>623</v>
      </c>
      <c r="G2346">
        <v>6</v>
      </c>
      <c r="H2346">
        <v>7</v>
      </c>
      <c r="I2346">
        <v>0</v>
      </c>
      <c r="J2346">
        <v>0</v>
      </c>
      <c r="K2346" s="9">
        <v>4.927835051546392</v>
      </c>
    </row>
    <row r="2347" spans="1:11" x14ac:dyDescent="0.45">
      <c r="A2347" t="s">
        <v>220</v>
      </c>
      <c r="B2347" t="s">
        <v>702</v>
      </c>
      <c r="C2347" t="s">
        <v>20</v>
      </c>
      <c r="D2347">
        <v>1</v>
      </c>
      <c r="E2347" t="s">
        <v>453</v>
      </c>
      <c r="F2347" t="s">
        <v>622</v>
      </c>
      <c r="G2347">
        <v>36</v>
      </c>
      <c r="H2347">
        <v>27</v>
      </c>
      <c r="I2347">
        <v>7</v>
      </c>
      <c r="J2347">
        <v>0</v>
      </c>
      <c r="K2347" s="9">
        <v>4.25</v>
      </c>
    </row>
    <row r="2348" spans="1:11" x14ac:dyDescent="0.45">
      <c r="A2348" t="s">
        <v>220</v>
      </c>
      <c r="B2348" t="s">
        <v>702</v>
      </c>
      <c r="C2348" t="s">
        <v>20</v>
      </c>
      <c r="D2348">
        <v>2</v>
      </c>
      <c r="E2348" t="s">
        <v>373</v>
      </c>
      <c r="F2348" t="s">
        <v>622</v>
      </c>
      <c r="G2348">
        <v>7</v>
      </c>
      <c r="H2348">
        <v>5</v>
      </c>
      <c r="I2348">
        <v>1</v>
      </c>
      <c r="J2348">
        <v>0</v>
      </c>
      <c r="K2348" s="9">
        <v>5.132075471698113</v>
      </c>
    </row>
    <row r="2349" spans="1:11" x14ac:dyDescent="0.45">
      <c r="A2349" t="s">
        <v>220</v>
      </c>
      <c r="B2349" t="s">
        <v>702</v>
      </c>
      <c r="C2349" t="s">
        <v>20</v>
      </c>
      <c r="D2349">
        <v>3</v>
      </c>
      <c r="E2349" t="s">
        <v>315</v>
      </c>
      <c r="F2349" t="s">
        <v>622</v>
      </c>
      <c r="G2349">
        <v>20</v>
      </c>
      <c r="H2349">
        <v>13</v>
      </c>
      <c r="I2349">
        <v>4</v>
      </c>
      <c r="J2349">
        <v>0</v>
      </c>
      <c r="K2349" s="9">
        <v>4.8939393939393936</v>
      </c>
    </row>
    <row r="2350" spans="1:11" x14ac:dyDescent="0.45">
      <c r="A2350" t="s">
        <v>220</v>
      </c>
      <c r="B2350" t="s">
        <v>702</v>
      </c>
      <c r="C2350" t="s">
        <v>20</v>
      </c>
      <c r="D2350">
        <v>4</v>
      </c>
      <c r="E2350" t="s">
        <v>401</v>
      </c>
      <c r="F2350" t="s">
        <v>622</v>
      </c>
      <c r="G2350">
        <v>28</v>
      </c>
      <c r="H2350">
        <v>20</v>
      </c>
      <c r="I2350">
        <v>2</v>
      </c>
      <c r="J2350">
        <v>1</v>
      </c>
      <c r="K2350" s="9">
        <v>4.9473684210526319</v>
      </c>
    </row>
    <row r="2351" spans="1:11" x14ac:dyDescent="0.45">
      <c r="A2351" t="s">
        <v>220</v>
      </c>
      <c r="B2351" t="s">
        <v>702</v>
      </c>
      <c r="C2351" t="s">
        <v>20</v>
      </c>
      <c r="D2351">
        <v>5</v>
      </c>
      <c r="E2351" t="s">
        <v>573</v>
      </c>
      <c r="F2351" t="s">
        <v>622</v>
      </c>
      <c r="G2351">
        <v>47</v>
      </c>
      <c r="H2351">
        <v>29</v>
      </c>
      <c r="I2351">
        <v>3</v>
      </c>
      <c r="J2351">
        <v>3</v>
      </c>
      <c r="K2351" s="9">
        <v>4.0454545454545459</v>
      </c>
    </row>
    <row r="2352" spans="1:11" x14ac:dyDescent="0.45">
      <c r="A2352" t="s">
        <v>220</v>
      </c>
      <c r="B2352" t="s">
        <v>702</v>
      </c>
      <c r="C2352" t="s">
        <v>20</v>
      </c>
      <c r="D2352">
        <v>6</v>
      </c>
      <c r="E2352" t="s">
        <v>389</v>
      </c>
      <c r="F2352" t="s">
        <v>622</v>
      </c>
      <c r="G2352">
        <v>0</v>
      </c>
      <c r="H2352">
        <v>1</v>
      </c>
      <c r="I2352">
        <v>0</v>
      </c>
      <c r="J2352">
        <v>0</v>
      </c>
      <c r="K2352" s="9">
        <v>6.5693779904306222</v>
      </c>
    </row>
    <row r="2353" spans="1:11" x14ac:dyDescent="0.45">
      <c r="A2353" t="s">
        <v>220</v>
      </c>
      <c r="B2353" t="s">
        <v>702</v>
      </c>
      <c r="C2353" t="s">
        <v>20</v>
      </c>
      <c r="D2353">
        <v>7</v>
      </c>
      <c r="E2353" t="s">
        <v>376</v>
      </c>
      <c r="F2353" t="s">
        <v>623</v>
      </c>
      <c r="G2353">
        <v>37</v>
      </c>
      <c r="H2353">
        <v>25</v>
      </c>
      <c r="I2353">
        <v>1</v>
      </c>
      <c r="J2353">
        <v>4</v>
      </c>
      <c r="K2353" s="9">
        <v>4.4782608695652177</v>
      </c>
    </row>
    <row r="2354" spans="1:11" x14ac:dyDescent="0.45">
      <c r="A2354" t="s">
        <v>220</v>
      </c>
      <c r="B2354" t="s">
        <v>702</v>
      </c>
      <c r="C2354" t="s">
        <v>20</v>
      </c>
      <c r="D2354">
        <v>8</v>
      </c>
      <c r="E2354" t="s">
        <v>409</v>
      </c>
      <c r="F2354" t="s">
        <v>623</v>
      </c>
      <c r="G2354">
        <v>2</v>
      </c>
      <c r="H2354">
        <v>1</v>
      </c>
      <c r="I2354">
        <v>0</v>
      </c>
      <c r="J2354">
        <v>0</v>
      </c>
      <c r="K2354" s="9">
        <v>6.5693779904306222</v>
      </c>
    </row>
    <row r="2355" spans="1:11" x14ac:dyDescent="0.45">
      <c r="A2355" t="s">
        <v>220</v>
      </c>
      <c r="B2355" t="s">
        <v>702</v>
      </c>
      <c r="C2355" t="s">
        <v>104</v>
      </c>
      <c r="D2355">
        <v>1</v>
      </c>
      <c r="E2355" t="s">
        <v>564</v>
      </c>
      <c r="F2355" t="s">
        <v>622</v>
      </c>
      <c r="G2355">
        <v>2</v>
      </c>
      <c r="H2355">
        <v>14</v>
      </c>
      <c r="I2355">
        <v>0</v>
      </c>
      <c r="J2355">
        <v>0</v>
      </c>
      <c r="K2355" s="9">
        <v>4.8461538461538458</v>
      </c>
    </row>
    <row r="2356" spans="1:11" x14ac:dyDescent="0.45">
      <c r="A2356" t="s">
        <v>220</v>
      </c>
      <c r="B2356" t="s">
        <v>702</v>
      </c>
      <c r="C2356" t="s">
        <v>104</v>
      </c>
      <c r="D2356">
        <v>2</v>
      </c>
      <c r="E2356" t="s">
        <v>422</v>
      </c>
      <c r="F2356" t="s">
        <v>622</v>
      </c>
      <c r="G2356">
        <v>29</v>
      </c>
      <c r="H2356">
        <v>19</v>
      </c>
      <c r="I2356">
        <v>3</v>
      </c>
      <c r="J2356">
        <v>1</v>
      </c>
      <c r="K2356" s="9">
        <v>4.5660377358490569</v>
      </c>
    </row>
    <row r="2357" spans="1:11" x14ac:dyDescent="0.45">
      <c r="A2357" t="s">
        <v>220</v>
      </c>
      <c r="B2357" t="s">
        <v>702</v>
      </c>
      <c r="C2357" t="s">
        <v>104</v>
      </c>
      <c r="D2357">
        <v>3</v>
      </c>
      <c r="E2357" t="s">
        <v>496</v>
      </c>
      <c r="F2357" t="s">
        <v>623</v>
      </c>
      <c r="G2357">
        <v>64</v>
      </c>
      <c r="H2357">
        <v>45</v>
      </c>
      <c r="I2357">
        <v>7</v>
      </c>
      <c r="J2357">
        <v>2</v>
      </c>
      <c r="K2357" s="9">
        <v>3.4375</v>
      </c>
    </row>
    <row r="2358" spans="1:11" x14ac:dyDescent="0.45">
      <c r="A2358" t="s">
        <v>220</v>
      </c>
      <c r="B2358" t="s">
        <v>702</v>
      </c>
      <c r="C2358" t="s">
        <v>104</v>
      </c>
      <c r="D2358">
        <v>4</v>
      </c>
      <c r="E2358" t="s">
        <v>331</v>
      </c>
      <c r="F2358" t="s">
        <v>622</v>
      </c>
      <c r="G2358">
        <v>40</v>
      </c>
      <c r="H2358">
        <v>25</v>
      </c>
      <c r="I2358">
        <v>2</v>
      </c>
      <c r="J2358">
        <v>3</v>
      </c>
      <c r="K2358" s="9">
        <v>4.4782608695652177</v>
      </c>
    </row>
    <row r="2359" spans="1:11" x14ac:dyDescent="0.45">
      <c r="A2359" t="s">
        <v>220</v>
      </c>
      <c r="B2359" t="s">
        <v>702</v>
      </c>
      <c r="C2359" t="s">
        <v>104</v>
      </c>
      <c r="D2359">
        <v>5</v>
      </c>
      <c r="E2359" t="s">
        <v>416</v>
      </c>
      <c r="F2359" t="s">
        <v>623</v>
      </c>
      <c r="G2359">
        <v>44</v>
      </c>
      <c r="H2359">
        <v>13</v>
      </c>
      <c r="I2359">
        <v>3</v>
      </c>
      <c r="J2359">
        <v>4</v>
      </c>
      <c r="K2359" s="9">
        <v>4.8939393939393936</v>
      </c>
    </row>
    <row r="2360" spans="1:11" x14ac:dyDescent="0.45">
      <c r="A2360" t="s">
        <v>221</v>
      </c>
      <c r="B2360" t="s">
        <v>678</v>
      </c>
      <c r="C2360" t="s">
        <v>19</v>
      </c>
      <c r="D2360">
        <v>1</v>
      </c>
      <c r="E2360" t="s">
        <v>360</v>
      </c>
      <c r="F2360" t="s">
        <v>622</v>
      </c>
      <c r="G2360">
        <v>31</v>
      </c>
      <c r="H2360">
        <v>20</v>
      </c>
      <c r="I2360">
        <v>4</v>
      </c>
      <c r="J2360">
        <v>1</v>
      </c>
      <c r="K2360" s="9">
        <v>4.9473684210526319</v>
      </c>
    </row>
    <row r="2361" spans="1:11" x14ac:dyDescent="0.45">
      <c r="A2361" t="s">
        <v>221</v>
      </c>
      <c r="B2361" t="s">
        <v>678</v>
      </c>
      <c r="C2361" t="s">
        <v>19</v>
      </c>
      <c r="D2361">
        <v>2</v>
      </c>
      <c r="E2361" t="s">
        <v>359</v>
      </c>
      <c r="F2361" t="s">
        <v>622</v>
      </c>
      <c r="G2361">
        <v>29</v>
      </c>
      <c r="H2361">
        <v>18</v>
      </c>
      <c r="I2361">
        <v>3</v>
      </c>
      <c r="J2361">
        <v>2</v>
      </c>
      <c r="K2361" s="9">
        <v>4.375</v>
      </c>
    </row>
    <row r="2362" spans="1:11" x14ac:dyDescent="0.45">
      <c r="A2362" t="s">
        <v>221</v>
      </c>
      <c r="B2362" t="s">
        <v>678</v>
      </c>
      <c r="C2362" t="s">
        <v>19</v>
      </c>
      <c r="D2362">
        <v>3</v>
      </c>
      <c r="E2362" t="s">
        <v>363</v>
      </c>
      <c r="F2362" t="s">
        <v>623</v>
      </c>
      <c r="G2362">
        <v>103</v>
      </c>
      <c r="H2362">
        <v>49</v>
      </c>
      <c r="I2362">
        <v>11</v>
      </c>
      <c r="J2362">
        <v>6</v>
      </c>
      <c r="K2362" s="9">
        <v>3.5714285714285716</v>
      </c>
    </row>
    <row r="2363" spans="1:11" x14ac:dyDescent="0.45">
      <c r="A2363" t="s">
        <v>221</v>
      </c>
      <c r="B2363" t="s">
        <v>678</v>
      </c>
      <c r="C2363" t="s">
        <v>19</v>
      </c>
      <c r="D2363">
        <v>4</v>
      </c>
      <c r="E2363" t="s">
        <v>559</v>
      </c>
      <c r="F2363" t="s">
        <v>622</v>
      </c>
      <c r="G2363">
        <v>15</v>
      </c>
      <c r="H2363">
        <v>7</v>
      </c>
      <c r="I2363">
        <v>1</v>
      </c>
      <c r="J2363">
        <v>1</v>
      </c>
      <c r="K2363" s="9">
        <v>4.927835051546392</v>
      </c>
    </row>
    <row r="2364" spans="1:11" x14ac:dyDescent="0.45">
      <c r="A2364" t="s">
        <v>221</v>
      </c>
      <c r="B2364" t="s">
        <v>678</v>
      </c>
      <c r="C2364" t="s">
        <v>19</v>
      </c>
      <c r="D2364">
        <v>5</v>
      </c>
      <c r="E2364" t="s">
        <v>561</v>
      </c>
      <c r="F2364" t="s">
        <v>622</v>
      </c>
      <c r="G2364">
        <v>30</v>
      </c>
      <c r="H2364">
        <v>20</v>
      </c>
      <c r="I2364">
        <v>2</v>
      </c>
      <c r="J2364">
        <v>2</v>
      </c>
      <c r="K2364" s="9">
        <v>4.9473684210526319</v>
      </c>
    </row>
    <row r="2365" spans="1:11" x14ac:dyDescent="0.45">
      <c r="A2365" t="s">
        <v>221</v>
      </c>
      <c r="B2365" t="s">
        <v>678</v>
      </c>
      <c r="C2365" t="s">
        <v>19</v>
      </c>
      <c r="D2365">
        <v>6</v>
      </c>
      <c r="E2365" t="s">
        <v>447</v>
      </c>
      <c r="F2365" t="s">
        <v>622</v>
      </c>
      <c r="G2365">
        <v>5</v>
      </c>
      <c r="H2365">
        <v>3</v>
      </c>
      <c r="I2365">
        <v>1</v>
      </c>
      <c r="J2365">
        <v>0</v>
      </c>
      <c r="K2365" s="9">
        <v>5.6607142857142856</v>
      </c>
    </row>
    <row r="2366" spans="1:11" x14ac:dyDescent="0.45">
      <c r="A2366" t="s">
        <v>221</v>
      </c>
      <c r="B2366" t="s">
        <v>678</v>
      </c>
      <c r="C2366" t="s">
        <v>19</v>
      </c>
      <c r="D2366">
        <v>7</v>
      </c>
      <c r="E2366" t="s">
        <v>560</v>
      </c>
      <c r="F2366" t="s">
        <v>623</v>
      </c>
      <c r="G2366">
        <v>3</v>
      </c>
      <c r="H2366">
        <v>3</v>
      </c>
      <c r="I2366">
        <v>0</v>
      </c>
      <c r="J2366">
        <v>0</v>
      </c>
      <c r="K2366" s="9">
        <v>5.6607142857142856</v>
      </c>
    </row>
    <row r="2367" spans="1:11" x14ac:dyDescent="0.45">
      <c r="A2367" t="s">
        <v>221</v>
      </c>
      <c r="B2367" t="s">
        <v>678</v>
      </c>
      <c r="C2367" t="s">
        <v>101</v>
      </c>
      <c r="D2367">
        <v>1</v>
      </c>
      <c r="E2367" t="s">
        <v>380</v>
      </c>
      <c r="F2367" t="s">
        <v>622</v>
      </c>
      <c r="G2367">
        <v>2</v>
      </c>
      <c r="H2367">
        <v>5</v>
      </c>
      <c r="I2367">
        <v>0</v>
      </c>
      <c r="J2367">
        <v>0</v>
      </c>
      <c r="K2367" s="9">
        <v>5.132075471698113</v>
      </c>
    </row>
    <row r="2368" spans="1:11" x14ac:dyDescent="0.45">
      <c r="A2368" t="s">
        <v>221</v>
      </c>
      <c r="B2368" t="s">
        <v>678</v>
      </c>
      <c r="C2368" t="s">
        <v>101</v>
      </c>
      <c r="D2368">
        <v>2</v>
      </c>
      <c r="E2368" t="s">
        <v>302</v>
      </c>
      <c r="F2368" t="s">
        <v>622</v>
      </c>
      <c r="G2368">
        <v>6</v>
      </c>
      <c r="H2368">
        <v>9</v>
      </c>
      <c r="I2368">
        <v>0</v>
      </c>
      <c r="J2368">
        <v>0</v>
      </c>
      <c r="K2368" s="9">
        <v>4.924050632911392</v>
      </c>
    </row>
    <row r="2369" spans="1:11" x14ac:dyDescent="0.45">
      <c r="A2369" t="s">
        <v>221</v>
      </c>
      <c r="B2369" t="s">
        <v>678</v>
      </c>
      <c r="C2369" t="s">
        <v>101</v>
      </c>
      <c r="D2369">
        <v>3</v>
      </c>
      <c r="E2369" t="s">
        <v>361</v>
      </c>
      <c r="F2369" t="s">
        <v>622</v>
      </c>
      <c r="G2369">
        <v>4</v>
      </c>
      <c r="H2369">
        <v>3</v>
      </c>
      <c r="I2369">
        <v>1</v>
      </c>
      <c r="J2369">
        <v>0</v>
      </c>
      <c r="K2369" s="9">
        <v>5.6607142857142856</v>
      </c>
    </row>
    <row r="2370" spans="1:11" x14ac:dyDescent="0.45">
      <c r="A2370" t="s">
        <v>221</v>
      </c>
      <c r="B2370" t="s">
        <v>678</v>
      </c>
      <c r="C2370" t="s">
        <v>101</v>
      </c>
      <c r="D2370">
        <v>4</v>
      </c>
      <c r="E2370" t="s">
        <v>460</v>
      </c>
      <c r="F2370" t="s">
        <v>622</v>
      </c>
      <c r="G2370">
        <v>29</v>
      </c>
      <c r="H2370">
        <v>14</v>
      </c>
      <c r="I2370">
        <v>6</v>
      </c>
      <c r="J2370">
        <v>0</v>
      </c>
      <c r="K2370" s="9">
        <v>4.8461538461538458</v>
      </c>
    </row>
    <row r="2371" spans="1:11" x14ac:dyDescent="0.45">
      <c r="A2371" t="s">
        <v>221</v>
      </c>
      <c r="B2371" t="s">
        <v>678</v>
      </c>
      <c r="C2371" t="s">
        <v>101</v>
      </c>
      <c r="D2371">
        <v>5</v>
      </c>
      <c r="E2371" t="s">
        <v>411</v>
      </c>
      <c r="F2371" t="s">
        <v>622</v>
      </c>
      <c r="G2371">
        <v>41</v>
      </c>
      <c r="H2371">
        <v>26</v>
      </c>
      <c r="I2371">
        <v>4</v>
      </c>
      <c r="J2371">
        <v>2</v>
      </c>
      <c r="K2371" s="9">
        <v>4.1568627450980395</v>
      </c>
    </row>
    <row r="2372" spans="1:11" x14ac:dyDescent="0.45">
      <c r="A2372" t="s">
        <v>221</v>
      </c>
      <c r="B2372" t="s">
        <v>678</v>
      </c>
      <c r="C2372" t="s">
        <v>101</v>
      </c>
      <c r="D2372">
        <v>6</v>
      </c>
      <c r="E2372" t="s">
        <v>540</v>
      </c>
      <c r="F2372" t="s">
        <v>622</v>
      </c>
      <c r="G2372">
        <v>2</v>
      </c>
      <c r="H2372">
        <v>3</v>
      </c>
      <c r="I2372">
        <v>0</v>
      </c>
      <c r="J2372">
        <v>0</v>
      </c>
      <c r="K2372" s="9">
        <v>5.6607142857142856</v>
      </c>
    </row>
    <row r="2373" spans="1:11" x14ac:dyDescent="0.45">
      <c r="A2373" t="s">
        <v>221</v>
      </c>
      <c r="B2373" t="s">
        <v>678</v>
      </c>
      <c r="C2373" t="s">
        <v>101</v>
      </c>
      <c r="D2373">
        <v>7</v>
      </c>
      <c r="E2373" t="s">
        <v>390</v>
      </c>
      <c r="F2373" t="s">
        <v>622</v>
      </c>
      <c r="G2373">
        <v>14</v>
      </c>
      <c r="H2373">
        <v>13</v>
      </c>
      <c r="I2373">
        <v>1</v>
      </c>
      <c r="J2373">
        <v>0</v>
      </c>
      <c r="K2373" s="9">
        <v>4.8939393939393936</v>
      </c>
    </row>
    <row r="2374" spans="1:11" x14ac:dyDescent="0.45">
      <c r="A2374" t="s">
        <v>221</v>
      </c>
      <c r="B2374" t="s">
        <v>678</v>
      </c>
      <c r="C2374" t="s">
        <v>101</v>
      </c>
      <c r="D2374">
        <v>8</v>
      </c>
      <c r="E2374" t="s">
        <v>379</v>
      </c>
      <c r="F2374" t="s">
        <v>623</v>
      </c>
      <c r="G2374">
        <v>79</v>
      </c>
      <c r="H2374">
        <v>32</v>
      </c>
      <c r="I2374">
        <v>3</v>
      </c>
      <c r="J2374">
        <v>10</v>
      </c>
      <c r="K2374" s="9">
        <v>3.9375</v>
      </c>
    </row>
    <row r="2375" spans="1:11" x14ac:dyDescent="0.45">
      <c r="A2375" t="s">
        <v>221</v>
      </c>
      <c r="B2375" t="s">
        <v>678</v>
      </c>
      <c r="C2375" t="s">
        <v>101</v>
      </c>
      <c r="D2375">
        <v>9</v>
      </c>
      <c r="E2375" t="s">
        <v>556</v>
      </c>
      <c r="F2375" t="s">
        <v>622</v>
      </c>
      <c r="G2375">
        <v>1</v>
      </c>
      <c r="H2375">
        <v>3</v>
      </c>
      <c r="I2375">
        <v>0</v>
      </c>
      <c r="J2375">
        <v>0</v>
      </c>
      <c r="K2375" s="9">
        <v>5.6607142857142856</v>
      </c>
    </row>
    <row r="2376" spans="1:11" x14ac:dyDescent="0.45">
      <c r="A2376" t="s">
        <v>221</v>
      </c>
      <c r="B2376" t="s">
        <v>678</v>
      </c>
      <c r="C2376" t="s">
        <v>101</v>
      </c>
      <c r="D2376">
        <v>10</v>
      </c>
      <c r="E2376" t="s">
        <v>493</v>
      </c>
      <c r="F2376" t="s">
        <v>623</v>
      </c>
      <c r="G2376">
        <v>7</v>
      </c>
      <c r="H2376">
        <v>12</v>
      </c>
      <c r="I2376">
        <v>1</v>
      </c>
      <c r="J2376">
        <v>0</v>
      </c>
      <c r="K2376" s="9">
        <v>4.8024691358024691</v>
      </c>
    </row>
    <row r="2377" spans="1:11" x14ac:dyDescent="0.45">
      <c r="A2377" t="s">
        <v>222</v>
      </c>
      <c r="B2377" t="s">
        <v>629</v>
      </c>
      <c r="C2377" t="s">
        <v>7</v>
      </c>
      <c r="D2377">
        <v>1</v>
      </c>
      <c r="E2377" t="s">
        <v>372</v>
      </c>
      <c r="F2377" t="s">
        <v>622</v>
      </c>
      <c r="G2377">
        <v>10</v>
      </c>
      <c r="H2377">
        <v>8</v>
      </c>
      <c r="I2377">
        <v>2</v>
      </c>
      <c r="J2377">
        <v>0</v>
      </c>
      <c r="K2377" s="9">
        <v>4.9029126213592233</v>
      </c>
    </row>
    <row r="2378" spans="1:11" x14ac:dyDescent="0.45">
      <c r="A2378" t="s">
        <v>222</v>
      </c>
      <c r="B2378" t="s">
        <v>629</v>
      </c>
      <c r="C2378" t="s">
        <v>7</v>
      </c>
      <c r="D2378">
        <v>2</v>
      </c>
      <c r="E2378" t="s">
        <v>578</v>
      </c>
      <c r="F2378" t="s">
        <v>622</v>
      </c>
      <c r="G2378">
        <v>18</v>
      </c>
      <c r="H2378">
        <v>12</v>
      </c>
      <c r="I2378">
        <v>1</v>
      </c>
      <c r="J2378">
        <v>2</v>
      </c>
      <c r="K2378" s="9">
        <v>4.8024691358024691</v>
      </c>
    </row>
    <row r="2379" spans="1:11" x14ac:dyDescent="0.45">
      <c r="A2379" t="s">
        <v>222</v>
      </c>
      <c r="B2379" t="s">
        <v>629</v>
      </c>
      <c r="C2379" t="s">
        <v>7</v>
      </c>
      <c r="D2379">
        <v>3</v>
      </c>
      <c r="E2379" t="s">
        <v>304</v>
      </c>
      <c r="F2379" t="s">
        <v>622</v>
      </c>
      <c r="G2379">
        <v>57</v>
      </c>
      <c r="H2379">
        <v>42</v>
      </c>
      <c r="I2379">
        <v>2</v>
      </c>
      <c r="J2379">
        <v>4</v>
      </c>
      <c r="K2379" s="9">
        <v>3.3913043478260869</v>
      </c>
    </row>
    <row r="2380" spans="1:11" x14ac:dyDescent="0.45">
      <c r="A2380" t="s">
        <v>222</v>
      </c>
      <c r="B2380" t="s">
        <v>629</v>
      </c>
      <c r="C2380" t="s">
        <v>7</v>
      </c>
      <c r="D2380">
        <v>4</v>
      </c>
      <c r="E2380" t="s">
        <v>306</v>
      </c>
      <c r="F2380" t="s">
        <v>622</v>
      </c>
      <c r="G2380">
        <v>22</v>
      </c>
      <c r="H2380">
        <v>17</v>
      </c>
      <c r="I2380">
        <v>2</v>
      </c>
      <c r="J2380">
        <v>0</v>
      </c>
      <c r="K2380" s="9">
        <v>4.82</v>
      </c>
    </row>
    <row r="2381" spans="1:11" x14ac:dyDescent="0.45">
      <c r="A2381" t="s">
        <v>222</v>
      </c>
      <c r="B2381" t="s">
        <v>629</v>
      </c>
      <c r="C2381" t="s">
        <v>7</v>
      </c>
      <c r="D2381">
        <v>5</v>
      </c>
      <c r="E2381" t="s">
        <v>440</v>
      </c>
      <c r="F2381" t="s">
        <v>622</v>
      </c>
      <c r="G2381">
        <v>10</v>
      </c>
      <c r="H2381">
        <v>10</v>
      </c>
      <c r="I2381">
        <v>0</v>
      </c>
      <c r="J2381">
        <v>1</v>
      </c>
      <c r="K2381" s="9">
        <v>4.7179487179487181</v>
      </c>
    </row>
    <row r="2382" spans="1:11" x14ac:dyDescent="0.45">
      <c r="A2382" t="s">
        <v>222</v>
      </c>
      <c r="B2382" t="s">
        <v>629</v>
      </c>
      <c r="C2382" t="s">
        <v>7</v>
      </c>
      <c r="D2382">
        <v>6</v>
      </c>
      <c r="E2382" t="s">
        <v>514</v>
      </c>
      <c r="F2382" t="s">
        <v>622</v>
      </c>
      <c r="G2382">
        <v>16</v>
      </c>
      <c r="H2382">
        <v>18</v>
      </c>
      <c r="I2382">
        <v>0</v>
      </c>
      <c r="J2382">
        <v>1</v>
      </c>
      <c r="K2382" s="9">
        <v>4.375</v>
      </c>
    </row>
    <row r="2383" spans="1:11" x14ac:dyDescent="0.45">
      <c r="A2383" t="s">
        <v>222</v>
      </c>
      <c r="B2383" t="s">
        <v>629</v>
      </c>
      <c r="C2383" t="s">
        <v>7</v>
      </c>
      <c r="D2383">
        <v>7</v>
      </c>
      <c r="E2383" t="s">
        <v>326</v>
      </c>
      <c r="F2383" t="s">
        <v>622</v>
      </c>
      <c r="G2383">
        <v>1</v>
      </c>
      <c r="H2383">
        <v>2</v>
      </c>
      <c r="I2383">
        <v>0</v>
      </c>
      <c r="J2383">
        <v>0</v>
      </c>
      <c r="K2383" s="9">
        <v>6.1385542168674698</v>
      </c>
    </row>
    <row r="2384" spans="1:11" x14ac:dyDescent="0.45">
      <c r="A2384" t="s">
        <v>222</v>
      </c>
      <c r="B2384" t="s">
        <v>629</v>
      </c>
      <c r="C2384" t="s">
        <v>7</v>
      </c>
      <c r="D2384">
        <v>8</v>
      </c>
      <c r="E2384" t="s">
        <v>532</v>
      </c>
      <c r="F2384" t="s">
        <v>623</v>
      </c>
      <c r="G2384">
        <v>6</v>
      </c>
      <c r="H2384">
        <v>6</v>
      </c>
      <c r="I2384">
        <v>0</v>
      </c>
      <c r="J2384">
        <v>0</v>
      </c>
      <c r="K2384" s="9">
        <v>5.4565217391304346</v>
      </c>
    </row>
    <row r="2385" spans="1:11" x14ac:dyDescent="0.45">
      <c r="A2385" t="s">
        <v>222</v>
      </c>
      <c r="B2385" t="s">
        <v>629</v>
      </c>
      <c r="C2385" t="s">
        <v>7</v>
      </c>
      <c r="D2385">
        <v>9</v>
      </c>
      <c r="E2385" t="s">
        <v>308</v>
      </c>
      <c r="F2385" t="s">
        <v>622</v>
      </c>
      <c r="G2385">
        <v>6</v>
      </c>
      <c r="H2385">
        <v>5</v>
      </c>
      <c r="I2385">
        <v>1</v>
      </c>
      <c r="J2385">
        <v>0</v>
      </c>
      <c r="K2385" s="9">
        <v>5.132075471698113</v>
      </c>
    </row>
    <row r="2386" spans="1:11" x14ac:dyDescent="0.45">
      <c r="A2386" t="s">
        <v>222</v>
      </c>
      <c r="B2386" t="s">
        <v>629</v>
      </c>
      <c r="C2386" t="s">
        <v>23</v>
      </c>
      <c r="D2386">
        <v>1</v>
      </c>
      <c r="E2386" t="s">
        <v>383</v>
      </c>
      <c r="F2386" t="s">
        <v>623</v>
      </c>
      <c r="G2386">
        <v>98</v>
      </c>
      <c r="H2386">
        <v>47</v>
      </c>
      <c r="I2386">
        <v>12</v>
      </c>
      <c r="J2386">
        <v>5</v>
      </c>
      <c r="K2386" s="9">
        <v>3</v>
      </c>
    </row>
    <row r="2387" spans="1:11" x14ac:dyDescent="0.45">
      <c r="A2387" t="s">
        <v>222</v>
      </c>
      <c r="B2387" t="s">
        <v>629</v>
      </c>
      <c r="C2387" t="s">
        <v>23</v>
      </c>
      <c r="D2387">
        <v>2</v>
      </c>
      <c r="E2387" t="s">
        <v>458</v>
      </c>
      <c r="F2387" t="s">
        <v>622</v>
      </c>
      <c r="G2387">
        <v>0</v>
      </c>
      <c r="H2387">
        <v>3</v>
      </c>
      <c r="I2387">
        <v>0</v>
      </c>
      <c r="J2387">
        <v>0</v>
      </c>
      <c r="K2387" s="9">
        <v>5.6607142857142856</v>
      </c>
    </row>
    <row r="2388" spans="1:11" x14ac:dyDescent="0.45">
      <c r="A2388" t="s">
        <v>222</v>
      </c>
      <c r="B2388" t="s">
        <v>629</v>
      </c>
      <c r="C2388" t="s">
        <v>23</v>
      </c>
      <c r="D2388">
        <v>3</v>
      </c>
      <c r="E2388" t="s">
        <v>386</v>
      </c>
      <c r="F2388" t="s">
        <v>623</v>
      </c>
      <c r="G2388">
        <v>48</v>
      </c>
      <c r="H2388">
        <v>29</v>
      </c>
      <c r="I2388">
        <v>2</v>
      </c>
      <c r="J2388">
        <v>5</v>
      </c>
      <c r="K2388" s="9">
        <v>4.0454545454545459</v>
      </c>
    </row>
    <row r="2389" spans="1:11" x14ac:dyDescent="0.45">
      <c r="A2389" t="s">
        <v>223</v>
      </c>
      <c r="B2389" t="s">
        <v>633</v>
      </c>
      <c r="C2389" t="s">
        <v>6</v>
      </c>
      <c r="D2389">
        <v>1</v>
      </c>
      <c r="E2389" t="s">
        <v>290</v>
      </c>
      <c r="F2389" t="s">
        <v>622</v>
      </c>
      <c r="G2389">
        <v>24</v>
      </c>
      <c r="H2389">
        <v>18</v>
      </c>
      <c r="I2389">
        <v>4</v>
      </c>
      <c r="J2389">
        <v>0</v>
      </c>
      <c r="K2389" s="9">
        <v>4.375</v>
      </c>
    </row>
    <row r="2390" spans="1:11" x14ac:dyDescent="0.45">
      <c r="A2390" t="s">
        <v>223</v>
      </c>
      <c r="B2390" t="s">
        <v>633</v>
      </c>
      <c r="C2390" t="s">
        <v>6</v>
      </c>
      <c r="D2390">
        <v>2</v>
      </c>
      <c r="E2390" t="s">
        <v>505</v>
      </c>
      <c r="F2390" t="s">
        <v>622</v>
      </c>
      <c r="G2390">
        <v>10</v>
      </c>
      <c r="H2390">
        <v>13</v>
      </c>
      <c r="I2390">
        <v>1</v>
      </c>
      <c r="J2390">
        <v>0</v>
      </c>
      <c r="K2390" s="9">
        <v>4.8939393939393936</v>
      </c>
    </row>
    <row r="2391" spans="1:11" x14ac:dyDescent="0.45">
      <c r="A2391" t="s">
        <v>223</v>
      </c>
      <c r="B2391" t="s">
        <v>633</v>
      </c>
      <c r="C2391" t="s">
        <v>6</v>
      </c>
      <c r="D2391">
        <v>3</v>
      </c>
      <c r="E2391" t="s">
        <v>481</v>
      </c>
      <c r="F2391" t="s">
        <v>622</v>
      </c>
      <c r="G2391">
        <v>21</v>
      </c>
      <c r="H2391">
        <v>20</v>
      </c>
      <c r="I2391">
        <v>2</v>
      </c>
      <c r="J2391">
        <v>0</v>
      </c>
      <c r="K2391" s="9">
        <v>4.9473684210526319</v>
      </c>
    </row>
    <row r="2392" spans="1:11" x14ac:dyDescent="0.45">
      <c r="A2392" t="s">
        <v>223</v>
      </c>
      <c r="B2392" t="s">
        <v>633</v>
      </c>
      <c r="C2392" t="s">
        <v>6</v>
      </c>
      <c r="D2392">
        <v>4</v>
      </c>
      <c r="E2392" t="s">
        <v>299</v>
      </c>
      <c r="F2392" t="s">
        <v>622</v>
      </c>
      <c r="G2392">
        <v>7</v>
      </c>
      <c r="H2392">
        <v>12</v>
      </c>
      <c r="I2392">
        <v>0</v>
      </c>
      <c r="J2392">
        <v>0</v>
      </c>
      <c r="K2392" s="9">
        <v>4.8024691358024691</v>
      </c>
    </row>
    <row r="2393" spans="1:11" x14ac:dyDescent="0.45">
      <c r="A2393" t="s">
        <v>223</v>
      </c>
      <c r="B2393" t="s">
        <v>633</v>
      </c>
      <c r="C2393" t="s">
        <v>6</v>
      </c>
      <c r="D2393">
        <v>5</v>
      </c>
      <c r="E2393" t="s">
        <v>387</v>
      </c>
      <c r="F2393" t="s">
        <v>622</v>
      </c>
      <c r="G2393">
        <v>25</v>
      </c>
      <c r="H2393">
        <v>12</v>
      </c>
      <c r="I2393">
        <v>0</v>
      </c>
      <c r="J2393">
        <v>3</v>
      </c>
      <c r="K2393" s="9">
        <v>4.8024691358024691</v>
      </c>
    </row>
    <row r="2394" spans="1:11" x14ac:dyDescent="0.45">
      <c r="A2394" t="s">
        <v>223</v>
      </c>
      <c r="B2394" t="s">
        <v>633</v>
      </c>
      <c r="C2394" t="s">
        <v>6</v>
      </c>
      <c r="D2394">
        <v>6</v>
      </c>
      <c r="E2394" t="s">
        <v>355</v>
      </c>
      <c r="F2394" t="s">
        <v>622</v>
      </c>
      <c r="G2394">
        <v>23</v>
      </c>
      <c r="H2394">
        <v>17</v>
      </c>
      <c r="I2394">
        <v>1</v>
      </c>
      <c r="J2394">
        <v>1</v>
      </c>
      <c r="K2394" s="9">
        <v>4.82</v>
      </c>
    </row>
    <row r="2395" spans="1:11" x14ac:dyDescent="0.45">
      <c r="A2395" t="s">
        <v>223</v>
      </c>
      <c r="B2395" t="s">
        <v>633</v>
      </c>
      <c r="C2395" t="s">
        <v>6</v>
      </c>
      <c r="D2395">
        <v>7</v>
      </c>
      <c r="E2395" t="s">
        <v>328</v>
      </c>
      <c r="F2395" t="s">
        <v>622</v>
      </c>
      <c r="G2395">
        <v>21</v>
      </c>
      <c r="H2395">
        <v>16</v>
      </c>
      <c r="I2395">
        <v>1</v>
      </c>
      <c r="J2395">
        <v>1</v>
      </c>
      <c r="K2395" s="9">
        <v>4.7608695652173916</v>
      </c>
    </row>
    <row r="2396" spans="1:11" x14ac:dyDescent="0.45">
      <c r="A2396" t="s">
        <v>223</v>
      </c>
      <c r="B2396" t="s">
        <v>633</v>
      </c>
      <c r="C2396" t="s">
        <v>6</v>
      </c>
      <c r="D2396">
        <v>8</v>
      </c>
      <c r="E2396" t="s">
        <v>356</v>
      </c>
      <c r="F2396" t="s">
        <v>622</v>
      </c>
      <c r="G2396">
        <v>20</v>
      </c>
      <c r="H2396">
        <v>9</v>
      </c>
      <c r="I2396">
        <v>1</v>
      </c>
      <c r="J2396">
        <v>2</v>
      </c>
      <c r="K2396" s="9">
        <v>4.924050632911392</v>
      </c>
    </row>
    <row r="2397" spans="1:11" x14ac:dyDescent="0.45">
      <c r="A2397" t="s">
        <v>223</v>
      </c>
      <c r="B2397" t="s">
        <v>633</v>
      </c>
      <c r="C2397" t="s">
        <v>6</v>
      </c>
      <c r="D2397">
        <v>9</v>
      </c>
      <c r="E2397" t="s">
        <v>324</v>
      </c>
      <c r="F2397" t="s">
        <v>623</v>
      </c>
      <c r="G2397">
        <v>1</v>
      </c>
      <c r="H2397">
        <v>2</v>
      </c>
      <c r="I2397">
        <v>0</v>
      </c>
      <c r="J2397">
        <v>0</v>
      </c>
      <c r="K2397" s="9">
        <v>6.1385542168674698</v>
      </c>
    </row>
    <row r="2398" spans="1:11" x14ac:dyDescent="0.45">
      <c r="A2398" t="s">
        <v>223</v>
      </c>
      <c r="B2398" t="s">
        <v>633</v>
      </c>
      <c r="C2398" t="s">
        <v>6</v>
      </c>
      <c r="D2398">
        <v>10</v>
      </c>
      <c r="E2398" t="s">
        <v>555</v>
      </c>
      <c r="F2398" t="s">
        <v>623</v>
      </c>
      <c r="G2398">
        <v>0</v>
      </c>
      <c r="H2398">
        <v>1</v>
      </c>
      <c r="I2398">
        <v>0</v>
      </c>
      <c r="J2398">
        <v>0</v>
      </c>
      <c r="K2398" s="9">
        <v>6.5693779904306222</v>
      </c>
    </row>
    <row r="2399" spans="1:11" x14ac:dyDescent="0.45">
      <c r="A2399" t="s">
        <v>223</v>
      </c>
      <c r="B2399" t="s">
        <v>633</v>
      </c>
      <c r="C2399" t="s">
        <v>10</v>
      </c>
      <c r="D2399">
        <v>1</v>
      </c>
      <c r="E2399" t="s">
        <v>442</v>
      </c>
      <c r="F2399" t="s">
        <v>622</v>
      </c>
      <c r="G2399">
        <v>0</v>
      </c>
      <c r="H2399">
        <v>2</v>
      </c>
      <c r="I2399">
        <v>0</v>
      </c>
      <c r="J2399">
        <v>0</v>
      </c>
      <c r="K2399" s="9">
        <v>6.1385542168674698</v>
      </c>
    </row>
    <row r="2400" spans="1:11" x14ac:dyDescent="0.45">
      <c r="A2400" t="s">
        <v>223</v>
      </c>
      <c r="B2400" t="s">
        <v>633</v>
      </c>
      <c r="C2400" t="s">
        <v>10</v>
      </c>
      <c r="D2400">
        <v>2</v>
      </c>
      <c r="E2400" t="s">
        <v>580</v>
      </c>
      <c r="F2400" t="s">
        <v>622</v>
      </c>
      <c r="G2400">
        <v>17</v>
      </c>
      <c r="H2400">
        <v>11</v>
      </c>
      <c r="I2400">
        <v>1</v>
      </c>
      <c r="J2400">
        <v>2</v>
      </c>
      <c r="K2400" s="9">
        <v>4.9649122807017543</v>
      </c>
    </row>
    <row r="2401" spans="1:11" x14ac:dyDescent="0.45">
      <c r="A2401" t="s">
        <v>223</v>
      </c>
      <c r="B2401" t="s">
        <v>633</v>
      </c>
      <c r="C2401" t="s">
        <v>10</v>
      </c>
      <c r="D2401">
        <v>3</v>
      </c>
      <c r="E2401" t="s">
        <v>498</v>
      </c>
      <c r="F2401" t="s">
        <v>622</v>
      </c>
      <c r="G2401">
        <v>5</v>
      </c>
      <c r="H2401">
        <v>4</v>
      </c>
      <c r="I2401">
        <v>1</v>
      </c>
      <c r="J2401">
        <v>0</v>
      </c>
      <c r="K2401" s="9">
        <v>5.352380952380952</v>
      </c>
    </row>
    <row r="2402" spans="1:11" x14ac:dyDescent="0.45">
      <c r="A2402" t="s">
        <v>223</v>
      </c>
      <c r="B2402" t="s">
        <v>633</v>
      </c>
      <c r="C2402" t="s">
        <v>10</v>
      </c>
      <c r="D2402">
        <v>4</v>
      </c>
      <c r="E2402" t="s">
        <v>374</v>
      </c>
      <c r="F2402" t="s">
        <v>622</v>
      </c>
      <c r="G2402">
        <v>27</v>
      </c>
      <c r="H2402">
        <v>29</v>
      </c>
      <c r="I2402">
        <v>1</v>
      </c>
      <c r="J2402">
        <v>2</v>
      </c>
      <c r="K2402" s="9">
        <v>4.0454545454545459</v>
      </c>
    </row>
    <row r="2403" spans="1:11" x14ac:dyDescent="0.45">
      <c r="A2403" t="s">
        <v>223</v>
      </c>
      <c r="B2403" t="s">
        <v>633</v>
      </c>
      <c r="C2403" t="s">
        <v>10</v>
      </c>
      <c r="D2403">
        <v>5</v>
      </c>
      <c r="E2403" t="s">
        <v>581</v>
      </c>
      <c r="F2403" t="s">
        <v>622</v>
      </c>
      <c r="G2403">
        <v>35</v>
      </c>
      <c r="H2403">
        <v>37</v>
      </c>
      <c r="I2403">
        <v>2</v>
      </c>
      <c r="J2403">
        <v>1</v>
      </c>
      <c r="K2403" s="9">
        <v>3.5555555555555554</v>
      </c>
    </row>
    <row r="2404" spans="1:11" x14ac:dyDescent="0.45">
      <c r="A2404" t="s">
        <v>223</v>
      </c>
      <c r="B2404" t="s">
        <v>633</v>
      </c>
      <c r="C2404" t="s">
        <v>10</v>
      </c>
      <c r="D2404">
        <v>6</v>
      </c>
      <c r="E2404" t="s">
        <v>357</v>
      </c>
      <c r="F2404" t="s">
        <v>622</v>
      </c>
      <c r="G2404">
        <v>10</v>
      </c>
      <c r="H2404">
        <v>16</v>
      </c>
      <c r="I2404">
        <v>0</v>
      </c>
      <c r="J2404">
        <v>0</v>
      </c>
      <c r="K2404" s="9">
        <v>4.7608695652173916</v>
      </c>
    </row>
    <row r="2405" spans="1:11" x14ac:dyDescent="0.45">
      <c r="A2405" t="s">
        <v>223</v>
      </c>
      <c r="B2405" t="s">
        <v>633</v>
      </c>
      <c r="C2405" t="s">
        <v>10</v>
      </c>
      <c r="D2405">
        <v>7</v>
      </c>
      <c r="E2405" t="s">
        <v>337</v>
      </c>
      <c r="F2405" t="s">
        <v>622</v>
      </c>
      <c r="G2405">
        <v>21</v>
      </c>
      <c r="H2405">
        <v>12</v>
      </c>
      <c r="I2405">
        <v>2</v>
      </c>
      <c r="J2405">
        <v>1</v>
      </c>
      <c r="K2405" s="9">
        <v>4.8024691358024691</v>
      </c>
    </row>
    <row r="2406" spans="1:11" x14ac:dyDescent="0.45">
      <c r="A2406" t="s">
        <v>223</v>
      </c>
      <c r="B2406" t="s">
        <v>633</v>
      </c>
      <c r="C2406" t="s">
        <v>10</v>
      </c>
      <c r="D2406">
        <v>8</v>
      </c>
      <c r="E2406" t="s">
        <v>545</v>
      </c>
      <c r="F2406" t="s">
        <v>623</v>
      </c>
      <c r="G2406">
        <v>2</v>
      </c>
      <c r="H2406">
        <v>3</v>
      </c>
      <c r="I2406">
        <v>0</v>
      </c>
      <c r="J2406">
        <v>0</v>
      </c>
      <c r="K2406" s="9">
        <v>5.6607142857142856</v>
      </c>
    </row>
    <row r="2407" spans="1:11" x14ac:dyDescent="0.45">
      <c r="A2407" t="s">
        <v>223</v>
      </c>
      <c r="B2407" t="s">
        <v>633</v>
      </c>
      <c r="C2407" t="s">
        <v>10</v>
      </c>
      <c r="D2407">
        <v>9</v>
      </c>
      <c r="E2407" t="s">
        <v>436</v>
      </c>
      <c r="F2407" t="s">
        <v>622</v>
      </c>
      <c r="G2407">
        <v>12</v>
      </c>
      <c r="H2407">
        <v>5</v>
      </c>
      <c r="I2407">
        <v>3</v>
      </c>
      <c r="J2407">
        <v>0</v>
      </c>
      <c r="K2407" s="9">
        <v>5.132075471698113</v>
      </c>
    </row>
    <row r="2408" spans="1:11" x14ac:dyDescent="0.45">
      <c r="A2408" t="s">
        <v>223</v>
      </c>
      <c r="B2408" t="s">
        <v>633</v>
      </c>
      <c r="C2408" t="s">
        <v>10</v>
      </c>
      <c r="D2408">
        <v>10</v>
      </c>
      <c r="E2408" t="s">
        <v>500</v>
      </c>
      <c r="F2408" t="s">
        <v>623</v>
      </c>
      <c r="G2408">
        <v>0</v>
      </c>
      <c r="H2408">
        <v>1</v>
      </c>
      <c r="I2408">
        <v>0</v>
      </c>
      <c r="J2408">
        <v>0</v>
      </c>
      <c r="K2408" s="9">
        <v>6.5693779904306222</v>
      </c>
    </row>
    <row r="2409" spans="1:11" x14ac:dyDescent="0.45">
      <c r="A2409" t="s">
        <v>224</v>
      </c>
      <c r="B2409" t="s">
        <v>643</v>
      </c>
      <c r="C2409" t="s">
        <v>13</v>
      </c>
      <c r="D2409">
        <v>1</v>
      </c>
      <c r="E2409" t="s">
        <v>343</v>
      </c>
      <c r="F2409" t="s">
        <v>622</v>
      </c>
      <c r="G2409">
        <v>1</v>
      </c>
      <c r="H2409">
        <v>4</v>
      </c>
      <c r="I2409">
        <v>0</v>
      </c>
      <c r="J2409">
        <v>0</v>
      </c>
      <c r="K2409" s="9">
        <v>5.352380952380952</v>
      </c>
    </row>
    <row r="2410" spans="1:11" x14ac:dyDescent="0.45">
      <c r="A2410" t="s">
        <v>224</v>
      </c>
      <c r="B2410" t="s">
        <v>643</v>
      </c>
      <c r="C2410" t="s">
        <v>13</v>
      </c>
      <c r="D2410">
        <v>2</v>
      </c>
      <c r="E2410" t="s">
        <v>294</v>
      </c>
      <c r="F2410" t="s">
        <v>622</v>
      </c>
      <c r="G2410">
        <v>65</v>
      </c>
      <c r="H2410">
        <v>41</v>
      </c>
      <c r="I2410">
        <v>5</v>
      </c>
      <c r="J2410">
        <v>3</v>
      </c>
      <c r="K2410" s="9">
        <v>3.0909090909090908</v>
      </c>
    </row>
    <row r="2411" spans="1:11" x14ac:dyDescent="0.45">
      <c r="A2411" t="s">
        <v>224</v>
      </c>
      <c r="B2411" t="s">
        <v>643</v>
      </c>
      <c r="C2411" t="s">
        <v>13</v>
      </c>
      <c r="D2411">
        <v>3</v>
      </c>
      <c r="E2411" t="s">
        <v>388</v>
      </c>
      <c r="F2411" t="s">
        <v>622</v>
      </c>
      <c r="G2411">
        <v>6</v>
      </c>
      <c r="H2411">
        <v>4</v>
      </c>
      <c r="I2411">
        <v>1</v>
      </c>
      <c r="J2411">
        <v>0</v>
      </c>
      <c r="K2411" s="9">
        <v>5.352380952380952</v>
      </c>
    </row>
    <row r="2412" spans="1:11" x14ac:dyDescent="0.45">
      <c r="A2412" t="s">
        <v>224</v>
      </c>
      <c r="B2412" t="s">
        <v>643</v>
      </c>
      <c r="C2412" t="s">
        <v>13</v>
      </c>
      <c r="D2412">
        <v>4</v>
      </c>
      <c r="E2412" t="s">
        <v>345</v>
      </c>
      <c r="F2412" t="s">
        <v>622</v>
      </c>
      <c r="G2412">
        <v>68</v>
      </c>
      <c r="H2412">
        <v>33</v>
      </c>
      <c r="I2412">
        <v>8</v>
      </c>
      <c r="J2412">
        <v>4</v>
      </c>
      <c r="K2412" s="9">
        <v>2.8421052631578947</v>
      </c>
    </row>
    <row r="2413" spans="1:11" x14ac:dyDescent="0.45">
      <c r="A2413" t="s">
        <v>224</v>
      </c>
      <c r="B2413" t="s">
        <v>643</v>
      </c>
      <c r="C2413" t="s">
        <v>13</v>
      </c>
      <c r="D2413">
        <v>5</v>
      </c>
      <c r="E2413" t="s">
        <v>430</v>
      </c>
      <c r="F2413" t="s">
        <v>622</v>
      </c>
      <c r="G2413">
        <v>1</v>
      </c>
      <c r="H2413">
        <v>3</v>
      </c>
      <c r="I2413">
        <v>0</v>
      </c>
      <c r="J2413">
        <v>0</v>
      </c>
      <c r="K2413" s="9">
        <v>5.6607142857142856</v>
      </c>
    </row>
    <row r="2414" spans="1:11" x14ac:dyDescent="0.45">
      <c r="A2414" t="s">
        <v>224</v>
      </c>
      <c r="B2414" t="s">
        <v>643</v>
      </c>
      <c r="C2414" t="s">
        <v>13</v>
      </c>
      <c r="D2414">
        <v>6</v>
      </c>
      <c r="E2414" t="s">
        <v>311</v>
      </c>
      <c r="F2414" t="s">
        <v>622</v>
      </c>
      <c r="G2414">
        <v>30</v>
      </c>
      <c r="H2414">
        <v>18</v>
      </c>
      <c r="I2414">
        <v>4</v>
      </c>
      <c r="J2414">
        <v>1</v>
      </c>
      <c r="K2414" s="9">
        <v>4.375</v>
      </c>
    </row>
    <row r="2415" spans="1:11" x14ac:dyDescent="0.45">
      <c r="A2415" t="s">
        <v>224</v>
      </c>
      <c r="B2415" t="s">
        <v>643</v>
      </c>
      <c r="C2415" t="s">
        <v>13</v>
      </c>
      <c r="D2415">
        <v>7</v>
      </c>
      <c r="E2415" t="s">
        <v>443</v>
      </c>
      <c r="F2415" t="s">
        <v>623</v>
      </c>
      <c r="G2415">
        <v>12</v>
      </c>
      <c r="H2415">
        <v>10</v>
      </c>
      <c r="I2415">
        <v>1</v>
      </c>
      <c r="J2415">
        <v>0</v>
      </c>
      <c r="K2415" s="9">
        <v>4.7179487179487181</v>
      </c>
    </row>
    <row r="2416" spans="1:11" x14ac:dyDescent="0.45">
      <c r="A2416" t="s">
        <v>224</v>
      </c>
      <c r="B2416" t="s">
        <v>643</v>
      </c>
      <c r="C2416" t="s">
        <v>13</v>
      </c>
      <c r="D2416">
        <v>8</v>
      </c>
      <c r="E2416" t="s">
        <v>448</v>
      </c>
      <c r="F2416" t="s">
        <v>623</v>
      </c>
      <c r="G2416">
        <v>12</v>
      </c>
      <c r="H2416">
        <v>8</v>
      </c>
      <c r="I2416">
        <v>2</v>
      </c>
      <c r="J2416">
        <v>0</v>
      </c>
      <c r="K2416" s="9">
        <v>4.9029126213592233</v>
      </c>
    </row>
    <row r="2417" spans="1:11" x14ac:dyDescent="0.45">
      <c r="A2417" t="s">
        <v>224</v>
      </c>
      <c r="B2417" t="s">
        <v>643</v>
      </c>
      <c r="C2417" t="s">
        <v>19</v>
      </c>
      <c r="D2417">
        <v>1</v>
      </c>
      <c r="E2417" t="s">
        <v>360</v>
      </c>
      <c r="F2417" t="s">
        <v>622</v>
      </c>
      <c r="G2417">
        <v>42</v>
      </c>
      <c r="H2417">
        <v>21</v>
      </c>
      <c r="I2417">
        <v>4</v>
      </c>
      <c r="J2417">
        <v>4</v>
      </c>
      <c r="K2417" s="9">
        <v>4.3770491803278686</v>
      </c>
    </row>
    <row r="2418" spans="1:11" x14ac:dyDescent="0.45">
      <c r="A2418" t="s">
        <v>224</v>
      </c>
      <c r="B2418" t="s">
        <v>643</v>
      </c>
      <c r="C2418" t="s">
        <v>19</v>
      </c>
      <c r="D2418">
        <v>2</v>
      </c>
      <c r="E2418" t="s">
        <v>359</v>
      </c>
      <c r="F2418" t="s">
        <v>622</v>
      </c>
      <c r="G2418">
        <v>7</v>
      </c>
      <c r="H2418">
        <v>8</v>
      </c>
      <c r="I2418">
        <v>1</v>
      </c>
      <c r="J2418">
        <v>0</v>
      </c>
      <c r="K2418" s="9">
        <v>4.9029126213592233</v>
      </c>
    </row>
    <row r="2419" spans="1:11" x14ac:dyDescent="0.45">
      <c r="A2419" t="s">
        <v>224</v>
      </c>
      <c r="B2419" t="s">
        <v>643</v>
      </c>
      <c r="C2419" t="s">
        <v>19</v>
      </c>
      <c r="D2419">
        <v>3</v>
      </c>
      <c r="E2419" t="s">
        <v>363</v>
      </c>
      <c r="F2419" t="s">
        <v>622</v>
      </c>
      <c r="G2419">
        <v>83</v>
      </c>
      <c r="H2419">
        <v>35</v>
      </c>
      <c r="I2419">
        <v>7</v>
      </c>
      <c r="J2419">
        <v>6</v>
      </c>
      <c r="K2419" s="9">
        <v>3.5769230769230771</v>
      </c>
    </row>
    <row r="2420" spans="1:11" x14ac:dyDescent="0.45">
      <c r="A2420" t="s">
        <v>224</v>
      </c>
      <c r="B2420" t="s">
        <v>643</v>
      </c>
      <c r="C2420" t="s">
        <v>19</v>
      </c>
      <c r="D2420">
        <v>4</v>
      </c>
      <c r="E2420" t="s">
        <v>559</v>
      </c>
      <c r="F2420" t="s">
        <v>623</v>
      </c>
      <c r="G2420">
        <v>52</v>
      </c>
      <c r="H2420">
        <v>34</v>
      </c>
      <c r="I2420">
        <v>4</v>
      </c>
      <c r="J2420">
        <v>3</v>
      </c>
      <c r="K2420" s="9">
        <v>4.4137931034482758</v>
      </c>
    </row>
    <row r="2421" spans="1:11" x14ac:dyDescent="0.45">
      <c r="A2421" t="s">
        <v>224</v>
      </c>
      <c r="B2421" t="s">
        <v>643</v>
      </c>
      <c r="C2421" t="s">
        <v>19</v>
      </c>
      <c r="D2421">
        <v>5</v>
      </c>
      <c r="E2421" t="s">
        <v>447</v>
      </c>
      <c r="F2421" t="s">
        <v>622</v>
      </c>
      <c r="G2421">
        <v>0</v>
      </c>
      <c r="H2421">
        <v>1</v>
      </c>
      <c r="I2421">
        <v>0</v>
      </c>
      <c r="J2421">
        <v>0</v>
      </c>
      <c r="K2421" s="9">
        <v>6.5693779904306222</v>
      </c>
    </row>
    <row r="2422" spans="1:11" x14ac:dyDescent="0.45">
      <c r="A2422" t="s">
        <v>224</v>
      </c>
      <c r="B2422" t="s">
        <v>643</v>
      </c>
      <c r="C2422" t="s">
        <v>19</v>
      </c>
      <c r="D2422">
        <v>6</v>
      </c>
      <c r="E2422" t="s">
        <v>560</v>
      </c>
      <c r="F2422" t="s">
        <v>623</v>
      </c>
      <c r="G2422">
        <v>2</v>
      </c>
      <c r="H2422">
        <v>2</v>
      </c>
      <c r="I2422">
        <v>0</v>
      </c>
      <c r="J2422">
        <v>0</v>
      </c>
      <c r="K2422" s="9">
        <v>6.1385542168674698</v>
      </c>
    </row>
    <row r="2423" spans="1:11" x14ac:dyDescent="0.45">
      <c r="A2423" t="s">
        <v>225</v>
      </c>
      <c r="B2423" t="s">
        <v>656</v>
      </c>
      <c r="C2423" t="s">
        <v>26</v>
      </c>
      <c r="D2423">
        <v>1</v>
      </c>
      <c r="E2423" t="s">
        <v>454</v>
      </c>
      <c r="F2423" t="s">
        <v>622</v>
      </c>
      <c r="G2423">
        <v>12</v>
      </c>
      <c r="H2423">
        <v>8</v>
      </c>
      <c r="I2423">
        <v>3</v>
      </c>
      <c r="J2423">
        <v>0</v>
      </c>
      <c r="K2423" s="9">
        <v>4.9029126213592233</v>
      </c>
    </row>
    <row r="2424" spans="1:11" x14ac:dyDescent="0.45">
      <c r="A2424" t="s">
        <v>225</v>
      </c>
      <c r="B2424" t="s">
        <v>656</v>
      </c>
      <c r="C2424" t="s">
        <v>26</v>
      </c>
      <c r="D2424">
        <v>2</v>
      </c>
      <c r="E2424" t="s">
        <v>330</v>
      </c>
      <c r="F2424" t="s">
        <v>622</v>
      </c>
      <c r="G2424">
        <v>57</v>
      </c>
      <c r="H2424">
        <v>47</v>
      </c>
      <c r="I2424">
        <v>9</v>
      </c>
      <c r="J2424">
        <v>1</v>
      </c>
      <c r="K2424" s="9">
        <v>3</v>
      </c>
    </row>
    <row r="2425" spans="1:11" x14ac:dyDescent="0.45">
      <c r="A2425" t="s">
        <v>225</v>
      </c>
      <c r="B2425" t="s">
        <v>656</v>
      </c>
      <c r="C2425" t="s">
        <v>26</v>
      </c>
      <c r="D2425">
        <v>3</v>
      </c>
      <c r="E2425" t="s">
        <v>519</v>
      </c>
      <c r="F2425" t="s">
        <v>622</v>
      </c>
      <c r="G2425">
        <v>0</v>
      </c>
      <c r="H2425">
        <v>3</v>
      </c>
      <c r="I2425">
        <v>0</v>
      </c>
      <c r="J2425">
        <v>0</v>
      </c>
      <c r="K2425" s="9">
        <v>5.6607142857142856</v>
      </c>
    </row>
    <row r="2426" spans="1:11" x14ac:dyDescent="0.45">
      <c r="A2426" t="s">
        <v>225</v>
      </c>
      <c r="B2426" t="s">
        <v>656</v>
      </c>
      <c r="C2426" t="s">
        <v>26</v>
      </c>
      <c r="D2426">
        <v>4</v>
      </c>
      <c r="E2426" t="s">
        <v>384</v>
      </c>
      <c r="F2426" t="s">
        <v>622</v>
      </c>
      <c r="G2426">
        <v>15</v>
      </c>
      <c r="H2426">
        <v>9</v>
      </c>
      <c r="I2426">
        <v>3</v>
      </c>
      <c r="J2426">
        <v>0</v>
      </c>
      <c r="K2426" s="9">
        <v>4.924050632911392</v>
      </c>
    </row>
    <row r="2427" spans="1:11" x14ac:dyDescent="0.45">
      <c r="A2427" t="s">
        <v>225</v>
      </c>
      <c r="B2427" t="s">
        <v>656</v>
      </c>
      <c r="C2427" t="s">
        <v>26</v>
      </c>
      <c r="D2427">
        <v>5</v>
      </c>
      <c r="E2427" t="s">
        <v>495</v>
      </c>
      <c r="F2427" t="s">
        <v>622</v>
      </c>
      <c r="G2427">
        <v>21</v>
      </c>
      <c r="H2427">
        <v>18</v>
      </c>
      <c r="I2427">
        <v>0</v>
      </c>
      <c r="J2427">
        <v>2</v>
      </c>
      <c r="K2427" s="9">
        <v>4.375</v>
      </c>
    </row>
    <row r="2428" spans="1:11" x14ac:dyDescent="0.45">
      <c r="A2428" t="s">
        <v>225</v>
      </c>
      <c r="B2428" t="s">
        <v>656</v>
      </c>
      <c r="C2428" t="s">
        <v>26</v>
      </c>
      <c r="D2428">
        <v>6</v>
      </c>
      <c r="E2428" t="s">
        <v>420</v>
      </c>
      <c r="F2428" t="s">
        <v>622</v>
      </c>
      <c r="G2428">
        <v>4</v>
      </c>
      <c r="H2428">
        <v>9</v>
      </c>
      <c r="I2428">
        <v>0</v>
      </c>
      <c r="J2428">
        <v>0</v>
      </c>
      <c r="K2428" s="9">
        <v>4.924050632911392</v>
      </c>
    </row>
    <row r="2429" spans="1:11" x14ac:dyDescent="0.45">
      <c r="A2429" t="s">
        <v>225</v>
      </c>
      <c r="B2429" t="s">
        <v>656</v>
      </c>
      <c r="C2429" t="s">
        <v>26</v>
      </c>
      <c r="D2429">
        <v>7</v>
      </c>
      <c r="E2429" t="s">
        <v>520</v>
      </c>
      <c r="F2429" t="s">
        <v>622</v>
      </c>
      <c r="G2429">
        <v>19</v>
      </c>
      <c r="H2429">
        <v>11</v>
      </c>
      <c r="I2429">
        <v>1</v>
      </c>
      <c r="J2429">
        <v>1</v>
      </c>
      <c r="K2429" s="9">
        <v>4.9649122807017543</v>
      </c>
    </row>
    <row r="2430" spans="1:11" x14ac:dyDescent="0.45">
      <c r="A2430" t="s">
        <v>225</v>
      </c>
      <c r="B2430" t="s">
        <v>656</v>
      </c>
      <c r="C2430" t="s">
        <v>26</v>
      </c>
      <c r="D2430">
        <v>8</v>
      </c>
      <c r="E2430" t="s">
        <v>400</v>
      </c>
      <c r="F2430" t="s">
        <v>623</v>
      </c>
      <c r="G2430">
        <v>21</v>
      </c>
      <c r="H2430">
        <v>8</v>
      </c>
      <c r="I2430">
        <v>3</v>
      </c>
      <c r="J2430">
        <v>1</v>
      </c>
      <c r="K2430" s="9">
        <v>4.9029126213592233</v>
      </c>
    </row>
    <row r="2431" spans="1:11" x14ac:dyDescent="0.45">
      <c r="A2431" t="s">
        <v>225</v>
      </c>
      <c r="B2431" t="s">
        <v>656</v>
      </c>
      <c r="C2431" t="s">
        <v>26</v>
      </c>
      <c r="D2431">
        <v>9</v>
      </c>
      <c r="E2431" t="s">
        <v>404</v>
      </c>
      <c r="F2431" t="s">
        <v>623</v>
      </c>
      <c r="G2431">
        <v>17</v>
      </c>
      <c r="H2431">
        <v>9</v>
      </c>
      <c r="I2431">
        <v>2</v>
      </c>
      <c r="J2431">
        <v>1</v>
      </c>
      <c r="K2431" s="9">
        <v>4.924050632911392</v>
      </c>
    </row>
    <row r="2432" spans="1:11" x14ac:dyDescent="0.45">
      <c r="A2432" t="s">
        <v>225</v>
      </c>
      <c r="B2432" t="s">
        <v>656</v>
      </c>
      <c r="C2432" t="s">
        <v>7</v>
      </c>
      <c r="D2432">
        <v>1</v>
      </c>
      <c r="E2432" t="s">
        <v>372</v>
      </c>
      <c r="F2432" t="s">
        <v>622</v>
      </c>
      <c r="G2432">
        <v>38</v>
      </c>
      <c r="H2432">
        <v>24</v>
      </c>
      <c r="I2432">
        <v>8</v>
      </c>
      <c r="J2432">
        <v>0</v>
      </c>
      <c r="K2432" s="9">
        <v>4.0606060606060606</v>
      </c>
    </row>
    <row r="2433" spans="1:11" x14ac:dyDescent="0.45">
      <c r="A2433" t="s">
        <v>225</v>
      </c>
      <c r="B2433" t="s">
        <v>656</v>
      </c>
      <c r="C2433" t="s">
        <v>7</v>
      </c>
      <c r="D2433">
        <v>2</v>
      </c>
      <c r="E2433" t="s">
        <v>578</v>
      </c>
      <c r="F2433" t="s">
        <v>622</v>
      </c>
      <c r="G2433">
        <v>15</v>
      </c>
      <c r="H2433">
        <v>12</v>
      </c>
      <c r="I2433">
        <v>1</v>
      </c>
      <c r="J2433">
        <v>1</v>
      </c>
      <c r="K2433" s="9">
        <v>4.8024691358024691</v>
      </c>
    </row>
    <row r="2434" spans="1:11" x14ac:dyDescent="0.45">
      <c r="A2434" t="s">
        <v>225</v>
      </c>
      <c r="B2434" t="s">
        <v>656</v>
      </c>
      <c r="C2434" t="s">
        <v>7</v>
      </c>
      <c r="D2434">
        <v>3</v>
      </c>
      <c r="E2434" t="s">
        <v>306</v>
      </c>
      <c r="F2434" t="s">
        <v>622</v>
      </c>
      <c r="G2434">
        <v>51</v>
      </c>
      <c r="H2434">
        <v>38</v>
      </c>
      <c r="I2434">
        <v>6</v>
      </c>
      <c r="J2434">
        <v>1</v>
      </c>
      <c r="K2434" s="9">
        <v>3.6842105263157894</v>
      </c>
    </row>
    <row r="2435" spans="1:11" x14ac:dyDescent="0.45">
      <c r="A2435" t="s">
        <v>225</v>
      </c>
      <c r="B2435" t="s">
        <v>656</v>
      </c>
      <c r="C2435" t="s">
        <v>7</v>
      </c>
      <c r="D2435">
        <v>4</v>
      </c>
      <c r="E2435" t="s">
        <v>304</v>
      </c>
      <c r="F2435" t="s">
        <v>622</v>
      </c>
      <c r="G2435">
        <v>11</v>
      </c>
      <c r="H2435">
        <v>13</v>
      </c>
      <c r="I2435">
        <v>0</v>
      </c>
      <c r="J2435">
        <v>0</v>
      </c>
      <c r="K2435" s="9">
        <v>4.8939393939393936</v>
      </c>
    </row>
    <row r="2436" spans="1:11" x14ac:dyDescent="0.45">
      <c r="A2436" t="s">
        <v>225</v>
      </c>
      <c r="B2436" t="s">
        <v>656</v>
      </c>
      <c r="C2436" t="s">
        <v>7</v>
      </c>
      <c r="D2436">
        <v>5</v>
      </c>
      <c r="E2436" t="s">
        <v>440</v>
      </c>
      <c r="F2436" t="s">
        <v>622</v>
      </c>
      <c r="G2436">
        <v>42</v>
      </c>
      <c r="H2436">
        <v>23</v>
      </c>
      <c r="I2436">
        <v>3</v>
      </c>
      <c r="J2436">
        <v>3</v>
      </c>
      <c r="K2436" s="9">
        <v>5.1142857142857139</v>
      </c>
    </row>
    <row r="2437" spans="1:11" x14ac:dyDescent="0.45">
      <c r="A2437" t="s">
        <v>225</v>
      </c>
      <c r="B2437" t="s">
        <v>656</v>
      </c>
      <c r="C2437" t="s">
        <v>7</v>
      </c>
      <c r="D2437">
        <v>6</v>
      </c>
      <c r="E2437" t="s">
        <v>514</v>
      </c>
      <c r="F2437" t="s">
        <v>623</v>
      </c>
      <c r="G2437">
        <v>21</v>
      </c>
      <c r="H2437">
        <v>10</v>
      </c>
      <c r="I2437">
        <v>2</v>
      </c>
      <c r="J2437">
        <v>1</v>
      </c>
      <c r="K2437" s="9">
        <v>4.7179487179487181</v>
      </c>
    </row>
    <row r="2438" spans="1:11" x14ac:dyDescent="0.45">
      <c r="A2438" t="s">
        <v>225</v>
      </c>
      <c r="B2438" t="s">
        <v>656</v>
      </c>
      <c r="C2438" t="s">
        <v>7</v>
      </c>
      <c r="D2438">
        <v>7</v>
      </c>
      <c r="E2438" t="s">
        <v>326</v>
      </c>
      <c r="F2438" t="s">
        <v>623</v>
      </c>
      <c r="G2438">
        <v>0</v>
      </c>
      <c r="H2438">
        <v>0</v>
      </c>
      <c r="I2438">
        <v>0</v>
      </c>
      <c r="J2438">
        <v>0</v>
      </c>
      <c r="K2438" s="9">
        <v>6.2519685039370083</v>
      </c>
    </row>
    <row r="2439" spans="1:11" x14ac:dyDescent="0.45">
      <c r="A2439" t="s">
        <v>226</v>
      </c>
      <c r="B2439" t="s">
        <v>642</v>
      </c>
      <c r="C2439" t="s">
        <v>23</v>
      </c>
      <c r="D2439">
        <v>1</v>
      </c>
      <c r="E2439" t="s">
        <v>383</v>
      </c>
      <c r="F2439" t="s">
        <v>622</v>
      </c>
      <c r="G2439">
        <v>35</v>
      </c>
      <c r="H2439">
        <v>18</v>
      </c>
      <c r="I2439">
        <v>5</v>
      </c>
      <c r="J2439">
        <v>2</v>
      </c>
      <c r="K2439" s="9">
        <v>4.375</v>
      </c>
    </row>
    <row r="2440" spans="1:11" x14ac:dyDescent="0.45">
      <c r="A2440" t="s">
        <v>226</v>
      </c>
      <c r="B2440" t="s">
        <v>642</v>
      </c>
      <c r="C2440" t="s">
        <v>23</v>
      </c>
      <c r="D2440">
        <v>2</v>
      </c>
      <c r="E2440" t="s">
        <v>458</v>
      </c>
      <c r="F2440" t="s">
        <v>622</v>
      </c>
      <c r="G2440">
        <v>95</v>
      </c>
      <c r="H2440">
        <v>59</v>
      </c>
      <c r="I2440">
        <v>10</v>
      </c>
      <c r="J2440">
        <v>4</v>
      </c>
      <c r="K2440" s="9">
        <v>2.6666666666666665</v>
      </c>
    </row>
    <row r="2441" spans="1:11" x14ac:dyDescent="0.45">
      <c r="A2441" t="s">
        <v>226</v>
      </c>
      <c r="B2441" t="s">
        <v>642</v>
      </c>
      <c r="C2441" t="s">
        <v>23</v>
      </c>
      <c r="D2441">
        <v>3</v>
      </c>
      <c r="E2441" t="s">
        <v>386</v>
      </c>
      <c r="F2441" t="s">
        <v>623</v>
      </c>
      <c r="G2441">
        <v>66</v>
      </c>
      <c r="H2441">
        <v>38</v>
      </c>
      <c r="I2441">
        <v>4</v>
      </c>
      <c r="J2441">
        <v>5</v>
      </c>
      <c r="K2441" s="9">
        <v>3.6842105263157894</v>
      </c>
    </row>
    <row r="2442" spans="1:11" x14ac:dyDescent="0.45">
      <c r="A2442" t="s">
        <v>226</v>
      </c>
      <c r="B2442" t="s">
        <v>642</v>
      </c>
      <c r="C2442" t="s">
        <v>23</v>
      </c>
      <c r="D2442">
        <v>4</v>
      </c>
      <c r="E2442" t="s">
        <v>336</v>
      </c>
      <c r="F2442" t="s">
        <v>623</v>
      </c>
      <c r="G2442">
        <v>7</v>
      </c>
      <c r="H2442">
        <v>5</v>
      </c>
      <c r="I2442">
        <v>0</v>
      </c>
      <c r="J2442">
        <v>0</v>
      </c>
      <c r="K2442" s="9">
        <v>5.132075471698113</v>
      </c>
    </row>
    <row r="2443" spans="1:11" x14ac:dyDescent="0.45">
      <c r="A2443" t="s">
        <v>226</v>
      </c>
      <c r="B2443" t="s">
        <v>642</v>
      </c>
      <c r="C2443" t="s">
        <v>20</v>
      </c>
      <c r="D2443">
        <v>1</v>
      </c>
      <c r="E2443" t="s">
        <v>453</v>
      </c>
      <c r="F2443" t="s">
        <v>622</v>
      </c>
      <c r="G2443">
        <v>33</v>
      </c>
      <c r="H2443">
        <v>25</v>
      </c>
      <c r="I2443">
        <v>4</v>
      </c>
      <c r="J2443">
        <v>1</v>
      </c>
      <c r="K2443" s="9">
        <v>4.4782608695652177</v>
      </c>
    </row>
    <row r="2444" spans="1:11" x14ac:dyDescent="0.45">
      <c r="A2444" t="s">
        <v>226</v>
      </c>
      <c r="B2444" t="s">
        <v>642</v>
      </c>
      <c r="C2444" t="s">
        <v>20</v>
      </c>
      <c r="D2444">
        <v>2</v>
      </c>
      <c r="E2444" t="s">
        <v>373</v>
      </c>
      <c r="F2444" t="s">
        <v>622</v>
      </c>
      <c r="G2444">
        <v>55</v>
      </c>
      <c r="H2444">
        <v>34</v>
      </c>
      <c r="I2444">
        <v>5</v>
      </c>
      <c r="J2444">
        <v>2</v>
      </c>
      <c r="K2444" s="9">
        <v>4.4137931034482758</v>
      </c>
    </row>
    <row r="2445" spans="1:11" x14ac:dyDescent="0.45">
      <c r="A2445" t="s">
        <v>226</v>
      </c>
      <c r="B2445" t="s">
        <v>642</v>
      </c>
      <c r="C2445" t="s">
        <v>20</v>
      </c>
      <c r="D2445">
        <v>3</v>
      </c>
      <c r="E2445" t="s">
        <v>315</v>
      </c>
      <c r="F2445" t="s">
        <v>622</v>
      </c>
      <c r="G2445">
        <v>47</v>
      </c>
      <c r="H2445">
        <v>29</v>
      </c>
      <c r="I2445">
        <v>2</v>
      </c>
      <c r="J2445">
        <v>3</v>
      </c>
      <c r="K2445" s="9">
        <v>4.0454545454545459</v>
      </c>
    </row>
    <row r="2446" spans="1:11" x14ac:dyDescent="0.45">
      <c r="A2446" t="s">
        <v>226</v>
      </c>
      <c r="B2446" t="s">
        <v>642</v>
      </c>
      <c r="C2446" t="s">
        <v>20</v>
      </c>
      <c r="D2446">
        <v>4</v>
      </c>
      <c r="E2446" t="s">
        <v>573</v>
      </c>
      <c r="F2446" t="s">
        <v>622</v>
      </c>
      <c r="G2446">
        <v>26</v>
      </c>
      <c r="H2446">
        <v>12</v>
      </c>
      <c r="I2446">
        <v>2</v>
      </c>
      <c r="J2446">
        <v>2</v>
      </c>
      <c r="K2446" s="9">
        <v>4.8024691358024691</v>
      </c>
    </row>
    <row r="2447" spans="1:11" x14ac:dyDescent="0.45">
      <c r="A2447" t="s">
        <v>226</v>
      </c>
      <c r="B2447" t="s">
        <v>642</v>
      </c>
      <c r="C2447" t="s">
        <v>20</v>
      </c>
      <c r="D2447">
        <v>5</v>
      </c>
      <c r="E2447" t="s">
        <v>401</v>
      </c>
      <c r="F2447" t="s">
        <v>622</v>
      </c>
      <c r="G2447">
        <v>6</v>
      </c>
      <c r="H2447">
        <v>5</v>
      </c>
      <c r="I2447">
        <v>1</v>
      </c>
      <c r="J2447">
        <v>0</v>
      </c>
      <c r="K2447" s="9">
        <v>5.132075471698113</v>
      </c>
    </row>
    <row r="2448" spans="1:11" x14ac:dyDescent="0.45">
      <c r="A2448" t="s">
        <v>226</v>
      </c>
      <c r="B2448" t="s">
        <v>642</v>
      </c>
      <c r="C2448" t="s">
        <v>20</v>
      </c>
      <c r="D2448">
        <v>6</v>
      </c>
      <c r="E2448" t="s">
        <v>389</v>
      </c>
      <c r="F2448" t="s">
        <v>622</v>
      </c>
      <c r="G2448">
        <v>25</v>
      </c>
      <c r="H2448">
        <v>7</v>
      </c>
      <c r="I2448">
        <v>1</v>
      </c>
      <c r="J2448">
        <v>3</v>
      </c>
      <c r="K2448" s="9">
        <v>4.927835051546392</v>
      </c>
    </row>
    <row r="2449" spans="1:11" x14ac:dyDescent="0.45">
      <c r="A2449" t="s">
        <v>226</v>
      </c>
      <c r="B2449" t="s">
        <v>642</v>
      </c>
      <c r="C2449" t="s">
        <v>20</v>
      </c>
      <c r="D2449">
        <v>7</v>
      </c>
      <c r="E2449" t="s">
        <v>376</v>
      </c>
      <c r="F2449" t="s">
        <v>623</v>
      </c>
      <c r="G2449">
        <v>17</v>
      </c>
      <c r="H2449">
        <v>7</v>
      </c>
      <c r="I2449">
        <v>0</v>
      </c>
      <c r="J2449">
        <v>2</v>
      </c>
      <c r="K2449" s="9">
        <v>4.927835051546392</v>
      </c>
    </row>
    <row r="2450" spans="1:11" x14ac:dyDescent="0.45">
      <c r="A2450" t="s">
        <v>226</v>
      </c>
      <c r="B2450" t="s">
        <v>642</v>
      </c>
      <c r="C2450" t="s">
        <v>20</v>
      </c>
      <c r="D2450">
        <v>8</v>
      </c>
      <c r="E2450" t="s">
        <v>484</v>
      </c>
      <c r="F2450" t="s">
        <v>623</v>
      </c>
      <c r="G2450">
        <v>3</v>
      </c>
      <c r="H2450">
        <v>2</v>
      </c>
      <c r="I2450">
        <v>0</v>
      </c>
      <c r="J2450">
        <v>0</v>
      </c>
      <c r="K2450" s="9">
        <v>6.1385542168674698</v>
      </c>
    </row>
    <row r="2451" spans="1:11" x14ac:dyDescent="0.45">
      <c r="A2451" t="s">
        <v>228</v>
      </c>
      <c r="B2451" t="s">
        <v>676</v>
      </c>
      <c r="C2451" t="s">
        <v>101</v>
      </c>
      <c r="D2451">
        <v>1</v>
      </c>
      <c r="E2451" t="s">
        <v>380</v>
      </c>
      <c r="F2451" t="s">
        <v>622</v>
      </c>
      <c r="G2451">
        <v>81</v>
      </c>
      <c r="H2451">
        <v>43</v>
      </c>
      <c r="I2451">
        <v>10</v>
      </c>
      <c r="J2451">
        <v>4</v>
      </c>
      <c r="K2451" s="9">
        <v>2.8888888888888888</v>
      </c>
    </row>
    <row r="2452" spans="1:11" x14ac:dyDescent="0.45">
      <c r="A2452" t="s">
        <v>228</v>
      </c>
      <c r="B2452" t="s">
        <v>676</v>
      </c>
      <c r="C2452" t="s">
        <v>101</v>
      </c>
      <c r="D2452">
        <v>2</v>
      </c>
      <c r="E2452" t="s">
        <v>302</v>
      </c>
      <c r="F2452" t="s">
        <v>623</v>
      </c>
      <c r="G2452">
        <v>94</v>
      </c>
      <c r="H2452">
        <v>51</v>
      </c>
      <c r="I2452">
        <v>2</v>
      </c>
      <c r="J2452">
        <v>7</v>
      </c>
      <c r="K2452" s="9">
        <v>3.2352941176470589</v>
      </c>
    </row>
    <row r="2453" spans="1:11" x14ac:dyDescent="0.45">
      <c r="A2453" t="s">
        <v>228</v>
      </c>
      <c r="B2453" t="s">
        <v>676</v>
      </c>
      <c r="C2453" t="s">
        <v>101</v>
      </c>
      <c r="D2453">
        <v>3</v>
      </c>
      <c r="E2453" t="s">
        <v>361</v>
      </c>
      <c r="F2453" t="s">
        <v>622</v>
      </c>
      <c r="G2453">
        <v>25</v>
      </c>
      <c r="H2453">
        <v>15</v>
      </c>
      <c r="I2453">
        <v>1</v>
      </c>
      <c r="J2453">
        <v>2</v>
      </c>
      <c r="K2453" s="9">
        <v>4.7777777777777777</v>
      </c>
    </row>
    <row r="2454" spans="1:11" x14ac:dyDescent="0.45">
      <c r="A2454" t="s">
        <v>228</v>
      </c>
      <c r="B2454" t="s">
        <v>676</v>
      </c>
      <c r="C2454" t="s">
        <v>101</v>
      </c>
      <c r="D2454">
        <v>4</v>
      </c>
      <c r="E2454" t="s">
        <v>411</v>
      </c>
      <c r="F2454" t="s">
        <v>623</v>
      </c>
      <c r="G2454">
        <v>21</v>
      </c>
      <c r="H2454">
        <v>12</v>
      </c>
      <c r="I2454">
        <v>2</v>
      </c>
      <c r="J2454">
        <v>1</v>
      </c>
      <c r="K2454" s="9">
        <v>4.8024691358024691</v>
      </c>
    </row>
    <row r="2455" spans="1:11" x14ac:dyDescent="0.45">
      <c r="A2455" t="s">
        <v>228</v>
      </c>
      <c r="B2455" t="s">
        <v>676</v>
      </c>
      <c r="C2455" t="s">
        <v>104</v>
      </c>
      <c r="D2455">
        <v>1</v>
      </c>
      <c r="E2455" t="s">
        <v>564</v>
      </c>
      <c r="F2455" t="s">
        <v>622</v>
      </c>
      <c r="G2455">
        <v>48</v>
      </c>
      <c r="H2455">
        <v>32</v>
      </c>
      <c r="I2455">
        <v>7</v>
      </c>
      <c r="J2455">
        <v>2</v>
      </c>
      <c r="K2455" s="9">
        <v>3.9375</v>
      </c>
    </row>
    <row r="2456" spans="1:11" x14ac:dyDescent="0.45">
      <c r="A2456" t="s">
        <v>228</v>
      </c>
      <c r="B2456" t="s">
        <v>676</v>
      </c>
      <c r="C2456" t="s">
        <v>104</v>
      </c>
      <c r="D2456">
        <v>2</v>
      </c>
      <c r="E2456" t="s">
        <v>422</v>
      </c>
      <c r="F2456" t="s">
        <v>622</v>
      </c>
      <c r="G2456">
        <v>70</v>
      </c>
      <c r="H2456">
        <v>41</v>
      </c>
      <c r="I2456">
        <v>7</v>
      </c>
      <c r="J2456">
        <v>3</v>
      </c>
      <c r="K2456" s="9">
        <v>3.0909090909090908</v>
      </c>
    </row>
    <row r="2457" spans="1:11" x14ac:dyDescent="0.45">
      <c r="A2457" t="s">
        <v>228</v>
      </c>
      <c r="B2457" t="s">
        <v>676</v>
      </c>
      <c r="C2457" t="s">
        <v>104</v>
      </c>
      <c r="D2457">
        <v>3</v>
      </c>
      <c r="E2457" t="s">
        <v>426</v>
      </c>
      <c r="F2457" t="s">
        <v>622</v>
      </c>
      <c r="G2457">
        <v>11</v>
      </c>
      <c r="H2457">
        <v>11</v>
      </c>
      <c r="I2457">
        <v>0</v>
      </c>
      <c r="J2457">
        <v>0</v>
      </c>
      <c r="K2457" s="9">
        <v>4.9649122807017543</v>
      </c>
    </row>
    <row r="2458" spans="1:11" x14ac:dyDescent="0.45">
      <c r="A2458" t="s">
        <v>228</v>
      </c>
      <c r="B2458" t="s">
        <v>676</v>
      </c>
      <c r="C2458" t="s">
        <v>104</v>
      </c>
      <c r="D2458">
        <v>4</v>
      </c>
      <c r="E2458" t="s">
        <v>331</v>
      </c>
      <c r="F2458" t="s">
        <v>622</v>
      </c>
      <c r="G2458">
        <v>4</v>
      </c>
      <c r="H2458">
        <v>9</v>
      </c>
      <c r="I2458">
        <v>0</v>
      </c>
      <c r="J2458">
        <v>0</v>
      </c>
      <c r="K2458" s="9">
        <v>4.924050632911392</v>
      </c>
    </row>
    <row r="2459" spans="1:11" x14ac:dyDescent="0.45">
      <c r="A2459" t="s">
        <v>228</v>
      </c>
      <c r="B2459" t="s">
        <v>676</v>
      </c>
      <c r="C2459" t="s">
        <v>104</v>
      </c>
      <c r="D2459">
        <v>5</v>
      </c>
      <c r="E2459" t="s">
        <v>416</v>
      </c>
      <c r="F2459" t="s">
        <v>622</v>
      </c>
      <c r="G2459">
        <v>3</v>
      </c>
      <c r="H2459">
        <v>6</v>
      </c>
      <c r="I2459">
        <v>0</v>
      </c>
      <c r="J2459">
        <v>0</v>
      </c>
      <c r="K2459" s="9">
        <v>5.4565217391304346</v>
      </c>
    </row>
    <row r="2460" spans="1:11" x14ac:dyDescent="0.45">
      <c r="A2460" t="s">
        <v>228</v>
      </c>
      <c r="B2460" t="s">
        <v>676</v>
      </c>
      <c r="C2460" t="s">
        <v>104</v>
      </c>
      <c r="D2460">
        <v>6</v>
      </c>
      <c r="E2460" t="s">
        <v>521</v>
      </c>
      <c r="F2460" t="s">
        <v>622</v>
      </c>
      <c r="G2460">
        <v>21</v>
      </c>
      <c r="H2460">
        <v>11</v>
      </c>
      <c r="I2460">
        <v>1</v>
      </c>
      <c r="J2460">
        <v>2</v>
      </c>
      <c r="K2460" s="9">
        <v>4.9649122807017543</v>
      </c>
    </row>
    <row r="2461" spans="1:11" x14ac:dyDescent="0.45">
      <c r="A2461" t="s">
        <v>228</v>
      </c>
      <c r="B2461" t="s">
        <v>676</v>
      </c>
      <c r="C2461" t="s">
        <v>104</v>
      </c>
      <c r="D2461">
        <v>7</v>
      </c>
      <c r="E2461" t="s">
        <v>588</v>
      </c>
      <c r="F2461" t="s">
        <v>623</v>
      </c>
      <c r="G2461">
        <v>2</v>
      </c>
      <c r="H2461">
        <v>4</v>
      </c>
      <c r="I2461">
        <v>0</v>
      </c>
      <c r="J2461">
        <v>0</v>
      </c>
      <c r="K2461" s="9">
        <v>5.352380952380952</v>
      </c>
    </row>
    <row r="2462" spans="1:11" x14ac:dyDescent="0.45">
      <c r="A2462" t="s">
        <v>228</v>
      </c>
      <c r="B2462" t="s">
        <v>676</v>
      </c>
      <c r="C2462" t="s">
        <v>104</v>
      </c>
      <c r="D2462">
        <v>8</v>
      </c>
      <c r="E2462" t="s">
        <v>366</v>
      </c>
      <c r="F2462" t="s">
        <v>622</v>
      </c>
      <c r="G2462">
        <v>0</v>
      </c>
      <c r="H2462">
        <v>1</v>
      </c>
      <c r="I2462">
        <v>0</v>
      </c>
      <c r="J2462">
        <v>0</v>
      </c>
      <c r="K2462" s="9">
        <v>6.5693779904306222</v>
      </c>
    </row>
    <row r="2463" spans="1:11" x14ac:dyDescent="0.45">
      <c r="A2463" t="s">
        <v>228</v>
      </c>
      <c r="B2463" t="s">
        <v>676</v>
      </c>
      <c r="C2463" t="s">
        <v>104</v>
      </c>
      <c r="D2463">
        <v>9</v>
      </c>
      <c r="E2463" t="s">
        <v>407</v>
      </c>
      <c r="F2463" t="s">
        <v>623</v>
      </c>
      <c r="G2463">
        <v>4</v>
      </c>
      <c r="H2463">
        <v>5</v>
      </c>
      <c r="I2463">
        <v>1</v>
      </c>
      <c r="J2463">
        <v>0</v>
      </c>
      <c r="K2463" s="9">
        <v>5.132075471698113</v>
      </c>
    </row>
    <row r="2464" spans="1:11" x14ac:dyDescent="0.45">
      <c r="A2464" t="s">
        <v>229</v>
      </c>
      <c r="B2464" t="s">
        <v>655</v>
      </c>
      <c r="C2464" t="s">
        <v>13</v>
      </c>
      <c r="D2464">
        <v>1</v>
      </c>
      <c r="E2464" t="s">
        <v>343</v>
      </c>
      <c r="F2464" t="s">
        <v>622</v>
      </c>
      <c r="G2464">
        <v>55</v>
      </c>
      <c r="H2464">
        <v>46</v>
      </c>
      <c r="I2464">
        <v>5</v>
      </c>
      <c r="J2464">
        <v>0</v>
      </c>
      <c r="K2464" s="9">
        <v>3.4375</v>
      </c>
    </row>
    <row r="2465" spans="1:11" x14ac:dyDescent="0.45">
      <c r="A2465" t="s">
        <v>229</v>
      </c>
      <c r="B2465" t="s">
        <v>655</v>
      </c>
      <c r="C2465" t="s">
        <v>13</v>
      </c>
      <c r="D2465">
        <v>2</v>
      </c>
      <c r="E2465" t="s">
        <v>294</v>
      </c>
      <c r="F2465" t="s">
        <v>622</v>
      </c>
      <c r="G2465">
        <v>45</v>
      </c>
      <c r="H2465">
        <v>32</v>
      </c>
      <c r="I2465">
        <v>5</v>
      </c>
      <c r="J2465">
        <v>1</v>
      </c>
      <c r="K2465" s="9">
        <v>3.9375</v>
      </c>
    </row>
    <row r="2466" spans="1:11" x14ac:dyDescent="0.45">
      <c r="A2466" t="s">
        <v>229</v>
      </c>
      <c r="B2466" t="s">
        <v>655</v>
      </c>
      <c r="C2466" t="s">
        <v>13</v>
      </c>
      <c r="D2466">
        <v>3</v>
      </c>
      <c r="E2466" t="s">
        <v>345</v>
      </c>
      <c r="F2466" t="s">
        <v>622</v>
      </c>
      <c r="G2466">
        <v>0</v>
      </c>
      <c r="H2466">
        <v>1</v>
      </c>
      <c r="I2466">
        <v>0</v>
      </c>
      <c r="J2466">
        <v>0</v>
      </c>
      <c r="K2466" s="9">
        <v>6.5693779904306222</v>
      </c>
    </row>
    <row r="2467" spans="1:11" x14ac:dyDescent="0.45">
      <c r="A2467" t="s">
        <v>229</v>
      </c>
      <c r="B2467" t="s">
        <v>655</v>
      </c>
      <c r="C2467" t="s">
        <v>13</v>
      </c>
      <c r="D2467">
        <v>4</v>
      </c>
      <c r="E2467" t="s">
        <v>430</v>
      </c>
      <c r="F2467" t="s">
        <v>623</v>
      </c>
      <c r="G2467">
        <v>54</v>
      </c>
      <c r="H2467">
        <v>29</v>
      </c>
      <c r="I2467">
        <v>6</v>
      </c>
      <c r="J2467">
        <v>3</v>
      </c>
      <c r="K2467" s="9">
        <v>4.0454545454545459</v>
      </c>
    </row>
    <row r="2468" spans="1:11" x14ac:dyDescent="0.45">
      <c r="A2468" t="s">
        <v>229</v>
      </c>
      <c r="B2468" t="s">
        <v>655</v>
      </c>
      <c r="C2468" t="s">
        <v>13</v>
      </c>
      <c r="D2468">
        <v>5</v>
      </c>
      <c r="E2468" t="s">
        <v>311</v>
      </c>
      <c r="F2468" t="s">
        <v>622</v>
      </c>
      <c r="G2468">
        <v>11</v>
      </c>
      <c r="H2468">
        <v>9</v>
      </c>
      <c r="I2468">
        <v>0</v>
      </c>
      <c r="J2468">
        <v>1</v>
      </c>
      <c r="K2468" s="9">
        <v>4.924050632911392</v>
      </c>
    </row>
    <row r="2469" spans="1:11" x14ac:dyDescent="0.45">
      <c r="A2469" t="s">
        <v>229</v>
      </c>
      <c r="B2469" t="s">
        <v>655</v>
      </c>
      <c r="C2469" t="s">
        <v>13</v>
      </c>
      <c r="D2469">
        <v>6</v>
      </c>
      <c r="E2469" t="s">
        <v>388</v>
      </c>
      <c r="F2469" t="s">
        <v>623</v>
      </c>
      <c r="G2469">
        <v>8</v>
      </c>
      <c r="H2469">
        <v>3</v>
      </c>
      <c r="I2469">
        <v>0</v>
      </c>
      <c r="J2469">
        <v>1</v>
      </c>
      <c r="K2469" s="9">
        <v>5.6607142857142856</v>
      </c>
    </row>
    <row r="2470" spans="1:11" x14ac:dyDescent="0.45">
      <c r="A2470" t="s">
        <v>229</v>
      </c>
      <c r="B2470" t="s">
        <v>655</v>
      </c>
      <c r="C2470" t="s">
        <v>10</v>
      </c>
      <c r="D2470">
        <v>1</v>
      </c>
      <c r="E2470" t="s">
        <v>442</v>
      </c>
      <c r="F2470" t="s">
        <v>622</v>
      </c>
      <c r="G2470">
        <v>22</v>
      </c>
      <c r="H2470">
        <v>14</v>
      </c>
      <c r="I2470">
        <v>3</v>
      </c>
      <c r="J2470">
        <v>1</v>
      </c>
      <c r="K2470" s="9">
        <v>4.8461538461538458</v>
      </c>
    </row>
    <row r="2471" spans="1:11" x14ac:dyDescent="0.45">
      <c r="A2471" t="s">
        <v>229</v>
      </c>
      <c r="B2471" t="s">
        <v>655</v>
      </c>
      <c r="C2471" t="s">
        <v>10</v>
      </c>
      <c r="D2471">
        <v>2</v>
      </c>
      <c r="E2471" t="s">
        <v>580</v>
      </c>
      <c r="F2471" t="s">
        <v>622</v>
      </c>
      <c r="G2471">
        <v>87</v>
      </c>
      <c r="H2471">
        <v>45</v>
      </c>
      <c r="I2471">
        <v>8</v>
      </c>
      <c r="J2471">
        <v>6</v>
      </c>
      <c r="K2471" s="9">
        <v>3.4375</v>
      </c>
    </row>
    <row r="2472" spans="1:11" x14ac:dyDescent="0.45">
      <c r="A2472" t="s">
        <v>229</v>
      </c>
      <c r="B2472" t="s">
        <v>655</v>
      </c>
      <c r="C2472" t="s">
        <v>10</v>
      </c>
      <c r="D2472">
        <v>3</v>
      </c>
      <c r="E2472" t="s">
        <v>498</v>
      </c>
      <c r="F2472" t="s">
        <v>622</v>
      </c>
      <c r="G2472">
        <v>26</v>
      </c>
      <c r="H2472">
        <v>17</v>
      </c>
      <c r="I2472">
        <v>3</v>
      </c>
      <c r="J2472">
        <v>1</v>
      </c>
      <c r="K2472" s="9">
        <v>4.82</v>
      </c>
    </row>
    <row r="2473" spans="1:11" x14ac:dyDescent="0.45">
      <c r="A2473" t="s">
        <v>229</v>
      </c>
      <c r="B2473" t="s">
        <v>655</v>
      </c>
      <c r="C2473" t="s">
        <v>10</v>
      </c>
      <c r="D2473">
        <v>4</v>
      </c>
      <c r="E2473" t="s">
        <v>581</v>
      </c>
      <c r="F2473" t="s">
        <v>623</v>
      </c>
      <c r="G2473">
        <v>35</v>
      </c>
      <c r="H2473">
        <v>22</v>
      </c>
      <c r="I2473">
        <v>1</v>
      </c>
      <c r="J2473">
        <v>3</v>
      </c>
      <c r="K2473" s="9">
        <v>4.4423076923076925</v>
      </c>
    </row>
    <row r="2474" spans="1:11" x14ac:dyDescent="0.45">
      <c r="A2474" t="s">
        <v>229</v>
      </c>
      <c r="B2474" t="s">
        <v>655</v>
      </c>
      <c r="C2474" t="s">
        <v>10</v>
      </c>
      <c r="D2474">
        <v>5</v>
      </c>
      <c r="E2474" t="s">
        <v>337</v>
      </c>
      <c r="F2474" t="s">
        <v>623</v>
      </c>
      <c r="G2474">
        <v>8</v>
      </c>
      <c r="H2474">
        <v>3</v>
      </c>
      <c r="I2474">
        <v>0</v>
      </c>
      <c r="J2474">
        <v>1</v>
      </c>
      <c r="K2474" s="9">
        <v>5.6607142857142856</v>
      </c>
    </row>
    <row r="2475" spans="1:11" x14ac:dyDescent="0.45">
      <c r="A2475" t="s">
        <v>230</v>
      </c>
      <c r="B2475" t="s">
        <v>689</v>
      </c>
      <c r="C2475" t="s">
        <v>19</v>
      </c>
      <c r="D2475">
        <v>1</v>
      </c>
      <c r="E2475" t="s">
        <v>560</v>
      </c>
      <c r="F2475" t="s">
        <v>622</v>
      </c>
      <c r="G2475">
        <v>6</v>
      </c>
      <c r="H2475">
        <v>4</v>
      </c>
      <c r="I2475">
        <v>1</v>
      </c>
      <c r="J2475">
        <v>0</v>
      </c>
      <c r="K2475" s="9">
        <v>5.352380952380952</v>
      </c>
    </row>
    <row r="2476" spans="1:11" x14ac:dyDescent="0.45">
      <c r="A2476" t="s">
        <v>230</v>
      </c>
      <c r="B2476" t="s">
        <v>689</v>
      </c>
      <c r="C2476" t="s">
        <v>19</v>
      </c>
      <c r="D2476">
        <v>2</v>
      </c>
      <c r="E2476" t="s">
        <v>360</v>
      </c>
      <c r="F2476" t="s">
        <v>622</v>
      </c>
      <c r="G2476">
        <v>7</v>
      </c>
      <c r="H2476">
        <v>9</v>
      </c>
      <c r="I2476">
        <v>1</v>
      </c>
      <c r="J2476">
        <v>0</v>
      </c>
      <c r="K2476" s="9">
        <v>4.924050632911392</v>
      </c>
    </row>
    <row r="2477" spans="1:11" x14ac:dyDescent="0.45">
      <c r="A2477" t="s">
        <v>230</v>
      </c>
      <c r="B2477" t="s">
        <v>689</v>
      </c>
      <c r="C2477" t="s">
        <v>19</v>
      </c>
      <c r="D2477">
        <v>3</v>
      </c>
      <c r="E2477" t="s">
        <v>359</v>
      </c>
      <c r="F2477" t="s">
        <v>622</v>
      </c>
      <c r="G2477">
        <v>0</v>
      </c>
      <c r="H2477">
        <v>3</v>
      </c>
      <c r="I2477">
        <v>0</v>
      </c>
      <c r="J2477">
        <v>0</v>
      </c>
      <c r="K2477" s="9">
        <v>5.6607142857142856</v>
      </c>
    </row>
    <row r="2478" spans="1:11" x14ac:dyDescent="0.45">
      <c r="A2478" t="s">
        <v>230</v>
      </c>
      <c r="B2478" t="s">
        <v>689</v>
      </c>
      <c r="C2478" t="s">
        <v>19</v>
      </c>
      <c r="D2478">
        <v>4</v>
      </c>
      <c r="E2478" t="s">
        <v>559</v>
      </c>
      <c r="F2478" t="s">
        <v>622</v>
      </c>
      <c r="G2478">
        <v>64</v>
      </c>
      <c r="H2478">
        <v>51</v>
      </c>
      <c r="I2478">
        <v>8</v>
      </c>
      <c r="J2478">
        <v>1</v>
      </c>
      <c r="K2478" s="9">
        <v>3.2352941176470589</v>
      </c>
    </row>
    <row r="2479" spans="1:11" x14ac:dyDescent="0.45">
      <c r="A2479" t="s">
        <v>230</v>
      </c>
      <c r="B2479" t="s">
        <v>689</v>
      </c>
      <c r="C2479" t="s">
        <v>19</v>
      </c>
      <c r="D2479">
        <v>5</v>
      </c>
      <c r="E2479" t="s">
        <v>363</v>
      </c>
      <c r="F2479" t="s">
        <v>622</v>
      </c>
      <c r="G2479">
        <v>26</v>
      </c>
      <c r="H2479">
        <v>22</v>
      </c>
      <c r="I2479">
        <v>3</v>
      </c>
      <c r="J2479">
        <v>0</v>
      </c>
      <c r="K2479" s="9">
        <v>4.4423076923076925</v>
      </c>
    </row>
    <row r="2480" spans="1:11" x14ac:dyDescent="0.45">
      <c r="A2480" t="s">
        <v>230</v>
      </c>
      <c r="B2480" t="s">
        <v>689</v>
      </c>
      <c r="C2480" t="s">
        <v>19</v>
      </c>
      <c r="D2480">
        <v>6</v>
      </c>
      <c r="E2480" t="s">
        <v>517</v>
      </c>
      <c r="F2480" t="s">
        <v>622</v>
      </c>
      <c r="G2480">
        <v>20</v>
      </c>
      <c r="H2480">
        <v>21</v>
      </c>
      <c r="I2480">
        <v>2</v>
      </c>
      <c r="J2480">
        <v>0</v>
      </c>
      <c r="K2480" s="9">
        <v>4.3770491803278686</v>
      </c>
    </row>
    <row r="2481" spans="1:11" x14ac:dyDescent="0.45">
      <c r="A2481" t="s">
        <v>230</v>
      </c>
      <c r="B2481" t="s">
        <v>689</v>
      </c>
      <c r="C2481" t="s">
        <v>19</v>
      </c>
      <c r="D2481">
        <v>7</v>
      </c>
      <c r="E2481" t="s">
        <v>447</v>
      </c>
      <c r="F2481" t="s">
        <v>622</v>
      </c>
      <c r="G2481">
        <v>2</v>
      </c>
      <c r="H2481">
        <v>4</v>
      </c>
      <c r="I2481">
        <v>0</v>
      </c>
      <c r="J2481">
        <v>0</v>
      </c>
      <c r="K2481" s="9">
        <v>5.352380952380952</v>
      </c>
    </row>
    <row r="2482" spans="1:11" x14ac:dyDescent="0.45">
      <c r="A2482" t="s">
        <v>230</v>
      </c>
      <c r="B2482" t="s">
        <v>689</v>
      </c>
      <c r="C2482" t="s">
        <v>19</v>
      </c>
      <c r="D2482">
        <v>8</v>
      </c>
      <c r="E2482" t="s">
        <v>593</v>
      </c>
      <c r="F2482" t="s">
        <v>622</v>
      </c>
      <c r="G2482">
        <v>1</v>
      </c>
      <c r="H2482">
        <v>2</v>
      </c>
      <c r="I2482">
        <v>0</v>
      </c>
      <c r="J2482">
        <v>0</v>
      </c>
      <c r="K2482" s="9">
        <v>6.1385542168674698</v>
      </c>
    </row>
    <row r="2483" spans="1:11" x14ac:dyDescent="0.45">
      <c r="A2483" t="s">
        <v>230</v>
      </c>
      <c r="B2483" t="s">
        <v>689</v>
      </c>
      <c r="C2483" t="s">
        <v>19</v>
      </c>
      <c r="D2483">
        <v>9</v>
      </c>
      <c r="E2483" t="s">
        <v>594</v>
      </c>
      <c r="F2483" t="s">
        <v>623</v>
      </c>
      <c r="G2483">
        <v>3</v>
      </c>
      <c r="H2483">
        <v>2</v>
      </c>
      <c r="I2483">
        <v>0</v>
      </c>
      <c r="J2483">
        <v>0</v>
      </c>
      <c r="K2483" s="9">
        <v>6.1385542168674698</v>
      </c>
    </row>
    <row r="2484" spans="1:11" x14ac:dyDescent="0.45">
      <c r="A2484" t="s">
        <v>230</v>
      </c>
      <c r="B2484" t="s">
        <v>689</v>
      </c>
      <c r="C2484" t="s">
        <v>19</v>
      </c>
      <c r="D2484">
        <v>10</v>
      </c>
      <c r="E2484" t="s">
        <v>368</v>
      </c>
      <c r="F2484" t="s">
        <v>623</v>
      </c>
      <c r="G2484">
        <v>2</v>
      </c>
      <c r="H2484">
        <v>2</v>
      </c>
      <c r="I2484">
        <v>0</v>
      </c>
      <c r="J2484">
        <v>0</v>
      </c>
      <c r="K2484" s="9">
        <v>6.1385542168674698</v>
      </c>
    </row>
    <row r="2485" spans="1:11" x14ac:dyDescent="0.45">
      <c r="A2485" t="s">
        <v>230</v>
      </c>
      <c r="B2485" t="s">
        <v>689</v>
      </c>
      <c r="C2485" t="s">
        <v>6</v>
      </c>
      <c r="D2485">
        <v>1</v>
      </c>
      <c r="E2485" t="s">
        <v>290</v>
      </c>
      <c r="F2485" t="s">
        <v>622</v>
      </c>
      <c r="G2485">
        <v>30</v>
      </c>
      <c r="H2485">
        <v>16</v>
      </c>
      <c r="I2485">
        <v>4</v>
      </c>
      <c r="J2485">
        <v>2</v>
      </c>
      <c r="K2485" s="9">
        <v>4.7608695652173916</v>
      </c>
    </row>
    <row r="2486" spans="1:11" x14ac:dyDescent="0.45">
      <c r="A2486" t="s">
        <v>230</v>
      </c>
      <c r="B2486" t="s">
        <v>689</v>
      </c>
      <c r="C2486" t="s">
        <v>6</v>
      </c>
      <c r="D2486">
        <v>2</v>
      </c>
      <c r="E2486" t="s">
        <v>505</v>
      </c>
      <c r="F2486" t="s">
        <v>622</v>
      </c>
      <c r="G2486">
        <v>44</v>
      </c>
      <c r="H2486">
        <v>42</v>
      </c>
      <c r="I2486">
        <v>4</v>
      </c>
      <c r="J2486">
        <v>0</v>
      </c>
      <c r="K2486" s="9">
        <v>3.3913043478260869</v>
      </c>
    </row>
    <row r="2487" spans="1:11" x14ac:dyDescent="0.45">
      <c r="A2487" t="s">
        <v>230</v>
      </c>
      <c r="B2487" t="s">
        <v>689</v>
      </c>
      <c r="C2487" t="s">
        <v>6</v>
      </c>
      <c r="D2487">
        <v>3</v>
      </c>
      <c r="E2487" t="s">
        <v>481</v>
      </c>
      <c r="F2487" t="s">
        <v>622</v>
      </c>
      <c r="G2487">
        <v>21</v>
      </c>
      <c r="H2487">
        <v>17</v>
      </c>
      <c r="I2487">
        <v>1</v>
      </c>
      <c r="J2487">
        <v>1</v>
      </c>
      <c r="K2487" s="9">
        <v>4.82</v>
      </c>
    </row>
    <row r="2488" spans="1:11" x14ac:dyDescent="0.45">
      <c r="A2488" t="s">
        <v>230</v>
      </c>
      <c r="B2488" t="s">
        <v>689</v>
      </c>
      <c r="C2488" t="s">
        <v>6</v>
      </c>
      <c r="D2488">
        <v>4</v>
      </c>
      <c r="E2488" t="s">
        <v>355</v>
      </c>
      <c r="F2488" t="s">
        <v>622</v>
      </c>
      <c r="G2488">
        <v>12</v>
      </c>
      <c r="H2488">
        <v>11</v>
      </c>
      <c r="I2488">
        <v>0</v>
      </c>
      <c r="J2488">
        <v>1</v>
      </c>
      <c r="K2488" s="9">
        <v>4.9649122807017543</v>
      </c>
    </row>
    <row r="2489" spans="1:11" x14ac:dyDescent="0.45">
      <c r="A2489" t="s">
        <v>230</v>
      </c>
      <c r="B2489" t="s">
        <v>689</v>
      </c>
      <c r="C2489" t="s">
        <v>6</v>
      </c>
      <c r="D2489">
        <v>5</v>
      </c>
      <c r="E2489" t="s">
        <v>387</v>
      </c>
      <c r="F2489" t="s">
        <v>623</v>
      </c>
      <c r="G2489">
        <v>26</v>
      </c>
      <c r="H2489">
        <v>18</v>
      </c>
      <c r="I2489">
        <v>0</v>
      </c>
      <c r="J2489">
        <v>3</v>
      </c>
      <c r="K2489" s="9">
        <v>4.375</v>
      </c>
    </row>
    <row r="2490" spans="1:11" x14ac:dyDescent="0.45">
      <c r="A2490" t="s">
        <v>230</v>
      </c>
      <c r="B2490" t="s">
        <v>689</v>
      </c>
      <c r="C2490" t="s">
        <v>6</v>
      </c>
      <c r="D2490">
        <v>6</v>
      </c>
      <c r="E2490" t="s">
        <v>356</v>
      </c>
      <c r="F2490" t="s">
        <v>623</v>
      </c>
      <c r="G2490">
        <v>2</v>
      </c>
      <c r="H2490">
        <v>3</v>
      </c>
      <c r="I2490">
        <v>0</v>
      </c>
      <c r="J2490">
        <v>0</v>
      </c>
      <c r="K2490" s="9">
        <v>5.6607142857142856</v>
      </c>
    </row>
    <row r="2491" spans="1:11" x14ac:dyDescent="0.45">
      <c r="A2491" t="s">
        <v>231</v>
      </c>
      <c r="B2491" t="s">
        <v>664</v>
      </c>
      <c r="C2491" t="s">
        <v>23</v>
      </c>
      <c r="D2491">
        <v>1</v>
      </c>
      <c r="E2491" t="s">
        <v>383</v>
      </c>
      <c r="F2491" t="s">
        <v>622</v>
      </c>
      <c r="G2491">
        <v>14</v>
      </c>
      <c r="H2491">
        <v>11</v>
      </c>
      <c r="I2491">
        <v>1</v>
      </c>
      <c r="J2491">
        <v>1</v>
      </c>
      <c r="K2491" s="9">
        <v>4.9649122807017543</v>
      </c>
    </row>
    <row r="2492" spans="1:11" x14ac:dyDescent="0.45">
      <c r="A2492" t="s">
        <v>231</v>
      </c>
      <c r="B2492" t="s">
        <v>664</v>
      </c>
      <c r="C2492" t="s">
        <v>23</v>
      </c>
      <c r="D2492">
        <v>2</v>
      </c>
      <c r="E2492" t="s">
        <v>458</v>
      </c>
      <c r="F2492" t="s">
        <v>622</v>
      </c>
      <c r="G2492">
        <v>8</v>
      </c>
      <c r="H2492">
        <v>6</v>
      </c>
      <c r="I2492">
        <v>2</v>
      </c>
      <c r="J2492">
        <v>0</v>
      </c>
      <c r="K2492" s="9">
        <v>5.4565217391304346</v>
      </c>
    </row>
    <row r="2493" spans="1:11" x14ac:dyDescent="0.45">
      <c r="A2493" t="s">
        <v>231</v>
      </c>
      <c r="B2493" t="s">
        <v>664</v>
      </c>
      <c r="C2493" t="s">
        <v>23</v>
      </c>
      <c r="D2493">
        <v>3</v>
      </c>
      <c r="E2493" t="s">
        <v>386</v>
      </c>
      <c r="F2493" t="s">
        <v>622</v>
      </c>
      <c r="G2493">
        <v>30</v>
      </c>
      <c r="H2493">
        <v>20</v>
      </c>
      <c r="I2493">
        <v>3</v>
      </c>
      <c r="J2493">
        <v>1</v>
      </c>
      <c r="K2493" s="9">
        <v>4.9473684210526319</v>
      </c>
    </row>
    <row r="2494" spans="1:11" x14ac:dyDescent="0.45">
      <c r="A2494" t="s">
        <v>231</v>
      </c>
      <c r="B2494" t="s">
        <v>664</v>
      </c>
      <c r="C2494" t="s">
        <v>23</v>
      </c>
      <c r="D2494">
        <v>4</v>
      </c>
      <c r="E2494" t="s">
        <v>342</v>
      </c>
      <c r="F2494" t="s">
        <v>622</v>
      </c>
      <c r="G2494">
        <v>12</v>
      </c>
      <c r="H2494">
        <v>12</v>
      </c>
      <c r="I2494">
        <v>1</v>
      </c>
      <c r="J2494">
        <v>0</v>
      </c>
      <c r="K2494" s="9">
        <v>4.8024691358024691</v>
      </c>
    </row>
    <row r="2495" spans="1:11" x14ac:dyDescent="0.45">
      <c r="A2495" t="s">
        <v>231</v>
      </c>
      <c r="B2495" t="s">
        <v>664</v>
      </c>
      <c r="C2495" t="s">
        <v>23</v>
      </c>
      <c r="D2495">
        <v>5</v>
      </c>
      <c r="E2495" t="s">
        <v>339</v>
      </c>
      <c r="F2495" t="s">
        <v>622</v>
      </c>
      <c r="G2495">
        <v>2</v>
      </c>
      <c r="H2495">
        <v>6</v>
      </c>
      <c r="I2495">
        <v>0</v>
      </c>
      <c r="J2495">
        <v>0</v>
      </c>
      <c r="K2495" s="9">
        <v>5.4565217391304346</v>
      </c>
    </row>
    <row r="2496" spans="1:11" x14ac:dyDescent="0.45">
      <c r="A2496" t="s">
        <v>231</v>
      </c>
      <c r="B2496" t="s">
        <v>664</v>
      </c>
      <c r="C2496" t="s">
        <v>23</v>
      </c>
      <c r="D2496">
        <v>6</v>
      </c>
      <c r="E2496" t="s">
        <v>431</v>
      </c>
      <c r="F2496" t="s">
        <v>622</v>
      </c>
      <c r="G2496">
        <v>4</v>
      </c>
      <c r="H2496">
        <v>6</v>
      </c>
      <c r="I2496">
        <v>0</v>
      </c>
      <c r="J2496">
        <v>0</v>
      </c>
      <c r="K2496" s="9">
        <v>5.4565217391304346</v>
      </c>
    </row>
    <row r="2497" spans="1:11" x14ac:dyDescent="0.45">
      <c r="A2497" t="s">
        <v>231</v>
      </c>
      <c r="B2497" t="s">
        <v>664</v>
      </c>
      <c r="C2497" t="s">
        <v>23</v>
      </c>
      <c r="D2497">
        <v>7</v>
      </c>
      <c r="E2497" t="s">
        <v>336</v>
      </c>
      <c r="F2497" t="s">
        <v>622</v>
      </c>
      <c r="G2497">
        <v>7</v>
      </c>
      <c r="H2497">
        <v>13</v>
      </c>
      <c r="I2497">
        <v>0</v>
      </c>
      <c r="J2497">
        <v>0</v>
      </c>
      <c r="K2497" s="9">
        <v>4.8939393939393936</v>
      </c>
    </row>
    <row r="2498" spans="1:11" x14ac:dyDescent="0.45">
      <c r="A2498" t="s">
        <v>231</v>
      </c>
      <c r="B2498" t="s">
        <v>664</v>
      </c>
      <c r="C2498" t="s">
        <v>23</v>
      </c>
      <c r="D2498">
        <v>8</v>
      </c>
      <c r="E2498" t="s">
        <v>584</v>
      </c>
      <c r="F2498" t="s">
        <v>622</v>
      </c>
      <c r="G2498">
        <v>9</v>
      </c>
      <c r="H2498">
        <v>8</v>
      </c>
      <c r="I2498">
        <v>1</v>
      </c>
      <c r="J2498">
        <v>0</v>
      </c>
      <c r="K2498" s="9">
        <v>4.9029126213592233</v>
      </c>
    </row>
    <row r="2499" spans="1:11" x14ac:dyDescent="0.45">
      <c r="A2499" t="s">
        <v>231</v>
      </c>
      <c r="B2499" t="s">
        <v>664</v>
      </c>
      <c r="C2499" t="s">
        <v>23</v>
      </c>
      <c r="D2499">
        <v>9</v>
      </c>
      <c r="E2499" t="s">
        <v>370</v>
      </c>
      <c r="F2499" t="s">
        <v>622</v>
      </c>
      <c r="G2499">
        <v>15</v>
      </c>
      <c r="H2499">
        <v>11</v>
      </c>
      <c r="I2499">
        <v>1</v>
      </c>
      <c r="J2499">
        <v>1</v>
      </c>
      <c r="K2499" s="9">
        <v>4.9649122807017543</v>
      </c>
    </row>
    <row r="2500" spans="1:11" x14ac:dyDescent="0.45">
      <c r="A2500" t="s">
        <v>231</v>
      </c>
      <c r="B2500" t="s">
        <v>664</v>
      </c>
      <c r="C2500" t="s">
        <v>23</v>
      </c>
      <c r="D2500">
        <v>10</v>
      </c>
      <c r="E2500" t="s">
        <v>585</v>
      </c>
      <c r="F2500" t="s">
        <v>622</v>
      </c>
      <c r="G2500">
        <v>7</v>
      </c>
      <c r="H2500">
        <v>9</v>
      </c>
      <c r="I2500">
        <v>0</v>
      </c>
      <c r="J2500">
        <v>0</v>
      </c>
      <c r="K2500" s="9">
        <v>4.924050632911392</v>
      </c>
    </row>
    <row r="2501" spans="1:11" x14ac:dyDescent="0.45">
      <c r="A2501" t="s">
        <v>231</v>
      </c>
      <c r="B2501" t="s">
        <v>664</v>
      </c>
      <c r="C2501" t="s">
        <v>23</v>
      </c>
      <c r="D2501">
        <v>11</v>
      </c>
      <c r="E2501" t="s">
        <v>429</v>
      </c>
      <c r="F2501" t="s">
        <v>623</v>
      </c>
      <c r="G2501">
        <v>2</v>
      </c>
      <c r="H2501">
        <v>5</v>
      </c>
      <c r="I2501">
        <v>0</v>
      </c>
      <c r="J2501">
        <v>0</v>
      </c>
      <c r="K2501" s="9">
        <v>5.132075471698113</v>
      </c>
    </row>
    <row r="2502" spans="1:11" x14ac:dyDescent="0.45">
      <c r="A2502" t="s">
        <v>231</v>
      </c>
      <c r="B2502" t="s">
        <v>664</v>
      </c>
      <c r="C2502" t="s">
        <v>101</v>
      </c>
      <c r="D2502">
        <v>1</v>
      </c>
      <c r="E2502" t="s">
        <v>380</v>
      </c>
      <c r="F2502" t="s">
        <v>623</v>
      </c>
      <c r="G2502">
        <v>41</v>
      </c>
      <c r="H2502">
        <v>34</v>
      </c>
      <c r="I2502">
        <v>5</v>
      </c>
      <c r="J2502">
        <v>0</v>
      </c>
      <c r="K2502" s="9">
        <v>4.4137931034482758</v>
      </c>
    </row>
    <row r="2503" spans="1:11" x14ac:dyDescent="0.45">
      <c r="A2503" t="s">
        <v>231</v>
      </c>
      <c r="B2503" t="s">
        <v>664</v>
      </c>
      <c r="C2503" t="s">
        <v>101</v>
      </c>
      <c r="D2503">
        <v>2</v>
      </c>
      <c r="E2503" t="s">
        <v>302</v>
      </c>
      <c r="F2503" t="s">
        <v>622</v>
      </c>
      <c r="G2503">
        <v>36</v>
      </c>
      <c r="H2503">
        <v>35</v>
      </c>
      <c r="I2503">
        <v>6</v>
      </c>
      <c r="J2503">
        <v>0</v>
      </c>
      <c r="K2503" s="9">
        <v>3.5769230769230771</v>
      </c>
    </row>
    <row r="2504" spans="1:11" x14ac:dyDescent="0.45">
      <c r="A2504" t="s">
        <v>231</v>
      </c>
      <c r="B2504" t="s">
        <v>664</v>
      </c>
      <c r="C2504" t="s">
        <v>101</v>
      </c>
      <c r="D2504">
        <v>3</v>
      </c>
      <c r="E2504" t="s">
        <v>361</v>
      </c>
      <c r="F2504" t="s">
        <v>623</v>
      </c>
      <c r="G2504">
        <v>39</v>
      </c>
      <c r="H2504">
        <v>15</v>
      </c>
      <c r="I2504">
        <v>3</v>
      </c>
      <c r="J2504">
        <v>3</v>
      </c>
      <c r="K2504" s="9">
        <v>4.7777777777777777</v>
      </c>
    </row>
    <row r="2505" spans="1:11" x14ac:dyDescent="0.45">
      <c r="A2505" t="s">
        <v>232</v>
      </c>
      <c r="B2505" t="s">
        <v>662</v>
      </c>
      <c r="C2505" t="s">
        <v>7</v>
      </c>
      <c r="D2505">
        <v>1</v>
      </c>
      <c r="E2505" t="s">
        <v>372</v>
      </c>
      <c r="F2505" t="s">
        <v>622</v>
      </c>
      <c r="G2505">
        <v>20</v>
      </c>
      <c r="H2505">
        <v>19</v>
      </c>
      <c r="I2505">
        <v>4</v>
      </c>
      <c r="J2505">
        <v>0</v>
      </c>
      <c r="K2505" s="9">
        <v>4.5660377358490569</v>
      </c>
    </row>
    <row r="2506" spans="1:11" x14ac:dyDescent="0.45">
      <c r="A2506" t="s">
        <v>232</v>
      </c>
      <c r="B2506" t="s">
        <v>662</v>
      </c>
      <c r="C2506" t="s">
        <v>7</v>
      </c>
      <c r="D2506">
        <v>2</v>
      </c>
      <c r="E2506" t="s">
        <v>578</v>
      </c>
      <c r="F2506" t="s">
        <v>622</v>
      </c>
      <c r="G2506">
        <v>0</v>
      </c>
      <c r="H2506">
        <v>1</v>
      </c>
      <c r="I2506">
        <v>0</v>
      </c>
      <c r="J2506">
        <v>0</v>
      </c>
      <c r="K2506" s="9">
        <v>6.5693779904306222</v>
      </c>
    </row>
    <row r="2507" spans="1:11" x14ac:dyDescent="0.45">
      <c r="A2507" t="s">
        <v>232</v>
      </c>
      <c r="B2507" t="s">
        <v>662</v>
      </c>
      <c r="C2507" t="s">
        <v>7</v>
      </c>
      <c r="D2507">
        <v>3</v>
      </c>
      <c r="E2507" t="s">
        <v>304</v>
      </c>
      <c r="F2507" t="s">
        <v>622</v>
      </c>
      <c r="G2507">
        <v>7</v>
      </c>
      <c r="H2507">
        <v>4</v>
      </c>
      <c r="I2507">
        <v>1</v>
      </c>
      <c r="J2507">
        <v>0</v>
      </c>
      <c r="K2507" s="9">
        <v>5.352380952380952</v>
      </c>
    </row>
    <row r="2508" spans="1:11" x14ac:dyDescent="0.45">
      <c r="A2508" t="s">
        <v>232</v>
      </c>
      <c r="B2508" t="s">
        <v>662</v>
      </c>
      <c r="C2508" t="s">
        <v>7</v>
      </c>
      <c r="D2508">
        <v>4</v>
      </c>
      <c r="E2508" t="s">
        <v>306</v>
      </c>
      <c r="F2508" t="s">
        <v>622</v>
      </c>
      <c r="G2508">
        <v>42</v>
      </c>
      <c r="H2508">
        <v>31</v>
      </c>
      <c r="I2508">
        <v>3</v>
      </c>
      <c r="J2508">
        <v>3</v>
      </c>
      <c r="K2508" s="9">
        <v>3.4375</v>
      </c>
    </row>
    <row r="2509" spans="1:11" x14ac:dyDescent="0.45">
      <c r="A2509" t="s">
        <v>232</v>
      </c>
      <c r="B2509" t="s">
        <v>662</v>
      </c>
      <c r="C2509" t="s">
        <v>7</v>
      </c>
      <c r="D2509">
        <v>5</v>
      </c>
      <c r="E2509" t="s">
        <v>514</v>
      </c>
      <c r="F2509" t="s">
        <v>622</v>
      </c>
      <c r="G2509">
        <v>46</v>
      </c>
      <c r="H2509">
        <v>35</v>
      </c>
      <c r="I2509">
        <v>4</v>
      </c>
      <c r="J2509">
        <v>1</v>
      </c>
      <c r="K2509" s="9">
        <v>3.5769230769230771</v>
      </c>
    </row>
    <row r="2510" spans="1:11" x14ac:dyDescent="0.45">
      <c r="A2510" t="s">
        <v>232</v>
      </c>
      <c r="B2510" t="s">
        <v>662</v>
      </c>
      <c r="C2510" t="s">
        <v>7</v>
      </c>
      <c r="D2510">
        <v>6</v>
      </c>
      <c r="E2510" t="s">
        <v>440</v>
      </c>
      <c r="F2510" t="s">
        <v>622</v>
      </c>
      <c r="G2510">
        <v>24</v>
      </c>
      <c r="H2510">
        <v>15</v>
      </c>
      <c r="I2510">
        <v>1</v>
      </c>
      <c r="J2510">
        <v>2</v>
      </c>
      <c r="K2510" s="9">
        <v>4.7777777777777777</v>
      </c>
    </row>
    <row r="2511" spans="1:11" x14ac:dyDescent="0.45">
      <c r="A2511" t="s">
        <v>232</v>
      </c>
      <c r="B2511" t="s">
        <v>662</v>
      </c>
      <c r="C2511" t="s">
        <v>7</v>
      </c>
      <c r="D2511">
        <v>7</v>
      </c>
      <c r="E2511" t="s">
        <v>308</v>
      </c>
      <c r="F2511" t="s">
        <v>622</v>
      </c>
      <c r="G2511">
        <v>1</v>
      </c>
      <c r="H2511">
        <v>2</v>
      </c>
      <c r="I2511">
        <v>0</v>
      </c>
      <c r="J2511">
        <v>0</v>
      </c>
      <c r="K2511" s="9">
        <v>6.1385542168674698</v>
      </c>
    </row>
    <row r="2512" spans="1:11" x14ac:dyDescent="0.45">
      <c r="A2512" t="s">
        <v>232</v>
      </c>
      <c r="B2512" t="s">
        <v>662</v>
      </c>
      <c r="C2512" t="s">
        <v>7</v>
      </c>
      <c r="D2512">
        <v>8</v>
      </c>
      <c r="E2512" t="s">
        <v>326</v>
      </c>
      <c r="F2512" t="s">
        <v>622</v>
      </c>
      <c r="G2512">
        <v>8</v>
      </c>
      <c r="H2512">
        <v>6</v>
      </c>
      <c r="I2512">
        <v>1</v>
      </c>
      <c r="J2512">
        <v>0</v>
      </c>
      <c r="K2512" s="9">
        <v>5.4565217391304346</v>
      </c>
    </row>
    <row r="2513" spans="1:11" x14ac:dyDescent="0.45">
      <c r="A2513" t="s">
        <v>232</v>
      </c>
      <c r="B2513" t="s">
        <v>662</v>
      </c>
      <c r="C2513" t="s">
        <v>7</v>
      </c>
      <c r="D2513">
        <v>9</v>
      </c>
      <c r="E2513" t="s">
        <v>532</v>
      </c>
      <c r="F2513" t="s">
        <v>623</v>
      </c>
      <c r="G2513">
        <v>13</v>
      </c>
      <c r="H2513">
        <v>7</v>
      </c>
      <c r="I2513">
        <v>2</v>
      </c>
      <c r="J2513">
        <v>0</v>
      </c>
      <c r="K2513" s="9">
        <v>4.927835051546392</v>
      </c>
    </row>
    <row r="2514" spans="1:11" x14ac:dyDescent="0.45">
      <c r="A2514" t="s">
        <v>232</v>
      </c>
      <c r="B2514" t="s">
        <v>662</v>
      </c>
      <c r="C2514" t="s">
        <v>7</v>
      </c>
      <c r="D2514">
        <v>10</v>
      </c>
      <c r="E2514" t="s">
        <v>533</v>
      </c>
      <c r="F2514" t="s">
        <v>622</v>
      </c>
      <c r="G2514">
        <v>0</v>
      </c>
      <c r="H2514">
        <v>1</v>
      </c>
      <c r="I2514">
        <v>0</v>
      </c>
      <c r="J2514">
        <v>0</v>
      </c>
      <c r="K2514" s="9">
        <v>6.5693779904306222</v>
      </c>
    </row>
    <row r="2515" spans="1:11" x14ac:dyDescent="0.45">
      <c r="A2515" t="s">
        <v>232</v>
      </c>
      <c r="B2515" t="s">
        <v>662</v>
      </c>
      <c r="C2515" t="s">
        <v>7</v>
      </c>
      <c r="D2515">
        <v>11</v>
      </c>
      <c r="E2515" t="s">
        <v>542</v>
      </c>
      <c r="F2515" t="s">
        <v>623</v>
      </c>
      <c r="G2515">
        <v>2</v>
      </c>
      <c r="H2515">
        <v>1</v>
      </c>
      <c r="I2515">
        <v>0</v>
      </c>
      <c r="J2515">
        <v>0</v>
      </c>
      <c r="K2515" s="9">
        <v>6.5693779904306222</v>
      </c>
    </row>
    <row r="2516" spans="1:11" x14ac:dyDescent="0.45">
      <c r="A2516" t="s">
        <v>232</v>
      </c>
      <c r="B2516" t="s">
        <v>662</v>
      </c>
      <c r="C2516" t="s">
        <v>20</v>
      </c>
      <c r="D2516">
        <v>1</v>
      </c>
      <c r="E2516" t="s">
        <v>373</v>
      </c>
      <c r="F2516" t="s">
        <v>622</v>
      </c>
      <c r="G2516">
        <v>9</v>
      </c>
      <c r="H2516">
        <v>10</v>
      </c>
      <c r="I2516">
        <v>1</v>
      </c>
      <c r="J2516">
        <v>0</v>
      </c>
      <c r="K2516" s="9">
        <v>4.7179487179487181</v>
      </c>
    </row>
    <row r="2517" spans="1:11" x14ac:dyDescent="0.45">
      <c r="A2517" t="s">
        <v>232</v>
      </c>
      <c r="B2517" t="s">
        <v>662</v>
      </c>
      <c r="C2517" t="s">
        <v>20</v>
      </c>
      <c r="D2517">
        <v>2</v>
      </c>
      <c r="E2517" t="s">
        <v>398</v>
      </c>
      <c r="F2517" t="s">
        <v>622</v>
      </c>
      <c r="G2517">
        <v>18</v>
      </c>
      <c r="H2517">
        <v>11</v>
      </c>
      <c r="I2517">
        <v>2</v>
      </c>
      <c r="J2517">
        <v>1</v>
      </c>
      <c r="K2517" s="9">
        <v>4.9649122807017543</v>
      </c>
    </row>
    <row r="2518" spans="1:11" x14ac:dyDescent="0.45">
      <c r="A2518" t="s">
        <v>232</v>
      </c>
      <c r="B2518" t="s">
        <v>662</v>
      </c>
      <c r="C2518" t="s">
        <v>20</v>
      </c>
      <c r="D2518">
        <v>3</v>
      </c>
      <c r="E2518" t="s">
        <v>315</v>
      </c>
      <c r="F2518" t="s">
        <v>622</v>
      </c>
      <c r="G2518">
        <v>20</v>
      </c>
      <c r="H2518">
        <v>9</v>
      </c>
      <c r="I2518">
        <v>3</v>
      </c>
      <c r="J2518">
        <v>1</v>
      </c>
      <c r="K2518" s="9">
        <v>4.924050632911392</v>
      </c>
    </row>
    <row r="2519" spans="1:11" x14ac:dyDescent="0.45">
      <c r="A2519" t="s">
        <v>232</v>
      </c>
      <c r="B2519" t="s">
        <v>662</v>
      </c>
      <c r="C2519" t="s">
        <v>20</v>
      </c>
      <c r="D2519">
        <v>4</v>
      </c>
      <c r="E2519" t="s">
        <v>401</v>
      </c>
      <c r="F2519" t="s">
        <v>622</v>
      </c>
      <c r="G2519">
        <v>41</v>
      </c>
      <c r="H2519">
        <v>40</v>
      </c>
      <c r="I2519">
        <v>4</v>
      </c>
      <c r="J2519">
        <v>0</v>
      </c>
      <c r="K2519" s="9">
        <v>4</v>
      </c>
    </row>
    <row r="2520" spans="1:11" x14ac:dyDescent="0.45">
      <c r="A2520" t="s">
        <v>232</v>
      </c>
      <c r="B2520" t="s">
        <v>662</v>
      </c>
      <c r="C2520" t="s">
        <v>20</v>
      </c>
      <c r="D2520">
        <v>5</v>
      </c>
      <c r="E2520" t="s">
        <v>574</v>
      </c>
      <c r="F2520" t="s">
        <v>622</v>
      </c>
      <c r="G2520">
        <v>0</v>
      </c>
      <c r="H2520">
        <v>4</v>
      </c>
      <c r="I2520">
        <v>0</v>
      </c>
      <c r="J2520">
        <v>0</v>
      </c>
      <c r="K2520" s="9">
        <v>5.352380952380952</v>
      </c>
    </row>
    <row r="2521" spans="1:11" x14ac:dyDescent="0.45">
      <c r="A2521" t="s">
        <v>232</v>
      </c>
      <c r="B2521" t="s">
        <v>662</v>
      </c>
      <c r="C2521" t="s">
        <v>20</v>
      </c>
      <c r="D2521">
        <v>6</v>
      </c>
      <c r="E2521" t="s">
        <v>573</v>
      </c>
      <c r="F2521" t="s">
        <v>622</v>
      </c>
      <c r="G2521">
        <v>36</v>
      </c>
      <c r="H2521">
        <v>20</v>
      </c>
      <c r="I2521">
        <v>1</v>
      </c>
      <c r="J2521">
        <v>3</v>
      </c>
      <c r="K2521" s="9">
        <v>4.9473684210526319</v>
      </c>
    </row>
    <row r="2522" spans="1:11" x14ac:dyDescent="0.45">
      <c r="A2522" t="s">
        <v>232</v>
      </c>
      <c r="B2522" t="s">
        <v>662</v>
      </c>
      <c r="C2522" t="s">
        <v>20</v>
      </c>
      <c r="D2522">
        <v>7</v>
      </c>
      <c r="E2522" t="s">
        <v>376</v>
      </c>
      <c r="F2522" t="s">
        <v>622</v>
      </c>
      <c r="G2522">
        <v>21</v>
      </c>
      <c r="H2522">
        <v>18</v>
      </c>
      <c r="I2522">
        <v>3</v>
      </c>
      <c r="J2522">
        <v>0</v>
      </c>
      <c r="K2522" s="9">
        <v>4.375</v>
      </c>
    </row>
    <row r="2523" spans="1:11" x14ac:dyDescent="0.45">
      <c r="A2523" t="s">
        <v>232</v>
      </c>
      <c r="B2523" t="s">
        <v>662</v>
      </c>
      <c r="C2523" t="s">
        <v>20</v>
      </c>
      <c r="D2523">
        <v>8</v>
      </c>
      <c r="E2523" t="s">
        <v>484</v>
      </c>
      <c r="F2523" t="s">
        <v>622</v>
      </c>
      <c r="G2523">
        <v>1</v>
      </c>
      <c r="H2523">
        <v>4</v>
      </c>
      <c r="I2523">
        <v>0</v>
      </c>
      <c r="J2523">
        <v>0</v>
      </c>
      <c r="K2523" s="9">
        <v>5.352380952380952</v>
      </c>
    </row>
    <row r="2524" spans="1:11" x14ac:dyDescent="0.45">
      <c r="A2524" t="s">
        <v>232</v>
      </c>
      <c r="B2524" t="s">
        <v>662</v>
      </c>
      <c r="C2524" t="s">
        <v>20</v>
      </c>
      <c r="D2524">
        <v>9</v>
      </c>
      <c r="E2524" t="s">
        <v>409</v>
      </c>
      <c r="F2524" t="s">
        <v>623</v>
      </c>
      <c r="G2524">
        <v>5</v>
      </c>
      <c r="H2524">
        <v>5</v>
      </c>
      <c r="I2524">
        <v>1</v>
      </c>
      <c r="J2524">
        <v>0</v>
      </c>
      <c r="K2524" s="9">
        <v>5.132075471698113</v>
      </c>
    </row>
    <row r="2525" spans="1:11" x14ac:dyDescent="0.45">
      <c r="A2525" t="s">
        <v>232</v>
      </c>
      <c r="B2525" t="s">
        <v>662</v>
      </c>
      <c r="C2525" t="s">
        <v>20</v>
      </c>
      <c r="D2525">
        <v>10</v>
      </c>
      <c r="E2525" t="s">
        <v>419</v>
      </c>
      <c r="F2525" t="s">
        <v>623</v>
      </c>
      <c r="G2525">
        <v>1</v>
      </c>
      <c r="H2525">
        <v>2</v>
      </c>
      <c r="I2525">
        <v>0</v>
      </c>
      <c r="J2525">
        <v>0</v>
      </c>
      <c r="K2525" s="9">
        <v>6.1385542168674698</v>
      </c>
    </row>
    <row r="2526" spans="1:11" x14ac:dyDescent="0.45">
      <c r="A2526" t="s">
        <v>233</v>
      </c>
      <c r="B2526" t="s">
        <v>641</v>
      </c>
      <c r="C2526" t="s">
        <v>26</v>
      </c>
      <c r="D2526">
        <v>1</v>
      </c>
      <c r="E2526" t="s">
        <v>454</v>
      </c>
      <c r="F2526" t="s">
        <v>622</v>
      </c>
      <c r="G2526">
        <v>9</v>
      </c>
      <c r="H2526">
        <v>7</v>
      </c>
      <c r="I2526">
        <v>1</v>
      </c>
      <c r="J2526">
        <v>0</v>
      </c>
      <c r="K2526" s="9">
        <v>4.927835051546392</v>
      </c>
    </row>
    <row r="2527" spans="1:11" x14ac:dyDescent="0.45">
      <c r="A2527" t="s">
        <v>233</v>
      </c>
      <c r="B2527" t="s">
        <v>641</v>
      </c>
      <c r="C2527" t="s">
        <v>26</v>
      </c>
      <c r="D2527">
        <v>2</v>
      </c>
      <c r="E2527" t="s">
        <v>330</v>
      </c>
      <c r="F2527" t="s">
        <v>622</v>
      </c>
      <c r="G2527">
        <v>30</v>
      </c>
      <c r="H2527">
        <v>20</v>
      </c>
      <c r="I2527">
        <v>5</v>
      </c>
      <c r="J2527">
        <v>0</v>
      </c>
      <c r="K2527" s="9">
        <v>4.9473684210526319</v>
      </c>
    </row>
    <row r="2528" spans="1:11" x14ac:dyDescent="0.45">
      <c r="A2528" t="s">
        <v>233</v>
      </c>
      <c r="B2528" t="s">
        <v>641</v>
      </c>
      <c r="C2528" t="s">
        <v>26</v>
      </c>
      <c r="D2528">
        <v>3</v>
      </c>
      <c r="E2528" t="s">
        <v>596</v>
      </c>
      <c r="F2528" t="s">
        <v>622</v>
      </c>
      <c r="G2528">
        <v>27</v>
      </c>
      <c r="H2528">
        <v>26</v>
      </c>
      <c r="I2528">
        <v>2</v>
      </c>
      <c r="J2528">
        <v>1</v>
      </c>
      <c r="K2528" s="9">
        <v>4.1568627450980395</v>
      </c>
    </row>
    <row r="2529" spans="1:11" x14ac:dyDescent="0.45">
      <c r="A2529" t="s">
        <v>233</v>
      </c>
      <c r="B2529" t="s">
        <v>641</v>
      </c>
      <c r="C2529" t="s">
        <v>26</v>
      </c>
      <c r="D2529">
        <v>4</v>
      </c>
      <c r="E2529" t="s">
        <v>384</v>
      </c>
      <c r="F2529" t="s">
        <v>623</v>
      </c>
      <c r="G2529">
        <v>82</v>
      </c>
      <c r="H2529">
        <v>42</v>
      </c>
      <c r="I2529">
        <v>7</v>
      </c>
      <c r="J2529">
        <v>4</v>
      </c>
      <c r="K2529" s="9">
        <v>3.3913043478260869</v>
      </c>
    </row>
    <row r="2530" spans="1:11" x14ac:dyDescent="0.45">
      <c r="A2530" t="s">
        <v>233</v>
      </c>
      <c r="B2530" t="s">
        <v>641</v>
      </c>
      <c r="C2530" t="s">
        <v>26</v>
      </c>
      <c r="D2530">
        <v>5</v>
      </c>
      <c r="E2530" t="s">
        <v>495</v>
      </c>
      <c r="F2530" t="s">
        <v>623</v>
      </c>
      <c r="G2530">
        <v>49</v>
      </c>
      <c r="H2530">
        <v>27</v>
      </c>
      <c r="I2530">
        <v>5</v>
      </c>
      <c r="J2530">
        <v>2</v>
      </c>
      <c r="K2530" s="9">
        <v>4.25</v>
      </c>
    </row>
    <row r="2531" spans="1:11" x14ac:dyDescent="0.45">
      <c r="A2531" t="s">
        <v>233</v>
      </c>
      <c r="B2531" t="s">
        <v>641</v>
      </c>
      <c r="C2531" t="s">
        <v>19</v>
      </c>
      <c r="D2531">
        <v>1</v>
      </c>
      <c r="E2531" t="s">
        <v>359</v>
      </c>
      <c r="F2531" t="s">
        <v>622</v>
      </c>
      <c r="G2531">
        <v>0</v>
      </c>
      <c r="H2531">
        <v>3</v>
      </c>
      <c r="I2531">
        <v>0</v>
      </c>
      <c r="J2531">
        <v>0</v>
      </c>
      <c r="K2531" s="9">
        <v>5.6607142857142856</v>
      </c>
    </row>
    <row r="2532" spans="1:11" x14ac:dyDescent="0.45">
      <c r="A2532" t="s">
        <v>233</v>
      </c>
      <c r="B2532" t="s">
        <v>641</v>
      </c>
      <c r="C2532" t="s">
        <v>19</v>
      </c>
      <c r="D2532">
        <v>2</v>
      </c>
      <c r="E2532" t="s">
        <v>360</v>
      </c>
      <c r="F2532" t="s">
        <v>622</v>
      </c>
      <c r="G2532">
        <v>75</v>
      </c>
      <c r="H2532">
        <v>41</v>
      </c>
      <c r="I2532">
        <v>7</v>
      </c>
      <c r="J2532">
        <v>4</v>
      </c>
      <c r="K2532" s="9">
        <v>3.0909090909090908</v>
      </c>
    </row>
    <row r="2533" spans="1:11" x14ac:dyDescent="0.45">
      <c r="A2533" t="s">
        <v>233</v>
      </c>
      <c r="B2533" t="s">
        <v>641</v>
      </c>
      <c r="C2533" t="s">
        <v>19</v>
      </c>
      <c r="D2533">
        <v>3</v>
      </c>
      <c r="E2533" t="s">
        <v>560</v>
      </c>
      <c r="F2533" t="s">
        <v>622</v>
      </c>
      <c r="G2533">
        <v>23</v>
      </c>
      <c r="H2533">
        <v>18</v>
      </c>
      <c r="I2533">
        <v>4</v>
      </c>
      <c r="J2533">
        <v>0</v>
      </c>
      <c r="K2533" s="9">
        <v>4.375</v>
      </c>
    </row>
    <row r="2534" spans="1:11" x14ac:dyDescent="0.45">
      <c r="A2534" t="s">
        <v>233</v>
      </c>
      <c r="B2534" t="s">
        <v>641</v>
      </c>
      <c r="C2534" t="s">
        <v>19</v>
      </c>
      <c r="D2534">
        <v>4</v>
      </c>
      <c r="E2534" t="s">
        <v>363</v>
      </c>
      <c r="F2534" t="s">
        <v>622</v>
      </c>
      <c r="G2534">
        <v>66</v>
      </c>
      <c r="H2534">
        <v>31</v>
      </c>
      <c r="I2534">
        <v>8</v>
      </c>
      <c r="J2534">
        <v>2</v>
      </c>
      <c r="K2534" s="9">
        <v>3.4375</v>
      </c>
    </row>
    <row r="2535" spans="1:11" x14ac:dyDescent="0.45">
      <c r="A2535" t="s">
        <v>233</v>
      </c>
      <c r="B2535" t="s">
        <v>641</v>
      </c>
      <c r="C2535" t="s">
        <v>19</v>
      </c>
      <c r="D2535">
        <v>5</v>
      </c>
      <c r="E2535" t="s">
        <v>447</v>
      </c>
      <c r="F2535" t="s">
        <v>623</v>
      </c>
      <c r="G2535">
        <v>19</v>
      </c>
      <c r="H2535">
        <v>10</v>
      </c>
      <c r="I2535">
        <v>3</v>
      </c>
      <c r="J2535">
        <v>0</v>
      </c>
      <c r="K2535" s="9">
        <v>4.7179487179487181</v>
      </c>
    </row>
    <row r="2536" spans="1:11" x14ac:dyDescent="0.45">
      <c r="A2536" t="s">
        <v>233</v>
      </c>
      <c r="B2536" t="s">
        <v>641</v>
      </c>
      <c r="C2536" t="s">
        <v>19</v>
      </c>
      <c r="D2536">
        <v>6</v>
      </c>
      <c r="E2536" t="s">
        <v>502</v>
      </c>
      <c r="F2536" t="s">
        <v>623</v>
      </c>
      <c r="G2536">
        <v>26</v>
      </c>
      <c r="H2536">
        <v>10</v>
      </c>
      <c r="I2536">
        <v>1</v>
      </c>
      <c r="J2536">
        <v>3</v>
      </c>
      <c r="K2536" s="9">
        <v>4.7179487179487181</v>
      </c>
    </row>
    <row r="2537" spans="1:11" x14ac:dyDescent="0.45">
      <c r="A2537" t="s">
        <v>234</v>
      </c>
      <c r="B2537" t="s">
        <v>703</v>
      </c>
      <c r="C2537" t="s">
        <v>10</v>
      </c>
      <c r="D2537">
        <v>1</v>
      </c>
      <c r="E2537" t="s">
        <v>580</v>
      </c>
      <c r="F2537" t="s">
        <v>622</v>
      </c>
      <c r="G2537">
        <v>0</v>
      </c>
      <c r="H2537">
        <v>1</v>
      </c>
      <c r="I2537">
        <v>0</v>
      </c>
      <c r="J2537">
        <v>0</v>
      </c>
      <c r="K2537" s="9">
        <v>6.5693779904306222</v>
      </c>
    </row>
    <row r="2538" spans="1:11" x14ac:dyDescent="0.45">
      <c r="A2538" t="s">
        <v>234</v>
      </c>
      <c r="B2538" t="s">
        <v>703</v>
      </c>
      <c r="C2538" t="s">
        <v>10</v>
      </c>
      <c r="D2538">
        <v>2</v>
      </c>
      <c r="E2538" t="s">
        <v>442</v>
      </c>
      <c r="F2538" t="s">
        <v>622</v>
      </c>
      <c r="G2538">
        <v>2</v>
      </c>
      <c r="H2538">
        <v>2</v>
      </c>
      <c r="I2538">
        <v>0</v>
      </c>
      <c r="J2538">
        <v>0</v>
      </c>
      <c r="K2538" s="9">
        <v>6.1385542168674698</v>
      </c>
    </row>
    <row r="2539" spans="1:11" x14ac:dyDescent="0.45">
      <c r="A2539" t="s">
        <v>234</v>
      </c>
      <c r="B2539" t="s">
        <v>703</v>
      </c>
      <c r="C2539" t="s">
        <v>10</v>
      </c>
      <c r="D2539">
        <v>3</v>
      </c>
      <c r="E2539" t="s">
        <v>377</v>
      </c>
      <c r="F2539" t="s">
        <v>622</v>
      </c>
      <c r="G2539">
        <v>10</v>
      </c>
      <c r="H2539">
        <v>14</v>
      </c>
      <c r="I2539">
        <v>0</v>
      </c>
      <c r="J2539">
        <v>0</v>
      </c>
      <c r="K2539" s="9">
        <v>4.8461538461538458</v>
      </c>
    </row>
    <row r="2540" spans="1:11" x14ac:dyDescent="0.45">
      <c r="A2540" t="s">
        <v>234</v>
      </c>
      <c r="B2540" t="s">
        <v>703</v>
      </c>
      <c r="C2540" t="s">
        <v>10</v>
      </c>
      <c r="D2540">
        <v>4</v>
      </c>
      <c r="E2540" t="s">
        <v>581</v>
      </c>
      <c r="F2540" t="s">
        <v>622</v>
      </c>
      <c r="G2540">
        <v>8</v>
      </c>
      <c r="H2540">
        <v>6</v>
      </c>
      <c r="I2540">
        <v>2</v>
      </c>
      <c r="J2540">
        <v>0</v>
      </c>
      <c r="K2540" s="9">
        <v>5.4565217391304346</v>
      </c>
    </row>
    <row r="2541" spans="1:11" x14ac:dyDescent="0.45">
      <c r="A2541" t="s">
        <v>234</v>
      </c>
      <c r="B2541" t="s">
        <v>703</v>
      </c>
      <c r="C2541" t="s">
        <v>10</v>
      </c>
      <c r="D2541">
        <v>5</v>
      </c>
      <c r="E2541" t="s">
        <v>374</v>
      </c>
      <c r="F2541" t="s">
        <v>622</v>
      </c>
      <c r="G2541">
        <v>1</v>
      </c>
      <c r="H2541">
        <v>4</v>
      </c>
      <c r="I2541">
        <v>0</v>
      </c>
      <c r="J2541">
        <v>0</v>
      </c>
      <c r="K2541" s="9">
        <v>5.352380952380952</v>
      </c>
    </row>
    <row r="2542" spans="1:11" x14ac:dyDescent="0.45">
      <c r="A2542" t="s">
        <v>234</v>
      </c>
      <c r="B2542" t="s">
        <v>703</v>
      </c>
      <c r="C2542" t="s">
        <v>10</v>
      </c>
      <c r="D2542">
        <v>6</v>
      </c>
      <c r="E2542" t="s">
        <v>337</v>
      </c>
      <c r="F2542" t="s">
        <v>622</v>
      </c>
      <c r="G2542">
        <v>27</v>
      </c>
      <c r="H2542">
        <v>30</v>
      </c>
      <c r="I2542">
        <v>2</v>
      </c>
      <c r="J2542">
        <v>1</v>
      </c>
      <c r="K2542" s="9">
        <v>3.6774193548387095</v>
      </c>
    </row>
    <row r="2543" spans="1:11" x14ac:dyDescent="0.45">
      <c r="A2543" t="s">
        <v>234</v>
      </c>
      <c r="B2543" t="s">
        <v>703</v>
      </c>
      <c r="C2543" t="s">
        <v>10</v>
      </c>
      <c r="D2543">
        <v>7</v>
      </c>
      <c r="E2543" t="s">
        <v>545</v>
      </c>
      <c r="F2543" t="s">
        <v>622</v>
      </c>
      <c r="G2543">
        <v>51</v>
      </c>
      <c r="H2543">
        <v>44</v>
      </c>
      <c r="I2543">
        <v>3</v>
      </c>
      <c r="J2543">
        <v>3</v>
      </c>
      <c r="K2543" s="9">
        <v>3.35</v>
      </c>
    </row>
    <row r="2544" spans="1:11" x14ac:dyDescent="0.45">
      <c r="A2544" t="s">
        <v>234</v>
      </c>
      <c r="B2544" t="s">
        <v>703</v>
      </c>
      <c r="C2544" t="s">
        <v>10</v>
      </c>
      <c r="D2544">
        <v>8</v>
      </c>
      <c r="E2544" t="s">
        <v>357</v>
      </c>
      <c r="F2544" t="s">
        <v>622</v>
      </c>
      <c r="G2544">
        <v>23</v>
      </c>
      <c r="H2544">
        <v>13</v>
      </c>
      <c r="I2544">
        <v>2</v>
      </c>
      <c r="J2544">
        <v>1</v>
      </c>
      <c r="K2544" s="9">
        <v>4.8939393939393936</v>
      </c>
    </row>
    <row r="2545" spans="1:11" x14ac:dyDescent="0.45">
      <c r="A2545" t="s">
        <v>234</v>
      </c>
      <c r="B2545" t="s">
        <v>703</v>
      </c>
      <c r="C2545" t="s">
        <v>10</v>
      </c>
      <c r="D2545">
        <v>9</v>
      </c>
      <c r="E2545" t="s">
        <v>338</v>
      </c>
      <c r="F2545" t="s">
        <v>623</v>
      </c>
      <c r="G2545">
        <v>3</v>
      </c>
      <c r="H2545">
        <v>6</v>
      </c>
      <c r="I2545">
        <v>0</v>
      </c>
      <c r="J2545">
        <v>0</v>
      </c>
      <c r="K2545" s="9">
        <v>5.4565217391304346</v>
      </c>
    </row>
    <row r="2546" spans="1:11" x14ac:dyDescent="0.45">
      <c r="A2546" t="s">
        <v>234</v>
      </c>
      <c r="B2546" t="s">
        <v>703</v>
      </c>
      <c r="C2546" t="s">
        <v>10</v>
      </c>
      <c r="D2546">
        <v>10</v>
      </c>
      <c r="E2546" t="s">
        <v>500</v>
      </c>
      <c r="F2546" t="s">
        <v>623</v>
      </c>
      <c r="G2546">
        <v>0</v>
      </c>
      <c r="H2546">
        <v>1</v>
      </c>
      <c r="I2546">
        <v>0</v>
      </c>
      <c r="J2546">
        <v>0</v>
      </c>
      <c r="K2546" s="9">
        <v>6.5693779904306222</v>
      </c>
    </row>
    <row r="2547" spans="1:11" x14ac:dyDescent="0.45">
      <c r="A2547" t="s">
        <v>234</v>
      </c>
      <c r="B2547" t="s">
        <v>703</v>
      </c>
      <c r="C2547" t="s">
        <v>101</v>
      </c>
      <c r="D2547">
        <v>1</v>
      </c>
      <c r="E2547" t="s">
        <v>380</v>
      </c>
      <c r="F2547" t="s">
        <v>622</v>
      </c>
      <c r="G2547">
        <v>0</v>
      </c>
      <c r="H2547">
        <v>6</v>
      </c>
      <c r="I2547">
        <v>0</v>
      </c>
      <c r="J2547">
        <v>0</v>
      </c>
      <c r="K2547" s="9">
        <v>5.4565217391304346</v>
      </c>
    </row>
    <row r="2548" spans="1:11" x14ac:dyDescent="0.45">
      <c r="A2548" t="s">
        <v>234</v>
      </c>
      <c r="B2548" t="s">
        <v>703</v>
      </c>
      <c r="C2548" t="s">
        <v>101</v>
      </c>
      <c r="D2548">
        <v>2</v>
      </c>
      <c r="E2548" t="s">
        <v>302</v>
      </c>
      <c r="F2548" t="s">
        <v>622</v>
      </c>
      <c r="G2548">
        <v>6</v>
      </c>
      <c r="H2548">
        <v>7</v>
      </c>
      <c r="I2548">
        <v>1</v>
      </c>
      <c r="J2548">
        <v>0</v>
      </c>
      <c r="K2548" s="9">
        <v>4.927835051546392</v>
      </c>
    </row>
    <row r="2549" spans="1:11" x14ac:dyDescent="0.45">
      <c r="A2549" t="s">
        <v>234</v>
      </c>
      <c r="B2549" t="s">
        <v>703</v>
      </c>
      <c r="C2549" t="s">
        <v>101</v>
      </c>
      <c r="D2549">
        <v>3</v>
      </c>
      <c r="E2549" t="s">
        <v>361</v>
      </c>
      <c r="F2549" t="s">
        <v>623</v>
      </c>
      <c r="G2549">
        <v>59</v>
      </c>
      <c r="H2549">
        <v>53</v>
      </c>
      <c r="I2549">
        <v>7</v>
      </c>
      <c r="J2549">
        <v>0</v>
      </c>
      <c r="K2549" s="9">
        <v>3.3</v>
      </c>
    </row>
    <row r="2550" spans="1:11" x14ac:dyDescent="0.45">
      <c r="A2550" t="s">
        <v>234</v>
      </c>
      <c r="B2550" t="s">
        <v>703</v>
      </c>
      <c r="C2550" t="s">
        <v>101</v>
      </c>
      <c r="D2550">
        <v>4</v>
      </c>
      <c r="E2550" t="s">
        <v>460</v>
      </c>
      <c r="F2550" t="s">
        <v>622</v>
      </c>
      <c r="G2550">
        <v>6</v>
      </c>
      <c r="H2550">
        <v>9</v>
      </c>
      <c r="I2550">
        <v>1</v>
      </c>
      <c r="J2550">
        <v>0</v>
      </c>
      <c r="K2550" s="9">
        <v>4.924050632911392</v>
      </c>
    </row>
    <row r="2551" spans="1:11" x14ac:dyDescent="0.45">
      <c r="A2551" t="s">
        <v>234</v>
      </c>
      <c r="B2551" t="s">
        <v>703</v>
      </c>
      <c r="C2551" t="s">
        <v>101</v>
      </c>
      <c r="D2551">
        <v>5</v>
      </c>
      <c r="E2551" t="s">
        <v>411</v>
      </c>
      <c r="F2551" t="s">
        <v>622</v>
      </c>
      <c r="G2551">
        <v>0</v>
      </c>
      <c r="H2551">
        <v>3</v>
      </c>
      <c r="I2551">
        <v>0</v>
      </c>
      <c r="J2551">
        <v>0</v>
      </c>
      <c r="K2551" s="9">
        <v>5.6607142857142856</v>
      </c>
    </row>
    <row r="2552" spans="1:11" x14ac:dyDescent="0.45">
      <c r="A2552" t="s">
        <v>234</v>
      </c>
      <c r="B2552" t="s">
        <v>703</v>
      </c>
      <c r="C2552" t="s">
        <v>101</v>
      </c>
      <c r="D2552">
        <v>6</v>
      </c>
      <c r="E2552" t="s">
        <v>540</v>
      </c>
      <c r="F2552" t="s">
        <v>622</v>
      </c>
      <c r="G2552">
        <v>26</v>
      </c>
      <c r="H2552">
        <v>33</v>
      </c>
      <c r="I2552">
        <v>0</v>
      </c>
      <c r="J2552">
        <v>1</v>
      </c>
      <c r="K2552" s="9">
        <v>2.8421052631578947</v>
      </c>
    </row>
    <row r="2553" spans="1:11" x14ac:dyDescent="0.45">
      <c r="A2553" t="s">
        <v>234</v>
      </c>
      <c r="B2553" t="s">
        <v>703</v>
      </c>
      <c r="C2553" t="s">
        <v>101</v>
      </c>
      <c r="D2553">
        <v>7</v>
      </c>
      <c r="E2553" t="s">
        <v>390</v>
      </c>
      <c r="F2553" t="s">
        <v>622</v>
      </c>
      <c r="G2553">
        <v>20</v>
      </c>
      <c r="H2553">
        <v>7</v>
      </c>
      <c r="I2553">
        <v>0</v>
      </c>
      <c r="J2553">
        <v>3</v>
      </c>
      <c r="K2553" s="9">
        <v>4.927835051546392</v>
      </c>
    </row>
    <row r="2554" spans="1:11" x14ac:dyDescent="0.45">
      <c r="A2554" t="s">
        <v>234</v>
      </c>
      <c r="B2554" t="s">
        <v>703</v>
      </c>
      <c r="C2554" t="s">
        <v>101</v>
      </c>
      <c r="D2554">
        <v>8</v>
      </c>
      <c r="E2554" t="s">
        <v>379</v>
      </c>
      <c r="F2554" t="s">
        <v>623</v>
      </c>
      <c r="G2554">
        <v>3</v>
      </c>
      <c r="H2554">
        <v>2</v>
      </c>
      <c r="I2554">
        <v>0</v>
      </c>
      <c r="J2554">
        <v>0</v>
      </c>
      <c r="K2554" s="9">
        <v>6.1385542168674698</v>
      </c>
    </row>
    <row r="2555" spans="1:11" x14ac:dyDescent="0.45">
      <c r="A2555" t="s">
        <v>235</v>
      </c>
      <c r="B2555" t="s">
        <v>666</v>
      </c>
      <c r="C2555" t="s">
        <v>13</v>
      </c>
      <c r="D2555">
        <v>1</v>
      </c>
      <c r="E2555" t="s">
        <v>343</v>
      </c>
      <c r="F2555" t="s">
        <v>622</v>
      </c>
      <c r="G2555">
        <v>31</v>
      </c>
      <c r="H2555">
        <v>30</v>
      </c>
      <c r="I2555">
        <v>3</v>
      </c>
      <c r="J2555">
        <v>0</v>
      </c>
      <c r="K2555" s="9">
        <v>3.6774193548387095</v>
      </c>
    </row>
    <row r="2556" spans="1:11" x14ac:dyDescent="0.45">
      <c r="A2556" t="s">
        <v>235</v>
      </c>
      <c r="B2556" t="s">
        <v>666</v>
      </c>
      <c r="C2556" t="s">
        <v>13</v>
      </c>
      <c r="D2556">
        <v>2</v>
      </c>
      <c r="E2556" t="s">
        <v>294</v>
      </c>
      <c r="F2556" t="s">
        <v>622</v>
      </c>
      <c r="G2556">
        <v>44</v>
      </c>
      <c r="H2556">
        <v>40</v>
      </c>
      <c r="I2556">
        <v>1</v>
      </c>
      <c r="J2556">
        <v>1</v>
      </c>
      <c r="K2556" s="9">
        <v>4</v>
      </c>
    </row>
    <row r="2557" spans="1:11" x14ac:dyDescent="0.45">
      <c r="A2557" t="s">
        <v>235</v>
      </c>
      <c r="B2557" t="s">
        <v>666</v>
      </c>
      <c r="C2557" t="s">
        <v>13</v>
      </c>
      <c r="D2557">
        <v>3</v>
      </c>
      <c r="E2557" t="s">
        <v>388</v>
      </c>
      <c r="F2557" t="s">
        <v>622</v>
      </c>
      <c r="G2557">
        <v>9</v>
      </c>
      <c r="H2557">
        <v>11</v>
      </c>
      <c r="I2557">
        <v>0</v>
      </c>
      <c r="J2557">
        <v>0</v>
      </c>
      <c r="K2557" s="9">
        <v>4.9649122807017543</v>
      </c>
    </row>
    <row r="2558" spans="1:11" x14ac:dyDescent="0.45">
      <c r="A2558" t="s">
        <v>235</v>
      </c>
      <c r="B2558" t="s">
        <v>666</v>
      </c>
      <c r="C2558" t="s">
        <v>13</v>
      </c>
      <c r="D2558">
        <v>4</v>
      </c>
      <c r="E2558" t="s">
        <v>345</v>
      </c>
      <c r="F2558" t="s">
        <v>622</v>
      </c>
      <c r="G2558">
        <v>4</v>
      </c>
      <c r="H2558">
        <v>5</v>
      </c>
      <c r="I2558">
        <v>0</v>
      </c>
      <c r="J2558">
        <v>0</v>
      </c>
      <c r="K2558" s="9">
        <v>5.132075471698113</v>
      </c>
    </row>
    <row r="2559" spans="1:11" x14ac:dyDescent="0.45">
      <c r="A2559" t="s">
        <v>235</v>
      </c>
      <c r="B2559" t="s">
        <v>666</v>
      </c>
      <c r="C2559" t="s">
        <v>13</v>
      </c>
      <c r="D2559">
        <v>5</v>
      </c>
      <c r="E2559" t="s">
        <v>541</v>
      </c>
      <c r="F2559" t="s">
        <v>622</v>
      </c>
      <c r="G2559">
        <v>6</v>
      </c>
      <c r="H2559">
        <v>7</v>
      </c>
      <c r="I2559">
        <v>0</v>
      </c>
      <c r="J2559">
        <v>0</v>
      </c>
      <c r="K2559" s="9">
        <v>4.927835051546392</v>
      </c>
    </row>
    <row r="2560" spans="1:11" x14ac:dyDescent="0.45">
      <c r="A2560" t="s">
        <v>235</v>
      </c>
      <c r="B2560" t="s">
        <v>666</v>
      </c>
      <c r="C2560" t="s">
        <v>13</v>
      </c>
      <c r="D2560">
        <v>6</v>
      </c>
      <c r="E2560" t="s">
        <v>311</v>
      </c>
      <c r="F2560" t="s">
        <v>622</v>
      </c>
      <c r="G2560">
        <v>16</v>
      </c>
      <c r="H2560">
        <v>11</v>
      </c>
      <c r="I2560">
        <v>1</v>
      </c>
      <c r="J2560">
        <v>1</v>
      </c>
      <c r="K2560" s="9">
        <v>4.9649122807017543</v>
      </c>
    </row>
    <row r="2561" spans="1:11" x14ac:dyDescent="0.45">
      <c r="A2561" t="s">
        <v>235</v>
      </c>
      <c r="B2561" t="s">
        <v>666</v>
      </c>
      <c r="C2561" t="s">
        <v>13</v>
      </c>
      <c r="D2561">
        <v>7</v>
      </c>
      <c r="E2561" t="s">
        <v>430</v>
      </c>
      <c r="F2561" t="s">
        <v>622</v>
      </c>
      <c r="G2561">
        <v>3</v>
      </c>
      <c r="H2561">
        <v>4</v>
      </c>
      <c r="I2561">
        <v>0</v>
      </c>
      <c r="J2561">
        <v>0</v>
      </c>
      <c r="K2561" s="9">
        <v>5.352380952380952</v>
      </c>
    </row>
    <row r="2562" spans="1:11" x14ac:dyDescent="0.45">
      <c r="A2562" t="s">
        <v>235</v>
      </c>
      <c r="B2562" t="s">
        <v>666</v>
      </c>
      <c r="C2562" t="s">
        <v>13</v>
      </c>
      <c r="D2562">
        <v>8</v>
      </c>
      <c r="E2562" t="s">
        <v>448</v>
      </c>
      <c r="F2562" t="s">
        <v>623</v>
      </c>
      <c r="G2562">
        <v>8</v>
      </c>
      <c r="H2562">
        <v>7</v>
      </c>
      <c r="I2562">
        <v>1</v>
      </c>
      <c r="J2562">
        <v>0</v>
      </c>
      <c r="K2562" s="9">
        <v>4.927835051546392</v>
      </c>
    </row>
    <row r="2563" spans="1:11" x14ac:dyDescent="0.45">
      <c r="A2563" t="s">
        <v>235</v>
      </c>
      <c r="B2563" t="s">
        <v>666</v>
      </c>
      <c r="C2563" t="s">
        <v>13</v>
      </c>
      <c r="D2563">
        <v>9</v>
      </c>
      <c r="E2563" t="s">
        <v>586</v>
      </c>
      <c r="F2563" t="s">
        <v>622</v>
      </c>
      <c r="G2563">
        <v>2</v>
      </c>
      <c r="H2563">
        <v>2</v>
      </c>
      <c r="I2563">
        <v>0</v>
      </c>
      <c r="J2563">
        <v>0</v>
      </c>
      <c r="K2563" s="9">
        <v>6.1385542168674698</v>
      </c>
    </row>
    <row r="2564" spans="1:11" x14ac:dyDescent="0.45">
      <c r="A2564" t="s">
        <v>235</v>
      </c>
      <c r="B2564" t="s">
        <v>666</v>
      </c>
      <c r="C2564" t="s">
        <v>13</v>
      </c>
      <c r="D2564">
        <v>10</v>
      </c>
      <c r="E2564" t="s">
        <v>352</v>
      </c>
      <c r="F2564" t="s">
        <v>622</v>
      </c>
      <c r="G2564">
        <v>0</v>
      </c>
      <c r="H2564">
        <v>1</v>
      </c>
      <c r="I2564">
        <v>0</v>
      </c>
      <c r="J2564">
        <v>0</v>
      </c>
      <c r="K2564" s="9">
        <v>6.5693779904306222</v>
      </c>
    </row>
    <row r="2565" spans="1:11" x14ac:dyDescent="0.45">
      <c r="A2565" t="s">
        <v>235</v>
      </c>
      <c r="B2565" t="s">
        <v>666</v>
      </c>
      <c r="C2565" t="s">
        <v>13</v>
      </c>
      <c r="D2565">
        <v>11</v>
      </c>
      <c r="E2565" t="s">
        <v>325</v>
      </c>
      <c r="F2565" t="s">
        <v>623</v>
      </c>
      <c r="G2565">
        <v>1</v>
      </c>
      <c r="H2565">
        <v>2</v>
      </c>
      <c r="I2565">
        <v>0</v>
      </c>
      <c r="J2565">
        <v>0</v>
      </c>
      <c r="K2565" s="9">
        <v>6.1385542168674698</v>
      </c>
    </row>
    <row r="2566" spans="1:11" x14ac:dyDescent="0.45">
      <c r="A2566" t="s">
        <v>235</v>
      </c>
      <c r="B2566" t="s">
        <v>666</v>
      </c>
      <c r="C2566" t="s">
        <v>104</v>
      </c>
      <c r="D2566">
        <v>1</v>
      </c>
      <c r="E2566" t="s">
        <v>564</v>
      </c>
      <c r="F2566" t="s">
        <v>622</v>
      </c>
      <c r="G2566">
        <v>0</v>
      </c>
      <c r="H2566">
        <v>2</v>
      </c>
      <c r="I2566">
        <v>0</v>
      </c>
      <c r="J2566">
        <v>0</v>
      </c>
      <c r="K2566" s="9">
        <v>6.1385542168674698</v>
      </c>
    </row>
    <row r="2567" spans="1:11" x14ac:dyDescent="0.45">
      <c r="A2567" t="s">
        <v>235</v>
      </c>
      <c r="B2567" t="s">
        <v>666</v>
      </c>
      <c r="C2567" t="s">
        <v>104</v>
      </c>
      <c r="D2567">
        <v>2</v>
      </c>
      <c r="E2567" t="s">
        <v>521</v>
      </c>
      <c r="F2567" t="s">
        <v>622</v>
      </c>
      <c r="G2567">
        <v>4</v>
      </c>
      <c r="H2567">
        <v>11</v>
      </c>
      <c r="I2567">
        <v>0</v>
      </c>
      <c r="J2567">
        <v>0</v>
      </c>
      <c r="K2567" s="9">
        <v>4.9649122807017543</v>
      </c>
    </row>
    <row r="2568" spans="1:11" x14ac:dyDescent="0.45">
      <c r="A2568" t="s">
        <v>235</v>
      </c>
      <c r="B2568" t="s">
        <v>666</v>
      </c>
      <c r="C2568" t="s">
        <v>104</v>
      </c>
      <c r="D2568">
        <v>3</v>
      </c>
      <c r="E2568" t="s">
        <v>366</v>
      </c>
      <c r="F2568" t="s">
        <v>622</v>
      </c>
      <c r="G2568">
        <v>14</v>
      </c>
      <c r="H2568">
        <v>11</v>
      </c>
      <c r="I2568">
        <v>3</v>
      </c>
      <c r="J2568">
        <v>0</v>
      </c>
      <c r="K2568" s="9">
        <v>4.9649122807017543</v>
      </c>
    </row>
    <row r="2569" spans="1:11" x14ac:dyDescent="0.45">
      <c r="A2569" t="s">
        <v>235</v>
      </c>
      <c r="B2569" t="s">
        <v>666</v>
      </c>
      <c r="C2569" t="s">
        <v>104</v>
      </c>
      <c r="D2569">
        <v>4</v>
      </c>
      <c r="E2569" t="s">
        <v>426</v>
      </c>
      <c r="F2569" t="s">
        <v>622</v>
      </c>
      <c r="G2569">
        <v>1</v>
      </c>
      <c r="H2569">
        <v>2</v>
      </c>
      <c r="I2569">
        <v>0</v>
      </c>
      <c r="J2569">
        <v>0</v>
      </c>
      <c r="K2569" s="9">
        <v>6.1385542168674698</v>
      </c>
    </row>
    <row r="2570" spans="1:11" x14ac:dyDescent="0.45">
      <c r="A2570" t="s">
        <v>235</v>
      </c>
      <c r="B2570" t="s">
        <v>666</v>
      </c>
      <c r="C2570" t="s">
        <v>104</v>
      </c>
      <c r="D2570">
        <v>5</v>
      </c>
      <c r="E2570" t="s">
        <v>331</v>
      </c>
      <c r="F2570" t="s">
        <v>622</v>
      </c>
      <c r="G2570">
        <v>13</v>
      </c>
      <c r="H2570">
        <v>19</v>
      </c>
      <c r="I2570">
        <v>0</v>
      </c>
      <c r="J2570">
        <v>1</v>
      </c>
      <c r="K2570" s="9">
        <v>4.5660377358490569</v>
      </c>
    </row>
    <row r="2571" spans="1:11" x14ac:dyDescent="0.45">
      <c r="A2571" t="s">
        <v>235</v>
      </c>
      <c r="B2571" t="s">
        <v>666</v>
      </c>
      <c r="C2571" t="s">
        <v>104</v>
      </c>
      <c r="D2571">
        <v>6</v>
      </c>
      <c r="E2571" t="s">
        <v>416</v>
      </c>
      <c r="F2571" t="s">
        <v>622</v>
      </c>
      <c r="G2571">
        <v>9</v>
      </c>
      <c r="H2571">
        <v>7</v>
      </c>
      <c r="I2571">
        <v>0</v>
      </c>
      <c r="J2571">
        <v>1</v>
      </c>
      <c r="K2571" s="9">
        <v>4.927835051546392</v>
      </c>
    </row>
    <row r="2572" spans="1:11" x14ac:dyDescent="0.45">
      <c r="A2572" t="s">
        <v>235</v>
      </c>
      <c r="B2572" t="s">
        <v>666</v>
      </c>
      <c r="C2572" t="s">
        <v>104</v>
      </c>
      <c r="D2572">
        <v>7</v>
      </c>
      <c r="E2572" t="s">
        <v>516</v>
      </c>
      <c r="F2572" t="s">
        <v>622</v>
      </c>
      <c r="G2572">
        <v>23</v>
      </c>
      <c r="H2572">
        <v>13</v>
      </c>
      <c r="I2572">
        <v>1</v>
      </c>
      <c r="J2572">
        <v>2</v>
      </c>
      <c r="K2572" s="9">
        <v>4.8939393939393936</v>
      </c>
    </row>
    <row r="2573" spans="1:11" x14ac:dyDescent="0.45">
      <c r="A2573" t="s">
        <v>235</v>
      </c>
      <c r="B2573" t="s">
        <v>666</v>
      </c>
      <c r="C2573" t="s">
        <v>104</v>
      </c>
      <c r="D2573">
        <v>8</v>
      </c>
      <c r="E2573" t="s">
        <v>407</v>
      </c>
      <c r="F2573" t="s">
        <v>622</v>
      </c>
      <c r="G2573">
        <v>5</v>
      </c>
      <c r="H2573">
        <v>10</v>
      </c>
      <c r="I2573">
        <v>0</v>
      </c>
      <c r="J2573">
        <v>0</v>
      </c>
      <c r="K2573" s="9">
        <v>4.7179487179487181</v>
      </c>
    </row>
    <row r="2574" spans="1:11" x14ac:dyDescent="0.45">
      <c r="A2574" t="s">
        <v>235</v>
      </c>
      <c r="B2574" t="s">
        <v>666</v>
      </c>
      <c r="C2574" t="s">
        <v>104</v>
      </c>
      <c r="D2574">
        <v>9</v>
      </c>
      <c r="E2574" t="s">
        <v>468</v>
      </c>
      <c r="F2574" t="s">
        <v>622</v>
      </c>
      <c r="G2574">
        <v>19</v>
      </c>
      <c r="H2574">
        <v>30</v>
      </c>
      <c r="I2574">
        <v>2</v>
      </c>
      <c r="J2574">
        <v>0</v>
      </c>
      <c r="K2574" s="9">
        <v>3.6774193548387095</v>
      </c>
    </row>
    <row r="2575" spans="1:11" x14ac:dyDescent="0.45">
      <c r="A2575" t="s">
        <v>235</v>
      </c>
      <c r="B2575" t="s">
        <v>666</v>
      </c>
      <c r="C2575" t="s">
        <v>104</v>
      </c>
      <c r="D2575">
        <v>10</v>
      </c>
      <c r="E2575" t="s">
        <v>565</v>
      </c>
      <c r="F2575" t="s">
        <v>622</v>
      </c>
      <c r="G2575">
        <v>13</v>
      </c>
      <c r="H2575">
        <v>13</v>
      </c>
      <c r="I2575">
        <v>2</v>
      </c>
      <c r="J2575">
        <v>0</v>
      </c>
      <c r="K2575" s="9">
        <v>4.8939393939393936</v>
      </c>
    </row>
    <row r="2576" spans="1:11" x14ac:dyDescent="0.45">
      <c r="A2576" t="s">
        <v>235</v>
      </c>
      <c r="B2576" t="s">
        <v>666</v>
      </c>
      <c r="C2576" t="s">
        <v>104</v>
      </c>
      <c r="D2576">
        <v>11</v>
      </c>
      <c r="E2576" t="s">
        <v>397</v>
      </c>
      <c r="F2576" t="s">
        <v>623</v>
      </c>
      <c r="G2576">
        <v>0</v>
      </c>
      <c r="H2576">
        <v>3</v>
      </c>
      <c r="I2576">
        <v>0</v>
      </c>
      <c r="J2576">
        <v>0</v>
      </c>
      <c r="K2576" s="9">
        <v>5.6607142857142856</v>
      </c>
    </row>
    <row r="2577" spans="1:11" x14ac:dyDescent="0.45">
      <c r="A2577" t="s">
        <v>236</v>
      </c>
      <c r="B2577" t="s">
        <v>632</v>
      </c>
      <c r="C2577" t="s">
        <v>23</v>
      </c>
      <c r="D2577">
        <v>1</v>
      </c>
      <c r="E2577" t="s">
        <v>383</v>
      </c>
      <c r="F2577" t="s">
        <v>622</v>
      </c>
      <c r="G2577">
        <v>124</v>
      </c>
      <c r="H2577">
        <v>62</v>
      </c>
      <c r="I2577">
        <v>16</v>
      </c>
      <c r="J2577">
        <v>8</v>
      </c>
      <c r="K2577" s="9">
        <v>3.7777777777777777</v>
      </c>
    </row>
    <row r="2578" spans="1:11" x14ac:dyDescent="0.45">
      <c r="A2578" t="s">
        <v>236</v>
      </c>
      <c r="B2578" t="s">
        <v>632</v>
      </c>
      <c r="C2578" t="s">
        <v>23</v>
      </c>
      <c r="D2578">
        <v>2</v>
      </c>
      <c r="E2578" t="s">
        <v>458</v>
      </c>
      <c r="F2578" t="s">
        <v>622</v>
      </c>
      <c r="G2578">
        <v>18</v>
      </c>
      <c r="H2578">
        <v>19</v>
      </c>
      <c r="I2578">
        <v>2</v>
      </c>
      <c r="J2578">
        <v>1</v>
      </c>
      <c r="K2578" s="9">
        <v>4.5660377358490569</v>
      </c>
    </row>
    <row r="2579" spans="1:11" x14ac:dyDescent="0.45">
      <c r="A2579" t="s">
        <v>236</v>
      </c>
      <c r="B2579" t="s">
        <v>632</v>
      </c>
      <c r="C2579" t="s">
        <v>23</v>
      </c>
      <c r="D2579">
        <v>3</v>
      </c>
      <c r="E2579" t="s">
        <v>386</v>
      </c>
      <c r="F2579" t="s">
        <v>622</v>
      </c>
      <c r="G2579">
        <v>14</v>
      </c>
      <c r="H2579">
        <v>10</v>
      </c>
      <c r="I2579">
        <v>1</v>
      </c>
      <c r="J2579">
        <v>1</v>
      </c>
      <c r="K2579" s="9">
        <v>4.7179487179487181</v>
      </c>
    </row>
    <row r="2580" spans="1:11" x14ac:dyDescent="0.45">
      <c r="A2580" t="s">
        <v>236</v>
      </c>
      <c r="B2580" t="s">
        <v>632</v>
      </c>
      <c r="C2580" t="s">
        <v>23</v>
      </c>
      <c r="D2580">
        <v>4</v>
      </c>
      <c r="E2580" t="s">
        <v>342</v>
      </c>
      <c r="F2580" t="s">
        <v>622</v>
      </c>
      <c r="G2580">
        <v>2</v>
      </c>
      <c r="H2580">
        <v>4</v>
      </c>
      <c r="I2580">
        <v>0</v>
      </c>
      <c r="J2580">
        <v>0</v>
      </c>
      <c r="K2580" s="9">
        <v>5.352380952380952</v>
      </c>
    </row>
    <row r="2581" spans="1:11" x14ac:dyDescent="0.45">
      <c r="A2581" t="s">
        <v>236</v>
      </c>
      <c r="B2581" t="s">
        <v>632</v>
      </c>
      <c r="C2581" t="s">
        <v>23</v>
      </c>
      <c r="D2581">
        <v>5</v>
      </c>
      <c r="E2581" t="s">
        <v>378</v>
      </c>
      <c r="F2581" t="s">
        <v>622</v>
      </c>
      <c r="G2581">
        <v>11</v>
      </c>
      <c r="H2581">
        <v>9</v>
      </c>
      <c r="I2581">
        <v>0</v>
      </c>
      <c r="J2581">
        <v>1</v>
      </c>
      <c r="K2581" s="9">
        <v>4.924050632911392</v>
      </c>
    </row>
    <row r="2582" spans="1:11" x14ac:dyDescent="0.45">
      <c r="A2582" t="s">
        <v>236</v>
      </c>
      <c r="B2582" t="s">
        <v>632</v>
      </c>
      <c r="C2582" t="s">
        <v>23</v>
      </c>
      <c r="D2582">
        <v>6</v>
      </c>
      <c r="E2582" t="s">
        <v>336</v>
      </c>
      <c r="F2582" t="s">
        <v>622</v>
      </c>
      <c r="G2582">
        <v>8</v>
      </c>
      <c r="H2582">
        <v>9</v>
      </c>
      <c r="I2582">
        <v>0</v>
      </c>
      <c r="J2582">
        <v>1</v>
      </c>
      <c r="K2582" s="9">
        <v>4.924050632911392</v>
      </c>
    </row>
    <row r="2583" spans="1:11" x14ac:dyDescent="0.45">
      <c r="A2583" t="s">
        <v>236</v>
      </c>
      <c r="B2583" t="s">
        <v>632</v>
      </c>
      <c r="C2583" t="s">
        <v>23</v>
      </c>
      <c r="D2583">
        <v>7</v>
      </c>
      <c r="E2583" t="s">
        <v>584</v>
      </c>
      <c r="F2583" t="s">
        <v>622</v>
      </c>
      <c r="G2583">
        <v>2</v>
      </c>
      <c r="H2583">
        <v>3</v>
      </c>
      <c r="I2583">
        <v>0</v>
      </c>
      <c r="J2583">
        <v>0</v>
      </c>
      <c r="K2583" s="9">
        <v>5.6607142857142856</v>
      </c>
    </row>
    <row r="2584" spans="1:11" x14ac:dyDescent="0.45">
      <c r="A2584" t="s">
        <v>236</v>
      </c>
      <c r="B2584" t="s">
        <v>632</v>
      </c>
      <c r="C2584" t="s">
        <v>23</v>
      </c>
      <c r="D2584">
        <v>8</v>
      </c>
      <c r="E2584" t="s">
        <v>339</v>
      </c>
      <c r="F2584" t="s">
        <v>623</v>
      </c>
      <c r="G2584">
        <v>8</v>
      </c>
      <c r="H2584">
        <v>5</v>
      </c>
      <c r="I2584">
        <v>1</v>
      </c>
      <c r="J2584">
        <v>0</v>
      </c>
      <c r="K2584" s="9">
        <v>5.132075471698113</v>
      </c>
    </row>
    <row r="2585" spans="1:11" x14ac:dyDescent="0.45">
      <c r="A2585" t="s">
        <v>236</v>
      </c>
      <c r="B2585" t="s">
        <v>632</v>
      </c>
      <c r="C2585" t="s">
        <v>23</v>
      </c>
      <c r="D2585">
        <v>9</v>
      </c>
      <c r="E2585" t="s">
        <v>370</v>
      </c>
      <c r="F2585" t="s">
        <v>623</v>
      </c>
      <c r="G2585">
        <v>0</v>
      </c>
      <c r="H2585">
        <v>0</v>
      </c>
      <c r="I2585">
        <v>0</v>
      </c>
      <c r="J2585">
        <v>0</v>
      </c>
      <c r="K2585" s="9">
        <v>6.2519685039370083</v>
      </c>
    </row>
    <row r="2586" spans="1:11" x14ac:dyDescent="0.45">
      <c r="A2586" t="s">
        <v>236</v>
      </c>
      <c r="B2586" t="s">
        <v>632</v>
      </c>
      <c r="C2586" t="s">
        <v>19</v>
      </c>
      <c r="D2586">
        <v>1</v>
      </c>
      <c r="E2586" t="s">
        <v>359</v>
      </c>
      <c r="F2586" t="s">
        <v>622</v>
      </c>
      <c r="G2586">
        <v>3</v>
      </c>
      <c r="H2586">
        <v>5</v>
      </c>
      <c r="I2586">
        <v>0</v>
      </c>
      <c r="J2586">
        <v>0</v>
      </c>
      <c r="K2586" s="9">
        <v>5.132075471698113</v>
      </c>
    </row>
    <row r="2587" spans="1:11" x14ac:dyDescent="0.45">
      <c r="A2587" t="s">
        <v>236</v>
      </c>
      <c r="B2587" t="s">
        <v>632</v>
      </c>
      <c r="C2587" t="s">
        <v>19</v>
      </c>
      <c r="D2587">
        <v>2</v>
      </c>
      <c r="E2587" t="s">
        <v>360</v>
      </c>
      <c r="F2587" t="s">
        <v>622</v>
      </c>
      <c r="G2587">
        <v>28</v>
      </c>
      <c r="H2587">
        <v>23</v>
      </c>
      <c r="I2587">
        <v>4</v>
      </c>
      <c r="J2587">
        <v>0</v>
      </c>
      <c r="K2587" s="9">
        <v>5.1142857142857139</v>
      </c>
    </row>
    <row r="2588" spans="1:11" x14ac:dyDescent="0.45">
      <c r="A2588" t="s">
        <v>236</v>
      </c>
      <c r="B2588" t="s">
        <v>632</v>
      </c>
      <c r="C2588" t="s">
        <v>19</v>
      </c>
      <c r="D2588">
        <v>3</v>
      </c>
      <c r="E2588" t="s">
        <v>560</v>
      </c>
      <c r="F2588" t="s">
        <v>622</v>
      </c>
      <c r="G2588">
        <v>44</v>
      </c>
      <c r="H2588">
        <v>26</v>
      </c>
      <c r="I2588">
        <v>4</v>
      </c>
      <c r="J2588">
        <v>2</v>
      </c>
      <c r="K2588" s="9">
        <v>4.1568627450980395</v>
      </c>
    </row>
    <row r="2589" spans="1:11" x14ac:dyDescent="0.45">
      <c r="A2589" t="s">
        <v>236</v>
      </c>
      <c r="B2589" t="s">
        <v>632</v>
      </c>
      <c r="C2589" t="s">
        <v>19</v>
      </c>
      <c r="D2589">
        <v>4</v>
      </c>
      <c r="E2589" t="s">
        <v>363</v>
      </c>
      <c r="F2589" t="s">
        <v>622</v>
      </c>
      <c r="G2589">
        <v>55</v>
      </c>
      <c r="H2589">
        <v>29</v>
      </c>
      <c r="I2589">
        <v>8</v>
      </c>
      <c r="J2589">
        <v>2</v>
      </c>
      <c r="K2589" s="9">
        <v>4.0454545454545459</v>
      </c>
    </row>
    <row r="2590" spans="1:11" x14ac:dyDescent="0.45">
      <c r="A2590" t="s">
        <v>236</v>
      </c>
      <c r="B2590" t="s">
        <v>632</v>
      </c>
      <c r="C2590" t="s">
        <v>19</v>
      </c>
      <c r="D2590">
        <v>5</v>
      </c>
      <c r="E2590" t="s">
        <v>502</v>
      </c>
      <c r="F2590" t="s">
        <v>623</v>
      </c>
      <c r="G2590">
        <v>29</v>
      </c>
      <c r="H2590">
        <v>21</v>
      </c>
      <c r="I2590">
        <v>3</v>
      </c>
      <c r="J2590">
        <v>1</v>
      </c>
      <c r="K2590" s="9">
        <v>4.3770491803278686</v>
      </c>
    </row>
    <row r="2591" spans="1:11" x14ac:dyDescent="0.45">
      <c r="A2591" t="s">
        <v>236</v>
      </c>
      <c r="B2591" t="s">
        <v>632</v>
      </c>
      <c r="C2591" t="s">
        <v>19</v>
      </c>
      <c r="D2591">
        <v>6</v>
      </c>
      <c r="E2591" t="s">
        <v>447</v>
      </c>
      <c r="F2591" t="s">
        <v>623</v>
      </c>
      <c r="G2591">
        <v>45</v>
      </c>
      <c r="H2591">
        <v>14</v>
      </c>
      <c r="I2591">
        <v>2</v>
      </c>
      <c r="J2591">
        <v>5</v>
      </c>
      <c r="K2591" s="9">
        <v>4.8461538461538458</v>
      </c>
    </row>
    <row r="2592" spans="1:11" x14ac:dyDescent="0.45">
      <c r="A2592" t="s">
        <v>237</v>
      </c>
      <c r="B2592" t="s">
        <v>630</v>
      </c>
      <c r="C2592" t="s">
        <v>6</v>
      </c>
      <c r="D2592">
        <v>1</v>
      </c>
      <c r="E2592" t="s">
        <v>290</v>
      </c>
      <c r="F2592" t="s">
        <v>622</v>
      </c>
      <c r="G2592">
        <v>37</v>
      </c>
      <c r="H2592">
        <v>31</v>
      </c>
      <c r="I2592">
        <v>4</v>
      </c>
      <c r="J2592">
        <v>1</v>
      </c>
      <c r="K2592" s="9">
        <v>3.4375</v>
      </c>
    </row>
    <row r="2593" spans="1:11" x14ac:dyDescent="0.45">
      <c r="A2593" t="s">
        <v>237</v>
      </c>
      <c r="B2593" t="s">
        <v>630</v>
      </c>
      <c r="C2593" t="s">
        <v>6</v>
      </c>
      <c r="D2593">
        <v>2</v>
      </c>
      <c r="E2593" t="s">
        <v>505</v>
      </c>
      <c r="F2593" t="s">
        <v>623</v>
      </c>
      <c r="G2593">
        <v>92</v>
      </c>
      <c r="H2593">
        <v>52</v>
      </c>
      <c r="I2593">
        <v>16</v>
      </c>
      <c r="J2593">
        <v>1</v>
      </c>
      <c r="K2593" s="9">
        <v>2.9090909090909092</v>
      </c>
    </row>
    <row r="2594" spans="1:11" x14ac:dyDescent="0.45">
      <c r="A2594" t="s">
        <v>237</v>
      </c>
      <c r="B2594" t="s">
        <v>630</v>
      </c>
      <c r="C2594" t="s">
        <v>6</v>
      </c>
      <c r="D2594">
        <v>3</v>
      </c>
      <c r="E2594" t="s">
        <v>387</v>
      </c>
      <c r="F2594" t="s">
        <v>622</v>
      </c>
      <c r="G2594">
        <v>28</v>
      </c>
      <c r="H2594">
        <v>17</v>
      </c>
      <c r="I2594">
        <v>1</v>
      </c>
      <c r="J2594">
        <v>2</v>
      </c>
      <c r="K2594" s="9">
        <v>4.82</v>
      </c>
    </row>
    <row r="2595" spans="1:11" x14ac:dyDescent="0.45">
      <c r="A2595" t="s">
        <v>237</v>
      </c>
      <c r="B2595" t="s">
        <v>630</v>
      </c>
      <c r="C2595" t="s">
        <v>6</v>
      </c>
      <c r="D2595">
        <v>4</v>
      </c>
      <c r="E2595" t="s">
        <v>299</v>
      </c>
      <c r="F2595" t="s">
        <v>622</v>
      </c>
      <c r="G2595">
        <v>10</v>
      </c>
      <c r="H2595">
        <v>6</v>
      </c>
      <c r="I2595">
        <v>2</v>
      </c>
      <c r="J2595">
        <v>0</v>
      </c>
      <c r="K2595" s="9">
        <v>5.4565217391304346</v>
      </c>
    </row>
    <row r="2596" spans="1:11" x14ac:dyDescent="0.45">
      <c r="A2596" t="s">
        <v>237</v>
      </c>
      <c r="B2596" t="s">
        <v>630</v>
      </c>
      <c r="C2596" t="s">
        <v>6</v>
      </c>
      <c r="D2596">
        <v>5</v>
      </c>
      <c r="E2596" t="s">
        <v>328</v>
      </c>
      <c r="F2596" t="s">
        <v>622</v>
      </c>
      <c r="G2596">
        <v>12</v>
      </c>
      <c r="H2596">
        <v>10</v>
      </c>
      <c r="I2596">
        <v>0</v>
      </c>
      <c r="J2596">
        <v>0</v>
      </c>
      <c r="K2596" s="9">
        <v>4.7179487179487181</v>
      </c>
    </row>
    <row r="2597" spans="1:11" x14ac:dyDescent="0.45">
      <c r="A2597" t="s">
        <v>237</v>
      </c>
      <c r="B2597" t="s">
        <v>630</v>
      </c>
      <c r="C2597" t="s">
        <v>6</v>
      </c>
      <c r="D2597">
        <v>6</v>
      </c>
      <c r="E2597" t="s">
        <v>356</v>
      </c>
      <c r="F2597" t="s">
        <v>623</v>
      </c>
      <c r="G2597">
        <v>13</v>
      </c>
      <c r="H2597">
        <v>4</v>
      </c>
      <c r="I2597">
        <v>0</v>
      </c>
      <c r="J2597">
        <v>2</v>
      </c>
      <c r="K2597" s="9">
        <v>5.352380952380952</v>
      </c>
    </row>
    <row r="2598" spans="1:11" x14ac:dyDescent="0.45">
      <c r="A2598" t="s">
        <v>237</v>
      </c>
      <c r="B2598" t="s">
        <v>630</v>
      </c>
      <c r="C2598" t="s">
        <v>26</v>
      </c>
      <c r="D2598">
        <v>1</v>
      </c>
      <c r="E2598" t="s">
        <v>454</v>
      </c>
      <c r="F2598" t="s">
        <v>622</v>
      </c>
      <c r="G2598">
        <v>42</v>
      </c>
      <c r="H2598">
        <v>24</v>
      </c>
      <c r="I2598">
        <v>4</v>
      </c>
      <c r="J2598">
        <v>2</v>
      </c>
      <c r="K2598" s="9">
        <v>4.0606060606060606</v>
      </c>
    </row>
    <row r="2599" spans="1:11" x14ac:dyDescent="0.45">
      <c r="A2599" t="s">
        <v>237</v>
      </c>
      <c r="B2599" t="s">
        <v>630</v>
      </c>
      <c r="C2599" t="s">
        <v>26</v>
      </c>
      <c r="D2599">
        <v>2</v>
      </c>
      <c r="E2599" t="s">
        <v>330</v>
      </c>
      <c r="F2599" t="s">
        <v>622</v>
      </c>
      <c r="G2599">
        <v>28</v>
      </c>
      <c r="H2599">
        <v>15</v>
      </c>
      <c r="I2599">
        <v>4</v>
      </c>
      <c r="J2599">
        <v>1</v>
      </c>
      <c r="K2599" s="9">
        <v>4.7777777777777777</v>
      </c>
    </row>
    <row r="2600" spans="1:11" x14ac:dyDescent="0.45">
      <c r="A2600" t="s">
        <v>237</v>
      </c>
      <c r="B2600" t="s">
        <v>630</v>
      </c>
      <c r="C2600" t="s">
        <v>26</v>
      </c>
      <c r="D2600">
        <v>3</v>
      </c>
      <c r="E2600" t="s">
        <v>583</v>
      </c>
      <c r="F2600" t="s">
        <v>622</v>
      </c>
      <c r="G2600">
        <v>13</v>
      </c>
      <c r="H2600">
        <v>17</v>
      </c>
      <c r="I2600">
        <v>0</v>
      </c>
      <c r="J2600">
        <v>0</v>
      </c>
      <c r="K2600" s="9">
        <v>4.82</v>
      </c>
    </row>
    <row r="2601" spans="1:11" x14ac:dyDescent="0.45">
      <c r="A2601" t="s">
        <v>237</v>
      </c>
      <c r="B2601" t="s">
        <v>630</v>
      </c>
      <c r="C2601" t="s">
        <v>26</v>
      </c>
      <c r="D2601">
        <v>4</v>
      </c>
      <c r="E2601" t="s">
        <v>384</v>
      </c>
      <c r="F2601" t="s">
        <v>622</v>
      </c>
      <c r="G2601">
        <v>40</v>
      </c>
      <c r="H2601">
        <v>24</v>
      </c>
      <c r="I2601">
        <v>1</v>
      </c>
      <c r="J2601">
        <v>4</v>
      </c>
      <c r="K2601" s="9">
        <v>4.0606060606060606</v>
      </c>
    </row>
    <row r="2602" spans="1:11" x14ac:dyDescent="0.45">
      <c r="A2602" t="s">
        <v>237</v>
      </c>
      <c r="B2602" t="s">
        <v>630</v>
      </c>
      <c r="C2602" t="s">
        <v>26</v>
      </c>
      <c r="D2602">
        <v>5</v>
      </c>
      <c r="E2602" t="s">
        <v>420</v>
      </c>
      <c r="F2602" t="s">
        <v>622</v>
      </c>
      <c r="G2602">
        <v>29</v>
      </c>
      <c r="H2602">
        <v>20</v>
      </c>
      <c r="I2602">
        <v>1</v>
      </c>
      <c r="J2602">
        <v>1</v>
      </c>
      <c r="K2602" s="9">
        <v>4.9473684210526319</v>
      </c>
    </row>
    <row r="2603" spans="1:11" x14ac:dyDescent="0.45">
      <c r="A2603" t="s">
        <v>237</v>
      </c>
      <c r="B2603" t="s">
        <v>630</v>
      </c>
      <c r="C2603" t="s">
        <v>26</v>
      </c>
      <c r="D2603">
        <v>6</v>
      </c>
      <c r="E2603" t="s">
        <v>495</v>
      </c>
      <c r="F2603" t="s">
        <v>622</v>
      </c>
      <c r="G2603">
        <v>21</v>
      </c>
      <c r="H2603">
        <v>10</v>
      </c>
      <c r="I2603">
        <v>2</v>
      </c>
      <c r="J2603">
        <v>1</v>
      </c>
      <c r="K2603" s="9">
        <v>4.7179487179487181</v>
      </c>
    </row>
    <row r="2604" spans="1:11" x14ac:dyDescent="0.45">
      <c r="A2604" t="s">
        <v>237</v>
      </c>
      <c r="B2604" t="s">
        <v>630</v>
      </c>
      <c r="C2604" t="s">
        <v>26</v>
      </c>
      <c r="D2604">
        <v>7</v>
      </c>
      <c r="E2604" t="s">
        <v>400</v>
      </c>
      <c r="F2604" t="s">
        <v>623</v>
      </c>
      <c r="G2604">
        <v>2</v>
      </c>
      <c r="H2604">
        <v>3</v>
      </c>
      <c r="I2604">
        <v>0</v>
      </c>
      <c r="J2604">
        <v>0</v>
      </c>
      <c r="K2604" s="9">
        <v>5.6607142857142856</v>
      </c>
    </row>
    <row r="2605" spans="1:11" x14ac:dyDescent="0.45">
      <c r="A2605" t="s">
        <v>237</v>
      </c>
      <c r="B2605" t="s">
        <v>630</v>
      </c>
      <c r="C2605" t="s">
        <v>26</v>
      </c>
      <c r="D2605">
        <v>8</v>
      </c>
      <c r="E2605" t="s">
        <v>590</v>
      </c>
      <c r="F2605" t="s">
        <v>623</v>
      </c>
      <c r="G2605">
        <v>13</v>
      </c>
      <c r="H2605">
        <v>7</v>
      </c>
      <c r="I2605">
        <v>1</v>
      </c>
      <c r="J2605">
        <v>0</v>
      </c>
      <c r="K2605" s="9">
        <v>4.927835051546392</v>
      </c>
    </row>
    <row r="2606" spans="1:11" x14ac:dyDescent="0.45">
      <c r="A2606" t="s">
        <v>239</v>
      </c>
      <c r="B2606" t="s">
        <v>649</v>
      </c>
      <c r="C2606" t="s">
        <v>20</v>
      </c>
      <c r="D2606">
        <v>1</v>
      </c>
      <c r="E2606" t="s">
        <v>373</v>
      </c>
      <c r="F2606" t="s">
        <v>622</v>
      </c>
      <c r="G2606">
        <v>67</v>
      </c>
      <c r="H2606">
        <v>36</v>
      </c>
      <c r="I2606">
        <v>12</v>
      </c>
      <c r="J2606">
        <v>1</v>
      </c>
      <c r="K2606" s="9">
        <v>4.083333333333333</v>
      </c>
    </row>
    <row r="2607" spans="1:11" x14ac:dyDescent="0.45">
      <c r="A2607" t="s">
        <v>239</v>
      </c>
      <c r="B2607" t="s">
        <v>649</v>
      </c>
      <c r="C2607" t="s">
        <v>20</v>
      </c>
      <c r="D2607">
        <v>2</v>
      </c>
      <c r="E2607" t="s">
        <v>398</v>
      </c>
      <c r="F2607" t="s">
        <v>622</v>
      </c>
      <c r="G2607">
        <v>5</v>
      </c>
      <c r="H2607">
        <v>6</v>
      </c>
      <c r="I2607">
        <v>1</v>
      </c>
      <c r="J2607">
        <v>0</v>
      </c>
      <c r="K2607" s="9">
        <v>5.4565217391304346</v>
      </c>
    </row>
    <row r="2608" spans="1:11" x14ac:dyDescent="0.45">
      <c r="A2608" t="s">
        <v>239</v>
      </c>
      <c r="B2608" t="s">
        <v>649</v>
      </c>
      <c r="C2608" t="s">
        <v>20</v>
      </c>
      <c r="D2608">
        <v>3</v>
      </c>
      <c r="E2608" t="s">
        <v>315</v>
      </c>
      <c r="F2608" t="s">
        <v>622</v>
      </c>
      <c r="G2608">
        <v>10</v>
      </c>
      <c r="H2608">
        <v>6</v>
      </c>
      <c r="I2608">
        <v>0</v>
      </c>
      <c r="J2608">
        <v>1</v>
      </c>
      <c r="K2608" s="9">
        <v>5.4565217391304346</v>
      </c>
    </row>
    <row r="2609" spans="1:11" x14ac:dyDescent="0.45">
      <c r="A2609" t="s">
        <v>239</v>
      </c>
      <c r="B2609" t="s">
        <v>649</v>
      </c>
      <c r="C2609" t="s">
        <v>20</v>
      </c>
      <c r="D2609">
        <v>4</v>
      </c>
      <c r="E2609" t="s">
        <v>401</v>
      </c>
      <c r="F2609" t="s">
        <v>622</v>
      </c>
      <c r="G2609">
        <v>8</v>
      </c>
      <c r="H2609">
        <v>13</v>
      </c>
      <c r="I2609">
        <v>0</v>
      </c>
      <c r="J2609">
        <v>0</v>
      </c>
      <c r="K2609" s="9">
        <v>4.8939393939393936</v>
      </c>
    </row>
    <row r="2610" spans="1:11" x14ac:dyDescent="0.45">
      <c r="A2610" t="s">
        <v>239</v>
      </c>
      <c r="B2610" t="s">
        <v>649</v>
      </c>
      <c r="C2610" t="s">
        <v>20</v>
      </c>
      <c r="D2610">
        <v>5</v>
      </c>
      <c r="E2610" t="s">
        <v>574</v>
      </c>
      <c r="F2610" t="s">
        <v>622</v>
      </c>
      <c r="G2610">
        <v>0</v>
      </c>
      <c r="H2610">
        <v>2</v>
      </c>
      <c r="I2610">
        <v>0</v>
      </c>
      <c r="J2610">
        <v>0</v>
      </c>
      <c r="K2610" s="9">
        <v>6.1385542168674698</v>
      </c>
    </row>
    <row r="2611" spans="1:11" x14ac:dyDescent="0.45">
      <c r="A2611" t="s">
        <v>239</v>
      </c>
      <c r="B2611" t="s">
        <v>649</v>
      </c>
      <c r="C2611" t="s">
        <v>20</v>
      </c>
      <c r="D2611">
        <v>6</v>
      </c>
      <c r="E2611" t="s">
        <v>573</v>
      </c>
      <c r="F2611" t="s">
        <v>623</v>
      </c>
      <c r="G2611">
        <v>53</v>
      </c>
      <c r="H2611">
        <v>27</v>
      </c>
      <c r="I2611">
        <v>2</v>
      </c>
      <c r="J2611">
        <v>4</v>
      </c>
      <c r="K2611" s="9">
        <v>4.25</v>
      </c>
    </row>
    <row r="2612" spans="1:11" x14ac:dyDescent="0.45">
      <c r="A2612" t="s">
        <v>239</v>
      </c>
      <c r="B2612" t="s">
        <v>649</v>
      </c>
      <c r="C2612" t="s">
        <v>20</v>
      </c>
      <c r="D2612">
        <v>7</v>
      </c>
      <c r="E2612" t="s">
        <v>376</v>
      </c>
      <c r="F2612" t="s">
        <v>622</v>
      </c>
      <c r="G2612">
        <v>28</v>
      </c>
      <c r="H2612">
        <v>21</v>
      </c>
      <c r="I2612">
        <v>1</v>
      </c>
      <c r="J2612">
        <v>2</v>
      </c>
      <c r="K2612" s="9">
        <v>4.3770491803278686</v>
      </c>
    </row>
    <row r="2613" spans="1:11" x14ac:dyDescent="0.45">
      <c r="A2613" t="s">
        <v>239</v>
      </c>
      <c r="B2613" t="s">
        <v>649</v>
      </c>
      <c r="C2613" t="s">
        <v>20</v>
      </c>
      <c r="D2613">
        <v>8</v>
      </c>
      <c r="E2613" t="s">
        <v>597</v>
      </c>
      <c r="F2613" t="s">
        <v>623</v>
      </c>
      <c r="G2613">
        <v>16</v>
      </c>
      <c r="H2613">
        <v>10</v>
      </c>
      <c r="I2613">
        <v>1</v>
      </c>
      <c r="J2613">
        <v>1</v>
      </c>
      <c r="K2613" s="9">
        <v>4.7179487179487181</v>
      </c>
    </row>
    <row r="2614" spans="1:11" x14ac:dyDescent="0.45">
      <c r="A2614" t="s">
        <v>239</v>
      </c>
      <c r="B2614" t="s">
        <v>649</v>
      </c>
      <c r="C2614" t="s">
        <v>10</v>
      </c>
      <c r="D2614">
        <v>1</v>
      </c>
      <c r="E2614" t="s">
        <v>442</v>
      </c>
      <c r="F2614" t="s">
        <v>622</v>
      </c>
      <c r="G2614">
        <v>0</v>
      </c>
      <c r="H2614">
        <v>2</v>
      </c>
      <c r="I2614">
        <v>0</v>
      </c>
      <c r="J2614">
        <v>0</v>
      </c>
      <c r="K2614" s="9">
        <v>6.1385542168674698</v>
      </c>
    </row>
    <row r="2615" spans="1:11" x14ac:dyDescent="0.45">
      <c r="A2615" t="s">
        <v>239</v>
      </c>
      <c r="B2615" t="s">
        <v>649</v>
      </c>
      <c r="C2615" t="s">
        <v>10</v>
      </c>
      <c r="D2615">
        <v>2</v>
      </c>
      <c r="E2615" t="s">
        <v>580</v>
      </c>
      <c r="F2615" t="s">
        <v>622</v>
      </c>
      <c r="G2615">
        <v>59</v>
      </c>
      <c r="H2615">
        <v>35</v>
      </c>
      <c r="I2615">
        <v>9</v>
      </c>
      <c r="J2615">
        <v>0</v>
      </c>
      <c r="K2615" s="9">
        <v>3.5769230769230771</v>
      </c>
    </row>
    <row r="2616" spans="1:11" x14ac:dyDescent="0.45">
      <c r="A2616" t="s">
        <v>239</v>
      </c>
      <c r="B2616" t="s">
        <v>649</v>
      </c>
      <c r="C2616" t="s">
        <v>10</v>
      </c>
      <c r="D2616">
        <v>3</v>
      </c>
      <c r="E2616" t="s">
        <v>498</v>
      </c>
      <c r="F2616" t="s">
        <v>622</v>
      </c>
      <c r="G2616">
        <v>63</v>
      </c>
      <c r="H2616">
        <v>39</v>
      </c>
      <c r="I2616">
        <v>1</v>
      </c>
      <c r="J2616">
        <v>6</v>
      </c>
      <c r="K2616" s="9">
        <v>2.7083333333333335</v>
      </c>
    </row>
    <row r="2617" spans="1:11" x14ac:dyDescent="0.45">
      <c r="A2617" t="s">
        <v>239</v>
      </c>
      <c r="B2617" t="s">
        <v>649</v>
      </c>
      <c r="C2617" t="s">
        <v>10</v>
      </c>
      <c r="D2617">
        <v>4</v>
      </c>
      <c r="E2617" t="s">
        <v>374</v>
      </c>
      <c r="F2617" t="s">
        <v>622</v>
      </c>
      <c r="G2617">
        <v>1</v>
      </c>
      <c r="H2617">
        <v>3</v>
      </c>
      <c r="I2617">
        <v>0</v>
      </c>
      <c r="J2617">
        <v>0</v>
      </c>
      <c r="K2617" s="9">
        <v>5.6607142857142856</v>
      </c>
    </row>
    <row r="2618" spans="1:11" x14ac:dyDescent="0.45">
      <c r="A2618" t="s">
        <v>239</v>
      </c>
      <c r="B2618" t="s">
        <v>649</v>
      </c>
      <c r="C2618" t="s">
        <v>10</v>
      </c>
      <c r="D2618">
        <v>5</v>
      </c>
      <c r="E2618" t="s">
        <v>377</v>
      </c>
      <c r="F2618" t="s">
        <v>622</v>
      </c>
      <c r="G2618">
        <v>12</v>
      </c>
      <c r="H2618">
        <v>9</v>
      </c>
      <c r="I2618">
        <v>1</v>
      </c>
      <c r="J2618">
        <v>0</v>
      </c>
      <c r="K2618" s="9">
        <v>4.924050632911392</v>
      </c>
    </row>
    <row r="2619" spans="1:11" x14ac:dyDescent="0.45">
      <c r="A2619" t="s">
        <v>239</v>
      </c>
      <c r="B2619" t="s">
        <v>649</v>
      </c>
      <c r="C2619" t="s">
        <v>10</v>
      </c>
      <c r="D2619">
        <v>6</v>
      </c>
      <c r="E2619" t="s">
        <v>399</v>
      </c>
      <c r="F2619" t="s">
        <v>622</v>
      </c>
      <c r="G2619">
        <v>9</v>
      </c>
      <c r="H2619">
        <v>10</v>
      </c>
      <c r="I2619">
        <v>1</v>
      </c>
      <c r="J2619">
        <v>0</v>
      </c>
      <c r="K2619" s="9">
        <v>4.7179487179487181</v>
      </c>
    </row>
    <row r="2620" spans="1:11" x14ac:dyDescent="0.45">
      <c r="A2620" t="s">
        <v>239</v>
      </c>
      <c r="B2620" t="s">
        <v>649</v>
      </c>
      <c r="C2620" t="s">
        <v>10</v>
      </c>
      <c r="D2620">
        <v>7</v>
      </c>
      <c r="E2620" t="s">
        <v>337</v>
      </c>
      <c r="F2620" t="s">
        <v>623</v>
      </c>
      <c r="G2620">
        <v>29</v>
      </c>
      <c r="H2620">
        <v>14</v>
      </c>
      <c r="I2620">
        <v>1</v>
      </c>
      <c r="J2620">
        <v>2</v>
      </c>
      <c r="K2620" s="9">
        <v>4.8461538461538458</v>
      </c>
    </row>
    <row r="2621" spans="1:11" x14ac:dyDescent="0.45">
      <c r="A2621" t="s">
        <v>239</v>
      </c>
      <c r="B2621" t="s">
        <v>649</v>
      </c>
      <c r="C2621" t="s">
        <v>10</v>
      </c>
      <c r="D2621">
        <v>8</v>
      </c>
      <c r="E2621" t="s">
        <v>357</v>
      </c>
      <c r="F2621" t="s">
        <v>623</v>
      </c>
      <c r="G2621">
        <v>11</v>
      </c>
      <c r="H2621">
        <v>8</v>
      </c>
      <c r="I2621">
        <v>1</v>
      </c>
      <c r="J2621">
        <v>0</v>
      </c>
      <c r="K2621" s="9">
        <v>4.9029126213592233</v>
      </c>
    </row>
    <row r="2622" spans="1:11" x14ac:dyDescent="0.45">
      <c r="A2622" t="s">
        <v>240</v>
      </c>
      <c r="B2622" t="s">
        <v>704</v>
      </c>
      <c r="C2622" t="s">
        <v>7</v>
      </c>
      <c r="D2622">
        <v>1</v>
      </c>
      <c r="E2622" t="s">
        <v>506</v>
      </c>
      <c r="F2622" t="s">
        <v>622</v>
      </c>
      <c r="G2622">
        <v>19</v>
      </c>
      <c r="H2622">
        <v>15</v>
      </c>
      <c r="I2622">
        <v>4</v>
      </c>
      <c r="J2622">
        <v>0</v>
      </c>
      <c r="K2622" s="9">
        <v>4.7777777777777777</v>
      </c>
    </row>
    <row r="2623" spans="1:11" x14ac:dyDescent="0.45">
      <c r="A2623" t="s">
        <v>240</v>
      </c>
      <c r="B2623" t="s">
        <v>704</v>
      </c>
      <c r="C2623" t="s">
        <v>7</v>
      </c>
      <c r="D2623">
        <v>2</v>
      </c>
      <c r="E2623" t="s">
        <v>578</v>
      </c>
      <c r="F2623" t="s">
        <v>622</v>
      </c>
      <c r="G2623">
        <v>81</v>
      </c>
      <c r="H2623">
        <v>39</v>
      </c>
      <c r="I2623">
        <v>5</v>
      </c>
      <c r="J2623">
        <v>7</v>
      </c>
      <c r="K2623" s="9">
        <v>2.7083333333333335</v>
      </c>
    </row>
    <row r="2624" spans="1:11" x14ac:dyDescent="0.45">
      <c r="A2624" t="s">
        <v>240</v>
      </c>
      <c r="B2624" t="s">
        <v>704</v>
      </c>
      <c r="C2624" t="s">
        <v>7</v>
      </c>
      <c r="D2624">
        <v>3</v>
      </c>
      <c r="E2624" t="s">
        <v>326</v>
      </c>
      <c r="F2624" t="s">
        <v>622</v>
      </c>
      <c r="G2624">
        <v>0</v>
      </c>
      <c r="H2624">
        <v>4</v>
      </c>
      <c r="I2624">
        <v>0</v>
      </c>
      <c r="J2624">
        <v>0</v>
      </c>
      <c r="K2624" s="9">
        <v>5.352380952380952</v>
      </c>
    </row>
    <row r="2625" spans="1:11" x14ac:dyDescent="0.45">
      <c r="A2625" t="s">
        <v>240</v>
      </c>
      <c r="B2625" t="s">
        <v>704</v>
      </c>
      <c r="C2625" t="s">
        <v>7</v>
      </c>
      <c r="D2625">
        <v>4</v>
      </c>
      <c r="E2625" t="s">
        <v>304</v>
      </c>
      <c r="F2625" t="s">
        <v>622</v>
      </c>
      <c r="G2625">
        <v>11</v>
      </c>
      <c r="H2625">
        <v>14</v>
      </c>
      <c r="I2625">
        <v>0</v>
      </c>
      <c r="J2625">
        <v>0</v>
      </c>
      <c r="K2625" s="9">
        <v>4.8461538461538458</v>
      </c>
    </row>
    <row r="2626" spans="1:11" x14ac:dyDescent="0.45">
      <c r="A2626" t="s">
        <v>240</v>
      </c>
      <c r="B2626" t="s">
        <v>704</v>
      </c>
      <c r="C2626" t="s">
        <v>7</v>
      </c>
      <c r="D2626">
        <v>5</v>
      </c>
      <c r="E2626" t="s">
        <v>306</v>
      </c>
      <c r="F2626" t="s">
        <v>622</v>
      </c>
      <c r="G2626">
        <v>4</v>
      </c>
      <c r="H2626">
        <v>3</v>
      </c>
      <c r="I2626">
        <v>1</v>
      </c>
      <c r="J2626">
        <v>0</v>
      </c>
      <c r="K2626" s="9">
        <v>5.6607142857142856</v>
      </c>
    </row>
    <row r="2627" spans="1:11" x14ac:dyDescent="0.45">
      <c r="A2627" t="s">
        <v>240</v>
      </c>
      <c r="B2627" t="s">
        <v>704</v>
      </c>
      <c r="C2627" t="s">
        <v>7</v>
      </c>
      <c r="D2627">
        <v>6</v>
      </c>
      <c r="E2627" t="s">
        <v>514</v>
      </c>
      <c r="F2627" t="s">
        <v>622</v>
      </c>
      <c r="G2627">
        <v>19</v>
      </c>
      <c r="H2627">
        <v>20</v>
      </c>
      <c r="I2627">
        <v>0</v>
      </c>
      <c r="J2627">
        <v>1</v>
      </c>
      <c r="K2627" s="9">
        <v>4.9473684210526319</v>
      </c>
    </row>
    <row r="2628" spans="1:11" x14ac:dyDescent="0.45">
      <c r="A2628" t="s">
        <v>240</v>
      </c>
      <c r="B2628" t="s">
        <v>704</v>
      </c>
      <c r="C2628" t="s">
        <v>7</v>
      </c>
      <c r="D2628">
        <v>7</v>
      </c>
      <c r="E2628" t="s">
        <v>440</v>
      </c>
      <c r="F2628" t="s">
        <v>622</v>
      </c>
      <c r="G2628">
        <v>34</v>
      </c>
      <c r="H2628">
        <v>19</v>
      </c>
      <c r="I2628">
        <v>2</v>
      </c>
      <c r="J2628">
        <v>3</v>
      </c>
      <c r="K2628" s="9">
        <v>4.5660377358490569</v>
      </c>
    </row>
    <row r="2629" spans="1:11" x14ac:dyDescent="0.45">
      <c r="A2629" t="s">
        <v>240</v>
      </c>
      <c r="B2629" t="s">
        <v>704</v>
      </c>
      <c r="C2629" t="s">
        <v>7</v>
      </c>
      <c r="D2629">
        <v>8</v>
      </c>
      <c r="E2629" t="s">
        <v>598</v>
      </c>
      <c r="F2629" t="s">
        <v>623</v>
      </c>
      <c r="G2629">
        <v>8</v>
      </c>
      <c r="H2629">
        <v>6</v>
      </c>
      <c r="I2629">
        <v>0</v>
      </c>
      <c r="J2629">
        <v>1</v>
      </c>
      <c r="K2629" s="9">
        <v>5.4565217391304346</v>
      </c>
    </row>
    <row r="2630" spans="1:11" x14ac:dyDescent="0.45">
      <c r="A2630" t="s">
        <v>240</v>
      </c>
      <c r="B2630" t="s">
        <v>704</v>
      </c>
      <c r="C2630" t="s">
        <v>101</v>
      </c>
      <c r="D2630">
        <v>1</v>
      </c>
      <c r="E2630" t="s">
        <v>380</v>
      </c>
      <c r="F2630" t="s">
        <v>622</v>
      </c>
      <c r="G2630">
        <v>10</v>
      </c>
      <c r="H2630">
        <v>10</v>
      </c>
      <c r="I2630">
        <v>1</v>
      </c>
      <c r="J2630">
        <v>0</v>
      </c>
      <c r="K2630" s="9">
        <v>4.7179487179487181</v>
      </c>
    </row>
    <row r="2631" spans="1:11" x14ac:dyDescent="0.45">
      <c r="A2631" t="s">
        <v>240</v>
      </c>
      <c r="B2631" t="s">
        <v>704</v>
      </c>
      <c r="C2631" t="s">
        <v>101</v>
      </c>
      <c r="D2631">
        <v>2</v>
      </c>
      <c r="E2631" t="s">
        <v>302</v>
      </c>
      <c r="F2631" t="s">
        <v>622</v>
      </c>
      <c r="G2631">
        <v>49</v>
      </c>
      <c r="H2631">
        <v>35</v>
      </c>
      <c r="I2631">
        <v>8</v>
      </c>
      <c r="J2631">
        <v>0</v>
      </c>
      <c r="K2631" s="9">
        <v>3.5769230769230771</v>
      </c>
    </row>
    <row r="2632" spans="1:11" x14ac:dyDescent="0.45">
      <c r="A2632" t="s">
        <v>240</v>
      </c>
      <c r="B2632" t="s">
        <v>704</v>
      </c>
      <c r="C2632" t="s">
        <v>101</v>
      </c>
      <c r="D2632">
        <v>3</v>
      </c>
      <c r="E2632" t="s">
        <v>361</v>
      </c>
      <c r="F2632" t="s">
        <v>622</v>
      </c>
      <c r="G2632">
        <v>26</v>
      </c>
      <c r="H2632">
        <v>20</v>
      </c>
      <c r="I2632">
        <v>2</v>
      </c>
      <c r="J2632">
        <v>1</v>
      </c>
      <c r="K2632" s="9">
        <v>4.9473684210526319</v>
      </c>
    </row>
    <row r="2633" spans="1:11" x14ac:dyDescent="0.45">
      <c r="A2633" t="s">
        <v>240</v>
      </c>
      <c r="B2633" t="s">
        <v>704</v>
      </c>
      <c r="C2633" t="s">
        <v>101</v>
      </c>
      <c r="D2633">
        <v>4</v>
      </c>
      <c r="E2633" t="s">
        <v>460</v>
      </c>
      <c r="F2633" t="s">
        <v>623</v>
      </c>
      <c r="G2633">
        <v>51</v>
      </c>
      <c r="H2633">
        <v>24</v>
      </c>
      <c r="I2633">
        <v>2</v>
      </c>
      <c r="J2633">
        <v>5</v>
      </c>
      <c r="K2633" s="9">
        <v>4.0606060606060606</v>
      </c>
    </row>
    <row r="2634" spans="1:11" x14ac:dyDescent="0.45">
      <c r="A2634" t="s">
        <v>240</v>
      </c>
      <c r="B2634" t="s">
        <v>704</v>
      </c>
      <c r="C2634" t="s">
        <v>101</v>
      </c>
      <c r="D2634">
        <v>5</v>
      </c>
      <c r="E2634" t="s">
        <v>411</v>
      </c>
      <c r="F2634" t="s">
        <v>623</v>
      </c>
      <c r="G2634">
        <v>32</v>
      </c>
      <c r="H2634">
        <v>18</v>
      </c>
      <c r="I2634">
        <v>2</v>
      </c>
      <c r="J2634">
        <v>2</v>
      </c>
      <c r="K2634" s="9">
        <v>4.375</v>
      </c>
    </row>
    <row r="2635" spans="1:11" x14ac:dyDescent="0.45">
      <c r="A2635" t="s">
        <v>241</v>
      </c>
      <c r="B2635" t="s">
        <v>685</v>
      </c>
      <c r="C2635" t="s">
        <v>104</v>
      </c>
      <c r="D2635">
        <v>1</v>
      </c>
      <c r="E2635" t="s">
        <v>397</v>
      </c>
      <c r="F2635" t="s">
        <v>622</v>
      </c>
      <c r="G2635">
        <v>12</v>
      </c>
      <c r="H2635">
        <v>9</v>
      </c>
      <c r="I2635">
        <v>1</v>
      </c>
      <c r="J2635">
        <v>1</v>
      </c>
      <c r="K2635" s="9">
        <v>4.924050632911392</v>
      </c>
    </row>
    <row r="2636" spans="1:11" x14ac:dyDescent="0.45">
      <c r="A2636" t="s">
        <v>241</v>
      </c>
      <c r="B2636" t="s">
        <v>685</v>
      </c>
      <c r="C2636" t="s">
        <v>104</v>
      </c>
      <c r="D2636">
        <v>2</v>
      </c>
      <c r="E2636" t="s">
        <v>564</v>
      </c>
      <c r="F2636" t="s">
        <v>622</v>
      </c>
      <c r="G2636">
        <v>54</v>
      </c>
      <c r="H2636">
        <v>24</v>
      </c>
      <c r="I2636">
        <v>7</v>
      </c>
      <c r="J2636">
        <v>4</v>
      </c>
      <c r="K2636" s="9">
        <v>4.0606060606060606</v>
      </c>
    </row>
    <row r="2637" spans="1:11" x14ac:dyDescent="0.45">
      <c r="A2637" t="s">
        <v>241</v>
      </c>
      <c r="B2637" t="s">
        <v>685</v>
      </c>
      <c r="C2637" t="s">
        <v>104</v>
      </c>
      <c r="D2637">
        <v>3</v>
      </c>
      <c r="E2637" t="s">
        <v>521</v>
      </c>
      <c r="F2637" t="s">
        <v>622</v>
      </c>
      <c r="G2637">
        <v>43</v>
      </c>
      <c r="H2637">
        <v>24</v>
      </c>
      <c r="I2637">
        <v>3</v>
      </c>
      <c r="J2637">
        <v>3</v>
      </c>
      <c r="K2637" s="9">
        <v>4.0606060606060606</v>
      </c>
    </row>
    <row r="2638" spans="1:11" x14ac:dyDescent="0.45">
      <c r="A2638" t="s">
        <v>241</v>
      </c>
      <c r="B2638" t="s">
        <v>685</v>
      </c>
      <c r="C2638" t="s">
        <v>104</v>
      </c>
      <c r="D2638">
        <v>4</v>
      </c>
      <c r="E2638" t="s">
        <v>331</v>
      </c>
      <c r="F2638" t="s">
        <v>622</v>
      </c>
      <c r="G2638">
        <v>72</v>
      </c>
      <c r="H2638">
        <v>40</v>
      </c>
      <c r="I2638">
        <v>6</v>
      </c>
      <c r="J2638">
        <v>5</v>
      </c>
      <c r="K2638" s="9">
        <v>4</v>
      </c>
    </row>
    <row r="2639" spans="1:11" x14ac:dyDescent="0.45">
      <c r="A2639" t="s">
        <v>241</v>
      </c>
      <c r="B2639" t="s">
        <v>685</v>
      </c>
      <c r="C2639" t="s">
        <v>104</v>
      </c>
      <c r="D2639">
        <v>5</v>
      </c>
      <c r="E2639" t="s">
        <v>416</v>
      </c>
      <c r="F2639" t="s">
        <v>622</v>
      </c>
      <c r="G2639">
        <v>45</v>
      </c>
      <c r="H2639">
        <v>19</v>
      </c>
      <c r="I2639">
        <v>7</v>
      </c>
      <c r="J2639">
        <v>1</v>
      </c>
      <c r="K2639" s="9">
        <v>4.5660377358490569</v>
      </c>
    </row>
    <row r="2640" spans="1:11" x14ac:dyDescent="0.45">
      <c r="A2640" t="s">
        <v>241</v>
      </c>
      <c r="B2640" t="s">
        <v>685</v>
      </c>
      <c r="C2640" t="s">
        <v>104</v>
      </c>
      <c r="D2640">
        <v>6</v>
      </c>
      <c r="E2640" t="s">
        <v>426</v>
      </c>
      <c r="F2640" t="s">
        <v>623</v>
      </c>
      <c r="G2640">
        <v>11</v>
      </c>
      <c r="H2640">
        <v>6</v>
      </c>
      <c r="I2640">
        <v>2</v>
      </c>
      <c r="J2640">
        <v>0</v>
      </c>
      <c r="K2640" s="9">
        <v>5.4565217391304346</v>
      </c>
    </row>
    <row r="2641" spans="1:11" x14ac:dyDescent="0.45">
      <c r="A2641" t="s">
        <v>241</v>
      </c>
      <c r="B2641" t="s">
        <v>685</v>
      </c>
      <c r="C2641" t="s">
        <v>104</v>
      </c>
      <c r="D2641">
        <v>7</v>
      </c>
      <c r="E2641" t="s">
        <v>366</v>
      </c>
      <c r="F2641" t="s">
        <v>623</v>
      </c>
      <c r="G2641">
        <v>5</v>
      </c>
      <c r="H2641">
        <v>2</v>
      </c>
      <c r="I2641">
        <v>1</v>
      </c>
      <c r="J2641">
        <v>0</v>
      </c>
      <c r="K2641" s="9">
        <v>6.1385542168674698</v>
      </c>
    </row>
    <row r="2642" spans="1:11" x14ac:dyDescent="0.45">
      <c r="A2642" t="s">
        <v>241</v>
      </c>
      <c r="B2642" t="s">
        <v>685</v>
      </c>
      <c r="C2642" t="s">
        <v>26</v>
      </c>
      <c r="D2642">
        <v>1</v>
      </c>
      <c r="E2642" t="s">
        <v>454</v>
      </c>
      <c r="F2642" t="s">
        <v>622</v>
      </c>
      <c r="G2642">
        <v>9</v>
      </c>
      <c r="H2642">
        <v>13</v>
      </c>
      <c r="I2642">
        <v>2</v>
      </c>
      <c r="J2642">
        <v>0</v>
      </c>
      <c r="K2642" s="9">
        <v>4.8939393939393936</v>
      </c>
    </row>
    <row r="2643" spans="1:11" x14ac:dyDescent="0.45">
      <c r="A2643" t="s">
        <v>241</v>
      </c>
      <c r="B2643" t="s">
        <v>685</v>
      </c>
      <c r="C2643" t="s">
        <v>26</v>
      </c>
      <c r="D2643">
        <v>2</v>
      </c>
      <c r="E2643" t="s">
        <v>330</v>
      </c>
      <c r="F2643" t="s">
        <v>622</v>
      </c>
      <c r="G2643">
        <v>1</v>
      </c>
      <c r="H2643">
        <v>2</v>
      </c>
      <c r="I2643">
        <v>0</v>
      </c>
      <c r="J2643">
        <v>0</v>
      </c>
      <c r="K2643" s="9">
        <v>6.1385542168674698</v>
      </c>
    </row>
    <row r="2644" spans="1:11" x14ac:dyDescent="0.45">
      <c r="A2644" t="s">
        <v>241</v>
      </c>
      <c r="B2644" t="s">
        <v>685</v>
      </c>
      <c r="C2644" t="s">
        <v>26</v>
      </c>
      <c r="D2644">
        <v>3</v>
      </c>
      <c r="E2644" t="s">
        <v>583</v>
      </c>
      <c r="F2644" t="s">
        <v>622</v>
      </c>
      <c r="G2644">
        <v>66</v>
      </c>
      <c r="H2644">
        <v>36</v>
      </c>
      <c r="I2644">
        <v>8</v>
      </c>
      <c r="J2644">
        <v>2</v>
      </c>
      <c r="K2644" s="9">
        <v>4.083333333333333</v>
      </c>
    </row>
    <row r="2645" spans="1:11" x14ac:dyDescent="0.45">
      <c r="A2645" t="s">
        <v>241</v>
      </c>
      <c r="B2645" t="s">
        <v>685</v>
      </c>
      <c r="C2645" t="s">
        <v>26</v>
      </c>
      <c r="D2645">
        <v>4</v>
      </c>
      <c r="E2645" t="s">
        <v>590</v>
      </c>
      <c r="F2645" t="s">
        <v>622</v>
      </c>
      <c r="G2645">
        <v>36</v>
      </c>
      <c r="H2645">
        <v>22</v>
      </c>
      <c r="I2645">
        <v>4</v>
      </c>
      <c r="J2645">
        <v>1</v>
      </c>
      <c r="K2645" s="9">
        <v>4.4423076923076925</v>
      </c>
    </row>
    <row r="2646" spans="1:11" x14ac:dyDescent="0.45">
      <c r="A2646" t="s">
        <v>241</v>
      </c>
      <c r="B2646" t="s">
        <v>685</v>
      </c>
      <c r="C2646" t="s">
        <v>26</v>
      </c>
      <c r="D2646">
        <v>5</v>
      </c>
      <c r="E2646" t="s">
        <v>384</v>
      </c>
      <c r="F2646" t="s">
        <v>622</v>
      </c>
      <c r="G2646">
        <v>23</v>
      </c>
      <c r="H2646">
        <v>14</v>
      </c>
      <c r="I2646">
        <v>2</v>
      </c>
      <c r="J2646">
        <v>1</v>
      </c>
      <c r="K2646" s="9">
        <v>4.8461538461538458</v>
      </c>
    </row>
    <row r="2647" spans="1:11" x14ac:dyDescent="0.45">
      <c r="A2647" t="s">
        <v>241</v>
      </c>
      <c r="B2647" t="s">
        <v>685</v>
      </c>
      <c r="C2647" t="s">
        <v>26</v>
      </c>
      <c r="D2647">
        <v>6</v>
      </c>
      <c r="E2647" t="s">
        <v>420</v>
      </c>
      <c r="F2647" t="s">
        <v>622</v>
      </c>
      <c r="G2647">
        <v>21</v>
      </c>
      <c r="H2647">
        <v>11</v>
      </c>
      <c r="I2647">
        <v>2</v>
      </c>
      <c r="J2647">
        <v>1</v>
      </c>
      <c r="K2647" s="9">
        <v>4.9649122807017543</v>
      </c>
    </row>
    <row r="2648" spans="1:11" x14ac:dyDescent="0.45">
      <c r="A2648" t="s">
        <v>241</v>
      </c>
      <c r="B2648" t="s">
        <v>685</v>
      </c>
      <c r="C2648" t="s">
        <v>26</v>
      </c>
      <c r="D2648">
        <v>7</v>
      </c>
      <c r="E2648" t="s">
        <v>495</v>
      </c>
      <c r="F2648" t="s">
        <v>622</v>
      </c>
      <c r="G2648">
        <v>24</v>
      </c>
      <c r="H2648">
        <v>10</v>
      </c>
      <c r="I2648">
        <v>0</v>
      </c>
      <c r="J2648">
        <v>3</v>
      </c>
      <c r="K2648" s="9">
        <v>4.7179487179487181</v>
      </c>
    </row>
    <row r="2649" spans="1:11" x14ac:dyDescent="0.45">
      <c r="A2649" t="s">
        <v>241</v>
      </c>
      <c r="B2649" t="s">
        <v>685</v>
      </c>
      <c r="C2649" t="s">
        <v>26</v>
      </c>
      <c r="D2649">
        <v>8</v>
      </c>
      <c r="E2649" t="s">
        <v>400</v>
      </c>
      <c r="F2649" t="s">
        <v>622</v>
      </c>
      <c r="G2649">
        <v>6</v>
      </c>
      <c r="H2649">
        <v>9</v>
      </c>
      <c r="I2649">
        <v>0</v>
      </c>
      <c r="J2649">
        <v>0</v>
      </c>
      <c r="K2649" s="9">
        <v>4.924050632911392</v>
      </c>
    </row>
    <row r="2650" spans="1:11" x14ac:dyDescent="0.45">
      <c r="A2650" t="s">
        <v>241</v>
      </c>
      <c r="B2650" t="s">
        <v>685</v>
      </c>
      <c r="C2650" t="s">
        <v>26</v>
      </c>
      <c r="D2650">
        <v>9</v>
      </c>
      <c r="E2650" t="s">
        <v>435</v>
      </c>
      <c r="F2650" t="s">
        <v>622</v>
      </c>
      <c r="G2650">
        <v>0</v>
      </c>
      <c r="H2650">
        <v>1</v>
      </c>
      <c r="I2650">
        <v>0</v>
      </c>
      <c r="J2650">
        <v>0</v>
      </c>
      <c r="K2650" s="9">
        <v>6.5693779904306222</v>
      </c>
    </row>
    <row r="2651" spans="1:11" x14ac:dyDescent="0.45">
      <c r="A2651" t="s">
        <v>241</v>
      </c>
      <c r="B2651" t="s">
        <v>685</v>
      </c>
      <c r="C2651" t="s">
        <v>26</v>
      </c>
      <c r="D2651">
        <v>10</v>
      </c>
      <c r="E2651" t="s">
        <v>341</v>
      </c>
      <c r="F2651" t="s">
        <v>622</v>
      </c>
      <c r="G2651">
        <v>0</v>
      </c>
      <c r="H2651">
        <v>1</v>
      </c>
      <c r="I2651">
        <v>0</v>
      </c>
      <c r="J2651">
        <v>0</v>
      </c>
      <c r="K2651" s="9">
        <v>6.5693779904306222</v>
      </c>
    </row>
    <row r="2652" spans="1:11" x14ac:dyDescent="0.45">
      <c r="A2652" t="s">
        <v>241</v>
      </c>
      <c r="B2652" t="s">
        <v>685</v>
      </c>
      <c r="C2652" t="s">
        <v>26</v>
      </c>
      <c r="D2652">
        <v>11</v>
      </c>
      <c r="E2652" t="s">
        <v>405</v>
      </c>
      <c r="F2652" t="s">
        <v>623</v>
      </c>
      <c r="G2652">
        <v>2</v>
      </c>
      <c r="H2652">
        <v>2</v>
      </c>
      <c r="I2652">
        <v>0</v>
      </c>
      <c r="J2652">
        <v>0</v>
      </c>
      <c r="K2652" s="9">
        <v>6.1385542168674698</v>
      </c>
    </row>
    <row r="2653" spans="1:11" x14ac:dyDescent="0.45">
      <c r="A2653" t="s">
        <v>243</v>
      </c>
      <c r="B2653" t="s">
        <v>705</v>
      </c>
      <c r="C2653" t="s">
        <v>23</v>
      </c>
      <c r="D2653">
        <v>1</v>
      </c>
      <c r="E2653" t="s">
        <v>383</v>
      </c>
      <c r="F2653" t="s">
        <v>622</v>
      </c>
      <c r="G2653">
        <v>77</v>
      </c>
      <c r="H2653">
        <v>43</v>
      </c>
      <c r="I2653">
        <v>8</v>
      </c>
      <c r="J2653">
        <v>4</v>
      </c>
      <c r="K2653" s="9">
        <v>2.8888888888888888</v>
      </c>
    </row>
    <row r="2654" spans="1:11" x14ac:dyDescent="0.45">
      <c r="A2654" t="s">
        <v>243</v>
      </c>
      <c r="B2654" t="s">
        <v>705</v>
      </c>
      <c r="C2654" t="s">
        <v>23</v>
      </c>
      <c r="D2654">
        <v>2</v>
      </c>
      <c r="E2654" t="s">
        <v>458</v>
      </c>
      <c r="F2654" t="s">
        <v>622</v>
      </c>
      <c r="G2654">
        <v>27</v>
      </c>
      <c r="H2654">
        <v>21</v>
      </c>
      <c r="I2654">
        <v>4</v>
      </c>
      <c r="J2654">
        <v>0</v>
      </c>
      <c r="K2654" s="9">
        <v>4.3770491803278686</v>
      </c>
    </row>
    <row r="2655" spans="1:11" x14ac:dyDescent="0.45">
      <c r="A2655" t="s">
        <v>243</v>
      </c>
      <c r="B2655" t="s">
        <v>705</v>
      </c>
      <c r="C2655" t="s">
        <v>23</v>
      </c>
      <c r="D2655">
        <v>3</v>
      </c>
      <c r="E2655" t="s">
        <v>386</v>
      </c>
      <c r="F2655" t="s">
        <v>622</v>
      </c>
      <c r="G2655">
        <v>17</v>
      </c>
      <c r="H2655">
        <v>17</v>
      </c>
      <c r="I2655">
        <v>1</v>
      </c>
      <c r="J2655">
        <v>0</v>
      </c>
      <c r="K2655" s="9">
        <v>4.82</v>
      </c>
    </row>
    <row r="2656" spans="1:11" x14ac:dyDescent="0.45">
      <c r="A2656" t="s">
        <v>243</v>
      </c>
      <c r="B2656" t="s">
        <v>705</v>
      </c>
      <c r="C2656" t="s">
        <v>23</v>
      </c>
      <c r="D2656">
        <v>4</v>
      </c>
      <c r="E2656" t="s">
        <v>336</v>
      </c>
      <c r="F2656" t="s">
        <v>622</v>
      </c>
      <c r="G2656">
        <v>8</v>
      </c>
      <c r="H2656">
        <v>10</v>
      </c>
      <c r="I2656">
        <v>0</v>
      </c>
      <c r="J2656">
        <v>0</v>
      </c>
      <c r="K2656" s="9">
        <v>4.7179487179487181</v>
      </c>
    </row>
    <row r="2657" spans="1:11" x14ac:dyDescent="0.45">
      <c r="A2657" t="s">
        <v>243</v>
      </c>
      <c r="B2657" t="s">
        <v>705</v>
      </c>
      <c r="C2657" t="s">
        <v>23</v>
      </c>
      <c r="D2657">
        <v>5</v>
      </c>
      <c r="E2657" t="s">
        <v>584</v>
      </c>
      <c r="F2657" t="s">
        <v>622</v>
      </c>
      <c r="G2657">
        <v>34</v>
      </c>
      <c r="H2657">
        <v>15</v>
      </c>
      <c r="I2657">
        <v>3</v>
      </c>
      <c r="J2657">
        <v>2</v>
      </c>
      <c r="K2657" s="9">
        <v>4.7777777777777777</v>
      </c>
    </row>
    <row r="2658" spans="1:11" x14ac:dyDescent="0.45">
      <c r="A2658" t="s">
        <v>243</v>
      </c>
      <c r="B2658" t="s">
        <v>705</v>
      </c>
      <c r="C2658" t="s">
        <v>23</v>
      </c>
      <c r="D2658">
        <v>6</v>
      </c>
      <c r="E2658" t="s">
        <v>342</v>
      </c>
      <c r="F2658" t="s">
        <v>623</v>
      </c>
      <c r="G2658">
        <v>27</v>
      </c>
      <c r="H2658">
        <v>13</v>
      </c>
      <c r="I2658">
        <v>5</v>
      </c>
      <c r="J2658">
        <v>0</v>
      </c>
      <c r="K2658" s="9">
        <v>4.8939393939393936</v>
      </c>
    </row>
    <row r="2659" spans="1:11" x14ac:dyDescent="0.45">
      <c r="A2659" t="s">
        <v>243</v>
      </c>
      <c r="B2659" t="s">
        <v>705</v>
      </c>
      <c r="C2659" t="s">
        <v>23</v>
      </c>
      <c r="D2659">
        <v>7</v>
      </c>
      <c r="E2659" t="s">
        <v>339</v>
      </c>
      <c r="F2659" t="s">
        <v>623</v>
      </c>
      <c r="G2659">
        <v>1</v>
      </c>
      <c r="H2659">
        <v>1</v>
      </c>
      <c r="I2659">
        <v>0</v>
      </c>
      <c r="J2659">
        <v>0</v>
      </c>
      <c r="K2659" s="9">
        <v>6.5693779904306222</v>
      </c>
    </row>
    <row r="2660" spans="1:11" x14ac:dyDescent="0.45">
      <c r="A2660" t="s">
        <v>243</v>
      </c>
      <c r="B2660" t="s">
        <v>705</v>
      </c>
      <c r="C2660" t="s">
        <v>6</v>
      </c>
      <c r="D2660">
        <v>1</v>
      </c>
      <c r="E2660" t="s">
        <v>290</v>
      </c>
      <c r="F2660" t="s">
        <v>622</v>
      </c>
      <c r="G2660">
        <v>47</v>
      </c>
      <c r="H2660">
        <v>29</v>
      </c>
      <c r="I2660">
        <v>5</v>
      </c>
      <c r="J2660">
        <v>1</v>
      </c>
      <c r="K2660" s="9">
        <v>4.0454545454545459</v>
      </c>
    </row>
    <row r="2661" spans="1:11" x14ac:dyDescent="0.45">
      <c r="A2661" t="s">
        <v>243</v>
      </c>
      <c r="B2661" t="s">
        <v>705</v>
      </c>
      <c r="C2661" t="s">
        <v>6</v>
      </c>
      <c r="D2661">
        <v>2</v>
      </c>
      <c r="E2661" t="s">
        <v>505</v>
      </c>
      <c r="F2661" t="s">
        <v>622</v>
      </c>
      <c r="G2661">
        <v>8</v>
      </c>
      <c r="H2661">
        <v>16</v>
      </c>
      <c r="I2661">
        <v>1</v>
      </c>
      <c r="J2661">
        <v>0</v>
      </c>
      <c r="K2661" s="9">
        <v>4.7608695652173916</v>
      </c>
    </row>
    <row r="2662" spans="1:11" x14ac:dyDescent="0.45">
      <c r="A2662" t="s">
        <v>243</v>
      </c>
      <c r="B2662" t="s">
        <v>705</v>
      </c>
      <c r="C2662" t="s">
        <v>6</v>
      </c>
      <c r="D2662">
        <v>3</v>
      </c>
      <c r="E2662" t="s">
        <v>481</v>
      </c>
      <c r="F2662" t="s">
        <v>622</v>
      </c>
      <c r="G2662">
        <v>15</v>
      </c>
      <c r="H2662">
        <v>13</v>
      </c>
      <c r="I2662">
        <v>0</v>
      </c>
      <c r="J2662">
        <v>0</v>
      </c>
      <c r="K2662" s="9">
        <v>4.8939393939393936</v>
      </c>
    </row>
    <row r="2663" spans="1:11" x14ac:dyDescent="0.45">
      <c r="A2663" t="s">
        <v>243</v>
      </c>
      <c r="B2663" t="s">
        <v>705</v>
      </c>
      <c r="C2663" t="s">
        <v>6</v>
      </c>
      <c r="D2663">
        <v>4</v>
      </c>
      <c r="E2663" t="s">
        <v>387</v>
      </c>
      <c r="F2663" t="s">
        <v>622</v>
      </c>
      <c r="G2663">
        <v>52</v>
      </c>
      <c r="H2663">
        <v>33</v>
      </c>
      <c r="I2663">
        <v>2</v>
      </c>
      <c r="J2663">
        <v>4</v>
      </c>
      <c r="K2663" s="9">
        <v>2.8421052631578947</v>
      </c>
    </row>
    <row r="2664" spans="1:11" x14ac:dyDescent="0.45">
      <c r="A2664" t="s">
        <v>243</v>
      </c>
      <c r="B2664" t="s">
        <v>705</v>
      </c>
      <c r="C2664" t="s">
        <v>6</v>
      </c>
      <c r="D2664">
        <v>5</v>
      </c>
      <c r="E2664" t="s">
        <v>355</v>
      </c>
      <c r="F2664" t="s">
        <v>622</v>
      </c>
      <c r="G2664">
        <v>0</v>
      </c>
      <c r="H2664">
        <v>2</v>
      </c>
      <c r="I2664">
        <v>0</v>
      </c>
      <c r="J2664">
        <v>0</v>
      </c>
      <c r="K2664" s="9">
        <v>6.1385542168674698</v>
      </c>
    </row>
    <row r="2665" spans="1:11" x14ac:dyDescent="0.45">
      <c r="A2665" t="s">
        <v>243</v>
      </c>
      <c r="B2665" t="s">
        <v>705</v>
      </c>
      <c r="C2665" t="s">
        <v>6</v>
      </c>
      <c r="D2665">
        <v>6</v>
      </c>
      <c r="E2665" t="s">
        <v>299</v>
      </c>
      <c r="F2665" t="s">
        <v>622</v>
      </c>
      <c r="G2665">
        <v>23</v>
      </c>
      <c r="H2665">
        <v>12</v>
      </c>
      <c r="I2665">
        <v>2</v>
      </c>
      <c r="J2665">
        <v>2</v>
      </c>
      <c r="K2665" s="9">
        <v>4.8024691358024691</v>
      </c>
    </row>
    <row r="2666" spans="1:11" x14ac:dyDescent="0.45">
      <c r="A2666" t="s">
        <v>243</v>
      </c>
      <c r="B2666" t="s">
        <v>705</v>
      </c>
      <c r="C2666" t="s">
        <v>6</v>
      </c>
      <c r="D2666">
        <v>7</v>
      </c>
      <c r="E2666" t="s">
        <v>328</v>
      </c>
      <c r="F2666" t="s">
        <v>623</v>
      </c>
      <c r="G2666">
        <v>23</v>
      </c>
      <c r="H2666">
        <v>15</v>
      </c>
      <c r="I2666">
        <v>3</v>
      </c>
      <c r="J2666">
        <v>0</v>
      </c>
      <c r="K2666" s="9">
        <v>4.7777777777777777</v>
      </c>
    </row>
    <row r="2667" spans="1:11" x14ac:dyDescent="0.45">
      <c r="A2667" t="s">
        <v>244</v>
      </c>
      <c r="B2667" t="s">
        <v>697</v>
      </c>
      <c r="C2667" t="s">
        <v>7</v>
      </c>
      <c r="D2667">
        <v>1</v>
      </c>
      <c r="E2667" t="s">
        <v>372</v>
      </c>
      <c r="F2667" t="s">
        <v>622</v>
      </c>
      <c r="G2667">
        <v>56</v>
      </c>
      <c r="H2667">
        <v>29</v>
      </c>
      <c r="I2667">
        <v>4</v>
      </c>
      <c r="J2667">
        <v>5</v>
      </c>
      <c r="K2667" s="9">
        <v>4.0454545454545459</v>
      </c>
    </row>
    <row r="2668" spans="1:11" x14ac:dyDescent="0.45">
      <c r="A2668" t="s">
        <v>244</v>
      </c>
      <c r="B2668" t="s">
        <v>697</v>
      </c>
      <c r="C2668" t="s">
        <v>7</v>
      </c>
      <c r="D2668">
        <v>2</v>
      </c>
      <c r="E2668" t="s">
        <v>506</v>
      </c>
      <c r="F2668" t="s">
        <v>622</v>
      </c>
      <c r="G2668">
        <v>27</v>
      </c>
      <c r="H2668">
        <v>29</v>
      </c>
      <c r="I2668">
        <v>4</v>
      </c>
      <c r="J2668">
        <v>0</v>
      </c>
      <c r="K2668" s="9">
        <v>4.0454545454545459</v>
      </c>
    </row>
    <row r="2669" spans="1:11" x14ac:dyDescent="0.45">
      <c r="A2669" t="s">
        <v>244</v>
      </c>
      <c r="B2669" t="s">
        <v>697</v>
      </c>
      <c r="C2669" t="s">
        <v>7</v>
      </c>
      <c r="D2669">
        <v>3</v>
      </c>
      <c r="E2669" t="s">
        <v>304</v>
      </c>
      <c r="F2669" t="s">
        <v>622</v>
      </c>
      <c r="G2669">
        <v>31</v>
      </c>
      <c r="H2669">
        <v>26</v>
      </c>
      <c r="I2669">
        <v>3</v>
      </c>
      <c r="J2669">
        <v>0</v>
      </c>
      <c r="K2669" s="9">
        <v>4.1568627450980395</v>
      </c>
    </row>
    <row r="2670" spans="1:11" x14ac:dyDescent="0.45">
      <c r="A2670" t="s">
        <v>244</v>
      </c>
      <c r="B2670" t="s">
        <v>697</v>
      </c>
      <c r="C2670" t="s">
        <v>7</v>
      </c>
      <c r="D2670">
        <v>4</v>
      </c>
      <c r="E2670" t="s">
        <v>306</v>
      </c>
      <c r="F2670" t="s">
        <v>622</v>
      </c>
      <c r="G2670">
        <v>48</v>
      </c>
      <c r="H2670">
        <v>21</v>
      </c>
      <c r="I2670">
        <v>3</v>
      </c>
      <c r="J2670">
        <v>4</v>
      </c>
      <c r="K2670" s="9">
        <v>4.3770491803278686</v>
      </c>
    </row>
    <row r="2671" spans="1:11" x14ac:dyDescent="0.45">
      <c r="A2671" t="s">
        <v>244</v>
      </c>
      <c r="B2671" t="s">
        <v>697</v>
      </c>
      <c r="C2671" t="s">
        <v>7</v>
      </c>
      <c r="D2671">
        <v>5</v>
      </c>
      <c r="E2671" t="s">
        <v>440</v>
      </c>
      <c r="F2671" t="s">
        <v>622</v>
      </c>
      <c r="G2671">
        <v>1</v>
      </c>
      <c r="H2671">
        <v>2</v>
      </c>
      <c r="I2671">
        <v>0</v>
      </c>
      <c r="J2671">
        <v>0</v>
      </c>
      <c r="K2671" s="9">
        <v>6.1385542168674698</v>
      </c>
    </row>
    <row r="2672" spans="1:11" x14ac:dyDescent="0.45">
      <c r="A2672" t="s">
        <v>244</v>
      </c>
      <c r="B2672" t="s">
        <v>697</v>
      </c>
      <c r="C2672" t="s">
        <v>7</v>
      </c>
      <c r="D2672">
        <v>6</v>
      </c>
      <c r="E2672" t="s">
        <v>514</v>
      </c>
      <c r="F2672" t="s">
        <v>623</v>
      </c>
      <c r="G2672">
        <v>18</v>
      </c>
      <c r="H2672">
        <v>10</v>
      </c>
      <c r="I2672">
        <v>2</v>
      </c>
      <c r="J2672">
        <v>1</v>
      </c>
      <c r="K2672" s="9">
        <v>4.7179487179487181</v>
      </c>
    </row>
    <row r="2673" spans="1:11" x14ac:dyDescent="0.45">
      <c r="A2673" t="s">
        <v>244</v>
      </c>
      <c r="B2673" t="s">
        <v>697</v>
      </c>
      <c r="C2673" t="s">
        <v>7</v>
      </c>
      <c r="D2673">
        <v>7</v>
      </c>
      <c r="E2673" t="s">
        <v>598</v>
      </c>
      <c r="F2673" t="s">
        <v>623</v>
      </c>
      <c r="G2673">
        <v>12</v>
      </c>
      <c r="H2673">
        <v>3</v>
      </c>
      <c r="I2673">
        <v>0</v>
      </c>
      <c r="J2673">
        <v>2</v>
      </c>
      <c r="K2673" s="9">
        <v>5.6607142857142856</v>
      </c>
    </row>
    <row r="2674" spans="1:11" x14ac:dyDescent="0.45">
      <c r="A2674" t="s">
        <v>244</v>
      </c>
      <c r="B2674" t="s">
        <v>697</v>
      </c>
      <c r="C2674" t="s">
        <v>13</v>
      </c>
      <c r="D2674">
        <v>1</v>
      </c>
      <c r="E2674" t="s">
        <v>343</v>
      </c>
      <c r="F2674" t="s">
        <v>622</v>
      </c>
      <c r="G2674">
        <v>54</v>
      </c>
      <c r="H2674">
        <v>37</v>
      </c>
      <c r="I2674">
        <v>6</v>
      </c>
      <c r="J2674">
        <v>0</v>
      </c>
      <c r="K2674" s="9">
        <v>3.5555555555555554</v>
      </c>
    </row>
    <row r="2675" spans="1:11" x14ac:dyDescent="0.45">
      <c r="A2675" t="s">
        <v>244</v>
      </c>
      <c r="B2675" t="s">
        <v>697</v>
      </c>
      <c r="C2675" t="s">
        <v>13</v>
      </c>
      <c r="D2675">
        <v>2</v>
      </c>
      <c r="E2675" t="s">
        <v>294</v>
      </c>
      <c r="F2675" t="s">
        <v>622</v>
      </c>
      <c r="G2675">
        <v>17</v>
      </c>
      <c r="H2675">
        <v>7</v>
      </c>
      <c r="I2675">
        <v>1</v>
      </c>
      <c r="J2675">
        <v>2</v>
      </c>
      <c r="K2675" s="9">
        <v>4.927835051546392</v>
      </c>
    </row>
    <row r="2676" spans="1:11" x14ac:dyDescent="0.45">
      <c r="A2676" t="s">
        <v>244</v>
      </c>
      <c r="B2676" t="s">
        <v>697</v>
      </c>
      <c r="C2676" t="s">
        <v>13</v>
      </c>
      <c r="D2676">
        <v>3</v>
      </c>
      <c r="E2676" t="s">
        <v>347</v>
      </c>
      <c r="F2676" t="s">
        <v>622</v>
      </c>
      <c r="G2676">
        <v>2</v>
      </c>
      <c r="H2676">
        <v>5</v>
      </c>
      <c r="I2676">
        <v>0</v>
      </c>
      <c r="J2676">
        <v>0</v>
      </c>
      <c r="K2676" s="9">
        <v>5.132075471698113</v>
      </c>
    </row>
    <row r="2677" spans="1:11" x14ac:dyDescent="0.45">
      <c r="A2677" t="s">
        <v>244</v>
      </c>
      <c r="B2677" t="s">
        <v>697</v>
      </c>
      <c r="C2677" t="s">
        <v>13</v>
      </c>
      <c r="D2677">
        <v>4</v>
      </c>
      <c r="E2677" t="s">
        <v>345</v>
      </c>
      <c r="F2677" t="s">
        <v>622</v>
      </c>
      <c r="G2677">
        <v>5</v>
      </c>
      <c r="H2677">
        <v>4</v>
      </c>
      <c r="I2677">
        <v>1</v>
      </c>
      <c r="J2677">
        <v>0</v>
      </c>
      <c r="K2677" s="9">
        <v>5.352380952380952</v>
      </c>
    </row>
    <row r="2678" spans="1:11" x14ac:dyDescent="0.45">
      <c r="A2678" t="s">
        <v>244</v>
      </c>
      <c r="B2678" t="s">
        <v>697</v>
      </c>
      <c r="C2678" t="s">
        <v>13</v>
      </c>
      <c r="D2678">
        <v>5</v>
      </c>
      <c r="E2678" t="s">
        <v>430</v>
      </c>
      <c r="F2678" t="s">
        <v>622</v>
      </c>
      <c r="G2678">
        <v>34</v>
      </c>
      <c r="H2678">
        <v>18</v>
      </c>
      <c r="I2678">
        <v>1</v>
      </c>
      <c r="J2678">
        <v>3</v>
      </c>
      <c r="K2678" s="9">
        <v>4.375</v>
      </c>
    </row>
    <row r="2679" spans="1:11" x14ac:dyDescent="0.45">
      <c r="A2679" t="s">
        <v>244</v>
      </c>
      <c r="B2679" t="s">
        <v>697</v>
      </c>
      <c r="C2679" t="s">
        <v>13</v>
      </c>
      <c r="D2679">
        <v>6</v>
      </c>
      <c r="E2679" t="s">
        <v>311</v>
      </c>
      <c r="F2679" t="s">
        <v>622</v>
      </c>
      <c r="G2679">
        <v>22</v>
      </c>
      <c r="H2679">
        <v>18</v>
      </c>
      <c r="I2679">
        <v>1</v>
      </c>
      <c r="J2679">
        <v>1</v>
      </c>
      <c r="K2679" s="9">
        <v>4.375</v>
      </c>
    </row>
    <row r="2680" spans="1:11" x14ac:dyDescent="0.45">
      <c r="A2680" t="s">
        <v>244</v>
      </c>
      <c r="B2680" t="s">
        <v>697</v>
      </c>
      <c r="C2680" t="s">
        <v>13</v>
      </c>
      <c r="D2680">
        <v>7</v>
      </c>
      <c r="E2680" t="s">
        <v>541</v>
      </c>
      <c r="F2680" t="s">
        <v>622</v>
      </c>
      <c r="G2680">
        <v>10</v>
      </c>
      <c r="H2680">
        <v>9</v>
      </c>
      <c r="I2680">
        <v>1</v>
      </c>
      <c r="J2680">
        <v>0</v>
      </c>
      <c r="K2680" s="9">
        <v>4.924050632911392</v>
      </c>
    </row>
    <row r="2681" spans="1:11" x14ac:dyDescent="0.45">
      <c r="A2681" t="s">
        <v>244</v>
      </c>
      <c r="B2681" t="s">
        <v>697</v>
      </c>
      <c r="C2681" t="s">
        <v>13</v>
      </c>
      <c r="D2681">
        <v>8</v>
      </c>
      <c r="E2681" t="s">
        <v>448</v>
      </c>
      <c r="F2681" t="s">
        <v>622</v>
      </c>
      <c r="G2681">
        <v>5</v>
      </c>
      <c r="H2681">
        <v>4</v>
      </c>
      <c r="I2681">
        <v>0</v>
      </c>
      <c r="J2681">
        <v>0</v>
      </c>
      <c r="K2681" s="9">
        <v>5.352380952380952</v>
      </c>
    </row>
    <row r="2682" spans="1:11" x14ac:dyDescent="0.45">
      <c r="A2682" t="s">
        <v>244</v>
      </c>
      <c r="B2682" t="s">
        <v>697</v>
      </c>
      <c r="C2682" t="s">
        <v>13</v>
      </c>
      <c r="D2682">
        <v>9</v>
      </c>
      <c r="E2682" t="s">
        <v>550</v>
      </c>
      <c r="F2682" t="s">
        <v>623</v>
      </c>
      <c r="G2682">
        <v>11</v>
      </c>
      <c r="H2682">
        <v>10</v>
      </c>
      <c r="I2682">
        <v>1</v>
      </c>
      <c r="J2682">
        <v>0</v>
      </c>
      <c r="K2682" s="9">
        <v>4.7179487179487181</v>
      </c>
    </row>
    <row r="2683" spans="1:11" x14ac:dyDescent="0.45">
      <c r="A2683" t="s">
        <v>244</v>
      </c>
      <c r="B2683" t="s">
        <v>697</v>
      </c>
      <c r="C2683" t="s">
        <v>13</v>
      </c>
      <c r="D2683">
        <v>10</v>
      </c>
      <c r="E2683" t="s">
        <v>570</v>
      </c>
      <c r="F2683" t="s">
        <v>623</v>
      </c>
      <c r="G2683">
        <v>13</v>
      </c>
      <c r="H2683">
        <v>8</v>
      </c>
      <c r="I2683">
        <v>0</v>
      </c>
      <c r="J2683">
        <v>1</v>
      </c>
      <c r="K2683" s="9">
        <v>4.9029126213592233</v>
      </c>
    </row>
    <row r="2684" spans="1:11" x14ac:dyDescent="0.45">
      <c r="A2684" t="s">
        <v>245</v>
      </c>
      <c r="B2684" t="s">
        <v>700</v>
      </c>
      <c r="C2684" t="s">
        <v>101</v>
      </c>
      <c r="D2684">
        <v>1</v>
      </c>
      <c r="E2684" t="s">
        <v>380</v>
      </c>
      <c r="F2684" t="s">
        <v>622</v>
      </c>
      <c r="G2684">
        <v>4</v>
      </c>
      <c r="H2684">
        <v>7</v>
      </c>
      <c r="I2684">
        <v>0</v>
      </c>
      <c r="J2684">
        <v>0</v>
      </c>
      <c r="K2684" s="9">
        <v>4.927835051546392</v>
      </c>
    </row>
    <row r="2685" spans="1:11" x14ac:dyDescent="0.45">
      <c r="A2685" t="s">
        <v>245</v>
      </c>
      <c r="B2685" t="s">
        <v>700</v>
      </c>
      <c r="C2685" t="s">
        <v>101</v>
      </c>
      <c r="D2685">
        <v>2</v>
      </c>
      <c r="E2685" t="s">
        <v>302</v>
      </c>
      <c r="F2685" t="s">
        <v>622</v>
      </c>
      <c r="G2685">
        <v>56</v>
      </c>
      <c r="H2685">
        <v>34</v>
      </c>
      <c r="I2685">
        <v>7</v>
      </c>
      <c r="J2685">
        <v>1</v>
      </c>
      <c r="K2685" s="9">
        <v>4.4137931034482758</v>
      </c>
    </row>
    <row r="2686" spans="1:11" x14ac:dyDescent="0.45">
      <c r="A2686" t="s">
        <v>245</v>
      </c>
      <c r="B2686" t="s">
        <v>700</v>
      </c>
      <c r="C2686" t="s">
        <v>101</v>
      </c>
      <c r="D2686">
        <v>3</v>
      </c>
      <c r="E2686" t="s">
        <v>361</v>
      </c>
      <c r="F2686" t="s">
        <v>622</v>
      </c>
      <c r="G2686">
        <v>13</v>
      </c>
      <c r="H2686">
        <v>14</v>
      </c>
      <c r="I2686">
        <v>1</v>
      </c>
      <c r="J2686">
        <v>0</v>
      </c>
      <c r="K2686" s="9">
        <v>4.8461538461538458</v>
      </c>
    </row>
    <row r="2687" spans="1:11" x14ac:dyDescent="0.45">
      <c r="A2687" t="s">
        <v>245</v>
      </c>
      <c r="B2687" t="s">
        <v>700</v>
      </c>
      <c r="C2687" t="s">
        <v>101</v>
      </c>
      <c r="D2687">
        <v>4</v>
      </c>
      <c r="E2687" t="s">
        <v>460</v>
      </c>
      <c r="F2687" t="s">
        <v>622</v>
      </c>
      <c r="G2687">
        <v>19</v>
      </c>
      <c r="H2687">
        <v>16</v>
      </c>
      <c r="I2687">
        <v>1</v>
      </c>
      <c r="J2687">
        <v>1</v>
      </c>
      <c r="K2687" s="9">
        <v>4.7608695652173916</v>
      </c>
    </row>
    <row r="2688" spans="1:11" x14ac:dyDescent="0.45">
      <c r="A2688" t="s">
        <v>245</v>
      </c>
      <c r="B2688" t="s">
        <v>700</v>
      </c>
      <c r="C2688" t="s">
        <v>101</v>
      </c>
      <c r="D2688">
        <v>5</v>
      </c>
      <c r="E2688" t="s">
        <v>411</v>
      </c>
      <c r="F2688" t="s">
        <v>622</v>
      </c>
      <c r="G2688">
        <v>46</v>
      </c>
      <c r="H2688">
        <v>22</v>
      </c>
      <c r="I2688">
        <v>2</v>
      </c>
      <c r="J2688">
        <v>4</v>
      </c>
      <c r="K2688" s="9">
        <v>4.4423076923076925</v>
      </c>
    </row>
    <row r="2689" spans="1:11" x14ac:dyDescent="0.45">
      <c r="A2689" t="s">
        <v>245</v>
      </c>
      <c r="B2689" t="s">
        <v>700</v>
      </c>
      <c r="C2689" t="s">
        <v>101</v>
      </c>
      <c r="D2689">
        <v>6</v>
      </c>
      <c r="E2689" t="s">
        <v>540</v>
      </c>
      <c r="F2689" t="s">
        <v>622</v>
      </c>
      <c r="G2689">
        <v>42</v>
      </c>
      <c r="H2689">
        <v>21</v>
      </c>
      <c r="I2689">
        <v>3</v>
      </c>
      <c r="J2689">
        <v>3</v>
      </c>
      <c r="K2689" s="9">
        <v>4.3770491803278686</v>
      </c>
    </row>
    <row r="2690" spans="1:11" x14ac:dyDescent="0.45">
      <c r="A2690" t="s">
        <v>245</v>
      </c>
      <c r="B2690" t="s">
        <v>700</v>
      </c>
      <c r="C2690" t="s">
        <v>101</v>
      </c>
      <c r="D2690">
        <v>7</v>
      </c>
      <c r="E2690" t="s">
        <v>390</v>
      </c>
      <c r="F2690" t="s">
        <v>623</v>
      </c>
      <c r="G2690">
        <v>20</v>
      </c>
      <c r="H2690">
        <v>5</v>
      </c>
      <c r="I2690">
        <v>0</v>
      </c>
      <c r="J2690">
        <v>3</v>
      </c>
      <c r="K2690" s="9">
        <v>5.132075471698113</v>
      </c>
    </row>
    <row r="2691" spans="1:11" x14ac:dyDescent="0.45">
      <c r="A2691" t="s">
        <v>245</v>
      </c>
      <c r="B2691" t="s">
        <v>700</v>
      </c>
      <c r="C2691" t="s">
        <v>101</v>
      </c>
      <c r="D2691">
        <v>8</v>
      </c>
      <c r="E2691" t="s">
        <v>379</v>
      </c>
      <c r="F2691" t="s">
        <v>623</v>
      </c>
      <c r="G2691">
        <v>2</v>
      </c>
      <c r="H2691">
        <v>1</v>
      </c>
      <c r="I2691">
        <v>0</v>
      </c>
      <c r="J2691">
        <v>0</v>
      </c>
      <c r="K2691" s="9">
        <v>6.5693779904306222</v>
      </c>
    </row>
    <row r="2692" spans="1:11" x14ac:dyDescent="0.45">
      <c r="A2692" t="s">
        <v>245</v>
      </c>
      <c r="B2692" t="s">
        <v>700</v>
      </c>
      <c r="C2692" t="s">
        <v>19</v>
      </c>
      <c r="D2692">
        <v>1</v>
      </c>
      <c r="E2692" t="s">
        <v>359</v>
      </c>
      <c r="F2692" t="s">
        <v>622</v>
      </c>
      <c r="G2692">
        <v>2</v>
      </c>
      <c r="H2692">
        <v>8</v>
      </c>
      <c r="I2692">
        <v>0</v>
      </c>
      <c r="J2692">
        <v>0</v>
      </c>
      <c r="K2692" s="9">
        <v>4.9029126213592233</v>
      </c>
    </row>
    <row r="2693" spans="1:11" x14ac:dyDescent="0.45">
      <c r="A2693" t="s">
        <v>245</v>
      </c>
      <c r="B2693" t="s">
        <v>700</v>
      </c>
      <c r="C2693" t="s">
        <v>19</v>
      </c>
      <c r="D2693">
        <v>2</v>
      </c>
      <c r="E2693" t="s">
        <v>360</v>
      </c>
      <c r="F2693" t="s">
        <v>622</v>
      </c>
      <c r="G2693">
        <v>13</v>
      </c>
      <c r="H2693">
        <v>21</v>
      </c>
      <c r="I2693">
        <v>1</v>
      </c>
      <c r="J2693">
        <v>0</v>
      </c>
      <c r="K2693" s="9">
        <v>4.3770491803278686</v>
      </c>
    </row>
    <row r="2694" spans="1:11" x14ac:dyDescent="0.45">
      <c r="A2694" t="s">
        <v>245</v>
      </c>
      <c r="B2694" t="s">
        <v>700</v>
      </c>
      <c r="C2694" t="s">
        <v>19</v>
      </c>
      <c r="D2694">
        <v>3</v>
      </c>
      <c r="E2694" t="s">
        <v>560</v>
      </c>
      <c r="F2694" t="s">
        <v>622</v>
      </c>
      <c r="G2694">
        <v>33</v>
      </c>
      <c r="H2694">
        <v>26</v>
      </c>
      <c r="I2694">
        <v>0</v>
      </c>
      <c r="J2694">
        <v>3</v>
      </c>
      <c r="K2694" s="9">
        <v>4.1568627450980395</v>
      </c>
    </row>
    <row r="2695" spans="1:11" x14ac:dyDescent="0.45">
      <c r="A2695" t="s">
        <v>245</v>
      </c>
      <c r="B2695" t="s">
        <v>700</v>
      </c>
      <c r="C2695" t="s">
        <v>19</v>
      </c>
      <c r="D2695">
        <v>4</v>
      </c>
      <c r="E2695" t="s">
        <v>502</v>
      </c>
      <c r="F2695" t="s">
        <v>622</v>
      </c>
      <c r="G2695">
        <v>2</v>
      </c>
      <c r="H2695">
        <v>3</v>
      </c>
      <c r="I2695">
        <v>0</v>
      </c>
      <c r="J2695">
        <v>0</v>
      </c>
      <c r="K2695" s="9">
        <v>5.6607142857142856</v>
      </c>
    </row>
    <row r="2696" spans="1:11" x14ac:dyDescent="0.45">
      <c r="A2696" t="s">
        <v>245</v>
      </c>
      <c r="B2696" t="s">
        <v>700</v>
      </c>
      <c r="C2696" t="s">
        <v>19</v>
      </c>
      <c r="D2696">
        <v>5</v>
      </c>
      <c r="E2696" t="s">
        <v>363</v>
      </c>
      <c r="F2696" t="s">
        <v>622</v>
      </c>
      <c r="G2696">
        <v>23</v>
      </c>
      <c r="H2696">
        <v>12</v>
      </c>
      <c r="I2696">
        <v>3</v>
      </c>
      <c r="J2696">
        <v>1</v>
      </c>
      <c r="K2696" s="9">
        <v>4.8024691358024691</v>
      </c>
    </row>
    <row r="2697" spans="1:11" x14ac:dyDescent="0.45">
      <c r="A2697" t="s">
        <v>245</v>
      </c>
      <c r="B2697" t="s">
        <v>700</v>
      </c>
      <c r="C2697" t="s">
        <v>19</v>
      </c>
      <c r="D2697">
        <v>6</v>
      </c>
      <c r="E2697" t="s">
        <v>447</v>
      </c>
      <c r="F2697" t="s">
        <v>622</v>
      </c>
      <c r="G2697">
        <v>0</v>
      </c>
      <c r="H2697">
        <v>2</v>
      </c>
      <c r="I2697">
        <v>0</v>
      </c>
      <c r="J2697">
        <v>0</v>
      </c>
      <c r="K2697" s="9">
        <v>6.1385542168674698</v>
      </c>
    </row>
    <row r="2698" spans="1:11" x14ac:dyDescent="0.45">
      <c r="A2698" t="s">
        <v>245</v>
      </c>
      <c r="B2698" t="s">
        <v>700</v>
      </c>
      <c r="C2698" t="s">
        <v>19</v>
      </c>
      <c r="D2698">
        <v>7</v>
      </c>
      <c r="E2698" t="s">
        <v>559</v>
      </c>
      <c r="F2698" t="s">
        <v>622</v>
      </c>
      <c r="G2698">
        <v>40</v>
      </c>
      <c r="H2698">
        <v>21</v>
      </c>
      <c r="I2698">
        <v>3</v>
      </c>
      <c r="J2698">
        <v>3</v>
      </c>
      <c r="K2698" s="9">
        <v>4.3770491803278686</v>
      </c>
    </row>
    <row r="2699" spans="1:11" x14ac:dyDescent="0.45">
      <c r="A2699" t="s">
        <v>245</v>
      </c>
      <c r="B2699" t="s">
        <v>700</v>
      </c>
      <c r="C2699" t="s">
        <v>19</v>
      </c>
      <c r="D2699">
        <v>8</v>
      </c>
      <c r="E2699" t="s">
        <v>368</v>
      </c>
      <c r="F2699" t="s">
        <v>622</v>
      </c>
      <c r="G2699">
        <v>18</v>
      </c>
      <c r="H2699">
        <v>12</v>
      </c>
      <c r="I2699">
        <v>1</v>
      </c>
      <c r="J2699">
        <v>1</v>
      </c>
      <c r="K2699" s="9">
        <v>4.8024691358024691</v>
      </c>
    </row>
    <row r="2700" spans="1:11" x14ac:dyDescent="0.45">
      <c r="A2700" t="s">
        <v>245</v>
      </c>
      <c r="B2700" t="s">
        <v>700</v>
      </c>
      <c r="C2700" t="s">
        <v>19</v>
      </c>
      <c r="D2700">
        <v>9</v>
      </c>
      <c r="E2700" t="s">
        <v>600</v>
      </c>
      <c r="F2700" t="s">
        <v>622</v>
      </c>
      <c r="G2700">
        <v>13</v>
      </c>
      <c r="H2700">
        <v>9</v>
      </c>
      <c r="I2700">
        <v>0</v>
      </c>
      <c r="J2700">
        <v>1</v>
      </c>
      <c r="K2700" s="9">
        <v>4.924050632911392</v>
      </c>
    </row>
    <row r="2701" spans="1:11" x14ac:dyDescent="0.45">
      <c r="A2701" t="s">
        <v>245</v>
      </c>
      <c r="B2701" t="s">
        <v>700</v>
      </c>
      <c r="C2701" t="s">
        <v>19</v>
      </c>
      <c r="D2701">
        <v>10</v>
      </c>
      <c r="E2701" t="s">
        <v>562</v>
      </c>
      <c r="F2701" t="s">
        <v>623</v>
      </c>
      <c r="G2701">
        <v>3</v>
      </c>
      <c r="H2701">
        <v>4</v>
      </c>
      <c r="I2701">
        <v>0</v>
      </c>
      <c r="J2701">
        <v>0</v>
      </c>
      <c r="K2701" s="9">
        <v>5.352380952380952</v>
      </c>
    </row>
    <row r="2702" spans="1:11" x14ac:dyDescent="0.45">
      <c r="A2702" t="s">
        <v>245</v>
      </c>
      <c r="B2702" t="s">
        <v>700</v>
      </c>
      <c r="C2702" t="s">
        <v>19</v>
      </c>
      <c r="D2702">
        <v>11</v>
      </c>
      <c r="E2702" t="s">
        <v>457</v>
      </c>
      <c r="F2702" t="s">
        <v>623</v>
      </c>
      <c r="G2702">
        <v>0</v>
      </c>
      <c r="H2702">
        <v>2</v>
      </c>
      <c r="I2702">
        <v>0</v>
      </c>
      <c r="J2702">
        <v>0</v>
      </c>
      <c r="K2702" s="9">
        <v>6.1385542168674698</v>
      </c>
    </row>
    <row r="2703" spans="1:11" x14ac:dyDescent="0.45">
      <c r="A2703" t="s">
        <v>246</v>
      </c>
      <c r="B2703" t="s">
        <v>679</v>
      </c>
      <c r="C2703" t="s">
        <v>10</v>
      </c>
      <c r="D2703">
        <v>1</v>
      </c>
      <c r="E2703" t="s">
        <v>442</v>
      </c>
      <c r="F2703" t="s">
        <v>622</v>
      </c>
      <c r="G2703">
        <v>21</v>
      </c>
      <c r="H2703">
        <v>20</v>
      </c>
      <c r="I2703">
        <v>2</v>
      </c>
      <c r="J2703">
        <v>1</v>
      </c>
      <c r="K2703" s="9">
        <v>4.9473684210526319</v>
      </c>
    </row>
    <row r="2704" spans="1:11" x14ac:dyDescent="0.45">
      <c r="A2704" t="s">
        <v>246</v>
      </c>
      <c r="B2704" t="s">
        <v>679</v>
      </c>
      <c r="C2704" t="s">
        <v>10</v>
      </c>
      <c r="D2704">
        <v>2</v>
      </c>
      <c r="E2704" t="s">
        <v>580</v>
      </c>
      <c r="F2704" t="s">
        <v>622</v>
      </c>
      <c r="G2704">
        <v>0</v>
      </c>
      <c r="H2704">
        <v>1</v>
      </c>
      <c r="I2704">
        <v>0</v>
      </c>
      <c r="J2704">
        <v>0</v>
      </c>
      <c r="K2704" s="9">
        <v>6.5693779904306222</v>
      </c>
    </row>
    <row r="2705" spans="1:11" x14ac:dyDescent="0.45">
      <c r="A2705" t="s">
        <v>246</v>
      </c>
      <c r="B2705" t="s">
        <v>679</v>
      </c>
      <c r="C2705" t="s">
        <v>10</v>
      </c>
      <c r="D2705">
        <v>3</v>
      </c>
      <c r="E2705" t="s">
        <v>498</v>
      </c>
      <c r="F2705" t="s">
        <v>622</v>
      </c>
      <c r="G2705">
        <v>25</v>
      </c>
      <c r="H2705">
        <v>15</v>
      </c>
      <c r="I2705">
        <v>5</v>
      </c>
      <c r="J2705">
        <v>0</v>
      </c>
      <c r="K2705" s="9">
        <v>4.7777777777777777</v>
      </c>
    </row>
    <row r="2706" spans="1:11" x14ac:dyDescent="0.45">
      <c r="A2706" t="s">
        <v>246</v>
      </c>
      <c r="B2706" t="s">
        <v>679</v>
      </c>
      <c r="C2706" t="s">
        <v>10</v>
      </c>
      <c r="D2706">
        <v>4</v>
      </c>
      <c r="E2706" t="s">
        <v>399</v>
      </c>
      <c r="F2706" t="s">
        <v>622</v>
      </c>
      <c r="G2706">
        <v>10</v>
      </c>
      <c r="H2706">
        <v>9</v>
      </c>
      <c r="I2706">
        <v>0</v>
      </c>
      <c r="J2706">
        <v>1</v>
      </c>
      <c r="K2706" s="9">
        <v>4.924050632911392</v>
      </c>
    </row>
    <row r="2707" spans="1:11" x14ac:dyDescent="0.45">
      <c r="A2707" t="s">
        <v>246</v>
      </c>
      <c r="B2707" t="s">
        <v>679</v>
      </c>
      <c r="C2707" t="s">
        <v>10</v>
      </c>
      <c r="D2707">
        <v>5</v>
      </c>
      <c r="E2707" t="s">
        <v>374</v>
      </c>
      <c r="F2707" t="s">
        <v>622</v>
      </c>
      <c r="G2707">
        <v>34</v>
      </c>
      <c r="H2707">
        <v>27</v>
      </c>
      <c r="I2707">
        <v>2</v>
      </c>
      <c r="J2707">
        <v>0</v>
      </c>
      <c r="K2707" s="9">
        <v>4.25</v>
      </c>
    </row>
    <row r="2708" spans="1:11" x14ac:dyDescent="0.45">
      <c r="A2708" t="s">
        <v>246</v>
      </c>
      <c r="B2708" t="s">
        <v>679</v>
      </c>
      <c r="C2708" t="s">
        <v>10</v>
      </c>
      <c r="D2708">
        <v>6</v>
      </c>
      <c r="E2708" t="s">
        <v>545</v>
      </c>
      <c r="F2708" t="s">
        <v>622</v>
      </c>
      <c r="G2708">
        <v>4</v>
      </c>
      <c r="H2708">
        <v>2</v>
      </c>
      <c r="I2708">
        <v>1</v>
      </c>
      <c r="J2708">
        <v>0</v>
      </c>
      <c r="K2708" s="9">
        <v>6.1385542168674698</v>
      </c>
    </row>
    <row r="2709" spans="1:11" x14ac:dyDescent="0.45">
      <c r="A2709" t="s">
        <v>246</v>
      </c>
      <c r="B2709" t="s">
        <v>679</v>
      </c>
      <c r="C2709" t="s">
        <v>10</v>
      </c>
      <c r="D2709">
        <v>7</v>
      </c>
      <c r="E2709" t="s">
        <v>337</v>
      </c>
      <c r="F2709" t="s">
        <v>622</v>
      </c>
      <c r="G2709">
        <v>34</v>
      </c>
      <c r="H2709">
        <v>34</v>
      </c>
      <c r="I2709">
        <v>4</v>
      </c>
      <c r="J2709">
        <v>0</v>
      </c>
      <c r="K2709" s="9">
        <v>4.4137931034482758</v>
      </c>
    </row>
    <row r="2710" spans="1:11" x14ac:dyDescent="0.45">
      <c r="A2710" t="s">
        <v>246</v>
      </c>
      <c r="B2710" t="s">
        <v>679</v>
      </c>
      <c r="C2710" t="s">
        <v>10</v>
      </c>
      <c r="D2710">
        <v>8</v>
      </c>
      <c r="E2710" t="s">
        <v>357</v>
      </c>
      <c r="F2710" t="s">
        <v>622</v>
      </c>
      <c r="G2710">
        <v>5</v>
      </c>
      <c r="H2710">
        <v>6</v>
      </c>
      <c r="I2710">
        <v>0</v>
      </c>
      <c r="J2710">
        <v>0</v>
      </c>
      <c r="K2710" s="9">
        <v>5.4565217391304346</v>
      </c>
    </row>
    <row r="2711" spans="1:11" x14ac:dyDescent="0.45">
      <c r="A2711" t="s">
        <v>246</v>
      </c>
      <c r="B2711" t="s">
        <v>679</v>
      </c>
      <c r="C2711" t="s">
        <v>10</v>
      </c>
      <c r="D2711">
        <v>9</v>
      </c>
      <c r="E2711" t="s">
        <v>338</v>
      </c>
      <c r="F2711" t="s">
        <v>622</v>
      </c>
      <c r="G2711">
        <v>2</v>
      </c>
      <c r="H2711">
        <v>2</v>
      </c>
      <c r="I2711">
        <v>0</v>
      </c>
      <c r="J2711">
        <v>0</v>
      </c>
      <c r="K2711" s="9">
        <v>6.1385542168674698</v>
      </c>
    </row>
    <row r="2712" spans="1:11" x14ac:dyDescent="0.45">
      <c r="A2712" t="s">
        <v>246</v>
      </c>
      <c r="B2712" t="s">
        <v>679</v>
      </c>
      <c r="C2712" t="s">
        <v>10</v>
      </c>
      <c r="D2712">
        <v>10</v>
      </c>
      <c r="E2712" t="s">
        <v>500</v>
      </c>
      <c r="F2712" t="s">
        <v>623</v>
      </c>
      <c r="G2712">
        <v>4</v>
      </c>
      <c r="H2712">
        <v>3</v>
      </c>
      <c r="I2712">
        <v>1</v>
      </c>
      <c r="J2712">
        <v>0</v>
      </c>
      <c r="K2712" s="9">
        <v>5.6607142857142856</v>
      </c>
    </row>
    <row r="2713" spans="1:11" x14ac:dyDescent="0.45">
      <c r="A2713" t="s">
        <v>246</v>
      </c>
      <c r="B2713" t="s">
        <v>679</v>
      </c>
      <c r="C2713" t="s">
        <v>10</v>
      </c>
      <c r="D2713">
        <v>11</v>
      </c>
      <c r="E2713" t="s">
        <v>456</v>
      </c>
      <c r="F2713" t="s">
        <v>623</v>
      </c>
      <c r="G2713">
        <v>1</v>
      </c>
      <c r="H2713">
        <v>1</v>
      </c>
      <c r="I2713">
        <v>0</v>
      </c>
      <c r="J2713">
        <v>0</v>
      </c>
      <c r="K2713" s="9">
        <v>6.5693779904306222</v>
      </c>
    </row>
    <row r="2714" spans="1:11" x14ac:dyDescent="0.45">
      <c r="A2714" t="s">
        <v>246</v>
      </c>
      <c r="B2714" t="s">
        <v>679</v>
      </c>
      <c r="C2714" t="s">
        <v>20</v>
      </c>
      <c r="D2714">
        <v>1</v>
      </c>
      <c r="E2714" t="s">
        <v>574</v>
      </c>
      <c r="F2714" t="s">
        <v>622</v>
      </c>
      <c r="G2714">
        <v>7</v>
      </c>
      <c r="H2714">
        <v>14</v>
      </c>
      <c r="I2714">
        <v>0</v>
      </c>
      <c r="J2714">
        <v>0</v>
      </c>
      <c r="K2714" s="9">
        <v>4.8461538461538458</v>
      </c>
    </row>
    <row r="2715" spans="1:11" x14ac:dyDescent="0.45">
      <c r="A2715" t="s">
        <v>246</v>
      </c>
      <c r="B2715" t="s">
        <v>679</v>
      </c>
      <c r="C2715" t="s">
        <v>20</v>
      </c>
      <c r="D2715">
        <v>2</v>
      </c>
      <c r="E2715" t="s">
        <v>398</v>
      </c>
      <c r="F2715" t="s">
        <v>622</v>
      </c>
      <c r="G2715">
        <v>49</v>
      </c>
      <c r="H2715">
        <v>39</v>
      </c>
      <c r="I2715">
        <v>7</v>
      </c>
      <c r="J2715">
        <v>0</v>
      </c>
      <c r="K2715" s="9">
        <v>2.7083333333333335</v>
      </c>
    </row>
    <row r="2716" spans="1:11" x14ac:dyDescent="0.45">
      <c r="A2716" t="s">
        <v>246</v>
      </c>
      <c r="B2716" t="s">
        <v>679</v>
      </c>
      <c r="C2716" t="s">
        <v>20</v>
      </c>
      <c r="D2716">
        <v>3</v>
      </c>
      <c r="E2716" t="s">
        <v>315</v>
      </c>
      <c r="F2716" t="s">
        <v>622</v>
      </c>
      <c r="G2716">
        <v>15</v>
      </c>
      <c r="H2716">
        <v>21</v>
      </c>
      <c r="I2716">
        <v>0</v>
      </c>
      <c r="J2716">
        <v>0</v>
      </c>
      <c r="K2716" s="9">
        <v>4.3770491803278686</v>
      </c>
    </row>
    <row r="2717" spans="1:11" x14ac:dyDescent="0.45">
      <c r="A2717" t="s">
        <v>246</v>
      </c>
      <c r="B2717" t="s">
        <v>679</v>
      </c>
      <c r="C2717" t="s">
        <v>20</v>
      </c>
      <c r="D2717">
        <v>4</v>
      </c>
      <c r="E2717" t="s">
        <v>373</v>
      </c>
      <c r="F2717" t="s">
        <v>622</v>
      </c>
      <c r="G2717">
        <v>5</v>
      </c>
      <c r="H2717">
        <v>5</v>
      </c>
      <c r="I2717">
        <v>0</v>
      </c>
      <c r="J2717">
        <v>0</v>
      </c>
      <c r="K2717" s="9">
        <v>5.132075471698113</v>
      </c>
    </row>
    <row r="2718" spans="1:11" x14ac:dyDescent="0.45">
      <c r="A2718" t="s">
        <v>246</v>
      </c>
      <c r="B2718" t="s">
        <v>679</v>
      </c>
      <c r="C2718" t="s">
        <v>20</v>
      </c>
      <c r="D2718">
        <v>5</v>
      </c>
      <c r="E2718" t="s">
        <v>401</v>
      </c>
      <c r="F2718" t="s">
        <v>622</v>
      </c>
      <c r="G2718">
        <v>3</v>
      </c>
      <c r="H2718">
        <v>5</v>
      </c>
      <c r="I2718">
        <v>0</v>
      </c>
      <c r="J2718">
        <v>0</v>
      </c>
      <c r="K2718" s="9">
        <v>5.132075471698113</v>
      </c>
    </row>
    <row r="2719" spans="1:11" x14ac:dyDescent="0.45">
      <c r="A2719" t="s">
        <v>246</v>
      </c>
      <c r="B2719" t="s">
        <v>679</v>
      </c>
      <c r="C2719" t="s">
        <v>20</v>
      </c>
      <c r="D2719">
        <v>6</v>
      </c>
      <c r="E2719" t="s">
        <v>573</v>
      </c>
      <c r="F2719" t="s">
        <v>622</v>
      </c>
      <c r="G2719">
        <v>31</v>
      </c>
      <c r="H2719">
        <v>19</v>
      </c>
      <c r="I2719">
        <v>3</v>
      </c>
      <c r="J2719">
        <v>1</v>
      </c>
      <c r="K2719" s="9">
        <v>4.5660377358490569</v>
      </c>
    </row>
    <row r="2720" spans="1:11" x14ac:dyDescent="0.45">
      <c r="A2720" t="s">
        <v>246</v>
      </c>
      <c r="B2720" t="s">
        <v>679</v>
      </c>
      <c r="C2720" t="s">
        <v>20</v>
      </c>
      <c r="D2720">
        <v>7</v>
      </c>
      <c r="E2720" t="s">
        <v>467</v>
      </c>
      <c r="F2720" t="s">
        <v>623</v>
      </c>
      <c r="G2720">
        <v>24</v>
      </c>
      <c r="H2720">
        <v>15</v>
      </c>
      <c r="I2720">
        <v>3</v>
      </c>
      <c r="J2720">
        <v>0</v>
      </c>
      <c r="K2720" s="9">
        <v>4.7777777777777777</v>
      </c>
    </row>
    <row r="2721" spans="1:11" x14ac:dyDescent="0.45">
      <c r="A2721" t="s">
        <v>246</v>
      </c>
      <c r="B2721" t="s">
        <v>679</v>
      </c>
      <c r="C2721" t="s">
        <v>20</v>
      </c>
      <c r="D2721">
        <v>8</v>
      </c>
      <c r="E2721" t="s">
        <v>484</v>
      </c>
      <c r="F2721" t="s">
        <v>623</v>
      </c>
      <c r="G2721">
        <v>2</v>
      </c>
      <c r="H2721">
        <v>3</v>
      </c>
      <c r="I2721">
        <v>0</v>
      </c>
      <c r="J2721">
        <v>0</v>
      </c>
      <c r="K2721" s="9">
        <v>5.6607142857142856</v>
      </c>
    </row>
    <row r="2722" spans="1:11" x14ac:dyDescent="0.45">
      <c r="A2722" t="s">
        <v>248</v>
      </c>
      <c r="B2722" t="s">
        <v>621</v>
      </c>
      <c r="C2722" t="s">
        <v>6</v>
      </c>
      <c r="D2722">
        <v>1</v>
      </c>
      <c r="E2722" t="s">
        <v>290</v>
      </c>
      <c r="F2722" t="s">
        <v>622</v>
      </c>
      <c r="G2722">
        <v>35</v>
      </c>
      <c r="H2722">
        <v>20</v>
      </c>
      <c r="I2722">
        <v>2</v>
      </c>
      <c r="J2722">
        <v>3</v>
      </c>
      <c r="K2722" s="9">
        <v>4.9473684210526319</v>
      </c>
    </row>
    <row r="2723" spans="1:11" x14ac:dyDescent="0.45">
      <c r="A2723" t="s">
        <v>248</v>
      </c>
      <c r="B2723" t="s">
        <v>621</v>
      </c>
      <c r="C2723" t="s">
        <v>6</v>
      </c>
      <c r="D2723">
        <v>2</v>
      </c>
      <c r="E2723" t="s">
        <v>505</v>
      </c>
      <c r="F2723" t="s">
        <v>622</v>
      </c>
      <c r="G2723">
        <v>56</v>
      </c>
      <c r="H2723">
        <v>40</v>
      </c>
      <c r="I2723">
        <v>4</v>
      </c>
      <c r="J2723">
        <v>3</v>
      </c>
      <c r="K2723" s="9">
        <v>4</v>
      </c>
    </row>
    <row r="2724" spans="1:11" x14ac:dyDescent="0.45">
      <c r="A2724" t="s">
        <v>248</v>
      </c>
      <c r="B2724" t="s">
        <v>621</v>
      </c>
      <c r="C2724" t="s">
        <v>6</v>
      </c>
      <c r="D2724">
        <v>3</v>
      </c>
      <c r="E2724" t="s">
        <v>481</v>
      </c>
      <c r="F2724" t="s">
        <v>623</v>
      </c>
      <c r="G2724">
        <v>71</v>
      </c>
      <c r="H2724">
        <v>29</v>
      </c>
      <c r="I2724">
        <v>6</v>
      </c>
      <c r="J2724">
        <v>5</v>
      </c>
      <c r="K2724" s="9">
        <v>4.0454545454545459</v>
      </c>
    </row>
    <row r="2725" spans="1:11" x14ac:dyDescent="0.45">
      <c r="A2725" t="s">
        <v>248</v>
      </c>
      <c r="B2725" t="s">
        <v>621</v>
      </c>
      <c r="C2725" t="s">
        <v>6</v>
      </c>
      <c r="D2725">
        <v>4</v>
      </c>
      <c r="E2725" t="s">
        <v>387</v>
      </c>
      <c r="F2725" t="s">
        <v>622</v>
      </c>
      <c r="G2725">
        <v>50</v>
      </c>
      <c r="H2725">
        <v>21</v>
      </c>
      <c r="I2725">
        <v>2</v>
      </c>
      <c r="J2725">
        <v>5</v>
      </c>
      <c r="K2725" s="9">
        <v>4.3770491803278686</v>
      </c>
    </row>
    <row r="2726" spans="1:11" x14ac:dyDescent="0.45">
      <c r="A2726" t="s">
        <v>248</v>
      </c>
      <c r="B2726" t="s">
        <v>621</v>
      </c>
      <c r="C2726" t="s">
        <v>6</v>
      </c>
      <c r="D2726">
        <v>5</v>
      </c>
      <c r="E2726" t="s">
        <v>328</v>
      </c>
      <c r="F2726" t="s">
        <v>622</v>
      </c>
      <c r="G2726">
        <v>18</v>
      </c>
      <c r="H2726">
        <v>8</v>
      </c>
      <c r="I2726">
        <v>0</v>
      </c>
      <c r="J2726">
        <v>2</v>
      </c>
      <c r="K2726" s="9">
        <v>4.9029126213592233</v>
      </c>
    </row>
    <row r="2727" spans="1:11" x14ac:dyDescent="0.45">
      <c r="A2727" t="s">
        <v>248</v>
      </c>
      <c r="B2727" t="s">
        <v>621</v>
      </c>
      <c r="C2727" t="s">
        <v>6</v>
      </c>
      <c r="D2727">
        <v>6</v>
      </c>
      <c r="E2727" t="s">
        <v>356</v>
      </c>
      <c r="F2727" t="s">
        <v>623</v>
      </c>
      <c r="G2727">
        <v>2</v>
      </c>
      <c r="H2727">
        <v>3</v>
      </c>
      <c r="I2727">
        <v>0</v>
      </c>
      <c r="J2727">
        <v>0</v>
      </c>
      <c r="K2727" s="9">
        <v>5.6607142857142856</v>
      </c>
    </row>
    <row r="2728" spans="1:11" x14ac:dyDescent="0.45">
      <c r="A2728" t="s">
        <v>248</v>
      </c>
      <c r="B2728" t="s">
        <v>621</v>
      </c>
      <c r="C2728" t="s">
        <v>7</v>
      </c>
      <c r="D2728">
        <v>1</v>
      </c>
      <c r="E2728" t="s">
        <v>506</v>
      </c>
      <c r="F2728" t="s">
        <v>622</v>
      </c>
      <c r="G2728">
        <v>1</v>
      </c>
      <c r="H2728">
        <v>3</v>
      </c>
      <c r="I2728">
        <v>0</v>
      </c>
      <c r="J2728">
        <v>0</v>
      </c>
      <c r="K2728" s="9">
        <v>5.6607142857142856</v>
      </c>
    </row>
    <row r="2729" spans="1:11" x14ac:dyDescent="0.45">
      <c r="A2729" t="s">
        <v>248</v>
      </c>
      <c r="B2729" t="s">
        <v>621</v>
      </c>
      <c r="C2729" t="s">
        <v>7</v>
      </c>
      <c r="D2729">
        <v>2</v>
      </c>
      <c r="E2729" t="s">
        <v>308</v>
      </c>
      <c r="F2729" t="s">
        <v>622</v>
      </c>
      <c r="G2729">
        <v>0</v>
      </c>
      <c r="H2729">
        <v>3</v>
      </c>
      <c r="I2729">
        <v>0</v>
      </c>
      <c r="J2729">
        <v>0</v>
      </c>
      <c r="K2729" s="9">
        <v>5.6607142857142856</v>
      </c>
    </row>
    <row r="2730" spans="1:11" x14ac:dyDescent="0.45">
      <c r="A2730" t="s">
        <v>248</v>
      </c>
      <c r="B2730" t="s">
        <v>621</v>
      </c>
      <c r="C2730" t="s">
        <v>7</v>
      </c>
      <c r="D2730">
        <v>3</v>
      </c>
      <c r="E2730" t="s">
        <v>304</v>
      </c>
      <c r="F2730" t="s">
        <v>622</v>
      </c>
      <c r="G2730">
        <v>20</v>
      </c>
      <c r="H2730">
        <v>20</v>
      </c>
      <c r="I2730">
        <v>2</v>
      </c>
      <c r="J2730">
        <v>1</v>
      </c>
      <c r="K2730" s="9">
        <v>4.9473684210526319</v>
      </c>
    </row>
    <row r="2731" spans="1:11" x14ac:dyDescent="0.45">
      <c r="A2731" t="s">
        <v>248</v>
      </c>
      <c r="B2731" t="s">
        <v>621</v>
      </c>
      <c r="C2731" t="s">
        <v>7</v>
      </c>
      <c r="D2731">
        <v>4</v>
      </c>
      <c r="E2731" t="s">
        <v>306</v>
      </c>
      <c r="F2731" t="s">
        <v>622</v>
      </c>
      <c r="G2731">
        <v>27</v>
      </c>
      <c r="H2731">
        <v>20</v>
      </c>
      <c r="I2731">
        <v>4</v>
      </c>
      <c r="J2731">
        <v>1</v>
      </c>
      <c r="K2731" s="9">
        <v>4.9473684210526319</v>
      </c>
    </row>
    <row r="2732" spans="1:11" x14ac:dyDescent="0.45">
      <c r="A2732" t="s">
        <v>248</v>
      </c>
      <c r="B2732" t="s">
        <v>621</v>
      </c>
      <c r="C2732" t="s">
        <v>7</v>
      </c>
      <c r="D2732">
        <v>5</v>
      </c>
      <c r="E2732" t="s">
        <v>372</v>
      </c>
      <c r="F2732" t="s">
        <v>622</v>
      </c>
      <c r="G2732">
        <v>61</v>
      </c>
      <c r="H2732">
        <v>26</v>
      </c>
      <c r="I2732">
        <v>5</v>
      </c>
      <c r="J2732">
        <v>5</v>
      </c>
      <c r="K2732" s="9">
        <v>4.1568627450980395</v>
      </c>
    </row>
    <row r="2733" spans="1:11" x14ac:dyDescent="0.45">
      <c r="A2733" t="s">
        <v>248</v>
      </c>
      <c r="B2733" t="s">
        <v>621</v>
      </c>
      <c r="C2733" t="s">
        <v>7</v>
      </c>
      <c r="D2733">
        <v>6</v>
      </c>
      <c r="E2733" t="s">
        <v>514</v>
      </c>
      <c r="F2733" t="s">
        <v>623</v>
      </c>
      <c r="G2733">
        <v>53</v>
      </c>
      <c r="H2733">
        <v>33</v>
      </c>
      <c r="I2733">
        <v>3</v>
      </c>
      <c r="J2733">
        <v>4</v>
      </c>
      <c r="K2733" s="9">
        <v>2.8421052631578947</v>
      </c>
    </row>
    <row r="2734" spans="1:11" x14ac:dyDescent="0.45">
      <c r="A2734" t="s">
        <v>248</v>
      </c>
      <c r="B2734" t="s">
        <v>621</v>
      </c>
      <c r="C2734" t="s">
        <v>7</v>
      </c>
      <c r="D2734">
        <v>7</v>
      </c>
      <c r="E2734" t="s">
        <v>440</v>
      </c>
      <c r="F2734" t="s">
        <v>622</v>
      </c>
      <c r="G2734">
        <v>9</v>
      </c>
      <c r="H2734">
        <v>6</v>
      </c>
      <c r="I2734">
        <v>0</v>
      </c>
      <c r="J2734">
        <v>1</v>
      </c>
      <c r="K2734" s="9">
        <v>5.4565217391304346</v>
      </c>
    </row>
    <row r="2735" spans="1:11" x14ac:dyDescent="0.45">
      <c r="A2735" t="s">
        <v>248</v>
      </c>
      <c r="B2735" t="s">
        <v>621</v>
      </c>
      <c r="C2735" t="s">
        <v>7</v>
      </c>
      <c r="D2735">
        <v>8</v>
      </c>
      <c r="E2735" t="s">
        <v>598</v>
      </c>
      <c r="F2735" t="s">
        <v>622</v>
      </c>
      <c r="G2735">
        <v>1</v>
      </c>
      <c r="H2735">
        <v>2</v>
      </c>
      <c r="I2735">
        <v>0</v>
      </c>
      <c r="J2735">
        <v>0</v>
      </c>
      <c r="K2735" s="9">
        <v>6.1385542168674698</v>
      </c>
    </row>
    <row r="2736" spans="1:11" x14ac:dyDescent="0.45">
      <c r="A2736" t="s">
        <v>248</v>
      </c>
      <c r="B2736" t="s">
        <v>621</v>
      </c>
      <c r="C2736" t="s">
        <v>7</v>
      </c>
      <c r="D2736">
        <v>9</v>
      </c>
      <c r="E2736" t="s">
        <v>515</v>
      </c>
      <c r="F2736" t="s">
        <v>622</v>
      </c>
      <c r="G2736">
        <v>4</v>
      </c>
      <c r="H2736">
        <v>4</v>
      </c>
      <c r="I2736">
        <v>0</v>
      </c>
      <c r="J2736">
        <v>0</v>
      </c>
      <c r="K2736" s="9">
        <v>5.352380952380952</v>
      </c>
    </row>
    <row r="2737" spans="1:11" x14ac:dyDescent="0.45">
      <c r="A2737" t="s">
        <v>248</v>
      </c>
      <c r="B2737" t="s">
        <v>621</v>
      </c>
      <c r="C2737" t="s">
        <v>7</v>
      </c>
      <c r="D2737">
        <v>10</v>
      </c>
      <c r="E2737" t="s">
        <v>322</v>
      </c>
      <c r="F2737" t="s">
        <v>623</v>
      </c>
      <c r="G2737">
        <v>0</v>
      </c>
      <c r="H2737">
        <v>3</v>
      </c>
      <c r="I2737">
        <v>0</v>
      </c>
      <c r="J2737">
        <v>0</v>
      </c>
      <c r="K2737" s="9">
        <v>5.6607142857142856</v>
      </c>
    </row>
    <row r="2738" spans="1:11" x14ac:dyDescent="0.45">
      <c r="A2738" t="s">
        <v>249</v>
      </c>
      <c r="B2738" t="s">
        <v>665</v>
      </c>
      <c r="C2738" t="s">
        <v>13</v>
      </c>
      <c r="D2738">
        <v>1</v>
      </c>
      <c r="E2738" t="s">
        <v>343</v>
      </c>
      <c r="F2738" t="s">
        <v>622</v>
      </c>
      <c r="G2738">
        <v>0</v>
      </c>
      <c r="H2738">
        <v>1</v>
      </c>
      <c r="I2738">
        <v>0</v>
      </c>
      <c r="J2738">
        <v>0</v>
      </c>
      <c r="K2738" s="9">
        <v>6.5693779904306222</v>
      </c>
    </row>
    <row r="2739" spans="1:11" x14ac:dyDescent="0.45">
      <c r="A2739" t="s">
        <v>249</v>
      </c>
      <c r="B2739" t="s">
        <v>665</v>
      </c>
      <c r="C2739" t="s">
        <v>13</v>
      </c>
      <c r="D2739">
        <v>2</v>
      </c>
      <c r="E2739" t="s">
        <v>294</v>
      </c>
      <c r="F2739" t="s">
        <v>622</v>
      </c>
      <c r="G2739">
        <v>62</v>
      </c>
      <c r="H2739">
        <v>39</v>
      </c>
      <c r="I2739">
        <v>8</v>
      </c>
      <c r="J2739">
        <v>2</v>
      </c>
      <c r="K2739" s="9">
        <v>2.7083333333333335</v>
      </c>
    </row>
    <row r="2740" spans="1:11" x14ac:dyDescent="0.45">
      <c r="A2740" t="s">
        <v>249</v>
      </c>
      <c r="B2740" t="s">
        <v>665</v>
      </c>
      <c r="C2740" t="s">
        <v>13</v>
      </c>
      <c r="D2740">
        <v>3</v>
      </c>
      <c r="E2740" t="s">
        <v>347</v>
      </c>
      <c r="F2740" t="s">
        <v>622</v>
      </c>
      <c r="G2740">
        <v>2</v>
      </c>
      <c r="H2740">
        <v>4</v>
      </c>
      <c r="I2740">
        <v>0</v>
      </c>
      <c r="J2740">
        <v>0</v>
      </c>
      <c r="K2740" s="9">
        <v>5.352380952380952</v>
      </c>
    </row>
    <row r="2741" spans="1:11" x14ac:dyDescent="0.45">
      <c r="A2741" t="s">
        <v>249</v>
      </c>
      <c r="B2741" t="s">
        <v>665</v>
      </c>
      <c r="C2741" t="s">
        <v>13</v>
      </c>
      <c r="D2741">
        <v>4</v>
      </c>
      <c r="E2741" t="s">
        <v>345</v>
      </c>
      <c r="F2741" t="s">
        <v>622</v>
      </c>
      <c r="G2741">
        <v>77</v>
      </c>
      <c r="H2741">
        <v>44</v>
      </c>
      <c r="I2741">
        <v>6</v>
      </c>
      <c r="J2741">
        <v>4</v>
      </c>
      <c r="K2741" s="9">
        <v>3.35</v>
      </c>
    </row>
    <row r="2742" spans="1:11" x14ac:dyDescent="0.45">
      <c r="A2742" t="s">
        <v>249</v>
      </c>
      <c r="B2742" t="s">
        <v>665</v>
      </c>
      <c r="C2742" t="s">
        <v>13</v>
      </c>
      <c r="D2742">
        <v>5</v>
      </c>
      <c r="E2742" t="s">
        <v>430</v>
      </c>
      <c r="F2742" t="s">
        <v>622</v>
      </c>
      <c r="G2742">
        <v>8</v>
      </c>
      <c r="H2742">
        <v>6</v>
      </c>
      <c r="I2742">
        <v>1</v>
      </c>
      <c r="J2742">
        <v>0</v>
      </c>
      <c r="K2742" s="9">
        <v>5.4565217391304346</v>
      </c>
    </row>
    <row r="2743" spans="1:11" x14ac:dyDescent="0.45">
      <c r="A2743" t="s">
        <v>249</v>
      </c>
      <c r="B2743" t="s">
        <v>665</v>
      </c>
      <c r="C2743" t="s">
        <v>13</v>
      </c>
      <c r="D2743">
        <v>6</v>
      </c>
      <c r="E2743" t="s">
        <v>311</v>
      </c>
      <c r="F2743" t="s">
        <v>622</v>
      </c>
      <c r="G2743">
        <v>16</v>
      </c>
      <c r="H2743">
        <v>13</v>
      </c>
      <c r="I2743">
        <v>2</v>
      </c>
      <c r="J2743">
        <v>0</v>
      </c>
      <c r="K2743" s="9">
        <v>4.8939393939393936</v>
      </c>
    </row>
    <row r="2744" spans="1:11" x14ac:dyDescent="0.45">
      <c r="A2744" t="s">
        <v>249</v>
      </c>
      <c r="B2744" t="s">
        <v>665</v>
      </c>
      <c r="C2744" t="s">
        <v>13</v>
      </c>
      <c r="D2744">
        <v>7</v>
      </c>
      <c r="E2744" t="s">
        <v>541</v>
      </c>
      <c r="F2744" t="s">
        <v>622</v>
      </c>
      <c r="G2744">
        <v>0</v>
      </c>
      <c r="H2744">
        <v>2</v>
      </c>
      <c r="I2744">
        <v>0</v>
      </c>
      <c r="J2744">
        <v>0</v>
      </c>
      <c r="K2744" s="9">
        <v>6.1385542168674698</v>
      </c>
    </row>
    <row r="2745" spans="1:11" x14ac:dyDescent="0.45">
      <c r="A2745" t="s">
        <v>249</v>
      </c>
      <c r="B2745" t="s">
        <v>665</v>
      </c>
      <c r="C2745" t="s">
        <v>13</v>
      </c>
      <c r="D2745">
        <v>8</v>
      </c>
      <c r="E2745" t="s">
        <v>448</v>
      </c>
      <c r="F2745" t="s">
        <v>622</v>
      </c>
      <c r="G2745">
        <v>6</v>
      </c>
      <c r="H2745">
        <v>7</v>
      </c>
      <c r="I2745">
        <v>0</v>
      </c>
      <c r="J2745">
        <v>0</v>
      </c>
      <c r="K2745" s="9">
        <v>4.927835051546392</v>
      </c>
    </row>
    <row r="2746" spans="1:11" x14ac:dyDescent="0.45">
      <c r="A2746" t="s">
        <v>249</v>
      </c>
      <c r="B2746" t="s">
        <v>665</v>
      </c>
      <c r="C2746" t="s">
        <v>13</v>
      </c>
      <c r="D2746">
        <v>9</v>
      </c>
      <c r="E2746" t="s">
        <v>550</v>
      </c>
      <c r="F2746" t="s">
        <v>623</v>
      </c>
      <c r="G2746">
        <v>4</v>
      </c>
      <c r="H2746">
        <v>2</v>
      </c>
      <c r="I2746">
        <v>1</v>
      </c>
      <c r="J2746">
        <v>0</v>
      </c>
      <c r="K2746" s="9">
        <v>6.1385542168674698</v>
      </c>
    </row>
    <row r="2747" spans="1:11" x14ac:dyDescent="0.45">
      <c r="A2747" t="s">
        <v>249</v>
      </c>
      <c r="B2747" t="s">
        <v>665</v>
      </c>
      <c r="C2747" t="s">
        <v>13</v>
      </c>
      <c r="D2747">
        <v>10</v>
      </c>
      <c r="E2747" t="s">
        <v>570</v>
      </c>
      <c r="F2747" t="s">
        <v>622</v>
      </c>
      <c r="G2747">
        <v>0</v>
      </c>
      <c r="H2747">
        <v>1</v>
      </c>
      <c r="I2747">
        <v>0</v>
      </c>
      <c r="J2747">
        <v>0</v>
      </c>
      <c r="K2747" s="9">
        <v>6.5693779904306222</v>
      </c>
    </row>
    <row r="2748" spans="1:11" x14ac:dyDescent="0.45">
      <c r="A2748" t="s">
        <v>249</v>
      </c>
      <c r="B2748" t="s">
        <v>665</v>
      </c>
      <c r="C2748" t="s">
        <v>13</v>
      </c>
      <c r="D2748">
        <v>11</v>
      </c>
      <c r="E2748" t="s">
        <v>352</v>
      </c>
      <c r="F2748" t="s">
        <v>623</v>
      </c>
      <c r="G2748">
        <v>1</v>
      </c>
      <c r="H2748">
        <v>1</v>
      </c>
      <c r="I2748">
        <v>0</v>
      </c>
      <c r="J2748">
        <v>0</v>
      </c>
      <c r="K2748" s="9">
        <v>6.5693779904306222</v>
      </c>
    </row>
    <row r="2749" spans="1:11" x14ac:dyDescent="0.45">
      <c r="A2749" t="s">
        <v>249</v>
      </c>
      <c r="B2749" t="s">
        <v>665</v>
      </c>
      <c r="C2749" t="s">
        <v>23</v>
      </c>
      <c r="D2749">
        <v>1</v>
      </c>
      <c r="E2749" t="s">
        <v>383</v>
      </c>
      <c r="F2749" t="s">
        <v>622</v>
      </c>
      <c r="G2749">
        <v>47</v>
      </c>
      <c r="H2749">
        <v>37</v>
      </c>
      <c r="I2749">
        <v>5</v>
      </c>
      <c r="J2749">
        <v>2</v>
      </c>
      <c r="K2749" s="9">
        <v>3.5555555555555554</v>
      </c>
    </row>
    <row r="2750" spans="1:11" x14ac:dyDescent="0.45">
      <c r="A2750" t="s">
        <v>249</v>
      </c>
      <c r="B2750" t="s">
        <v>665</v>
      </c>
      <c r="C2750" t="s">
        <v>23</v>
      </c>
      <c r="D2750">
        <v>2</v>
      </c>
      <c r="E2750" t="s">
        <v>458</v>
      </c>
      <c r="F2750" t="s">
        <v>622</v>
      </c>
      <c r="G2750">
        <v>0</v>
      </c>
      <c r="H2750">
        <v>2</v>
      </c>
      <c r="I2750">
        <v>0</v>
      </c>
      <c r="J2750">
        <v>0</v>
      </c>
      <c r="K2750" s="9">
        <v>6.1385542168674698</v>
      </c>
    </row>
    <row r="2751" spans="1:11" x14ac:dyDescent="0.45">
      <c r="A2751" t="s">
        <v>249</v>
      </c>
      <c r="B2751" t="s">
        <v>665</v>
      </c>
      <c r="C2751" t="s">
        <v>23</v>
      </c>
      <c r="D2751">
        <v>3</v>
      </c>
      <c r="E2751" t="s">
        <v>342</v>
      </c>
      <c r="F2751" t="s">
        <v>622</v>
      </c>
      <c r="G2751">
        <v>52</v>
      </c>
      <c r="H2751">
        <v>34</v>
      </c>
      <c r="I2751">
        <v>7</v>
      </c>
      <c r="J2751">
        <v>1</v>
      </c>
      <c r="K2751" s="9">
        <v>4.4137931034482758</v>
      </c>
    </row>
    <row r="2752" spans="1:11" x14ac:dyDescent="0.45">
      <c r="A2752" t="s">
        <v>249</v>
      </c>
      <c r="B2752" t="s">
        <v>665</v>
      </c>
      <c r="C2752" t="s">
        <v>23</v>
      </c>
      <c r="D2752">
        <v>4</v>
      </c>
      <c r="E2752" t="s">
        <v>386</v>
      </c>
      <c r="F2752" t="s">
        <v>622</v>
      </c>
      <c r="G2752">
        <v>22</v>
      </c>
      <c r="H2752">
        <v>15</v>
      </c>
      <c r="I2752">
        <v>2</v>
      </c>
      <c r="J2752">
        <v>1</v>
      </c>
      <c r="K2752" s="9">
        <v>4.7777777777777777</v>
      </c>
    </row>
    <row r="2753" spans="1:11" x14ac:dyDescent="0.45">
      <c r="A2753" t="s">
        <v>249</v>
      </c>
      <c r="B2753" t="s">
        <v>665</v>
      </c>
      <c r="C2753" t="s">
        <v>23</v>
      </c>
      <c r="D2753">
        <v>5</v>
      </c>
      <c r="E2753" t="s">
        <v>336</v>
      </c>
      <c r="F2753" t="s">
        <v>622</v>
      </c>
      <c r="G2753">
        <v>3</v>
      </c>
      <c r="H2753">
        <v>9</v>
      </c>
      <c r="I2753">
        <v>0</v>
      </c>
      <c r="J2753">
        <v>0</v>
      </c>
      <c r="K2753" s="9">
        <v>4.924050632911392</v>
      </c>
    </row>
    <row r="2754" spans="1:11" x14ac:dyDescent="0.45">
      <c r="A2754" t="s">
        <v>249</v>
      </c>
      <c r="B2754" t="s">
        <v>665</v>
      </c>
      <c r="C2754" t="s">
        <v>23</v>
      </c>
      <c r="D2754">
        <v>6</v>
      </c>
      <c r="E2754" t="s">
        <v>584</v>
      </c>
      <c r="F2754" t="s">
        <v>623</v>
      </c>
      <c r="G2754">
        <v>34</v>
      </c>
      <c r="H2754">
        <v>16</v>
      </c>
      <c r="I2754">
        <v>2</v>
      </c>
      <c r="J2754">
        <v>2</v>
      </c>
      <c r="K2754" s="9">
        <v>4.7608695652173916</v>
      </c>
    </row>
    <row r="2755" spans="1:11" x14ac:dyDescent="0.45">
      <c r="A2755" t="s">
        <v>249</v>
      </c>
      <c r="B2755" t="s">
        <v>665</v>
      </c>
      <c r="C2755" t="s">
        <v>23</v>
      </c>
      <c r="D2755">
        <v>7</v>
      </c>
      <c r="E2755" t="s">
        <v>339</v>
      </c>
      <c r="F2755" t="s">
        <v>622</v>
      </c>
      <c r="G2755">
        <v>12</v>
      </c>
      <c r="H2755">
        <v>6</v>
      </c>
      <c r="I2755">
        <v>2</v>
      </c>
      <c r="J2755">
        <v>0</v>
      </c>
      <c r="K2755" s="9">
        <v>5.4565217391304346</v>
      </c>
    </row>
    <row r="2756" spans="1:11" x14ac:dyDescent="0.45">
      <c r="A2756" t="s">
        <v>249</v>
      </c>
      <c r="B2756" t="s">
        <v>665</v>
      </c>
      <c r="C2756" t="s">
        <v>23</v>
      </c>
      <c r="D2756">
        <v>8</v>
      </c>
      <c r="E2756" t="s">
        <v>602</v>
      </c>
      <c r="F2756" t="s">
        <v>623</v>
      </c>
      <c r="G2756">
        <v>1</v>
      </c>
      <c r="H2756">
        <v>1</v>
      </c>
      <c r="I2756">
        <v>0</v>
      </c>
      <c r="J2756">
        <v>0</v>
      </c>
      <c r="K2756" s="9">
        <v>6.5693779904306222</v>
      </c>
    </row>
    <row r="2757" spans="1:11" x14ac:dyDescent="0.45">
      <c r="A2757" t="s">
        <v>250</v>
      </c>
      <c r="B2757" t="s">
        <v>641</v>
      </c>
      <c r="C2757" t="s">
        <v>26</v>
      </c>
      <c r="D2757">
        <v>1</v>
      </c>
      <c r="E2757" t="s">
        <v>596</v>
      </c>
      <c r="F2757" t="s">
        <v>622</v>
      </c>
      <c r="G2757">
        <v>11</v>
      </c>
      <c r="H2757">
        <v>10</v>
      </c>
      <c r="I2757">
        <v>2</v>
      </c>
      <c r="J2757">
        <v>0</v>
      </c>
      <c r="K2757" s="9">
        <v>4.7179487179487181</v>
      </c>
    </row>
    <row r="2758" spans="1:11" x14ac:dyDescent="0.45">
      <c r="A2758" t="s">
        <v>250</v>
      </c>
      <c r="B2758" t="s">
        <v>641</v>
      </c>
      <c r="C2758" t="s">
        <v>26</v>
      </c>
      <c r="D2758">
        <v>2</v>
      </c>
      <c r="E2758" t="s">
        <v>454</v>
      </c>
      <c r="F2758" t="s">
        <v>622</v>
      </c>
      <c r="G2758">
        <v>26</v>
      </c>
      <c r="H2758">
        <v>17</v>
      </c>
      <c r="I2758">
        <v>1</v>
      </c>
      <c r="J2758">
        <v>2</v>
      </c>
      <c r="K2758" s="9">
        <v>4.82</v>
      </c>
    </row>
    <row r="2759" spans="1:11" x14ac:dyDescent="0.45">
      <c r="A2759" t="s">
        <v>250</v>
      </c>
      <c r="B2759" t="s">
        <v>641</v>
      </c>
      <c r="C2759" t="s">
        <v>26</v>
      </c>
      <c r="D2759">
        <v>3</v>
      </c>
      <c r="E2759" t="s">
        <v>583</v>
      </c>
      <c r="F2759" t="s">
        <v>622</v>
      </c>
      <c r="G2759">
        <v>29</v>
      </c>
      <c r="H2759">
        <v>17</v>
      </c>
      <c r="I2759">
        <v>3</v>
      </c>
      <c r="J2759">
        <v>1</v>
      </c>
      <c r="K2759" s="9">
        <v>4.82</v>
      </c>
    </row>
    <row r="2760" spans="1:11" x14ac:dyDescent="0.45">
      <c r="A2760" t="s">
        <v>250</v>
      </c>
      <c r="B2760" t="s">
        <v>641</v>
      </c>
      <c r="C2760" t="s">
        <v>26</v>
      </c>
      <c r="D2760">
        <v>4</v>
      </c>
      <c r="E2760" t="s">
        <v>384</v>
      </c>
      <c r="F2760" t="s">
        <v>622</v>
      </c>
      <c r="G2760">
        <v>10</v>
      </c>
      <c r="H2760">
        <v>12</v>
      </c>
      <c r="I2760">
        <v>0</v>
      </c>
      <c r="J2760">
        <v>1</v>
      </c>
      <c r="K2760" s="9">
        <v>4.8024691358024691</v>
      </c>
    </row>
    <row r="2761" spans="1:11" x14ac:dyDescent="0.45">
      <c r="A2761" t="s">
        <v>250</v>
      </c>
      <c r="B2761" t="s">
        <v>641</v>
      </c>
      <c r="C2761" t="s">
        <v>26</v>
      </c>
      <c r="D2761">
        <v>5</v>
      </c>
      <c r="E2761" t="s">
        <v>603</v>
      </c>
      <c r="F2761" t="s">
        <v>622</v>
      </c>
      <c r="G2761">
        <v>41</v>
      </c>
      <c r="H2761">
        <v>28</v>
      </c>
      <c r="I2761">
        <v>4</v>
      </c>
      <c r="J2761">
        <v>2</v>
      </c>
      <c r="K2761" s="9">
        <v>3.806451612903226</v>
      </c>
    </row>
    <row r="2762" spans="1:11" x14ac:dyDescent="0.45">
      <c r="A2762" t="s">
        <v>250</v>
      </c>
      <c r="B2762" t="s">
        <v>641</v>
      </c>
      <c r="C2762" t="s">
        <v>26</v>
      </c>
      <c r="D2762">
        <v>6</v>
      </c>
      <c r="E2762" t="s">
        <v>420</v>
      </c>
      <c r="F2762" t="s">
        <v>622</v>
      </c>
      <c r="G2762">
        <v>55</v>
      </c>
      <c r="H2762">
        <v>29</v>
      </c>
      <c r="I2762">
        <v>5</v>
      </c>
      <c r="J2762">
        <v>4</v>
      </c>
      <c r="K2762" s="9">
        <v>4.0454545454545459</v>
      </c>
    </row>
    <row r="2763" spans="1:11" x14ac:dyDescent="0.45">
      <c r="A2763" t="s">
        <v>250</v>
      </c>
      <c r="B2763" t="s">
        <v>641</v>
      </c>
      <c r="C2763" t="s">
        <v>26</v>
      </c>
      <c r="D2763">
        <v>7</v>
      </c>
      <c r="E2763" t="s">
        <v>495</v>
      </c>
      <c r="F2763" t="s">
        <v>622</v>
      </c>
      <c r="G2763">
        <v>25</v>
      </c>
      <c r="H2763">
        <v>7</v>
      </c>
      <c r="I2763">
        <v>0</v>
      </c>
      <c r="J2763">
        <v>4</v>
      </c>
      <c r="K2763" s="9">
        <v>4.927835051546392</v>
      </c>
    </row>
    <row r="2764" spans="1:11" x14ac:dyDescent="0.45">
      <c r="A2764" t="s">
        <v>250</v>
      </c>
      <c r="B2764" t="s">
        <v>641</v>
      </c>
      <c r="C2764" t="s">
        <v>26</v>
      </c>
      <c r="D2764">
        <v>8</v>
      </c>
      <c r="E2764" t="s">
        <v>400</v>
      </c>
      <c r="F2764" t="s">
        <v>623</v>
      </c>
      <c r="G2764">
        <v>0</v>
      </c>
      <c r="H2764">
        <v>0</v>
      </c>
      <c r="I2764">
        <v>0</v>
      </c>
      <c r="J2764">
        <v>0</v>
      </c>
      <c r="K2764" s="9">
        <v>6.2519685039370083</v>
      </c>
    </row>
    <row r="2765" spans="1:11" x14ac:dyDescent="0.45">
      <c r="A2765" t="s">
        <v>250</v>
      </c>
      <c r="B2765" t="s">
        <v>641</v>
      </c>
      <c r="C2765" t="s">
        <v>26</v>
      </c>
      <c r="D2765">
        <v>9</v>
      </c>
      <c r="E2765" t="s">
        <v>404</v>
      </c>
      <c r="F2765" t="s">
        <v>622</v>
      </c>
      <c r="G2765">
        <v>5</v>
      </c>
      <c r="H2765">
        <v>2</v>
      </c>
      <c r="I2765">
        <v>1</v>
      </c>
      <c r="J2765">
        <v>0</v>
      </c>
      <c r="K2765" s="9">
        <v>6.1385542168674698</v>
      </c>
    </row>
    <row r="2766" spans="1:11" x14ac:dyDescent="0.45">
      <c r="A2766" t="s">
        <v>250</v>
      </c>
      <c r="B2766" t="s">
        <v>641</v>
      </c>
      <c r="C2766" t="s">
        <v>19</v>
      </c>
      <c r="D2766">
        <v>1</v>
      </c>
      <c r="E2766" t="s">
        <v>359</v>
      </c>
      <c r="F2766" t="s">
        <v>622</v>
      </c>
      <c r="G2766">
        <v>44</v>
      </c>
      <c r="H2766">
        <v>27</v>
      </c>
      <c r="I2766">
        <v>4</v>
      </c>
      <c r="J2766">
        <v>3</v>
      </c>
      <c r="K2766" s="9">
        <v>4.25</v>
      </c>
    </row>
    <row r="2767" spans="1:11" x14ac:dyDescent="0.45">
      <c r="A2767" t="s">
        <v>250</v>
      </c>
      <c r="B2767" t="s">
        <v>641</v>
      </c>
      <c r="C2767" t="s">
        <v>19</v>
      </c>
      <c r="D2767">
        <v>2</v>
      </c>
      <c r="E2767" t="s">
        <v>360</v>
      </c>
      <c r="F2767" t="s">
        <v>622</v>
      </c>
      <c r="G2767">
        <v>1</v>
      </c>
      <c r="H2767">
        <v>4</v>
      </c>
      <c r="I2767">
        <v>0</v>
      </c>
      <c r="J2767">
        <v>0</v>
      </c>
      <c r="K2767" s="9">
        <v>5.352380952380952</v>
      </c>
    </row>
    <row r="2768" spans="1:11" x14ac:dyDescent="0.45">
      <c r="A2768" t="s">
        <v>250</v>
      </c>
      <c r="B2768" t="s">
        <v>641</v>
      </c>
      <c r="C2768" t="s">
        <v>19</v>
      </c>
      <c r="D2768">
        <v>3</v>
      </c>
      <c r="E2768" t="s">
        <v>560</v>
      </c>
      <c r="F2768" t="s">
        <v>622</v>
      </c>
      <c r="G2768">
        <v>67</v>
      </c>
      <c r="H2768">
        <v>43</v>
      </c>
      <c r="I2768">
        <v>6</v>
      </c>
      <c r="J2768">
        <v>3</v>
      </c>
      <c r="K2768" s="9">
        <v>2.8888888888888888</v>
      </c>
    </row>
    <row r="2769" spans="1:11" x14ac:dyDescent="0.45">
      <c r="A2769" t="s">
        <v>250</v>
      </c>
      <c r="B2769" t="s">
        <v>641</v>
      </c>
      <c r="C2769" t="s">
        <v>19</v>
      </c>
      <c r="D2769">
        <v>4</v>
      </c>
      <c r="E2769" t="s">
        <v>363</v>
      </c>
      <c r="F2769" t="s">
        <v>622</v>
      </c>
      <c r="G2769">
        <v>57</v>
      </c>
      <c r="H2769">
        <v>26</v>
      </c>
      <c r="I2769">
        <v>7</v>
      </c>
      <c r="J2769">
        <v>3</v>
      </c>
      <c r="K2769" s="9">
        <v>4.1568627450980395</v>
      </c>
    </row>
    <row r="2770" spans="1:11" x14ac:dyDescent="0.45">
      <c r="A2770" t="s">
        <v>250</v>
      </c>
      <c r="B2770" t="s">
        <v>641</v>
      </c>
      <c r="C2770" t="s">
        <v>19</v>
      </c>
      <c r="D2770">
        <v>5</v>
      </c>
      <c r="E2770" t="s">
        <v>447</v>
      </c>
      <c r="F2770" t="s">
        <v>623</v>
      </c>
      <c r="G2770">
        <v>25</v>
      </c>
      <c r="H2770">
        <v>13</v>
      </c>
      <c r="I2770">
        <v>0</v>
      </c>
      <c r="J2770">
        <v>2</v>
      </c>
      <c r="K2770" s="9">
        <v>4.8939393939393936</v>
      </c>
    </row>
    <row r="2771" spans="1:11" x14ac:dyDescent="0.45">
      <c r="A2771" t="s">
        <v>250</v>
      </c>
      <c r="B2771" t="s">
        <v>641</v>
      </c>
      <c r="C2771" t="s">
        <v>19</v>
      </c>
      <c r="D2771">
        <v>6</v>
      </c>
      <c r="E2771" t="s">
        <v>502</v>
      </c>
      <c r="F2771" t="s">
        <v>622</v>
      </c>
      <c r="G2771">
        <v>3</v>
      </c>
      <c r="H2771">
        <v>4</v>
      </c>
      <c r="I2771">
        <v>0</v>
      </c>
      <c r="J2771">
        <v>0</v>
      </c>
      <c r="K2771" s="9">
        <v>5.352380952380952</v>
      </c>
    </row>
    <row r="2772" spans="1:11" x14ac:dyDescent="0.45">
      <c r="A2772" t="s">
        <v>250</v>
      </c>
      <c r="B2772" t="s">
        <v>641</v>
      </c>
      <c r="C2772" t="s">
        <v>19</v>
      </c>
      <c r="D2772">
        <v>7</v>
      </c>
      <c r="E2772" t="s">
        <v>559</v>
      </c>
      <c r="F2772" t="s">
        <v>622</v>
      </c>
      <c r="G2772">
        <v>0</v>
      </c>
      <c r="H2772">
        <v>1</v>
      </c>
      <c r="I2772">
        <v>0</v>
      </c>
      <c r="J2772">
        <v>0</v>
      </c>
      <c r="K2772" s="9">
        <v>6.5693779904306222</v>
      </c>
    </row>
    <row r="2773" spans="1:11" x14ac:dyDescent="0.45">
      <c r="A2773" t="s">
        <v>250</v>
      </c>
      <c r="B2773" t="s">
        <v>641</v>
      </c>
      <c r="C2773" t="s">
        <v>19</v>
      </c>
      <c r="D2773">
        <v>8</v>
      </c>
      <c r="E2773" t="s">
        <v>594</v>
      </c>
      <c r="F2773" t="s">
        <v>623</v>
      </c>
      <c r="G2773">
        <v>1</v>
      </c>
      <c r="H2773">
        <v>2</v>
      </c>
      <c r="I2773">
        <v>0</v>
      </c>
      <c r="J2773">
        <v>0</v>
      </c>
      <c r="K2773" s="9">
        <v>6.1385542168674698</v>
      </c>
    </row>
    <row r="2774" spans="1:11" x14ac:dyDescent="0.45">
      <c r="A2774" t="s">
        <v>251</v>
      </c>
      <c r="B2774" t="s">
        <v>676</v>
      </c>
      <c r="C2774" t="s">
        <v>101</v>
      </c>
      <c r="D2774">
        <v>1</v>
      </c>
      <c r="E2774" t="s">
        <v>380</v>
      </c>
      <c r="F2774" t="s">
        <v>622</v>
      </c>
      <c r="G2774">
        <v>47</v>
      </c>
      <c r="H2774">
        <v>37</v>
      </c>
      <c r="I2774">
        <v>6</v>
      </c>
      <c r="J2774">
        <v>0</v>
      </c>
      <c r="K2774" s="9">
        <v>3.5555555555555554</v>
      </c>
    </row>
    <row r="2775" spans="1:11" x14ac:dyDescent="0.45">
      <c r="A2775" t="s">
        <v>251</v>
      </c>
      <c r="B2775" t="s">
        <v>676</v>
      </c>
      <c r="C2775" t="s">
        <v>101</v>
      </c>
      <c r="D2775">
        <v>2</v>
      </c>
      <c r="E2775" t="s">
        <v>302</v>
      </c>
      <c r="F2775" t="s">
        <v>622</v>
      </c>
      <c r="G2775">
        <v>0</v>
      </c>
      <c r="H2775">
        <v>2</v>
      </c>
      <c r="I2775">
        <v>0</v>
      </c>
      <c r="J2775">
        <v>0</v>
      </c>
      <c r="K2775" s="9">
        <v>6.1385542168674698</v>
      </c>
    </row>
    <row r="2776" spans="1:11" x14ac:dyDescent="0.45">
      <c r="A2776" t="s">
        <v>251</v>
      </c>
      <c r="B2776" t="s">
        <v>676</v>
      </c>
      <c r="C2776" t="s">
        <v>101</v>
      </c>
      <c r="D2776">
        <v>3</v>
      </c>
      <c r="E2776" t="s">
        <v>361</v>
      </c>
      <c r="F2776" t="s">
        <v>622</v>
      </c>
      <c r="G2776">
        <v>66</v>
      </c>
      <c r="H2776">
        <v>50</v>
      </c>
      <c r="I2776">
        <v>2</v>
      </c>
      <c r="J2776">
        <v>4</v>
      </c>
      <c r="K2776" s="9">
        <v>2.9047619047619047</v>
      </c>
    </row>
    <row r="2777" spans="1:11" x14ac:dyDescent="0.45">
      <c r="A2777" t="s">
        <v>251</v>
      </c>
      <c r="B2777" t="s">
        <v>676</v>
      </c>
      <c r="C2777" t="s">
        <v>101</v>
      </c>
      <c r="D2777">
        <v>4</v>
      </c>
      <c r="E2777" t="s">
        <v>540</v>
      </c>
      <c r="F2777" t="s">
        <v>622</v>
      </c>
      <c r="G2777">
        <v>3</v>
      </c>
      <c r="H2777">
        <v>5</v>
      </c>
      <c r="I2777">
        <v>0</v>
      </c>
      <c r="J2777">
        <v>0</v>
      </c>
      <c r="K2777" s="9">
        <v>5.132075471698113</v>
      </c>
    </row>
    <row r="2778" spans="1:11" x14ac:dyDescent="0.45">
      <c r="A2778" t="s">
        <v>251</v>
      </c>
      <c r="B2778" t="s">
        <v>676</v>
      </c>
      <c r="C2778" t="s">
        <v>101</v>
      </c>
      <c r="D2778">
        <v>5</v>
      </c>
      <c r="E2778" t="s">
        <v>460</v>
      </c>
      <c r="F2778" t="s">
        <v>622</v>
      </c>
      <c r="G2778">
        <v>10</v>
      </c>
      <c r="H2778">
        <v>12</v>
      </c>
      <c r="I2778">
        <v>1</v>
      </c>
      <c r="J2778">
        <v>0</v>
      </c>
      <c r="K2778" s="9">
        <v>4.8024691358024691</v>
      </c>
    </row>
    <row r="2779" spans="1:11" x14ac:dyDescent="0.45">
      <c r="A2779" t="s">
        <v>251</v>
      </c>
      <c r="B2779" t="s">
        <v>676</v>
      </c>
      <c r="C2779" t="s">
        <v>101</v>
      </c>
      <c r="D2779">
        <v>6</v>
      </c>
      <c r="E2779" t="s">
        <v>411</v>
      </c>
      <c r="F2779" t="s">
        <v>622</v>
      </c>
      <c r="G2779">
        <v>6</v>
      </c>
      <c r="H2779">
        <v>12</v>
      </c>
      <c r="I2779">
        <v>0</v>
      </c>
      <c r="J2779">
        <v>0</v>
      </c>
      <c r="K2779" s="9">
        <v>4.8024691358024691</v>
      </c>
    </row>
    <row r="2780" spans="1:11" x14ac:dyDescent="0.45">
      <c r="A2780" t="s">
        <v>251</v>
      </c>
      <c r="B2780" t="s">
        <v>676</v>
      </c>
      <c r="C2780" t="s">
        <v>101</v>
      </c>
      <c r="D2780">
        <v>7</v>
      </c>
      <c r="E2780" t="s">
        <v>390</v>
      </c>
      <c r="F2780" t="s">
        <v>623</v>
      </c>
      <c r="G2780">
        <v>2</v>
      </c>
      <c r="H2780">
        <v>2</v>
      </c>
      <c r="I2780">
        <v>0</v>
      </c>
      <c r="J2780">
        <v>0</v>
      </c>
      <c r="K2780" s="9">
        <v>6.1385542168674698</v>
      </c>
    </row>
    <row r="2781" spans="1:11" x14ac:dyDescent="0.45">
      <c r="A2781" t="s">
        <v>251</v>
      </c>
      <c r="B2781" t="s">
        <v>676</v>
      </c>
      <c r="C2781" t="s">
        <v>104</v>
      </c>
      <c r="D2781">
        <v>1</v>
      </c>
      <c r="E2781" t="s">
        <v>397</v>
      </c>
      <c r="F2781" t="s">
        <v>622</v>
      </c>
      <c r="G2781">
        <v>68</v>
      </c>
      <c r="H2781">
        <v>61</v>
      </c>
      <c r="I2781">
        <v>8</v>
      </c>
      <c r="J2781">
        <v>0</v>
      </c>
      <c r="K2781" s="9">
        <v>2.6363636363636362</v>
      </c>
    </row>
    <row r="2782" spans="1:11" x14ac:dyDescent="0.45">
      <c r="A2782" t="s">
        <v>251</v>
      </c>
      <c r="B2782" t="s">
        <v>676</v>
      </c>
      <c r="C2782" t="s">
        <v>104</v>
      </c>
      <c r="D2782">
        <v>2</v>
      </c>
      <c r="E2782" t="s">
        <v>564</v>
      </c>
      <c r="F2782" t="s">
        <v>622</v>
      </c>
      <c r="G2782">
        <v>24</v>
      </c>
      <c r="H2782">
        <v>19</v>
      </c>
      <c r="I2782">
        <v>2</v>
      </c>
      <c r="J2782">
        <v>1</v>
      </c>
      <c r="K2782" s="9">
        <v>4.5660377358490569</v>
      </c>
    </row>
    <row r="2783" spans="1:11" x14ac:dyDescent="0.45">
      <c r="A2783" t="s">
        <v>251</v>
      </c>
      <c r="B2783" t="s">
        <v>676</v>
      </c>
      <c r="C2783" t="s">
        <v>104</v>
      </c>
      <c r="D2783">
        <v>3</v>
      </c>
      <c r="E2783" t="s">
        <v>366</v>
      </c>
      <c r="F2783" t="s">
        <v>622</v>
      </c>
      <c r="G2783">
        <v>23</v>
      </c>
      <c r="H2783">
        <v>23</v>
      </c>
      <c r="I2783">
        <v>2</v>
      </c>
      <c r="J2783">
        <v>1</v>
      </c>
      <c r="K2783" s="9">
        <v>5.1142857142857139</v>
      </c>
    </row>
    <row r="2784" spans="1:11" x14ac:dyDescent="0.45">
      <c r="A2784" t="s">
        <v>251</v>
      </c>
      <c r="B2784" t="s">
        <v>676</v>
      </c>
      <c r="C2784" t="s">
        <v>104</v>
      </c>
      <c r="D2784">
        <v>4</v>
      </c>
      <c r="E2784" t="s">
        <v>416</v>
      </c>
      <c r="F2784" t="s">
        <v>622</v>
      </c>
      <c r="G2784">
        <v>1</v>
      </c>
      <c r="H2784">
        <v>7</v>
      </c>
      <c r="I2784">
        <v>0</v>
      </c>
      <c r="J2784">
        <v>0</v>
      </c>
      <c r="K2784" s="9">
        <v>4.927835051546392</v>
      </c>
    </row>
    <row r="2785" spans="1:11" x14ac:dyDescent="0.45">
      <c r="A2785" t="s">
        <v>251</v>
      </c>
      <c r="B2785" t="s">
        <v>676</v>
      </c>
      <c r="C2785" t="s">
        <v>104</v>
      </c>
      <c r="D2785">
        <v>5</v>
      </c>
      <c r="E2785" t="s">
        <v>521</v>
      </c>
      <c r="F2785" t="s">
        <v>622</v>
      </c>
      <c r="G2785">
        <v>8</v>
      </c>
      <c r="H2785">
        <v>6</v>
      </c>
      <c r="I2785">
        <v>0</v>
      </c>
      <c r="J2785">
        <v>0</v>
      </c>
      <c r="K2785" s="9">
        <v>5.4565217391304346</v>
      </c>
    </row>
    <row r="2786" spans="1:11" x14ac:dyDescent="0.45">
      <c r="A2786" t="s">
        <v>251</v>
      </c>
      <c r="B2786" t="s">
        <v>676</v>
      </c>
      <c r="C2786" t="s">
        <v>104</v>
      </c>
      <c r="D2786">
        <v>6</v>
      </c>
      <c r="E2786" t="s">
        <v>331</v>
      </c>
      <c r="F2786" t="s">
        <v>622</v>
      </c>
      <c r="G2786">
        <v>0</v>
      </c>
      <c r="H2786">
        <v>1</v>
      </c>
      <c r="I2786">
        <v>0</v>
      </c>
      <c r="J2786">
        <v>0</v>
      </c>
      <c r="K2786" s="9">
        <v>6.5693779904306222</v>
      </c>
    </row>
    <row r="2787" spans="1:11" x14ac:dyDescent="0.45">
      <c r="A2787" t="s">
        <v>251</v>
      </c>
      <c r="B2787" t="s">
        <v>676</v>
      </c>
      <c r="C2787" t="s">
        <v>104</v>
      </c>
      <c r="D2787">
        <v>7</v>
      </c>
      <c r="E2787" t="s">
        <v>426</v>
      </c>
      <c r="F2787" t="s">
        <v>622</v>
      </c>
      <c r="G2787">
        <v>2</v>
      </c>
      <c r="H2787">
        <v>2</v>
      </c>
      <c r="I2787">
        <v>0</v>
      </c>
      <c r="J2787">
        <v>0</v>
      </c>
      <c r="K2787" s="9">
        <v>6.1385542168674698</v>
      </c>
    </row>
    <row r="2788" spans="1:11" x14ac:dyDescent="0.45">
      <c r="A2788" t="s">
        <v>251</v>
      </c>
      <c r="B2788" t="s">
        <v>676</v>
      </c>
      <c r="C2788" t="s">
        <v>104</v>
      </c>
      <c r="D2788">
        <v>8</v>
      </c>
      <c r="E2788" t="s">
        <v>496</v>
      </c>
      <c r="F2788" t="s">
        <v>623</v>
      </c>
      <c r="G2788">
        <v>0</v>
      </c>
      <c r="H2788">
        <v>0</v>
      </c>
      <c r="I2788">
        <v>0</v>
      </c>
      <c r="J2788">
        <v>0</v>
      </c>
      <c r="K2788" s="9">
        <v>6.2519685039370083</v>
      </c>
    </row>
    <row r="2789" spans="1:11" x14ac:dyDescent="0.45">
      <c r="A2789" t="s">
        <v>251</v>
      </c>
      <c r="B2789" t="s">
        <v>676</v>
      </c>
      <c r="C2789" t="s">
        <v>104</v>
      </c>
      <c r="D2789">
        <v>9</v>
      </c>
      <c r="E2789" t="s">
        <v>407</v>
      </c>
      <c r="F2789" t="s">
        <v>623</v>
      </c>
      <c r="G2789">
        <v>0</v>
      </c>
      <c r="H2789">
        <v>1</v>
      </c>
      <c r="I2789">
        <v>0</v>
      </c>
      <c r="J2789">
        <v>0</v>
      </c>
      <c r="K2789" s="9">
        <v>6.5693779904306222</v>
      </c>
    </row>
    <row r="2790" spans="1:11" x14ac:dyDescent="0.45">
      <c r="A2790" t="s">
        <v>252</v>
      </c>
      <c r="B2790" t="s">
        <v>639</v>
      </c>
      <c r="C2790" t="s">
        <v>20</v>
      </c>
      <c r="D2790">
        <v>1</v>
      </c>
      <c r="E2790" t="s">
        <v>574</v>
      </c>
      <c r="F2790" t="s">
        <v>622</v>
      </c>
      <c r="G2790">
        <v>18</v>
      </c>
      <c r="H2790">
        <v>13</v>
      </c>
      <c r="I2790">
        <v>3</v>
      </c>
      <c r="J2790">
        <v>0</v>
      </c>
      <c r="K2790" s="9">
        <v>4.8939393939393936</v>
      </c>
    </row>
    <row r="2791" spans="1:11" x14ac:dyDescent="0.45">
      <c r="A2791" t="s">
        <v>252</v>
      </c>
      <c r="B2791" t="s">
        <v>639</v>
      </c>
      <c r="C2791" t="s">
        <v>20</v>
      </c>
      <c r="D2791">
        <v>2</v>
      </c>
      <c r="E2791" t="s">
        <v>373</v>
      </c>
      <c r="F2791" t="s">
        <v>622</v>
      </c>
      <c r="G2791">
        <v>34</v>
      </c>
      <c r="H2791">
        <v>26</v>
      </c>
      <c r="I2791">
        <v>3</v>
      </c>
      <c r="J2791">
        <v>1</v>
      </c>
      <c r="K2791" s="9">
        <v>4.1568627450980395</v>
      </c>
    </row>
    <row r="2792" spans="1:11" x14ac:dyDescent="0.45">
      <c r="A2792" t="s">
        <v>252</v>
      </c>
      <c r="B2792" t="s">
        <v>639</v>
      </c>
      <c r="C2792" t="s">
        <v>20</v>
      </c>
      <c r="D2792">
        <v>3</v>
      </c>
      <c r="E2792" t="s">
        <v>315</v>
      </c>
      <c r="F2792" t="s">
        <v>622</v>
      </c>
      <c r="G2792">
        <v>21</v>
      </c>
      <c r="H2792">
        <v>21</v>
      </c>
      <c r="I2792">
        <v>1</v>
      </c>
      <c r="J2792">
        <v>1</v>
      </c>
      <c r="K2792" s="9">
        <v>4.3770491803278686</v>
      </c>
    </row>
    <row r="2793" spans="1:11" x14ac:dyDescent="0.45">
      <c r="A2793" t="s">
        <v>252</v>
      </c>
      <c r="B2793" t="s">
        <v>639</v>
      </c>
      <c r="C2793" t="s">
        <v>20</v>
      </c>
      <c r="D2793">
        <v>4</v>
      </c>
      <c r="E2793" t="s">
        <v>401</v>
      </c>
      <c r="F2793" t="s">
        <v>622</v>
      </c>
      <c r="G2793">
        <v>12</v>
      </c>
      <c r="H2793">
        <v>12</v>
      </c>
      <c r="I2793">
        <v>1</v>
      </c>
      <c r="J2793">
        <v>0</v>
      </c>
      <c r="K2793" s="9">
        <v>4.8024691358024691</v>
      </c>
    </row>
    <row r="2794" spans="1:11" x14ac:dyDescent="0.45">
      <c r="A2794" t="s">
        <v>252</v>
      </c>
      <c r="B2794" t="s">
        <v>639</v>
      </c>
      <c r="C2794" t="s">
        <v>20</v>
      </c>
      <c r="D2794">
        <v>5</v>
      </c>
      <c r="E2794" t="s">
        <v>573</v>
      </c>
      <c r="F2794" t="s">
        <v>622</v>
      </c>
      <c r="G2794">
        <v>17</v>
      </c>
      <c r="H2794">
        <v>16</v>
      </c>
      <c r="I2794">
        <v>1</v>
      </c>
      <c r="J2794">
        <v>0</v>
      </c>
      <c r="K2794" s="9">
        <v>4.7608695652173916</v>
      </c>
    </row>
    <row r="2795" spans="1:11" x14ac:dyDescent="0.45">
      <c r="A2795" t="s">
        <v>252</v>
      </c>
      <c r="B2795" t="s">
        <v>639</v>
      </c>
      <c r="C2795" t="s">
        <v>20</v>
      </c>
      <c r="D2795">
        <v>6</v>
      </c>
      <c r="E2795" t="s">
        <v>398</v>
      </c>
      <c r="F2795" t="s">
        <v>622</v>
      </c>
      <c r="G2795">
        <v>2</v>
      </c>
      <c r="H2795">
        <v>4</v>
      </c>
      <c r="I2795">
        <v>0</v>
      </c>
      <c r="J2795">
        <v>0</v>
      </c>
      <c r="K2795" s="9">
        <v>5.352380952380952</v>
      </c>
    </row>
    <row r="2796" spans="1:11" x14ac:dyDescent="0.45">
      <c r="A2796" t="s">
        <v>252</v>
      </c>
      <c r="B2796" t="s">
        <v>639</v>
      </c>
      <c r="C2796" t="s">
        <v>20</v>
      </c>
      <c r="D2796">
        <v>7</v>
      </c>
      <c r="E2796" t="s">
        <v>484</v>
      </c>
      <c r="F2796" t="s">
        <v>623</v>
      </c>
      <c r="G2796">
        <v>17</v>
      </c>
      <c r="H2796">
        <v>22</v>
      </c>
      <c r="I2796">
        <v>1</v>
      </c>
      <c r="J2796">
        <v>0</v>
      </c>
      <c r="K2796" s="9">
        <v>4.4423076923076925</v>
      </c>
    </row>
    <row r="2797" spans="1:11" x14ac:dyDescent="0.45">
      <c r="A2797" t="s">
        <v>252</v>
      </c>
      <c r="B2797" t="s">
        <v>639</v>
      </c>
      <c r="C2797" t="s">
        <v>20</v>
      </c>
      <c r="D2797">
        <v>8</v>
      </c>
      <c r="E2797" t="s">
        <v>467</v>
      </c>
      <c r="F2797" t="s">
        <v>622</v>
      </c>
      <c r="G2797">
        <v>9</v>
      </c>
      <c r="H2797">
        <v>6</v>
      </c>
      <c r="I2797">
        <v>1</v>
      </c>
      <c r="J2797">
        <v>0</v>
      </c>
      <c r="K2797" s="9">
        <v>5.4565217391304346</v>
      </c>
    </row>
    <row r="2798" spans="1:11" x14ac:dyDescent="0.45">
      <c r="A2798" t="s">
        <v>252</v>
      </c>
      <c r="B2798" t="s">
        <v>639</v>
      </c>
      <c r="C2798" t="s">
        <v>6</v>
      </c>
      <c r="D2798">
        <v>1</v>
      </c>
      <c r="E2798" t="s">
        <v>290</v>
      </c>
      <c r="F2798" t="s">
        <v>622</v>
      </c>
      <c r="G2798">
        <v>35</v>
      </c>
      <c r="H2798">
        <v>30</v>
      </c>
      <c r="I2798">
        <v>2</v>
      </c>
      <c r="J2798">
        <v>0</v>
      </c>
      <c r="K2798" s="9">
        <v>3.6774193548387095</v>
      </c>
    </row>
    <row r="2799" spans="1:11" x14ac:dyDescent="0.45">
      <c r="A2799" t="s">
        <v>252</v>
      </c>
      <c r="B2799" t="s">
        <v>639</v>
      </c>
      <c r="C2799" t="s">
        <v>6</v>
      </c>
      <c r="D2799">
        <v>2</v>
      </c>
      <c r="E2799" t="s">
        <v>505</v>
      </c>
      <c r="F2799" t="s">
        <v>623</v>
      </c>
      <c r="G2799">
        <v>77</v>
      </c>
      <c r="H2799">
        <v>57</v>
      </c>
      <c r="I2799">
        <v>12</v>
      </c>
      <c r="J2799">
        <v>1</v>
      </c>
      <c r="K2799" s="9">
        <v>2.8823529411764706</v>
      </c>
    </row>
    <row r="2800" spans="1:11" x14ac:dyDescent="0.45">
      <c r="A2800" t="s">
        <v>252</v>
      </c>
      <c r="B2800" t="s">
        <v>639</v>
      </c>
      <c r="C2800" t="s">
        <v>6</v>
      </c>
      <c r="D2800">
        <v>3</v>
      </c>
      <c r="E2800" t="s">
        <v>481</v>
      </c>
      <c r="F2800" t="s">
        <v>622</v>
      </c>
      <c r="G2800">
        <v>9</v>
      </c>
      <c r="H2800">
        <v>10</v>
      </c>
      <c r="I2800">
        <v>0</v>
      </c>
      <c r="J2800">
        <v>0</v>
      </c>
      <c r="K2800" s="9">
        <v>4.7179487179487181</v>
      </c>
    </row>
    <row r="2801" spans="1:11" x14ac:dyDescent="0.45">
      <c r="A2801" t="s">
        <v>252</v>
      </c>
      <c r="B2801" t="s">
        <v>639</v>
      </c>
      <c r="C2801" t="s">
        <v>6</v>
      </c>
      <c r="D2801">
        <v>4</v>
      </c>
      <c r="E2801" t="s">
        <v>355</v>
      </c>
      <c r="F2801" t="s">
        <v>622</v>
      </c>
      <c r="G2801">
        <v>9</v>
      </c>
      <c r="H2801">
        <v>9</v>
      </c>
      <c r="I2801">
        <v>1</v>
      </c>
      <c r="J2801">
        <v>0</v>
      </c>
      <c r="K2801" s="9">
        <v>4.924050632911392</v>
      </c>
    </row>
    <row r="2802" spans="1:11" x14ac:dyDescent="0.45">
      <c r="A2802" t="s">
        <v>252</v>
      </c>
      <c r="B2802" t="s">
        <v>639</v>
      </c>
      <c r="C2802" t="s">
        <v>6</v>
      </c>
      <c r="D2802">
        <v>5</v>
      </c>
      <c r="E2802" t="s">
        <v>299</v>
      </c>
      <c r="F2802" t="s">
        <v>623</v>
      </c>
      <c r="G2802">
        <v>6</v>
      </c>
      <c r="H2802">
        <v>6</v>
      </c>
      <c r="I2802">
        <v>1</v>
      </c>
      <c r="J2802">
        <v>0</v>
      </c>
      <c r="K2802" s="9">
        <v>5.4565217391304346</v>
      </c>
    </row>
    <row r="2803" spans="1:11" x14ac:dyDescent="0.45">
      <c r="A2803" t="s">
        <v>253</v>
      </c>
      <c r="B2803" t="s">
        <v>654</v>
      </c>
      <c r="C2803" t="s">
        <v>7</v>
      </c>
      <c r="D2803">
        <v>1</v>
      </c>
      <c r="E2803" t="s">
        <v>372</v>
      </c>
      <c r="F2803" t="s">
        <v>622</v>
      </c>
      <c r="G2803">
        <v>43</v>
      </c>
      <c r="H2803">
        <v>39</v>
      </c>
      <c r="I2803">
        <v>5</v>
      </c>
      <c r="J2803">
        <v>1</v>
      </c>
      <c r="K2803" s="9">
        <v>2.7083333333333335</v>
      </c>
    </row>
    <row r="2804" spans="1:11" x14ac:dyDescent="0.45">
      <c r="A2804" t="s">
        <v>253</v>
      </c>
      <c r="B2804" t="s">
        <v>654</v>
      </c>
      <c r="C2804" t="s">
        <v>7</v>
      </c>
      <c r="D2804">
        <v>2</v>
      </c>
      <c r="E2804" t="s">
        <v>604</v>
      </c>
      <c r="F2804" t="s">
        <v>622</v>
      </c>
      <c r="G2804">
        <v>4</v>
      </c>
      <c r="H2804">
        <v>4</v>
      </c>
      <c r="I2804">
        <v>1</v>
      </c>
      <c r="J2804">
        <v>0</v>
      </c>
      <c r="K2804" s="9">
        <v>5.352380952380952</v>
      </c>
    </row>
    <row r="2805" spans="1:11" x14ac:dyDescent="0.45">
      <c r="A2805" t="s">
        <v>253</v>
      </c>
      <c r="B2805" t="s">
        <v>654</v>
      </c>
      <c r="C2805" t="s">
        <v>7</v>
      </c>
      <c r="D2805">
        <v>3</v>
      </c>
      <c r="E2805" t="s">
        <v>304</v>
      </c>
      <c r="F2805" t="s">
        <v>622</v>
      </c>
      <c r="G2805">
        <v>0</v>
      </c>
      <c r="H2805">
        <v>2</v>
      </c>
      <c r="I2805">
        <v>0</v>
      </c>
      <c r="J2805">
        <v>0</v>
      </c>
      <c r="K2805" s="9">
        <v>6.1385542168674698</v>
      </c>
    </row>
    <row r="2806" spans="1:11" x14ac:dyDescent="0.45">
      <c r="A2806" t="s">
        <v>253</v>
      </c>
      <c r="B2806" t="s">
        <v>654</v>
      </c>
      <c r="C2806" t="s">
        <v>7</v>
      </c>
      <c r="D2806">
        <v>4</v>
      </c>
      <c r="E2806" t="s">
        <v>306</v>
      </c>
      <c r="F2806" t="s">
        <v>622</v>
      </c>
      <c r="G2806">
        <v>4</v>
      </c>
      <c r="H2806">
        <v>7</v>
      </c>
      <c r="I2806">
        <v>1</v>
      </c>
      <c r="J2806">
        <v>0</v>
      </c>
      <c r="K2806" s="9">
        <v>4.927835051546392</v>
      </c>
    </row>
    <row r="2807" spans="1:11" x14ac:dyDescent="0.45">
      <c r="A2807" t="s">
        <v>253</v>
      </c>
      <c r="B2807" t="s">
        <v>654</v>
      </c>
      <c r="C2807" t="s">
        <v>7</v>
      </c>
      <c r="D2807">
        <v>5</v>
      </c>
      <c r="E2807" t="s">
        <v>433</v>
      </c>
      <c r="F2807" t="s">
        <v>622</v>
      </c>
      <c r="G2807">
        <v>12</v>
      </c>
      <c r="H2807">
        <v>11</v>
      </c>
      <c r="I2807">
        <v>0</v>
      </c>
      <c r="J2807">
        <v>1</v>
      </c>
      <c r="K2807" s="9">
        <v>4.9649122807017543</v>
      </c>
    </row>
    <row r="2808" spans="1:11" x14ac:dyDescent="0.45">
      <c r="A2808" t="s">
        <v>253</v>
      </c>
      <c r="B2808" t="s">
        <v>654</v>
      </c>
      <c r="C2808" t="s">
        <v>7</v>
      </c>
      <c r="D2808">
        <v>6</v>
      </c>
      <c r="E2808" t="s">
        <v>514</v>
      </c>
      <c r="F2808" t="s">
        <v>622</v>
      </c>
      <c r="G2808">
        <v>6</v>
      </c>
      <c r="H2808">
        <v>8</v>
      </c>
      <c r="I2808">
        <v>1</v>
      </c>
      <c r="J2808">
        <v>0</v>
      </c>
      <c r="K2808" s="9">
        <v>4.9029126213592233</v>
      </c>
    </row>
    <row r="2809" spans="1:11" x14ac:dyDescent="0.45">
      <c r="A2809" t="s">
        <v>253</v>
      </c>
      <c r="B2809" t="s">
        <v>654</v>
      </c>
      <c r="C2809" t="s">
        <v>7</v>
      </c>
      <c r="D2809">
        <v>7</v>
      </c>
      <c r="E2809" t="s">
        <v>308</v>
      </c>
      <c r="F2809" t="s">
        <v>622</v>
      </c>
      <c r="G2809">
        <v>4</v>
      </c>
      <c r="H2809">
        <v>6</v>
      </c>
      <c r="I2809">
        <v>1</v>
      </c>
      <c r="J2809">
        <v>0</v>
      </c>
      <c r="K2809" s="9">
        <v>5.4565217391304346</v>
      </c>
    </row>
    <row r="2810" spans="1:11" x14ac:dyDescent="0.45">
      <c r="A2810" t="s">
        <v>253</v>
      </c>
      <c r="B2810" t="s">
        <v>654</v>
      </c>
      <c r="C2810" t="s">
        <v>7</v>
      </c>
      <c r="D2810">
        <v>8</v>
      </c>
      <c r="E2810" t="s">
        <v>440</v>
      </c>
      <c r="F2810" t="s">
        <v>623</v>
      </c>
      <c r="G2810">
        <v>38</v>
      </c>
      <c r="H2810">
        <v>31</v>
      </c>
      <c r="I2810">
        <v>1</v>
      </c>
      <c r="J2810">
        <v>4</v>
      </c>
      <c r="K2810" s="9">
        <v>3.4375</v>
      </c>
    </row>
    <row r="2811" spans="1:11" x14ac:dyDescent="0.45">
      <c r="A2811" t="s">
        <v>253</v>
      </c>
      <c r="B2811" t="s">
        <v>654</v>
      </c>
      <c r="C2811" t="s">
        <v>7</v>
      </c>
      <c r="D2811">
        <v>9</v>
      </c>
      <c r="E2811" t="s">
        <v>532</v>
      </c>
      <c r="F2811" t="s">
        <v>622</v>
      </c>
      <c r="G2811">
        <v>0</v>
      </c>
      <c r="H2811">
        <v>1</v>
      </c>
      <c r="I2811">
        <v>0</v>
      </c>
      <c r="J2811">
        <v>0</v>
      </c>
      <c r="K2811" s="9">
        <v>6.5693779904306222</v>
      </c>
    </row>
    <row r="2812" spans="1:11" x14ac:dyDescent="0.45">
      <c r="A2812" t="s">
        <v>253</v>
      </c>
      <c r="B2812" t="s">
        <v>654</v>
      </c>
      <c r="C2812" t="s">
        <v>7</v>
      </c>
      <c r="D2812">
        <v>10</v>
      </c>
      <c r="E2812" t="s">
        <v>515</v>
      </c>
      <c r="F2812" t="s">
        <v>622</v>
      </c>
      <c r="G2812">
        <v>3</v>
      </c>
      <c r="H2812">
        <v>5</v>
      </c>
      <c r="I2812">
        <v>0</v>
      </c>
      <c r="J2812">
        <v>0</v>
      </c>
      <c r="K2812" s="9">
        <v>5.132075471698113</v>
      </c>
    </row>
    <row r="2813" spans="1:11" x14ac:dyDescent="0.45">
      <c r="A2813" t="s">
        <v>253</v>
      </c>
      <c r="B2813" t="s">
        <v>654</v>
      </c>
      <c r="C2813" t="s">
        <v>7</v>
      </c>
      <c r="D2813">
        <v>11</v>
      </c>
      <c r="E2813" t="s">
        <v>322</v>
      </c>
      <c r="F2813" t="s">
        <v>622</v>
      </c>
      <c r="G2813">
        <v>1</v>
      </c>
      <c r="H2813">
        <v>6</v>
      </c>
      <c r="I2813">
        <v>0</v>
      </c>
      <c r="J2813">
        <v>0</v>
      </c>
      <c r="K2813" s="9">
        <v>5.4565217391304346</v>
      </c>
    </row>
    <row r="2814" spans="1:11" x14ac:dyDescent="0.45">
      <c r="A2814" t="s">
        <v>253</v>
      </c>
      <c r="B2814" t="s">
        <v>654</v>
      </c>
      <c r="C2814" t="s">
        <v>10</v>
      </c>
      <c r="D2814">
        <v>1</v>
      </c>
      <c r="E2814" t="s">
        <v>442</v>
      </c>
      <c r="F2814" t="s">
        <v>622</v>
      </c>
      <c r="G2814">
        <v>57</v>
      </c>
      <c r="H2814">
        <v>41</v>
      </c>
      <c r="I2814">
        <v>11</v>
      </c>
      <c r="J2814">
        <v>0</v>
      </c>
      <c r="K2814" s="9">
        <v>3.0909090909090908</v>
      </c>
    </row>
    <row r="2815" spans="1:11" x14ac:dyDescent="0.45">
      <c r="A2815" t="s">
        <v>253</v>
      </c>
      <c r="B2815" t="s">
        <v>654</v>
      </c>
      <c r="C2815" t="s">
        <v>10</v>
      </c>
      <c r="D2815">
        <v>2</v>
      </c>
      <c r="E2815" t="s">
        <v>329</v>
      </c>
      <c r="F2815" t="s">
        <v>622</v>
      </c>
      <c r="G2815">
        <v>13</v>
      </c>
      <c r="H2815">
        <v>11</v>
      </c>
      <c r="I2815">
        <v>2</v>
      </c>
      <c r="J2815">
        <v>0</v>
      </c>
      <c r="K2815" s="9">
        <v>4.9649122807017543</v>
      </c>
    </row>
    <row r="2816" spans="1:11" x14ac:dyDescent="0.45">
      <c r="A2816" t="s">
        <v>253</v>
      </c>
      <c r="B2816" t="s">
        <v>654</v>
      </c>
      <c r="C2816" t="s">
        <v>10</v>
      </c>
      <c r="D2816">
        <v>3</v>
      </c>
      <c r="E2816" t="s">
        <v>498</v>
      </c>
      <c r="F2816" t="s">
        <v>622</v>
      </c>
      <c r="G2816">
        <v>2</v>
      </c>
      <c r="H2816">
        <v>9</v>
      </c>
      <c r="I2816">
        <v>0</v>
      </c>
      <c r="J2816">
        <v>0</v>
      </c>
      <c r="K2816" s="9">
        <v>4.924050632911392</v>
      </c>
    </row>
    <row r="2817" spans="1:11" x14ac:dyDescent="0.45">
      <c r="A2817" t="s">
        <v>253</v>
      </c>
      <c r="B2817" t="s">
        <v>654</v>
      </c>
      <c r="C2817" t="s">
        <v>10</v>
      </c>
      <c r="D2817">
        <v>4</v>
      </c>
      <c r="E2817" t="s">
        <v>580</v>
      </c>
      <c r="F2817" t="s">
        <v>622</v>
      </c>
      <c r="G2817">
        <v>5</v>
      </c>
      <c r="H2817">
        <v>3</v>
      </c>
      <c r="I2817">
        <v>1</v>
      </c>
      <c r="J2817">
        <v>0</v>
      </c>
      <c r="K2817" s="9">
        <v>5.6607142857142856</v>
      </c>
    </row>
    <row r="2818" spans="1:11" x14ac:dyDescent="0.45">
      <c r="A2818" t="s">
        <v>253</v>
      </c>
      <c r="B2818" t="s">
        <v>654</v>
      </c>
      <c r="C2818" t="s">
        <v>10</v>
      </c>
      <c r="D2818">
        <v>5</v>
      </c>
      <c r="E2818" t="s">
        <v>374</v>
      </c>
      <c r="F2818" t="s">
        <v>622</v>
      </c>
      <c r="G2818">
        <v>21</v>
      </c>
      <c r="H2818">
        <v>23</v>
      </c>
      <c r="I2818">
        <v>2</v>
      </c>
      <c r="J2818">
        <v>0</v>
      </c>
      <c r="K2818" s="9">
        <v>5.1142857142857139</v>
      </c>
    </row>
    <row r="2819" spans="1:11" x14ac:dyDescent="0.45">
      <c r="A2819" t="s">
        <v>253</v>
      </c>
      <c r="B2819" t="s">
        <v>654</v>
      </c>
      <c r="C2819" t="s">
        <v>10</v>
      </c>
      <c r="D2819">
        <v>6</v>
      </c>
      <c r="E2819" t="s">
        <v>337</v>
      </c>
      <c r="F2819" t="s">
        <v>623</v>
      </c>
      <c r="G2819">
        <v>19</v>
      </c>
      <c r="H2819">
        <v>22</v>
      </c>
      <c r="I2819">
        <v>1</v>
      </c>
      <c r="J2819">
        <v>0</v>
      </c>
      <c r="K2819" s="9">
        <v>4.4423076923076925</v>
      </c>
    </row>
    <row r="2820" spans="1:11" x14ac:dyDescent="0.45">
      <c r="A2820" t="s">
        <v>253</v>
      </c>
      <c r="B2820" t="s">
        <v>654</v>
      </c>
      <c r="C2820" t="s">
        <v>10</v>
      </c>
      <c r="D2820">
        <v>7</v>
      </c>
      <c r="E2820" t="s">
        <v>545</v>
      </c>
      <c r="F2820" t="s">
        <v>622</v>
      </c>
      <c r="G2820">
        <v>0</v>
      </c>
      <c r="H2820">
        <v>2</v>
      </c>
      <c r="I2820">
        <v>0</v>
      </c>
      <c r="J2820">
        <v>0</v>
      </c>
      <c r="K2820" s="9">
        <v>6.1385542168674698</v>
      </c>
    </row>
    <row r="2821" spans="1:11" x14ac:dyDescent="0.45">
      <c r="A2821" t="s">
        <v>253</v>
      </c>
      <c r="B2821" t="s">
        <v>654</v>
      </c>
      <c r="C2821" t="s">
        <v>10</v>
      </c>
      <c r="D2821">
        <v>8</v>
      </c>
      <c r="E2821" t="s">
        <v>436</v>
      </c>
      <c r="F2821" t="s">
        <v>623</v>
      </c>
      <c r="G2821">
        <v>4</v>
      </c>
      <c r="H2821">
        <v>7</v>
      </c>
      <c r="I2821">
        <v>0</v>
      </c>
      <c r="J2821">
        <v>0</v>
      </c>
      <c r="K2821" s="9">
        <v>4.927835051546392</v>
      </c>
    </row>
    <row r="2822" spans="1:11" x14ac:dyDescent="0.45">
      <c r="A2822" t="s">
        <v>254</v>
      </c>
      <c r="B2822" t="s">
        <v>635</v>
      </c>
      <c r="C2822" t="s">
        <v>13</v>
      </c>
      <c r="D2822">
        <v>1</v>
      </c>
      <c r="E2822" t="s">
        <v>343</v>
      </c>
      <c r="F2822" t="s">
        <v>622</v>
      </c>
      <c r="G2822">
        <v>59</v>
      </c>
      <c r="H2822">
        <v>47</v>
      </c>
      <c r="I2822">
        <v>5</v>
      </c>
      <c r="J2822">
        <v>1</v>
      </c>
      <c r="K2822" s="9">
        <v>3</v>
      </c>
    </row>
    <row r="2823" spans="1:11" x14ac:dyDescent="0.45">
      <c r="A2823" t="s">
        <v>254</v>
      </c>
      <c r="B2823" t="s">
        <v>635</v>
      </c>
      <c r="C2823" t="s">
        <v>13</v>
      </c>
      <c r="D2823">
        <v>2</v>
      </c>
      <c r="E2823" t="s">
        <v>294</v>
      </c>
      <c r="F2823" t="s">
        <v>622</v>
      </c>
      <c r="G2823">
        <v>84</v>
      </c>
      <c r="H2823">
        <v>56</v>
      </c>
      <c r="I2823">
        <v>5</v>
      </c>
      <c r="J2823">
        <v>5</v>
      </c>
      <c r="K2823" s="9">
        <v>3</v>
      </c>
    </row>
    <row r="2824" spans="1:11" x14ac:dyDescent="0.45">
      <c r="A2824" t="s">
        <v>254</v>
      </c>
      <c r="B2824" t="s">
        <v>635</v>
      </c>
      <c r="C2824" t="s">
        <v>13</v>
      </c>
      <c r="D2824">
        <v>3</v>
      </c>
      <c r="E2824" t="s">
        <v>345</v>
      </c>
      <c r="F2824" t="s">
        <v>622</v>
      </c>
      <c r="G2824">
        <v>0</v>
      </c>
      <c r="H2824">
        <v>1</v>
      </c>
      <c r="I2824">
        <v>0</v>
      </c>
      <c r="J2824">
        <v>0</v>
      </c>
      <c r="K2824" s="9">
        <v>6.5693779904306222</v>
      </c>
    </row>
    <row r="2825" spans="1:11" x14ac:dyDescent="0.45">
      <c r="A2825" t="s">
        <v>254</v>
      </c>
      <c r="B2825" t="s">
        <v>635</v>
      </c>
      <c r="C2825" t="s">
        <v>13</v>
      </c>
      <c r="D2825">
        <v>4</v>
      </c>
      <c r="E2825" t="s">
        <v>311</v>
      </c>
      <c r="F2825" t="s">
        <v>622</v>
      </c>
      <c r="G2825">
        <v>7</v>
      </c>
      <c r="H2825">
        <v>5</v>
      </c>
      <c r="I2825">
        <v>1</v>
      </c>
      <c r="J2825">
        <v>0</v>
      </c>
      <c r="K2825" s="9">
        <v>5.132075471698113</v>
      </c>
    </row>
    <row r="2826" spans="1:11" x14ac:dyDescent="0.45">
      <c r="A2826" t="s">
        <v>254</v>
      </c>
      <c r="B2826" t="s">
        <v>635</v>
      </c>
      <c r="C2826" t="s">
        <v>13</v>
      </c>
      <c r="D2826">
        <v>5</v>
      </c>
      <c r="E2826" t="s">
        <v>430</v>
      </c>
      <c r="F2826" t="s">
        <v>623</v>
      </c>
      <c r="G2826">
        <v>7</v>
      </c>
      <c r="H2826">
        <v>9</v>
      </c>
      <c r="I2826">
        <v>1</v>
      </c>
      <c r="J2826">
        <v>0</v>
      </c>
      <c r="K2826" s="9">
        <v>4.924050632911392</v>
      </c>
    </row>
    <row r="2827" spans="1:11" x14ac:dyDescent="0.45">
      <c r="A2827" t="s">
        <v>254</v>
      </c>
      <c r="B2827" t="s">
        <v>635</v>
      </c>
      <c r="C2827" t="s">
        <v>13</v>
      </c>
      <c r="D2827">
        <v>6</v>
      </c>
      <c r="E2827" t="s">
        <v>347</v>
      </c>
      <c r="F2827" t="s">
        <v>623</v>
      </c>
      <c r="G2827">
        <v>5</v>
      </c>
      <c r="H2827">
        <v>3</v>
      </c>
      <c r="I2827">
        <v>0</v>
      </c>
      <c r="J2827">
        <v>0</v>
      </c>
      <c r="K2827" s="9">
        <v>5.6607142857142856</v>
      </c>
    </row>
    <row r="2828" spans="1:11" x14ac:dyDescent="0.45">
      <c r="A2828" t="s">
        <v>254</v>
      </c>
      <c r="B2828" t="s">
        <v>635</v>
      </c>
      <c r="C2828" t="s">
        <v>26</v>
      </c>
      <c r="D2828">
        <v>1</v>
      </c>
      <c r="E2828" t="s">
        <v>583</v>
      </c>
      <c r="F2828" t="s">
        <v>622</v>
      </c>
      <c r="G2828">
        <v>4</v>
      </c>
      <c r="H2828">
        <v>2</v>
      </c>
      <c r="I2828">
        <v>1</v>
      </c>
      <c r="J2828">
        <v>0</v>
      </c>
      <c r="K2828" s="9">
        <v>6.1385542168674698</v>
      </c>
    </row>
    <row r="2829" spans="1:11" x14ac:dyDescent="0.45">
      <c r="A2829" t="s">
        <v>254</v>
      </c>
      <c r="B2829" t="s">
        <v>635</v>
      </c>
      <c r="C2829" t="s">
        <v>26</v>
      </c>
      <c r="D2829">
        <v>2</v>
      </c>
      <c r="E2829" t="s">
        <v>454</v>
      </c>
      <c r="F2829" t="s">
        <v>622</v>
      </c>
      <c r="G2829">
        <v>46</v>
      </c>
      <c r="H2829">
        <v>30</v>
      </c>
      <c r="I2829">
        <v>3</v>
      </c>
      <c r="J2829">
        <v>4</v>
      </c>
      <c r="K2829" s="9">
        <v>3.6774193548387095</v>
      </c>
    </row>
    <row r="2830" spans="1:11" x14ac:dyDescent="0.45">
      <c r="A2830" t="s">
        <v>254</v>
      </c>
      <c r="B2830" t="s">
        <v>635</v>
      </c>
      <c r="C2830" t="s">
        <v>26</v>
      </c>
      <c r="D2830">
        <v>3</v>
      </c>
      <c r="E2830" t="s">
        <v>596</v>
      </c>
      <c r="F2830" t="s">
        <v>622</v>
      </c>
      <c r="G2830">
        <v>8</v>
      </c>
      <c r="H2830">
        <v>7</v>
      </c>
      <c r="I2830">
        <v>0</v>
      </c>
      <c r="J2830">
        <v>1</v>
      </c>
      <c r="K2830" s="9">
        <v>4.927835051546392</v>
      </c>
    </row>
    <row r="2831" spans="1:11" x14ac:dyDescent="0.45">
      <c r="A2831" t="s">
        <v>254</v>
      </c>
      <c r="B2831" t="s">
        <v>635</v>
      </c>
      <c r="C2831" t="s">
        <v>26</v>
      </c>
      <c r="D2831">
        <v>4</v>
      </c>
      <c r="E2831" t="s">
        <v>384</v>
      </c>
      <c r="F2831" t="s">
        <v>622</v>
      </c>
      <c r="G2831">
        <v>2</v>
      </c>
      <c r="H2831">
        <v>4</v>
      </c>
      <c r="I2831">
        <v>0</v>
      </c>
      <c r="J2831">
        <v>0</v>
      </c>
      <c r="K2831" s="9">
        <v>5.352380952380952</v>
      </c>
    </row>
    <row r="2832" spans="1:11" x14ac:dyDescent="0.45">
      <c r="A2832" t="s">
        <v>254</v>
      </c>
      <c r="B2832" t="s">
        <v>635</v>
      </c>
      <c r="C2832" t="s">
        <v>26</v>
      </c>
      <c r="D2832">
        <v>5</v>
      </c>
      <c r="E2832" t="s">
        <v>603</v>
      </c>
      <c r="F2832" t="s">
        <v>622</v>
      </c>
      <c r="G2832">
        <v>13</v>
      </c>
      <c r="H2832">
        <v>9</v>
      </c>
      <c r="I2832">
        <v>1</v>
      </c>
      <c r="J2832">
        <v>1</v>
      </c>
      <c r="K2832" s="9">
        <v>4.924050632911392</v>
      </c>
    </row>
    <row r="2833" spans="1:11" x14ac:dyDescent="0.45">
      <c r="A2833" t="s">
        <v>254</v>
      </c>
      <c r="B2833" t="s">
        <v>635</v>
      </c>
      <c r="C2833" t="s">
        <v>26</v>
      </c>
      <c r="D2833">
        <v>6</v>
      </c>
      <c r="E2833" t="s">
        <v>420</v>
      </c>
      <c r="F2833" t="s">
        <v>622</v>
      </c>
      <c r="G2833">
        <v>10</v>
      </c>
      <c r="H2833">
        <v>12</v>
      </c>
      <c r="I2833">
        <v>1</v>
      </c>
      <c r="J2833">
        <v>0</v>
      </c>
      <c r="K2833" s="9">
        <v>4.8024691358024691</v>
      </c>
    </row>
    <row r="2834" spans="1:11" x14ac:dyDescent="0.45">
      <c r="A2834" t="s">
        <v>254</v>
      </c>
      <c r="B2834" t="s">
        <v>635</v>
      </c>
      <c r="C2834" t="s">
        <v>26</v>
      </c>
      <c r="D2834">
        <v>7</v>
      </c>
      <c r="E2834" t="s">
        <v>495</v>
      </c>
      <c r="F2834" t="s">
        <v>622</v>
      </c>
      <c r="G2834">
        <v>41</v>
      </c>
      <c r="H2834">
        <v>27</v>
      </c>
      <c r="I2834">
        <v>2</v>
      </c>
      <c r="J2834">
        <v>3</v>
      </c>
      <c r="K2834" s="9">
        <v>4.25</v>
      </c>
    </row>
    <row r="2835" spans="1:11" x14ac:dyDescent="0.45">
      <c r="A2835" t="s">
        <v>254</v>
      </c>
      <c r="B2835" t="s">
        <v>635</v>
      </c>
      <c r="C2835" t="s">
        <v>26</v>
      </c>
      <c r="D2835">
        <v>8</v>
      </c>
      <c r="E2835" t="s">
        <v>400</v>
      </c>
      <c r="F2835" t="s">
        <v>622</v>
      </c>
      <c r="G2835">
        <v>7</v>
      </c>
      <c r="H2835">
        <v>5</v>
      </c>
      <c r="I2835">
        <v>0</v>
      </c>
      <c r="J2835">
        <v>1</v>
      </c>
      <c r="K2835" s="9">
        <v>5.132075471698113</v>
      </c>
    </row>
    <row r="2836" spans="1:11" x14ac:dyDescent="0.45">
      <c r="A2836" t="s">
        <v>254</v>
      </c>
      <c r="B2836" t="s">
        <v>635</v>
      </c>
      <c r="C2836" t="s">
        <v>26</v>
      </c>
      <c r="D2836">
        <v>9</v>
      </c>
      <c r="E2836" t="s">
        <v>404</v>
      </c>
      <c r="F2836" t="s">
        <v>622</v>
      </c>
      <c r="G2836">
        <v>13</v>
      </c>
      <c r="H2836">
        <v>13</v>
      </c>
      <c r="I2836">
        <v>1</v>
      </c>
      <c r="J2836">
        <v>0</v>
      </c>
      <c r="K2836" s="9">
        <v>4.8939393939393936</v>
      </c>
    </row>
    <row r="2837" spans="1:11" x14ac:dyDescent="0.45">
      <c r="A2837" t="s">
        <v>254</v>
      </c>
      <c r="B2837" t="s">
        <v>635</v>
      </c>
      <c r="C2837" t="s">
        <v>26</v>
      </c>
      <c r="D2837">
        <v>10</v>
      </c>
      <c r="E2837" t="s">
        <v>428</v>
      </c>
      <c r="F2837" t="s">
        <v>622</v>
      </c>
      <c r="G2837">
        <v>1</v>
      </c>
      <c r="H2837">
        <v>2</v>
      </c>
      <c r="I2837">
        <v>0</v>
      </c>
      <c r="J2837">
        <v>0</v>
      </c>
      <c r="K2837" s="9">
        <v>6.1385542168674698</v>
      </c>
    </row>
    <row r="2838" spans="1:11" x14ac:dyDescent="0.45">
      <c r="A2838" t="s">
        <v>254</v>
      </c>
      <c r="B2838" t="s">
        <v>635</v>
      </c>
      <c r="C2838" t="s">
        <v>26</v>
      </c>
      <c r="D2838">
        <v>11</v>
      </c>
      <c r="E2838" t="s">
        <v>405</v>
      </c>
      <c r="F2838" t="s">
        <v>623</v>
      </c>
      <c r="G2838">
        <v>0</v>
      </c>
      <c r="H2838">
        <v>0</v>
      </c>
      <c r="I2838">
        <v>0</v>
      </c>
      <c r="J2838">
        <v>0</v>
      </c>
      <c r="K2838" s="9">
        <v>6.2519685039370083</v>
      </c>
    </row>
    <row r="2839" spans="1:11" x14ac:dyDescent="0.45">
      <c r="A2839" t="s">
        <v>255</v>
      </c>
      <c r="B2839" t="s">
        <v>706</v>
      </c>
      <c r="C2839" t="s">
        <v>104</v>
      </c>
      <c r="D2839">
        <v>1</v>
      </c>
      <c r="E2839" t="s">
        <v>397</v>
      </c>
      <c r="F2839" t="s">
        <v>622</v>
      </c>
      <c r="G2839">
        <v>39</v>
      </c>
      <c r="H2839">
        <v>32</v>
      </c>
      <c r="I2839">
        <v>4</v>
      </c>
      <c r="J2839">
        <v>1</v>
      </c>
      <c r="K2839" s="9">
        <v>3.9375</v>
      </c>
    </row>
    <row r="2840" spans="1:11" x14ac:dyDescent="0.45">
      <c r="A2840" t="s">
        <v>255</v>
      </c>
      <c r="B2840" t="s">
        <v>706</v>
      </c>
      <c r="C2840" t="s">
        <v>104</v>
      </c>
      <c r="D2840">
        <v>2</v>
      </c>
      <c r="E2840" t="s">
        <v>564</v>
      </c>
      <c r="F2840" t="s">
        <v>622</v>
      </c>
      <c r="G2840">
        <v>51</v>
      </c>
      <c r="H2840">
        <v>42</v>
      </c>
      <c r="I2840">
        <v>4</v>
      </c>
      <c r="J2840">
        <v>3</v>
      </c>
      <c r="K2840" s="9">
        <v>3.3913043478260869</v>
      </c>
    </row>
    <row r="2841" spans="1:11" x14ac:dyDescent="0.45">
      <c r="A2841" t="s">
        <v>255</v>
      </c>
      <c r="B2841" t="s">
        <v>706</v>
      </c>
      <c r="C2841" t="s">
        <v>104</v>
      </c>
      <c r="D2841">
        <v>3</v>
      </c>
      <c r="E2841" t="s">
        <v>521</v>
      </c>
      <c r="F2841" t="s">
        <v>622</v>
      </c>
      <c r="G2841">
        <v>1</v>
      </c>
      <c r="H2841">
        <v>4</v>
      </c>
      <c r="I2841">
        <v>0</v>
      </c>
      <c r="J2841">
        <v>0</v>
      </c>
      <c r="K2841" s="9">
        <v>5.352380952380952</v>
      </c>
    </row>
    <row r="2842" spans="1:11" x14ac:dyDescent="0.45">
      <c r="A2842" t="s">
        <v>255</v>
      </c>
      <c r="B2842" t="s">
        <v>706</v>
      </c>
      <c r="C2842" t="s">
        <v>104</v>
      </c>
      <c r="D2842">
        <v>4</v>
      </c>
      <c r="E2842" t="s">
        <v>426</v>
      </c>
      <c r="F2842" t="s">
        <v>622</v>
      </c>
      <c r="G2842">
        <v>2</v>
      </c>
      <c r="H2842">
        <v>4</v>
      </c>
      <c r="I2842">
        <v>0</v>
      </c>
      <c r="J2842">
        <v>0</v>
      </c>
      <c r="K2842" s="9">
        <v>5.352380952380952</v>
      </c>
    </row>
    <row r="2843" spans="1:11" x14ac:dyDescent="0.45">
      <c r="A2843" t="s">
        <v>255</v>
      </c>
      <c r="B2843" t="s">
        <v>706</v>
      </c>
      <c r="C2843" t="s">
        <v>104</v>
      </c>
      <c r="D2843">
        <v>5</v>
      </c>
      <c r="E2843" t="s">
        <v>331</v>
      </c>
      <c r="F2843" t="s">
        <v>622</v>
      </c>
      <c r="G2843">
        <v>21</v>
      </c>
      <c r="H2843">
        <v>16</v>
      </c>
      <c r="I2843">
        <v>2</v>
      </c>
      <c r="J2843">
        <v>0</v>
      </c>
      <c r="K2843" s="9">
        <v>4.7608695652173916</v>
      </c>
    </row>
    <row r="2844" spans="1:11" x14ac:dyDescent="0.45">
      <c r="A2844" t="s">
        <v>255</v>
      </c>
      <c r="B2844" t="s">
        <v>706</v>
      </c>
      <c r="C2844" t="s">
        <v>104</v>
      </c>
      <c r="D2844">
        <v>6</v>
      </c>
      <c r="E2844" t="s">
        <v>416</v>
      </c>
      <c r="F2844" t="s">
        <v>622</v>
      </c>
      <c r="G2844">
        <v>29</v>
      </c>
      <c r="H2844">
        <v>20</v>
      </c>
      <c r="I2844">
        <v>2</v>
      </c>
      <c r="J2844">
        <v>1</v>
      </c>
      <c r="K2844" s="9">
        <v>4.9473684210526319</v>
      </c>
    </row>
    <row r="2845" spans="1:11" x14ac:dyDescent="0.45">
      <c r="A2845" t="s">
        <v>255</v>
      </c>
      <c r="B2845" t="s">
        <v>706</v>
      </c>
      <c r="C2845" t="s">
        <v>104</v>
      </c>
      <c r="D2845">
        <v>7</v>
      </c>
      <c r="E2845" t="s">
        <v>366</v>
      </c>
      <c r="F2845" t="s">
        <v>623</v>
      </c>
      <c r="G2845">
        <v>4</v>
      </c>
      <c r="H2845">
        <v>2</v>
      </c>
      <c r="I2845">
        <v>1</v>
      </c>
      <c r="J2845">
        <v>0</v>
      </c>
      <c r="K2845" s="9">
        <v>6.1385542168674698</v>
      </c>
    </row>
    <row r="2846" spans="1:11" x14ac:dyDescent="0.45">
      <c r="A2846" t="s">
        <v>255</v>
      </c>
      <c r="B2846" t="s">
        <v>706</v>
      </c>
      <c r="C2846" t="s">
        <v>104</v>
      </c>
      <c r="D2846">
        <v>8</v>
      </c>
      <c r="E2846" t="s">
        <v>592</v>
      </c>
      <c r="F2846" t="s">
        <v>622</v>
      </c>
      <c r="G2846">
        <v>1</v>
      </c>
      <c r="H2846">
        <v>1</v>
      </c>
      <c r="I2846">
        <v>0</v>
      </c>
      <c r="J2846">
        <v>0</v>
      </c>
      <c r="K2846" s="9">
        <v>6.5693779904306222</v>
      </c>
    </row>
    <row r="2847" spans="1:11" x14ac:dyDescent="0.45">
      <c r="A2847" t="s">
        <v>255</v>
      </c>
      <c r="B2847" t="s">
        <v>706</v>
      </c>
      <c r="C2847" t="s">
        <v>23</v>
      </c>
      <c r="D2847">
        <v>1</v>
      </c>
      <c r="E2847" t="s">
        <v>383</v>
      </c>
      <c r="F2847" t="s">
        <v>622</v>
      </c>
      <c r="G2847">
        <v>44</v>
      </c>
      <c r="H2847">
        <v>35</v>
      </c>
      <c r="I2847">
        <v>4</v>
      </c>
      <c r="J2847">
        <v>2</v>
      </c>
      <c r="K2847" s="9">
        <v>3.5769230769230771</v>
      </c>
    </row>
    <row r="2848" spans="1:11" x14ac:dyDescent="0.45">
      <c r="A2848" t="s">
        <v>255</v>
      </c>
      <c r="B2848" t="s">
        <v>706</v>
      </c>
      <c r="C2848" t="s">
        <v>23</v>
      </c>
      <c r="D2848">
        <v>2</v>
      </c>
      <c r="E2848" t="s">
        <v>458</v>
      </c>
      <c r="F2848" t="s">
        <v>622</v>
      </c>
      <c r="G2848">
        <v>40</v>
      </c>
      <c r="H2848">
        <v>41</v>
      </c>
      <c r="I2848">
        <v>4</v>
      </c>
      <c r="J2848">
        <v>1</v>
      </c>
      <c r="K2848" s="9">
        <v>3.0909090909090908</v>
      </c>
    </row>
    <row r="2849" spans="1:11" x14ac:dyDescent="0.45">
      <c r="A2849" t="s">
        <v>255</v>
      </c>
      <c r="B2849" t="s">
        <v>706</v>
      </c>
      <c r="C2849" t="s">
        <v>23</v>
      </c>
      <c r="D2849">
        <v>3</v>
      </c>
      <c r="E2849" t="s">
        <v>386</v>
      </c>
      <c r="F2849" t="s">
        <v>622</v>
      </c>
      <c r="G2849">
        <v>2</v>
      </c>
      <c r="H2849">
        <v>4</v>
      </c>
      <c r="I2849">
        <v>0</v>
      </c>
      <c r="J2849">
        <v>0</v>
      </c>
      <c r="K2849" s="9">
        <v>5.352380952380952</v>
      </c>
    </row>
    <row r="2850" spans="1:11" x14ac:dyDescent="0.45">
      <c r="A2850" t="s">
        <v>255</v>
      </c>
      <c r="B2850" t="s">
        <v>706</v>
      </c>
      <c r="C2850" t="s">
        <v>23</v>
      </c>
      <c r="D2850">
        <v>4</v>
      </c>
      <c r="E2850" t="s">
        <v>342</v>
      </c>
      <c r="F2850" t="s">
        <v>622</v>
      </c>
      <c r="G2850">
        <v>26</v>
      </c>
      <c r="H2850">
        <v>21</v>
      </c>
      <c r="I2850">
        <v>4</v>
      </c>
      <c r="J2850">
        <v>0</v>
      </c>
      <c r="K2850" s="9">
        <v>4.3770491803278686</v>
      </c>
    </row>
    <row r="2851" spans="1:11" x14ac:dyDescent="0.45">
      <c r="A2851" t="s">
        <v>255</v>
      </c>
      <c r="B2851" t="s">
        <v>706</v>
      </c>
      <c r="C2851" t="s">
        <v>23</v>
      </c>
      <c r="D2851">
        <v>5</v>
      </c>
      <c r="E2851" t="s">
        <v>336</v>
      </c>
      <c r="F2851" t="s">
        <v>622</v>
      </c>
      <c r="G2851">
        <v>2</v>
      </c>
      <c r="H2851">
        <v>5</v>
      </c>
      <c r="I2851">
        <v>0</v>
      </c>
      <c r="J2851">
        <v>0</v>
      </c>
      <c r="K2851" s="9">
        <v>5.132075471698113</v>
      </c>
    </row>
    <row r="2852" spans="1:11" x14ac:dyDescent="0.45">
      <c r="A2852" t="s">
        <v>255</v>
      </c>
      <c r="B2852" t="s">
        <v>706</v>
      </c>
      <c r="C2852" t="s">
        <v>23</v>
      </c>
      <c r="D2852">
        <v>6</v>
      </c>
      <c r="E2852" t="s">
        <v>431</v>
      </c>
      <c r="F2852" t="s">
        <v>623</v>
      </c>
      <c r="G2852">
        <v>15</v>
      </c>
      <c r="H2852">
        <v>12</v>
      </c>
      <c r="I2852">
        <v>1</v>
      </c>
      <c r="J2852">
        <v>1</v>
      </c>
      <c r="K2852" s="9">
        <v>4.8024691358024691</v>
      </c>
    </row>
    <row r="2853" spans="1:11" x14ac:dyDescent="0.45">
      <c r="A2853" t="s">
        <v>255</v>
      </c>
      <c r="B2853" t="s">
        <v>706</v>
      </c>
      <c r="C2853" t="s">
        <v>23</v>
      </c>
      <c r="D2853">
        <v>7</v>
      </c>
      <c r="E2853" t="s">
        <v>584</v>
      </c>
      <c r="F2853" t="s">
        <v>622</v>
      </c>
      <c r="G2853">
        <v>0</v>
      </c>
      <c r="H2853">
        <v>1</v>
      </c>
      <c r="I2853">
        <v>0</v>
      </c>
      <c r="J2853">
        <v>0</v>
      </c>
      <c r="K2853" s="9">
        <v>6.5693779904306222</v>
      </c>
    </row>
    <row r="2854" spans="1:11" x14ac:dyDescent="0.45">
      <c r="A2854" t="s">
        <v>255</v>
      </c>
      <c r="B2854" t="s">
        <v>706</v>
      </c>
      <c r="C2854" t="s">
        <v>23</v>
      </c>
      <c r="D2854">
        <v>8</v>
      </c>
      <c r="E2854" t="s">
        <v>339</v>
      </c>
      <c r="F2854" t="s">
        <v>623</v>
      </c>
      <c r="G2854">
        <v>3</v>
      </c>
      <c r="H2854">
        <v>2</v>
      </c>
      <c r="I2854">
        <v>0</v>
      </c>
      <c r="J2854">
        <v>0</v>
      </c>
      <c r="K2854" s="9">
        <v>6.1385542168674698</v>
      </c>
    </row>
    <row r="2855" spans="1:11" x14ac:dyDescent="0.45">
      <c r="A2855" t="s">
        <v>256</v>
      </c>
      <c r="B2855" t="s">
        <v>628</v>
      </c>
      <c r="C2855" t="s">
        <v>19</v>
      </c>
      <c r="D2855">
        <v>1</v>
      </c>
      <c r="E2855" t="s">
        <v>359</v>
      </c>
      <c r="F2855" t="s">
        <v>622</v>
      </c>
      <c r="G2855">
        <v>28</v>
      </c>
      <c r="H2855">
        <v>18</v>
      </c>
      <c r="I2855">
        <v>6</v>
      </c>
      <c r="J2855">
        <v>0</v>
      </c>
      <c r="K2855" s="9">
        <v>4.375</v>
      </c>
    </row>
    <row r="2856" spans="1:11" x14ac:dyDescent="0.45">
      <c r="A2856" t="s">
        <v>256</v>
      </c>
      <c r="B2856" t="s">
        <v>628</v>
      </c>
      <c r="C2856" t="s">
        <v>19</v>
      </c>
      <c r="D2856">
        <v>2</v>
      </c>
      <c r="E2856" t="s">
        <v>360</v>
      </c>
      <c r="F2856" t="s">
        <v>622</v>
      </c>
      <c r="G2856">
        <v>38</v>
      </c>
      <c r="H2856">
        <v>31</v>
      </c>
      <c r="I2856">
        <v>3</v>
      </c>
      <c r="J2856">
        <v>2</v>
      </c>
      <c r="K2856" s="9">
        <v>3.4375</v>
      </c>
    </row>
    <row r="2857" spans="1:11" x14ac:dyDescent="0.45">
      <c r="A2857" t="s">
        <v>256</v>
      </c>
      <c r="B2857" t="s">
        <v>628</v>
      </c>
      <c r="C2857" t="s">
        <v>19</v>
      </c>
      <c r="D2857">
        <v>3</v>
      </c>
      <c r="E2857" t="s">
        <v>560</v>
      </c>
      <c r="F2857" t="s">
        <v>623</v>
      </c>
      <c r="G2857">
        <v>64</v>
      </c>
      <c r="H2857">
        <v>40</v>
      </c>
      <c r="I2857">
        <v>6</v>
      </c>
      <c r="J2857">
        <v>2</v>
      </c>
      <c r="K2857" s="9">
        <v>4</v>
      </c>
    </row>
    <row r="2858" spans="1:11" x14ac:dyDescent="0.45">
      <c r="A2858" t="s">
        <v>256</v>
      </c>
      <c r="B2858" t="s">
        <v>628</v>
      </c>
      <c r="C2858" t="s">
        <v>19</v>
      </c>
      <c r="D2858">
        <v>4</v>
      </c>
      <c r="E2858" t="s">
        <v>363</v>
      </c>
      <c r="F2858" t="s">
        <v>622</v>
      </c>
      <c r="G2858">
        <v>7</v>
      </c>
      <c r="H2858">
        <v>3</v>
      </c>
      <c r="I2858">
        <v>0</v>
      </c>
      <c r="J2858">
        <v>1</v>
      </c>
      <c r="K2858" s="9">
        <v>5.6607142857142856</v>
      </c>
    </row>
    <row r="2859" spans="1:11" x14ac:dyDescent="0.45">
      <c r="A2859" t="s">
        <v>256</v>
      </c>
      <c r="B2859" t="s">
        <v>628</v>
      </c>
      <c r="C2859" t="s">
        <v>19</v>
      </c>
      <c r="D2859">
        <v>5</v>
      </c>
      <c r="E2859" t="s">
        <v>502</v>
      </c>
      <c r="F2859" t="s">
        <v>622</v>
      </c>
      <c r="G2859">
        <v>37</v>
      </c>
      <c r="H2859">
        <v>17</v>
      </c>
      <c r="I2859">
        <v>2</v>
      </c>
      <c r="J2859">
        <v>4</v>
      </c>
      <c r="K2859" s="9">
        <v>4.82</v>
      </c>
    </row>
    <row r="2860" spans="1:11" x14ac:dyDescent="0.45">
      <c r="A2860" t="s">
        <v>256</v>
      </c>
      <c r="B2860" t="s">
        <v>628</v>
      </c>
      <c r="C2860" t="s">
        <v>19</v>
      </c>
      <c r="D2860">
        <v>6</v>
      </c>
      <c r="E2860" t="s">
        <v>447</v>
      </c>
      <c r="F2860" t="s">
        <v>622</v>
      </c>
      <c r="G2860">
        <v>16</v>
      </c>
      <c r="H2860">
        <v>11</v>
      </c>
      <c r="I2860">
        <v>2</v>
      </c>
      <c r="J2860">
        <v>0</v>
      </c>
      <c r="K2860" s="9">
        <v>4.9649122807017543</v>
      </c>
    </row>
    <row r="2861" spans="1:11" x14ac:dyDescent="0.45">
      <c r="A2861" t="s">
        <v>256</v>
      </c>
      <c r="B2861" t="s">
        <v>628</v>
      </c>
      <c r="C2861" t="s">
        <v>20</v>
      </c>
      <c r="D2861">
        <v>1</v>
      </c>
      <c r="E2861" t="s">
        <v>574</v>
      </c>
      <c r="F2861" t="s">
        <v>622</v>
      </c>
      <c r="G2861">
        <v>9</v>
      </c>
      <c r="H2861">
        <v>7</v>
      </c>
      <c r="I2861">
        <v>2</v>
      </c>
      <c r="J2861">
        <v>0</v>
      </c>
      <c r="K2861" s="9">
        <v>4.927835051546392</v>
      </c>
    </row>
    <row r="2862" spans="1:11" x14ac:dyDescent="0.45">
      <c r="A2862" t="s">
        <v>256</v>
      </c>
      <c r="B2862" t="s">
        <v>628</v>
      </c>
      <c r="C2862" t="s">
        <v>20</v>
      </c>
      <c r="D2862">
        <v>2</v>
      </c>
      <c r="E2862" t="s">
        <v>398</v>
      </c>
      <c r="F2862" t="s">
        <v>622</v>
      </c>
      <c r="G2862">
        <v>48</v>
      </c>
      <c r="H2862">
        <v>41</v>
      </c>
      <c r="I2862">
        <v>4</v>
      </c>
      <c r="J2862">
        <v>1</v>
      </c>
      <c r="K2862" s="9">
        <v>3.0909090909090908</v>
      </c>
    </row>
    <row r="2863" spans="1:11" x14ac:dyDescent="0.45">
      <c r="A2863" t="s">
        <v>256</v>
      </c>
      <c r="B2863" t="s">
        <v>628</v>
      </c>
      <c r="C2863" t="s">
        <v>20</v>
      </c>
      <c r="D2863">
        <v>3</v>
      </c>
      <c r="E2863" t="s">
        <v>315</v>
      </c>
      <c r="F2863" t="s">
        <v>622</v>
      </c>
      <c r="G2863">
        <v>7</v>
      </c>
      <c r="H2863">
        <v>5</v>
      </c>
      <c r="I2863">
        <v>1</v>
      </c>
      <c r="J2863">
        <v>0</v>
      </c>
      <c r="K2863" s="9">
        <v>5.132075471698113</v>
      </c>
    </row>
    <row r="2864" spans="1:11" x14ac:dyDescent="0.45">
      <c r="A2864" t="s">
        <v>256</v>
      </c>
      <c r="B2864" t="s">
        <v>628</v>
      </c>
      <c r="C2864" t="s">
        <v>20</v>
      </c>
      <c r="D2864">
        <v>4</v>
      </c>
      <c r="E2864" t="s">
        <v>401</v>
      </c>
      <c r="F2864" t="s">
        <v>622</v>
      </c>
      <c r="G2864">
        <v>22</v>
      </c>
      <c r="H2864">
        <v>17</v>
      </c>
      <c r="I2864">
        <v>1</v>
      </c>
      <c r="J2864">
        <v>1</v>
      </c>
      <c r="K2864" s="9">
        <v>4.82</v>
      </c>
    </row>
    <row r="2865" spans="1:11" x14ac:dyDescent="0.45">
      <c r="A2865" t="s">
        <v>256</v>
      </c>
      <c r="B2865" t="s">
        <v>628</v>
      </c>
      <c r="C2865" t="s">
        <v>20</v>
      </c>
      <c r="D2865">
        <v>5</v>
      </c>
      <c r="E2865" t="s">
        <v>373</v>
      </c>
      <c r="F2865" t="s">
        <v>622</v>
      </c>
      <c r="G2865">
        <v>1</v>
      </c>
      <c r="H2865">
        <v>2</v>
      </c>
      <c r="I2865">
        <v>0</v>
      </c>
      <c r="J2865">
        <v>0</v>
      </c>
      <c r="K2865" s="9">
        <v>6.1385542168674698</v>
      </c>
    </row>
    <row r="2866" spans="1:11" x14ac:dyDescent="0.45">
      <c r="A2866" t="s">
        <v>256</v>
      </c>
      <c r="B2866" t="s">
        <v>628</v>
      </c>
      <c r="C2866" t="s">
        <v>20</v>
      </c>
      <c r="D2866">
        <v>6</v>
      </c>
      <c r="E2866" t="s">
        <v>573</v>
      </c>
      <c r="F2866" t="s">
        <v>622</v>
      </c>
      <c r="G2866">
        <v>36</v>
      </c>
      <c r="H2866">
        <v>16</v>
      </c>
      <c r="I2866">
        <v>4</v>
      </c>
      <c r="J2866">
        <v>2</v>
      </c>
      <c r="K2866" s="9">
        <v>4.7608695652173916</v>
      </c>
    </row>
    <row r="2867" spans="1:11" x14ac:dyDescent="0.45">
      <c r="A2867" t="s">
        <v>256</v>
      </c>
      <c r="B2867" t="s">
        <v>628</v>
      </c>
      <c r="C2867" t="s">
        <v>20</v>
      </c>
      <c r="D2867">
        <v>7</v>
      </c>
      <c r="E2867" t="s">
        <v>376</v>
      </c>
      <c r="F2867" t="s">
        <v>622</v>
      </c>
      <c r="G2867">
        <v>9</v>
      </c>
      <c r="H2867">
        <v>12</v>
      </c>
      <c r="I2867">
        <v>1</v>
      </c>
      <c r="J2867">
        <v>0</v>
      </c>
      <c r="K2867" s="9">
        <v>4.8024691358024691</v>
      </c>
    </row>
    <row r="2868" spans="1:11" x14ac:dyDescent="0.45">
      <c r="A2868" t="s">
        <v>256</v>
      </c>
      <c r="B2868" t="s">
        <v>628</v>
      </c>
      <c r="C2868" t="s">
        <v>20</v>
      </c>
      <c r="D2868">
        <v>8</v>
      </c>
      <c r="E2868" t="s">
        <v>484</v>
      </c>
      <c r="F2868" t="s">
        <v>622</v>
      </c>
      <c r="G2868">
        <v>13</v>
      </c>
      <c r="H2868">
        <v>6</v>
      </c>
      <c r="I2868">
        <v>3</v>
      </c>
      <c r="J2868">
        <v>0</v>
      </c>
      <c r="K2868" s="9">
        <v>5.4565217391304346</v>
      </c>
    </row>
    <row r="2869" spans="1:11" x14ac:dyDescent="0.45">
      <c r="A2869" t="s">
        <v>256</v>
      </c>
      <c r="B2869" t="s">
        <v>628</v>
      </c>
      <c r="C2869" t="s">
        <v>20</v>
      </c>
      <c r="D2869">
        <v>9</v>
      </c>
      <c r="E2869" t="s">
        <v>467</v>
      </c>
      <c r="F2869" t="s">
        <v>622</v>
      </c>
      <c r="G2869">
        <v>10</v>
      </c>
      <c r="H2869">
        <v>6</v>
      </c>
      <c r="I2869">
        <v>2</v>
      </c>
      <c r="J2869">
        <v>0</v>
      </c>
      <c r="K2869" s="9">
        <v>5.4565217391304346</v>
      </c>
    </row>
    <row r="2870" spans="1:11" x14ac:dyDescent="0.45">
      <c r="A2870" t="s">
        <v>256</v>
      </c>
      <c r="B2870" t="s">
        <v>628</v>
      </c>
      <c r="C2870" t="s">
        <v>20</v>
      </c>
      <c r="D2870">
        <v>10</v>
      </c>
      <c r="E2870" t="s">
        <v>409</v>
      </c>
      <c r="F2870" t="s">
        <v>622</v>
      </c>
      <c r="G2870">
        <v>2</v>
      </c>
      <c r="H2870">
        <v>5</v>
      </c>
      <c r="I2870">
        <v>0</v>
      </c>
      <c r="J2870">
        <v>0</v>
      </c>
      <c r="K2870" s="9">
        <v>5.132075471698113</v>
      </c>
    </row>
    <row r="2871" spans="1:11" x14ac:dyDescent="0.45">
      <c r="A2871" t="s">
        <v>256</v>
      </c>
      <c r="B2871" t="s">
        <v>628</v>
      </c>
      <c r="C2871" t="s">
        <v>20</v>
      </c>
      <c r="D2871">
        <v>11</v>
      </c>
      <c r="E2871" t="s">
        <v>419</v>
      </c>
      <c r="F2871" t="s">
        <v>623</v>
      </c>
      <c r="G2871">
        <v>2</v>
      </c>
      <c r="H2871">
        <v>2</v>
      </c>
      <c r="I2871">
        <v>0</v>
      </c>
      <c r="J2871">
        <v>0</v>
      </c>
      <c r="K2871" s="9">
        <v>6.1385542168674698</v>
      </c>
    </row>
    <row r="2872" spans="1:11" x14ac:dyDescent="0.45">
      <c r="A2872" t="s">
        <v>257</v>
      </c>
      <c r="B2872" t="s">
        <v>657</v>
      </c>
      <c r="C2872" t="s">
        <v>6</v>
      </c>
      <c r="D2872">
        <v>1</v>
      </c>
      <c r="E2872" t="s">
        <v>290</v>
      </c>
      <c r="F2872" t="s">
        <v>622</v>
      </c>
      <c r="G2872">
        <v>3</v>
      </c>
      <c r="H2872">
        <v>6</v>
      </c>
      <c r="I2872">
        <v>0</v>
      </c>
      <c r="J2872">
        <v>0</v>
      </c>
      <c r="K2872" s="9">
        <v>5.4565217391304346</v>
      </c>
    </row>
    <row r="2873" spans="1:11" x14ac:dyDescent="0.45">
      <c r="A2873" t="s">
        <v>257</v>
      </c>
      <c r="B2873" t="s">
        <v>657</v>
      </c>
      <c r="C2873" t="s">
        <v>6</v>
      </c>
      <c r="D2873">
        <v>2</v>
      </c>
      <c r="E2873" t="s">
        <v>505</v>
      </c>
      <c r="F2873" t="s">
        <v>622</v>
      </c>
      <c r="G2873">
        <v>83</v>
      </c>
      <c r="H2873">
        <v>45</v>
      </c>
      <c r="I2873">
        <v>6</v>
      </c>
      <c r="J2873">
        <v>6</v>
      </c>
      <c r="K2873" s="9">
        <v>3.4375</v>
      </c>
    </row>
    <row r="2874" spans="1:11" x14ac:dyDescent="0.45">
      <c r="A2874" t="s">
        <v>257</v>
      </c>
      <c r="B2874" t="s">
        <v>657</v>
      </c>
      <c r="C2874" t="s">
        <v>6</v>
      </c>
      <c r="D2874">
        <v>3</v>
      </c>
      <c r="E2874" t="s">
        <v>481</v>
      </c>
      <c r="F2874" t="s">
        <v>622</v>
      </c>
      <c r="G2874">
        <v>37</v>
      </c>
      <c r="H2874">
        <v>20</v>
      </c>
      <c r="I2874">
        <v>3</v>
      </c>
      <c r="J2874">
        <v>2</v>
      </c>
      <c r="K2874" s="9">
        <v>4.9473684210526319</v>
      </c>
    </row>
    <row r="2875" spans="1:11" x14ac:dyDescent="0.45">
      <c r="A2875" t="s">
        <v>257</v>
      </c>
      <c r="B2875" t="s">
        <v>657</v>
      </c>
      <c r="C2875" t="s">
        <v>6</v>
      </c>
      <c r="D2875">
        <v>4</v>
      </c>
      <c r="E2875" t="s">
        <v>387</v>
      </c>
      <c r="F2875" t="s">
        <v>622</v>
      </c>
      <c r="G2875">
        <v>52</v>
      </c>
      <c r="H2875">
        <v>27</v>
      </c>
      <c r="I2875">
        <v>2</v>
      </c>
      <c r="J2875">
        <v>5</v>
      </c>
      <c r="K2875" s="9">
        <v>4.25</v>
      </c>
    </row>
    <row r="2876" spans="1:11" x14ac:dyDescent="0.45">
      <c r="A2876" t="s">
        <v>257</v>
      </c>
      <c r="B2876" t="s">
        <v>657</v>
      </c>
      <c r="C2876" t="s">
        <v>6</v>
      </c>
      <c r="D2876">
        <v>5</v>
      </c>
      <c r="E2876" t="s">
        <v>355</v>
      </c>
      <c r="F2876" t="s">
        <v>622</v>
      </c>
      <c r="G2876">
        <v>14</v>
      </c>
      <c r="H2876">
        <v>6</v>
      </c>
      <c r="I2876">
        <v>1</v>
      </c>
      <c r="J2876">
        <v>1</v>
      </c>
      <c r="K2876" s="9">
        <v>5.4565217391304346</v>
      </c>
    </row>
    <row r="2877" spans="1:11" x14ac:dyDescent="0.45">
      <c r="A2877" t="s">
        <v>257</v>
      </c>
      <c r="B2877" t="s">
        <v>657</v>
      </c>
      <c r="C2877" t="s">
        <v>6</v>
      </c>
      <c r="D2877">
        <v>6</v>
      </c>
      <c r="E2877" t="s">
        <v>299</v>
      </c>
      <c r="F2877" t="s">
        <v>623</v>
      </c>
      <c r="G2877">
        <v>19</v>
      </c>
      <c r="H2877">
        <v>9</v>
      </c>
      <c r="I2877">
        <v>0</v>
      </c>
      <c r="J2877">
        <v>2</v>
      </c>
      <c r="K2877" s="9">
        <v>4.924050632911392</v>
      </c>
    </row>
    <row r="2878" spans="1:11" x14ac:dyDescent="0.45">
      <c r="A2878" t="s">
        <v>257</v>
      </c>
      <c r="B2878" t="s">
        <v>657</v>
      </c>
      <c r="C2878" t="s">
        <v>6</v>
      </c>
      <c r="D2878">
        <v>7</v>
      </c>
      <c r="E2878" t="s">
        <v>328</v>
      </c>
      <c r="F2878" t="s">
        <v>622</v>
      </c>
      <c r="G2878">
        <v>10</v>
      </c>
      <c r="H2878">
        <v>8</v>
      </c>
      <c r="I2878">
        <v>0</v>
      </c>
      <c r="J2878">
        <v>1</v>
      </c>
      <c r="K2878" s="9">
        <v>4.9029126213592233</v>
      </c>
    </row>
    <row r="2879" spans="1:11" x14ac:dyDescent="0.45">
      <c r="A2879" t="s">
        <v>257</v>
      </c>
      <c r="B2879" t="s">
        <v>657</v>
      </c>
      <c r="C2879" t="s">
        <v>6</v>
      </c>
      <c r="D2879">
        <v>8</v>
      </c>
      <c r="E2879" t="s">
        <v>356</v>
      </c>
      <c r="F2879" t="s">
        <v>623</v>
      </c>
      <c r="G2879">
        <v>1</v>
      </c>
      <c r="H2879">
        <v>1</v>
      </c>
      <c r="I2879">
        <v>0</v>
      </c>
      <c r="J2879">
        <v>0</v>
      </c>
      <c r="K2879" s="9">
        <v>6.5693779904306222</v>
      </c>
    </row>
    <row r="2880" spans="1:11" x14ac:dyDescent="0.45">
      <c r="A2880" t="s">
        <v>257</v>
      </c>
      <c r="B2880" t="s">
        <v>657</v>
      </c>
      <c r="C2880" t="s">
        <v>13</v>
      </c>
      <c r="D2880">
        <v>1</v>
      </c>
      <c r="E2880" t="s">
        <v>343</v>
      </c>
      <c r="F2880" t="s">
        <v>622</v>
      </c>
      <c r="G2880">
        <v>6</v>
      </c>
      <c r="H2880">
        <v>4</v>
      </c>
      <c r="I2880">
        <v>1</v>
      </c>
      <c r="J2880">
        <v>0</v>
      </c>
      <c r="K2880" s="9">
        <v>5.352380952380952</v>
      </c>
    </row>
    <row r="2881" spans="1:11" x14ac:dyDescent="0.45">
      <c r="A2881" t="s">
        <v>257</v>
      </c>
      <c r="B2881" t="s">
        <v>657</v>
      </c>
      <c r="C2881" t="s">
        <v>13</v>
      </c>
      <c r="D2881">
        <v>2</v>
      </c>
      <c r="E2881" t="s">
        <v>294</v>
      </c>
      <c r="F2881" t="s">
        <v>622</v>
      </c>
      <c r="G2881">
        <v>62</v>
      </c>
      <c r="H2881">
        <v>33</v>
      </c>
      <c r="I2881">
        <v>5</v>
      </c>
      <c r="J2881">
        <v>4</v>
      </c>
      <c r="K2881" s="9">
        <v>2.8421052631578947</v>
      </c>
    </row>
    <row r="2882" spans="1:11" x14ac:dyDescent="0.45">
      <c r="A2882" t="s">
        <v>257</v>
      </c>
      <c r="B2882" t="s">
        <v>657</v>
      </c>
      <c r="C2882" t="s">
        <v>13</v>
      </c>
      <c r="D2882">
        <v>3</v>
      </c>
      <c r="E2882" t="s">
        <v>430</v>
      </c>
      <c r="F2882" t="s">
        <v>622</v>
      </c>
      <c r="G2882">
        <v>0</v>
      </c>
      <c r="H2882">
        <v>5</v>
      </c>
      <c r="I2882">
        <v>0</v>
      </c>
      <c r="J2882">
        <v>0</v>
      </c>
      <c r="K2882" s="9">
        <v>5.132075471698113</v>
      </c>
    </row>
    <row r="2883" spans="1:11" x14ac:dyDescent="0.45">
      <c r="A2883" t="s">
        <v>257</v>
      </c>
      <c r="B2883" t="s">
        <v>657</v>
      </c>
      <c r="C2883" t="s">
        <v>13</v>
      </c>
      <c r="D2883">
        <v>4</v>
      </c>
      <c r="E2883" t="s">
        <v>345</v>
      </c>
      <c r="F2883" t="s">
        <v>622</v>
      </c>
      <c r="G2883">
        <v>76</v>
      </c>
      <c r="H2883">
        <v>36</v>
      </c>
      <c r="I2883">
        <v>3</v>
      </c>
      <c r="J2883">
        <v>8</v>
      </c>
      <c r="K2883" s="9">
        <v>4.083333333333333</v>
      </c>
    </row>
    <row r="2884" spans="1:11" x14ac:dyDescent="0.45">
      <c r="A2884" t="s">
        <v>257</v>
      </c>
      <c r="B2884" t="s">
        <v>657</v>
      </c>
      <c r="C2884" t="s">
        <v>13</v>
      </c>
      <c r="D2884">
        <v>5</v>
      </c>
      <c r="E2884" t="s">
        <v>347</v>
      </c>
      <c r="F2884" t="s">
        <v>622</v>
      </c>
      <c r="G2884">
        <v>12</v>
      </c>
      <c r="H2884">
        <v>10</v>
      </c>
      <c r="I2884">
        <v>0</v>
      </c>
      <c r="J2884">
        <v>1</v>
      </c>
      <c r="K2884" s="9">
        <v>4.7179487179487181</v>
      </c>
    </row>
    <row r="2885" spans="1:11" x14ac:dyDescent="0.45">
      <c r="A2885" t="s">
        <v>257</v>
      </c>
      <c r="B2885" t="s">
        <v>657</v>
      </c>
      <c r="C2885" t="s">
        <v>13</v>
      </c>
      <c r="D2885">
        <v>6</v>
      </c>
      <c r="E2885" t="s">
        <v>311</v>
      </c>
      <c r="F2885" t="s">
        <v>622</v>
      </c>
      <c r="G2885">
        <v>28</v>
      </c>
      <c r="H2885">
        <v>14</v>
      </c>
      <c r="I2885">
        <v>3</v>
      </c>
      <c r="J2885">
        <v>1</v>
      </c>
      <c r="K2885" s="9">
        <v>4.8461538461538458</v>
      </c>
    </row>
    <row r="2886" spans="1:11" x14ac:dyDescent="0.45">
      <c r="A2886" t="s">
        <v>257</v>
      </c>
      <c r="B2886" t="s">
        <v>657</v>
      </c>
      <c r="C2886" t="s">
        <v>13</v>
      </c>
      <c r="D2886">
        <v>7</v>
      </c>
      <c r="E2886" t="s">
        <v>541</v>
      </c>
      <c r="F2886" t="s">
        <v>622</v>
      </c>
      <c r="G2886">
        <v>19</v>
      </c>
      <c r="H2886">
        <v>11</v>
      </c>
      <c r="I2886">
        <v>0</v>
      </c>
      <c r="J2886">
        <v>2</v>
      </c>
      <c r="K2886" s="9">
        <v>4.9649122807017543</v>
      </c>
    </row>
    <row r="2887" spans="1:11" x14ac:dyDescent="0.45">
      <c r="A2887" t="s">
        <v>257</v>
      </c>
      <c r="B2887" t="s">
        <v>657</v>
      </c>
      <c r="C2887" t="s">
        <v>13</v>
      </c>
      <c r="D2887">
        <v>8</v>
      </c>
      <c r="E2887" t="s">
        <v>569</v>
      </c>
      <c r="F2887" t="s">
        <v>622</v>
      </c>
      <c r="G2887">
        <v>2</v>
      </c>
      <c r="H2887">
        <v>5</v>
      </c>
      <c r="I2887">
        <v>0</v>
      </c>
      <c r="J2887">
        <v>0</v>
      </c>
      <c r="K2887" s="9">
        <v>5.132075471698113</v>
      </c>
    </row>
    <row r="2888" spans="1:11" x14ac:dyDescent="0.45">
      <c r="A2888" t="s">
        <v>257</v>
      </c>
      <c r="B2888" t="s">
        <v>657</v>
      </c>
      <c r="C2888" t="s">
        <v>13</v>
      </c>
      <c r="D2888">
        <v>9</v>
      </c>
      <c r="E2888" t="s">
        <v>448</v>
      </c>
      <c r="F2888" t="s">
        <v>623</v>
      </c>
      <c r="G2888">
        <v>2</v>
      </c>
      <c r="H2888">
        <v>2</v>
      </c>
      <c r="I2888">
        <v>0</v>
      </c>
      <c r="J2888">
        <v>0</v>
      </c>
      <c r="K2888" s="9">
        <v>6.1385542168674698</v>
      </c>
    </row>
    <row r="2889" spans="1:11" x14ac:dyDescent="0.45">
      <c r="A2889" t="s">
        <v>258</v>
      </c>
      <c r="B2889" t="s">
        <v>690</v>
      </c>
      <c r="C2889" t="s">
        <v>101</v>
      </c>
      <c r="D2889">
        <v>1</v>
      </c>
      <c r="E2889" t="s">
        <v>380</v>
      </c>
      <c r="F2889" t="s">
        <v>622</v>
      </c>
      <c r="G2889">
        <v>4</v>
      </c>
      <c r="H2889">
        <v>3</v>
      </c>
      <c r="I2889">
        <v>1</v>
      </c>
      <c r="J2889">
        <v>0</v>
      </c>
      <c r="K2889" s="9">
        <v>5.6607142857142856</v>
      </c>
    </row>
    <row r="2890" spans="1:11" x14ac:dyDescent="0.45">
      <c r="A2890" t="s">
        <v>258</v>
      </c>
      <c r="B2890" t="s">
        <v>690</v>
      </c>
      <c r="C2890" t="s">
        <v>101</v>
      </c>
      <c r="D2890">
        <v>2</v>
      </c>
      <c r="E2890" t="s">
        <v>302</v>
      </c>
      <c r="F2890" t="s">
        <v>622</v>
      </c>
      <c r="G2890">
        <v>45</v>
      </c>
      <c r="H2890">
        <v>34</v>
      </c>
      <c r="I2890">
        <v>4</v>
      </c>
      <c r="J2890">
        <v>1</v>
      </c>
      <c r="K2890" s="9">
        <v>4.4137931034482758</v>
      </c>
    </row>
    <row r="2891" spans="1:11" x14ac:dyDescent="0.45">
      <c r="A2891" t="s">
        <v>258</v>
      </c>
      <c r="B2891" t="s">
        <v>690</v>
      </c>
      <c r="C2891" t="s">
        <v>101</v>
      </c>
      <c r="D2891">
        <v>3</v>
      </c>
      <c r="E2891" t="s">
        <v>534</v>
      </c>
      <c r="F2891" t="s">
        <v>622</v>
      </c>
      <c r="G2891">
        <v>20</v>
      </c>
      <c r="H2891">
        <v>19</v>
      </c>
      <c r="I2891">
        <v>2</v>
      </c>
      <c r="J2891">
        <v>0</v>
      </c>
      <c r="K2891" s="9">
        <v>4.5660377358490569</v>
      </c>
    </row>
    <row r="2892" spans="1:11" x14ac:dyDescent="0.45">
      <c r="A2892" t="s">
        <v>258</v>
      </c>
      <c r="B2892" t="s">
        <v>690</v>
      </c>
      <c r="C2892" t="s">
        <v>101</v>
      </c>
      <c r="D2892">
        <v>4</v>
      </c>
      <c r="E2892" t="s">
        <v>361</v>
      </c>
      <c r="F2892" t="s">
        <v>622</v>
      </c>
      <c r="G2892">
        <v>28</v>
      </c>
      <c r="H2892">
        <v>19</v>
      </c>
      <c r="I2892">
        <v>3</v>
      </c>
      <c r="J2892">
        <v>1</v>
      </c>
      <c r="K2892" s="9">
        <v>4.5660377358490569</v>
      </c>
    </row>
    <row r="2893" spans="1:11" x14ac:dyDescent="0.45">
      <c r="A2893" t="s">
        <v>258</v>
      </c>
      <c r="B2893" t="s">
        <v>690</v>
      </c>
      <c r="C2893" t="s">
        <v>101</v>
      </c>
      <c r="D2893">
        <v>5</v>
      </c>
      <c r="E2893" t="s">
        <v>411</v>
      </c>
      <c r="F2893" t="s">
        <v>622</v>
      </c>
      <c r="G2893">
        <v>46</v>
      </c>
      <c r="H2893">
        <v>30</v>
      </c>
      <c r="I2893">
        <v>3</v>
      </c>
      <c r="J2893">
        <v>2</v>
      </c>
      <c r="K2893" s="9">
        <v>3.6774193548387095</v>
      </c>
    </row>
    <row r="2894" spans="1:11" x14ac:dyDescent="0.45">
      <c r="A2894" t="s">
        <v>258</v>
      </c>
      <c r="B2894" t="s">
        <v>690</v>
      </c>
      <c r="C2894" t="s">
        <v>101</v>
      </c>
      <c r="D2894">
        <v>6</v>
      </c>
      <c r="E2894" t="s">
        <v>540</v>
      </c>
      <c r="F2894" t="s">
        <v>622</v>
      </c>
      <c r="G2894">
        <v>27</v>
      </c>
      <c r="H2894">
        <v>13</v>
      </c>
      <c r="I2894">
        <v>0</v>
      </c>
      <c r="J2894">
        <v>3</v>
      </c>
      <c r="K2894" s="9">
        <v>4.8939393939393936</v>
      </c>
    </row>
    <row r="2895" spans="1:11" x14ac:dyDescent="0.45">
      <c r="A2895" t="s">
        <v>258</v>
      </c>
      <c r="B2895" t="s">
        <v>690</v>
      </c>
      <c r="C2895" t="s">
        <v>101</v>
      </c>
      <c r="D2895">
        <v>7</v>
      </c>
      <c r="E2895" t="s">
        <v>390</v>
      </c>
      <c r="F2895" t="s">
        <v>623</v>
      </c>
      <c r="G2895">
        <v>1</v>
      </c>
      <c r="H2895">
        <v>1</v>
      </c>
      <c r="I2895">
        <v>0</v>
      </c>
      <c r="J2895">
        <v>0</v>
      </c>
      <c r="K2895" s="9">
        <v>6.5693779904306222</v>
      </c>
    </row>
    <row r="2896" spans="1:11" x14ac:dyDescent="0.45">
      <c r="A2896" t="s">
        <v>258</v>
      </c>
      <c r="B2896" t="s">
        <v>690</v>
      </c>
      <c r="C2896" t="s">
        <v>101</v>
      </c>
      <c r="D2896">
        <v>8</v>
      </c>
      <c r="E2896" t="s">
        <v>379</v>
      </c>
      <c r="F2896" t="s">
        <v>622</v>
      </c>
      <c r="G2896">
        <v>1</v>
      </c>
      <c r="H2896">
        <v>1</v>
      </c>
      <c r="I2896">
        <v>0</v>
      </c>
      <c r="J2896">
        <v>0</v>
      </c>
      <c r="K2896" s="9">
        <v>6.5693779904306222</v>
      </c>
    </row>
    <row r="2897" spans="1:11" x14ac:dyDescent="0.45">
      <c r="A2897" t="s">
        <v>258</v>
      </c>
      <c r="B2897" t="s">
        <v>690</v>
      </c>
      <c r="C2897" t="s">
        <v>101</v>
      </c>
      <c r="D2897">
        <v>9</v>
      </c>
      <c r="E2897" t="s">
        <v>493</v>
      </c>
      <c r="F2897" t="s">
        <v>623</v>
      </c>
      <c r="G2897">
        <v>0</v>
      </c>
      <c r="H2897">
        <v>0</v>
      </c>
      <c r="I2897">
        <v>0</v>
      </c>
      <c r="J2897">
        <v>0</v>
      </c>
      <c r="K2897" s="9">
        <v>6.2519685039370083</v>
      </c>
    </row>
    <row r="2898" spans="1:11" x14ac:dyDescent="0.45">
      <c r="A2898" t="s">
        <v>258</v>
      </c>
      <c r="B2898" t="s">
        <v>690</v>
      </c>
      <c r="C2898" t="s">
        <v>23</v>
      </c>
      <c r="D2898">
        <v>1</v>
      </c>
      <c r="E2898" t="s">
        <v>383</v>
      </c>
      <c r="F2898" t="s">
        <v>622</v>
      </c>
      <c r="G2898">
        <v>1</v>
      </c>
      <c r="H2898">
        <v>7</v>
      </c>
      <c r="I2898">
        <v>0</v>
      </c>
      <c r="J2898">
        <v>0</v>
      </c>
      <c r="K2898" s="9">
        <v>4.927835051546392</v>
      </c>
    </row>
    <row r="2899" spans="1:11" x14ac:dyDescent="0.45">
      <c r="A2899" t="s">
        <v>258</v>
      </c>
      <c r="B2899" t="s">
        <v>690</v>
      </c>
      <c r="C2899" t="s">
        <v>23</v>
      </c>
      <c r="D2899">
        <v>2</v>
      </c>
      <c r="E2899" t="s">
        <v>458</v>
      </c>
      <c r="F2899" t="s">
        <v>622</v>
      </c>
      <c r="G2899">
        <v>0</v>
      </c>
      <c r="H2899">
        <v>5</v>
      </c>
      <c r="I2899">
        <v>0</v>
      </c>
      <c r="J2899">
        <v>0</v>
      </c>
      <c r="K2899" s="9">
        <v>5.132075471698113</v>
      </c>
    </row>
    <row r="2900" spans="1:11" x14ac:dyDescent="0.45">
      <c r="A2900" t="s">
        <v>258</v>
      </c>
      <c r="B2900" t="s">
        <v>690</v>
      </c>
      <c r="C2900" t="s">
        <v>23</v>
      </c>
      <c r="D2900">
        <v>3</v>
      </c>
      <c r="E2900" t="s">
        <v>342</v>
      </c>
      <c r="F2900" t="s">
        <v>622</v>
      </c>
      <c r="G2900">
        <v>26</v>
      </c>
      <c r="H2900">
        <v>25</v>
      </c>
      <c r="I2900">
        <v>2</v>
      </c>
      <c r="J2900">
        <v>2</v>
      </c>
      <c r="K2900" s="9">
        <v>4.4782608695652177</v>
      </c>
    </row>
    <row r="2901" spans="1:11" x14ac:dyDescent="0.45">
      <c r="A2901" t="s">
        <v>258</v>
      </c>
      <c r="B2901" t="s">
        <v>690</v>
      </c>
      <c r="C2901" t="s">
        <v>23</v>
      </c>
      <c r="D2901">
        <v>4</v>
      </c>
      <c r="E2901" t="s">
        <v>386</v>
      </c>
      <c r="F2901" t="s">
        <v>622</v>
      </c>
      <c r="G2901">
        <v>60</v>
      </c>
      <c r="H2901">
        <v>32</v>
      </c>
      <c r="I2901">
        <v>3</v>
      </c>
      <c r="J2901">
        <v>6</v>
      </c>
      <c r="K2901" s="9">
        <v>3.9375</v>
      </c>
    </row>
    <row r="2902" spans="1:11" x14ac:dyDescent="0.45">
      <c r="A2902" t="s">
        <v>258</v>
      </c>
      <c r="B2902" t="s">
        <v>690</v>
      </c>
      <c r="C2902" t="s">
        <v>23</v>
      </c>
      <c r="D2902">
        <v>5</v>
      </c>
      <c r="E2902" t="s">
        <v>431</v>
      </c>
      <c r="F2902" t="s">
        <v>622</v>
      </c>
      <c r="G2902">
        <v>5</v>
      </c>
      <c r="H2902">
        <v>7</v>
      </c>
      <c r="I2902">
        <v>0</v>
      </c>
      <c r="J2902">
        <v>0</v>
      </c>
      <c r="K2902" s="9">
        <v>4.927835051546392</v>
      </c>
    </row>
    <row r="2903" spans="1:11" x14ac:dyDescent="0.45">
      <c r="A2903" t="s">
        <v>258</v>
      </c>
      <c r="B2903" t="s">
        <v>690</v>
      </c>
      <c r="C2903" t="s">
        <v>23</v>
      </c>
      <c r="D2903">
        <v>6</v>
      </c>
      <c r="E2903" t="s">
        <v>336</v>
      </c>
      <c r="F2903" t="s">
        <v>623</v>
      </c>
      <c r="G2903">
        <v>56</v>
      </c>
      <c r="H2903">
        <v>26</v>
      </c>
      <c r="I2903">
        <v>2</v>
      </c>
      <c r="J2903">
        <v>5</v>
      </c>
      <c r="K2903" s="9">
        <v>4.1568627450980395</v>
      </c>
    </row>
    <row r="2904" spans="1:11" x14ac:dyDescent="0.45">
      <c r="A2904" t="s">
        <v>258</v>
      </c>
      <c r="B2904" t="s">
        <v>690</v>
      </c>
      <c r="C2904" t="s">
        <v>23</v>
      </c>
      <c r="D2904">
        <v>7</v>
      </c>
      <c r="E2904" t="s">
        <v>584</v>
      </c>
      <c r="F2904" t="s">
        <v>622</v>
      </c>
      <c r="G2904">
        <v>18</v>
      </c>
      <c r="H2904">
        <v>10</v>
      </c>
      <c r="I2904">
        <v>2</v>
      </c>
      <c r="J2904">
        <v>1</v>
      </c>
      <c r="K2904" s="9">
        <v>4.7179487179487181</v>
      </c>
    </row>
    <row r="2905" spans="1:11" x14ac:dyDescent="0.45">
      <c r="A2905" t="s">
        <v>258</v>
      </c>
      <c r="B2905" t="s">
        <v>690</v>
      </c>
      <c r="C2905" t="s">
        <v>23</v>
      </c>
      <c r="D2905">
        <v>8</v>
      </c>
      <c r="E2905" t="s">
        <v>339</v>
      </c>
      <c r="F2905" t="s">
        <v>622</v>
      </c>
      <c r="G2905">
        <v>10</v>
      </c>
      <c r="H2905">
        <v>3</v>
      </c>
      <c r="I2905">
        <v>1</v>
      </c>
      <c r="J2905">
        <v>1</v>
      </c>
      <c r="K2905" s="9">
        <v>5.6607142857142856</v>
      </c>
    </row>
    <row r="2906" spans="1:11" x14ac:dyDescent="0.45">
      <c r="A2906" t="s">
        <v>258</v>
      </c>
      <c r="B2906" t="s">
        <v>690</v>
      </c>
      <c r="C2906" t="s">
        <v>23</v>
      </c>
      <c r="D2906">
        <v>9</v>
      </c>
      <c r="E2906" t="s">
        <v>370</v>
      </c>
      <c r="F2906" t="s">
        <v>623</v>
      </c>
      <c r="G2906">
        <v>0</v>
      </c>
      <c r="H2906">
        <v>1</v>
      </c>
      <c r="I2906">
        <v>0</v>
      </c>
      <c r="J2906">
        <v>0</v>
      </c>
      <c r="K2906" s="9">
        <v>6.5693779904306222</v>
      </c>
    </row>
    <row r="2907" spans="1:11" x14ac:dyDescent="0.45">
      <c r="A2907" t="s">
        <v>259</v>
      </c>
      <c r="B2907" t="s">
        <v>677</v>
      </c>
      <c r="C2907" t="s">
        <v>7</v>
      </c>
      <c r="D2907">
        <v>1</v>
      </c>
      <c r="E2907" t="s">
        <v>578</v>
      </c>
      <c r="F2907" t="s">
        <v>622</v>
      </c>
      <c r="G2907">
        <v>8</v>
      </c>
      <c r="H2907">
        <v>12</v>
      </c>
      <c r="I2907">
        <v>0</v>
      </c>
      <c r="J2907">
        <v>0</v>
      </c>
      <c r="K2907" s="9">
        <v>4.8024691358024691</v>
      </c>
    </row>
    <row r="2908" spans="1:11" x14ac:dyDescent="0.45">
      <c r="A2908" t="s">
        <v>259</v>
      </c>
      <c r="B2908" t="s">
        <v>677</v>
      </c>
      <c r="C2908" t="s">
        <v>7</v>
      </c>
      <c r="D2908">
        <v>2</v>
      </c>
      <c r="E2908" t="s">
        <v>506</v>
      </c>
      <c r="F2908" t="s">
        <v>622</v>
      </c>
      <c r="G2908">
        <v>0</v>
      </c>
      <c r="H2908">
        <v>5</v>
      </c>
      <c r="I2908">
        <v>0</v>
      </c>
      <c r="J2908">
        <v>0</v>
      </c>
      <c r="K2908" s="9">
        <v>5.132075471698113</v>
      </c>
    </row>
    <row r="2909" spans="1:11" x14ac:dyDescent="0.45">
      <c r="A2909" t="s">
        <v>259</v>
      </c>
      <c r="B2909" t="s">
        <v>677</v>
      </c>
      <c r="C2909" t="s">
        <v>7</v>
      </c>
      <c r="D2909">
        <v>3</v>
      </c>
      <c r="E2909" t="s">
        <v>304</v>
      </c>
      <c r="F2909" t="s">
        <v>622</v>
      </c>
      <c r="G2909">
        <v>104</v>
      </c>
      <c r="H2909">
        <v>51</v>
      </c>
      <c r="I2909">
        <v>6</v>
      </c>
      <c r="J2909">
        <v>9</v>
      </c>
      <c r="K2909" s="9">
        <v>3.2352941176470589</v>
      </c>
    </row>
    <row r="2910" spans="1:11" x14ac:dyDescent="0.45">
      <c r="A2910" t="s">
        <v>259</v>
      </c>
      <c r="B2910" t="s">
        <v>677</v>
      </c>
      <c r="C2910" t="s">
        <v>7</v>
      </c>
      <c r="D2910">
        <v>4</v>
      </c>
      <c r="E2910" t="s">
        <v>306</v>
      </c>
      <c r="F2910" t="s">
        <v>622</v>
      </c>
      <c r="G2910">
        <v>5</v>
      </c>
      <c r="H2910">
        <v>10</v>
      </c>
      <c r="I2910">
        <v>0</v>
      </c>
      <c r="J2910">
        <v>0</v>
      </c>
      <c r="K2910" s="9">
        <v>4.7179487179487181</v>
      </c>
    </row>
    <row r="2911" spans="1:11" x14ac:dyDescent="0.45">
      <c r="A2911" t="s">
        <v>259</v>
      </c>
      <c r="B2911" t="s">
        <v>677</v>
      </c>
      <c r="C2911" t="s">
        <v>7</v>
      </c>
      <c r="D2911">
        <v>5</v>
      </c>
      <c r="E2911" t="s">
        <v>326</v>
      </c>
      <c r="F2911" t="s">
        <v>622</v>
      </c>
      <c r="G2911">
        <v>13</v>
      </c>
      <c r="H2911">
        <v>11</v>
      </c>
      <c r="I2911">
        <v>1</v>
      </c>
      <c r="J2911">
        <v>0</v>
      </c>
      <c r="K2911" s="9">
        <v>4.9649122807017543</v>
      </c>
    </row>
    <row r="2912" spans="1:11" x14ac:dyDescent="0.45">
      <c r="A2912" t="s">
        <v>259</v>
      </c>
      <c r="B2912" t="s">
        <v>677</v>
      </c>
      <c r="C2912" t="s">
        <v>7</v>
      </c>
      <c r="D2912">
        <v>6</v>
      </c>
      <c r="E2912" t="s">
        <v>514</v>
      </c>
      <c r="F2912" t="s">
        <v>622</v>
      </c>
      <c r="G2912">
        <v>18</v>
      </c>
      <c r="H2912">
        <v>18</v>
      </c>
      <c r="I2912">
        <v>2</v>
      </c>
      <c r="J2912">
        <v>0</v>
      </c>
      <c r="K2912" s="9">
        <v>4.375</v>
      </c>
    </row>
    <row r="2913" spans="1:11" x14ac:dyDescent="0.45">
      <c r="A2913" t="s">
        <v>259</v>
      </c>
      <c r="B2913" t="s">
        <v>677</v>
      </c>
      <c r="C2913" t="s">
        <v>7</v>
      </c>
      <c r="D2913">
        <v>7</v>
      </c>
      <c r="E2913" t="s">
        <v>440</v>
      </c>
      <c r="F2913" t="s">
        <v>623</v>
      </c>
      <c r="G2913">
        <v>21</v>
      </c>
      <c r="H2913">
        <v>11</v>
      </c>
      <c r="I2913">
        <v>3</v>
      </c>
      <c r="J2913">
        <v>1</v>
      </c>
      <c r="K2913" s="9">
        <v>4.9649122807017543</v>
      </c>
    </row>
    <row r="2914" spans="1:11" x14ac:dyDescent="0.45">
      <c r="A2914" t="s">
        <v>259</v>
      </c>
      <c r="B2914" t="s">
        <v>677</v>
      </c>
      <c r="C2914" t="s">
        <v>7</v>
      </c>
      <c r="D2914">
        <v>8</v>
      </c>
      <c r="E2914" t="s">
        <v>308</v>
      </c>
      <c r="F2914" t="s">
        <v>623</v>
      </c>
      <c r="G2914">
        <v>2</v>
      </c>
      <c r="H2914">
        <v>2</v>
      </c>
      <c r="I2914">
        <v>0</v>
      </c>
      <c r="J2914">
        <v>0</v>
      </c>
      <c r="K2914" s="9">
        <v>6.1385542168674698</v>
      </c>
    </row>
    <row r="2915" spans="1:11" x14ac:dyDescent="0.45">
      <c r="A2915" t="s">
        <v>259</v>
      </c>
      <c r="B2915" t="s">
        <v>677</v>
      </c>
      <c r="C2915" t="s">
        <v>19</v>
      </c>
      <c r="D2915">
        <v>1</v>
      </c>
      <c r="E2915" t="s">
        <v>359</v>
      </c>
      <c r="F2915" t="s">
        <v>622</v>
      </c>
      <c r="G2915">
        <v>20</v>
      </c>
      <c r="H2915">
        <v>13</v>
      </c>
      <c r="I2915">
        <v>1</v>
      </c>
      <c r="J2915">
        <v>2</v>
      </c>
      <c r="K2915" s="9">
        <v>4.8939393939393936</v>
      </c>
    </row>
    <row r="2916" spans="1:11" x14ac:dyDescent="0.45">
      <c r="A2916" t="s">
        <v>259</v>
      </c>
      <c r="B2916" t="s">
        <v>677</v>
      </c>
      <c r="C2916" t="s">
        <v>19</v>
      </c>
      <c r="D2916">
        <v>2</v>
      </c>
      <c r="E2916" t="s">
        <v>360</v>
      </c>
      <c r="F2916" t="s">
        <v>622</v>
      </c>
      <c r="G2916">
        <v>58</v>
      </c>
      <c r="H2916">
        <v>25</v>
      </c>
      <c r="I2916">
        <v>5</v>
      </c>
      <c r="J2916">
        <v>5</v>
      </c>
      <c r="K2916" s="9">
        <v>4.4782608695652177</v>
      </c>
    </row>
    <row r="2917" spans="1:11" x14ac:dyDescent="0.45">
      <c r="A2917" t="s">
        <v>259</v>
      </c>
      <c r="B2917" t="s">
        <v>677</v>
      </c>
      <c r="C2917" t="s">
        <v>19</v>
      </c>
      <c r="D2917">
        <v>3</v>
      </c>
      <c r="E2917" t="s">
        <v>363</v>
      </c>
      <c r="F2917" t="s">
        <v>622</v>
      </c>
      <c r="G2917">
        <v>43</v>
      </c>
      <c r="H2917">
        <v>25</v>
      </c>
      <c r="I2917">
        <v>4</v>
      </c>
      <c r="J2917">
        <v>3</v>
      </c>
      <c r="K2917" s="9">
        <v>4.4782608695652177</v>
      </c>
    </row>
    <row r="2918" spans="1:11" x14ac:dyDescent="0.45">
      <c r="A2918" t="s">
        <v>259</v>
      </c>
      <c r="B2918" t="s">
        <v>677</v>
      </c>
      <c r="C2918" t="s">
        <v>19</v>
      </c>
      <c r="D2918">
        <v>4</v>
      </c>
      <c r="E2918" t="s">
        <v>502</v>
      </c>
      <c r="F2918" t="s">
        <v>622</v>
      </c>
      <c r="G2918">
        <v>30</v>
      </c>
      <c r="H2918">
        <v>25</v>
      </c>
      <c r="I2918">
        <v>3</v>
      </c>
      <c r="J2918">
        <v>1</v>
      </c>
      <c r="K2918" s="9">
        <v>4.4782608695652177</v>
      </c>
    </row>
    <row r="2919" spans="1:11" x14ac:dyDescent="0.45">
      <c r="A2919" t="s">
        <v>259</v>
      </c>
      <c r="B2919" t="s">
        <v>677</v>
      </c>
      <c r="C2919" t="s">
        <v>19</v>
      </c>
      <c r="D2919">
        <v>5</v>
      </c>
      <c r="E2919" t="s">
        <v>447</v>
      </c>
      <c r="F2919" t="s">
        <v>623</v>
      </c>
      <c r="G2919">
        <v>24</v>
      </c>
      <c r="H2919">
        <v>13</v>
      </c>
      <c r="I2919">
        <v>1</v>
      </c>
      <c r="J2919">
        <v>2</v>
      </c>
      <c r="K2919" s="9">
        <v>4.8939393939393936</v>
      </c>
    </row>
    <row r="2920" spans="1:11" x14ac:dyDescent="0.45">
      <c r="A2920" t="s">
        <v>259</v>
      </c>
      <c r="B2920" t="s">
        <v>677</v>
      </c>
      <c r="C2920" t="s">
        <v>19</v>
      </c>
      <c r="D2920">
        <v>6</v>
      </c>
      <c r="E2920" t="s">
        <v>559</v>
      </c>
      <c r="F2920" t="s">
        <v>622</v>
      </c>
      <c r="G2920">
        <v>6</v>
      </c>
      <c r="H2920">
        <v>4</v>
      </c>
      <c r="I2920">
        <v>1</v>
      </c>
      <c r="J2920">
        <v>0</v>
      </c>
      <c r="K2920" s="9">
        <v>5.352380952380952</v>
      </c>
    </row>
    <row r="2921" spans="1:11" x14ac:dyDescent="0.45">
      <c r="A2921" t="s">
        <v>259</v>
      </c>
      <c r="B2921" t="s">
        <v>677</v>
      </c>
      <c r="C2921" t="s">
        <v>19</v>
      </c>
      <c r="D2921">
        <v>7</v>
      </c>
      <c r="E2921" t="s">
        <v>560</v>
      </c>
      <c r="F2921" t="s">
        <v>623</v>
      </c>
      <c r="G2921">
        <v>1</v>
      </c>
      <c r="H2921">
        <v>1</v>
      </c>
      <c r="I2921">
        <v>0</v>
      </c>
      <c r="J2921">
        <v>0</v>
      </c>
      <c r="K2921" s="9">
        <v>6.5693779904306222</v>
      </c>
    </row>
    <row r="2922" spans="1:11" x14ac:dyDescent="0.45">
      <c r="A2922" t="s">
        <v>260</v>
      </c>
      <c r="B2922" t="s">
        <v>685</v>
      </c>
      <c r="C2922" t="s">
        <v>104</v>
      </c>
      <c r="D2922">
        <v>1</v>
      </c>
      <c r="E2922" t="s">
        <v>397</v>
      </c>
      <c r="F2922" t="s">
        <v>622</v>
      </c>
      <c r="G2922">
        <v>74</v>
      </c>
      <c r="H2922">
        <v>56</v>
      </c>
      <c r="I2922">
        <v>8</v>
      </c>
      <c r="J2922">
        <v>1</v>
      </c>
      <c r="K2922" s="9">
        <v>3</v>
      </c>
    </row>
    <row r="2923" spans="1:11" x14ac:dyDescent="0.45">
      <c r="A2923" t="s">
        <v>260</v>
      </c>
      <c r="B2923" t="s">
        <v>685</v>
      </c>
      <c r="C2923" t="s">
        <v>104</v>
      </c>
      <c r="D2923">
        <v>2</v>
      </c>
      <c r="E2923" t="s">
        <v>564</v>
      </c>
      <c r="F2923" t="s">
        <v>622</v>
      </c>
      <c r="G2923">
        <v>29</v>
      </c>
      <c r="H2923">
        <v>23</v>
      </c>
      <c r="I2923">
        <v>1</v>
      </c>
      <c r="J2923">
        <v>3</v>
      </c>
      <c r="K2923" s="9">
        <v>5.1142857142857139</v>
      </c>
    </row>
    <row r="2924" spans="1:11" x14ac:dyDescent="0.45">
      <c r="A2924" t="s">
        <v>260</v>
      </c>
      <c r="B2924" t="s">
        <v>685</v>
      </c>
      <c r="C2924" t="s">
        <v>104</v>
      </c>
      <c r="D2924">
        <v>3</v>
      </c>
      <c r="E2924" t="s">
        <v>426</v>
      </c>
      <c r="F2924" t="s">
        <v>622</v>
      </c>
      <c r="G2924">
        <v>2</v>
      </c>
      <c r="H2924">
        <v>3</v>
      </c>
      <c r="I2924">
        <v>0</v>
      </c>
      <c r="J2924">
        <v>0</v>
      </c>
      <c r="K2924" s="9">
        <v>5.6607142857142856</v>
      </c>
    </row>
    <row r="2925" spans="1:11" x14ac:dyDescent="0.45">
      <c r="A2925" t="s">
        <v>260</v>
      </c>
      <c r="B2925" t="s">
        <v>685</v>
      </c>
      <c r="C2925" t="s">
        <v>104</v>
      </c>
      <c r="D2925">
        <v>4</v>
      </c>
      <c r="E2925" t="s">
        <v>366</v>
      </c>
      <c r="F2925" t="s">
        <v>622</v>
      </c>
      <c r="G2925">
        <v>18</v>
      </c>
      <c r="H2925">
        <v>17</v>
      </c>
      <c r="I2925">
        <v>2</v>
      </c>
      <c r="J2925">
        <v>0</v>
      </c>
      <c r="K2925" s="9">
        <v>4.82</v>
      </c>
    </row>
    <row r="2926" spans="1:11" x14ac:dyDescent="0.45">
      <c r="A2926" t="s">
        <v>260</v>
      </c>
      <c r="B2926" t="s">
        <v>685</v>
      </c>
      <c r="C2926" t="s">
        <v>104</v>
      </c>
      <c r="D2926">
        <v>5</v>
      </c>
      <c r="E2926" t="s">
        <v>416</v>
      </c>
      <c r="F2926" t="s">
        <v>622</v>
      </c>
      <c r="G2926">
        <v>0</v>
      </c>
      <c r="H2926">
        <v>1</v>
      </c>
      <c r="I2926">
        <v>0</v>
      </c>
      <c r="J2926">
        <v>0</v>
      </c>
      <c r="K2926" s="9">
        <v>6.5693779904306222</v>
      </c>
    </row>
    <row r="2927" spans="1:11" x14ac:dyDescent="0.45">
      <c r="A2927" t="s">
        <v>260</v>
      </c>
      <c r="B2927" t="s">
        <v>685</v>
      </c>
      <c r="C2927" t="s">
        <v>104</v>
      </c>
      <c r="D2927">
        <v>6</v>
      </c>
      <c r="E2927" t="s">
        <v>331</v>
      </c>
      <c r="F2927" t="s">
        <v>622</v>
      </c>
      <c r="G2927">
        <v>15</v>
      </c>
      <c r="H2927">
        <v>11</v>
      </c>
      <c r="I2927">
        <v>0</v>
      </c>
      <c r="J2927">
        <v>2</v>
      </c>
      <c r="K2927" s="9">
        <v>4.9649122807017543</v>
      </c>
    </row>
    <row r="2928" spans="1:11" x14ac:dyDescent="0.45">
      <c r="A2928" t="s">
        <v>260</v>
      </c>
      <c r="B2928" t="s">
        <v>685</v>
      </c>
      <c r="C2928" t="s">
        <v>104</v>
      </c>
      <c r="D2928">
        <v>7</v>
      </c>
      <c r="E2928" t="s">
        <v>521</v>
      </c>
      <c r="F2928" t="s">
        <v>623</v>
      </c>
      <c r="G2928">
        <v>5</v>
      </c>
      <c r="H2928">
        <v>6</v>
      </c>
      <c r="I2928">
        <v>0</v>
      </c>
      <c r="J2928">
        <v>0</v>
      </c>
      <c r="K2928" s="9">
        <v>5.4565217391304346</v>
      </c>
    </row>
    <row r="2929" spans="1:11" x14ac:dyDescent="0.45">
      <c r="A2929" t="s">
        <v>260</v>
      </c>
      <c r="B2929" t="s">
        <v>685</v>
      </c>
      <c r="C2929" t="s">
        <v>104</v>
      </c>
      <c r="D2929">
        <v>8</v>
      </c>
      <c r="E2929" t="s">
        <v>516</v>
      </c>
      <c r="F2929" t="s">
        <v>622</v>
      </c>
      <c r="G2929">
        <v>1</v>
      </c>
      <c r="H2929">
        <v>2</v>
      </c>
      <c r="I2929">
        <v>0</v>
      </c>
      <c r="J2929">
        <v>0</v>
      </c>
      <c r="K2929" s="9">
        <v>6.1385542168674698</v>
      </c>
    </row>
    <row r="2930" spans="1:11" x14ac:dyDescent="0.45">
      <c r="A2930" t="s">
        <v>260</v>
      </c>
      <c r="B2930" t="s">
        <v>685</v>
      </c>
      <c r="C2930" t="s">
        <v>104</v>
      </c>
      <c r="D2930">
        <v>9</v>
      </c>
      <c r="E2930" t="s">
        <v>592</v>
      </c>
      <c r="F2930" t="s">
        <v>622</v>
      </c>
      <c r="G2930">
        <v>0</v>
      </c>
      <c r="H2930">
        <v>1</v>
      </c>
      <c r="I2930">
        <v>0</v>
      </c>
      <c r="J2930">
        <v>0</v>
      </c>
      <c r="K2930" s="9">
        <v>6.5693779904306222</v>
      </c>
    </row>
    <row r="2931" spans="1:11" x14ac:dyDescent="0.45">
      <c r="A2931" t="s">
        <v>260</v>
      </c>
      <c r="B2931" t="s">
        <v>685</v>
      </c>
      <c r="C2931" t="s">
        <v>104</v>
      </c>
      <c r="D2931">
        <v>10</v>
      </c>
      <c r="E2931" t="s">
        <v>407</v>
      </c>
      <c r="F2931" t="s">
        <v>623</v>
      </c>
      <c r="G2931">
        <v>3</v>
      </c>
      <c r="H2931">
        <v>1</v>
      </c>
      <c r="I2931">
        <v>0</v>
      </c>
      <c r="J2931">
        <v>0</v>
      </c>
      <c r="K2931" s="9">
        <v>6.5693779904306222</v>
      </c>
    </row>
    <row r="2932" spans="1:11" x14ac:dyDescent="0.45">
      <c r="A2932" t="s">
        <v>260</v>
      </c>
      <c r="B2932" t="s">
        <v>685</v>
      </c>
      <c r="C2932" t="s">
        <v>26</v>
      </c>
      <c r="D2932">
        <v>1</v>
      </c>
      <c r="E2932" t="s">
        <v>583</v>
      </c>
      <c r="F2932" t="s">
        <v>622</v>
      </c>
      <c r="G2932">
        <v>0</v>
      </c>
      <c r="H2932">
        <v>3</v>
      </c>
      <c r="I2932">
        <v>0</v>
      </c>
      <c r="J2932">
        <v>0</v>
      </c>
      <c r="K2932" s="9">
        <v>5.6607142857142856</v>
      </c>
    </row>
    <row r="2933" spans="1:11" x14ac:dyDescent="0.45">
      <c r="A2933" t="s">
        <v>260</v>
      </c>
      <c r="B2933" t="s">
        <v>685</v>
      </c>
      <c r="C2933" t="s">
        <v>26</v>
      </c>
      <c r="D2933">
        <v>2</v>
      </c>
      <c r="E2933" t="s">
        <v>454</v>
      </c>
      <c r="F2933" t="s">
        <v>622</v>
      </c>
      <c r="G2933">
        <v>4</v>
      </c>
      <c r="H2933">
        <v>4</v>
      </c>
      <c r="I2933">
        <v>1</v>
      </c>
      <c r="J2933">
        <v>0</v>
      </c>
      <c r="K2933" s="9">
        <v>5.352380952380952</v>
      </c>
    </row>
    <row r="2934" spans="1:11" x14ac:dyDescent="0.45">
      <c r="A2934" t="s">
        <v>260</v>
      </c>
      <c r="B2934" t="s">
        <v>685</v>
      </c>
      <c r="C2934" t="s">
        <v>26</v>
      </c>
      <c r="D2934">
        <v>3</v>
      </c>
      <c r="E2934" t="s">
        <v>596</v>
      </c>
      <c r="F2934" t="s">
        <v>622</v>
      </c>
      <c r="G2934">
        <v>34</v>
      </c>
      <c r="H2934">
        <v>22</v>
      </c>
      <c r="I2934">
        <v>5</v>
      </c>
      <c r="J2934">
        <v>1</v>
      </c>
      <c r="K2934" s="9">
        <v>4.4423076923076925</v>
      </c>
    </row>
    <row r="2935" spans="1:11" x14ac:dyDescent="0.45">
      <c r="A2935" t="s">
        <v>260</v>
      </c>
      <c r="B2935" t="s">
        <v>685</v>
      </c>
      <c r="C2935" t="s">
        <v>26</v>
      </c>
      <c r="D2935">
        <v>4</v>
      </c>
      <c r="E2935" t="s">
        <v>603</v>
      </c>
      <c r="F2935" t="s">
        <v>622</v>
      </c>
      <c r="G2935">
        <v>22</v>
      </c>
      <c r="H2935">
        <v>22</v>
      </c>
      <c r="I2935">
        <v>3</v>
      </c>
      <c r="J2935">
        <v>0</v>
      </c>
      <c r="K2935" s="9">
        <v>4.4423076923076925</v>
      </c>
    </row>
    <row r="2936" spans="1:11" x14ac:dyDescent="0.45">
      <c r="A2936" t="s">
        <v>260</v>
      </c>
      <c r="B2936" t="s">
        <v>685</v>
      </c>
      <c r="C2936" t="s">
        <v>26</v>
      </c>
      <c r="D2936">
        <v>5</v>
      </c>
      <c r="E2936" t="s">
        <v>590</v>
      </c>
      <c r="F2936" t="s">
        <v>622</v>
      </c>
      <c r="G2936">
        <v>57</v>
      </c>
      <c r="H2936">
        <v>41</v>
      </c>
      <c r="I2936">
        <v>4</v>
      </c>
      <c r="J2936">
        <v>3</v>
      </c>
      <c r="K2936" s="9">
        <v>3.0909090909090908</v>
      </c>
    </row>
    <row r="2937" spans="1:11" x14ac:dyDescent="0.45">
      <c r="A2937" t="s">
        <v>260</v>
      </c>
      <c r="B2937" t="s">
        <v>685</v>
      </c>
      <c r="C2937" t="s">
        <v>26</v>
      </c>
      <c r="D2937">
        <v>6</v>
      </c>
      <c r="E2937" t="s">
        <v>420</v>
      </c>
      <c r="F2937" t="s">
        <v>622</v>
      </c>
      <c r="G2937">
        <v>6</v>
      </c>
      <c r="H2937">
        <v>6</v>
      </c>
      <c r="I2937">
        <v>1</v>
      </c>
      <c r="J2937">
        <v>0</v>
      </c>
      <c r="K2937" s="9">
        <v>5.4565217391304346</v>
      </c>
    </row>
    <row r="2938" spans="1:11" x14ac:dyDescent="0.45">
      <c r="A2938" t="s">
        <v>260</v>
      </c>
      <c r="B2938" t="s">
        <v>685</v>
      </c>
      <c r="C2938" t="s">
        <v>26</v>
      </c>
      <c r="D2938">
        <v>7</v>
      </c>
      <c r="E2938" t="s">
        <v>495</v>
      </c>
      <c r="F2938" t="s">
        <v>622</v>
      </c>
      <c r="G2938">
        <v>2</v>
      </c>
      <c r="H2938">
        <v>4</v>
      </c>
      <c r="I2938">
        <v>0</v>
      </c>
      <c r="J2938">
        <v>0</v>
      </c>
      <c r="K2938" s="9">
        <v>5.352380952380952</v>
      </c>
    </row>
    <row r="2939" spans="1:11" x14ac:dyDescent="0.45">
      <c r="A2939" t="s">
        <v>260</v>
      </c>
      <c r="B2939" t="s">
        <v>685</v>
      </c>
      <c r="C2939" t="s">
        <v>26</v>
      </c>
      <c r="D2939">
        <v>8</v>
      </c>
      <c r="E2939" t="s">
        <v>400</v>
      </c>
      <c r="F2939" t="s">
        <v>623</v>
      </c>
      <c r="G2939">
        <v>23</v>
      </c>
      <c r="H2939">
        <v>10</v>
      </c>
      <c r="I2939">
        <v>1</v>
      </c>
      <c r="J2939">
        <v>2</v>
      </c>
      <c r="K2939" s="9">
        <v>4.7179487179487181</v>
      </c>
    </row>
    <row r="2940" spans="1:11" x14ac:dyDescent="0.45">
      <c r="A2940" t="s">
        <v>260</v>
      </c>
      <c r="B2940" t="s">
        <v>685</v>
      </c>
      <c r="C2940" t="s">
        <v>26</v>
      </c>
      <c r="D2940">
        <v>9</v>
      </c>
      <c r="E2940" t="s">
        <v>404</v>
      </c>
      <c r="F2940" t="s">
        <v>622</v>
      </c>
      <c r="G2940">
        <v>6</v>
      </c>
      <c r="H2940">
        <v>4</v>
      </c>
      <c r="I2940">
        <v>1</v>
      </c>
      <c r="J2940">
        <v>0</v>
      </c>
      <c r="K2940" s="9">
        <v>5.352380952380952</v>
      </c>
    </row>
    <row r="2941" spans="1:11" x14ac:dyDescent="0.45">
      <c r="A2941" t="s">
        <v>260</v>
      </c>
      <c r="B2941" t="s">
        <v>685</v>
      </c>
      <c r="C2941" t="s">
        <v>26</v>
      </c>
      <c r="D2941">
        <v>10</v>
      </c>
      <c r="E2941" t="s">
        <v>341</v>
      </c>
      <c r="F2941" t="s">
        <v>623</v>
      </c>
      <c r="G2941">
        <v>0</v>
      </c>
      <c r="H2941">
        <v>1</v>
      </c>
      <c r="I2941">
        <v>0</v>
      </c>
      <c r="J2941">
        <v>0</v>
      </c>
      <c r="K2941" s="9">
        <v>6.5693779904306222</v>
      </c>
    </row>
    <row r="2942" spans="1:11" x14ac:dyDescent="0.45">
      <c r="A2942" t="s">
        <v>261</v>
      </c>
      <c r="B2942" t="s">
        <v>655</v>
      </c>
      <c r="C2942" t="s">
        <v>13</v>
      </c>
      <c r="D2942">
        <v>1</v>
      </c>
      <c r="E2942" t="s">
        <v>343</v>
      </c>
      <c r="F2942" t="s">
        <v>622</v>
      </c>
      <c r="G2942">
        <v>50</v>
      </c>
      <c r="H2942">
        <v>34</v>
      </c>
      <c r="I2942">
        <v>6</v>
      </c>
      <c r="J2942">
        <v>1</v>
      </c>
      <c r="K2942" s="9">
        <v>4.4137931034482758</v>
      </c>
    </row>
    <row r="2943" spans="1:11" x14ac:dyDescent="0.45">
      <c r="A2943" t="s">
        <v>261</v>
      </c>
      <c r="B2943" t="s">
        <v>655</v>
      </c>
      <c r="C2943" t="s">
        <v>13</v>
      </c>
      <c r="D2943">
        <v>2</v>
      </c>
      <c r="E2943" t="s">
        <v>294</v>
      </c>
      <c r="F2943" t="s">
        <v>622</v>
      </c>
      <c r="G2943">
        <v>22</v>
      </c>
      <c r="H2943">
        <v>16</v>
      </c>
      <c r="I2943">
        <v>3</v>
      </c>
      <c r="J2943">
        <v>1</v>
      </c>
      <c r="K2943" s="9">
        <v>4.7608695652173916</v>
      </c>
    </row>
    <row r="2944" spans="1:11" x14ac:dyDescent="0.45">
      <c r="A2944" t="s">
        <v>261</v>
      </c>
      <c r="B2944" t="s">
        <v>655</v>
      </c>
      <c r="C2944" t="s">
        <v>13</v>
      </c>
      <c r="D2944">
        <v>3</v>
      </c>
      <c r="E2944" t="s">
        <v>430</v>
      </c>
      <c r="F2944" t="s">
        <v>622</v>
      </c>
      <c r="G2944">
        <v>26</v>
      </c>
      <c r="H2944">
        <v>18</v>
      </c>
      <c r="I2944">
        <v>0</v>
      </c>
      <c r="J2944">
        <v>2</v>
      </c>
      <c r="K2944" s="9">
        <v>4.375</v>
      </c>
    </row>
    <row r="2945" spans="1:11" x14ac:dyDescent="0.45">
      <c r="A2945" t="s">
        <v>261</v>
      </c>
      <c r="B2945" t="s">
        <v>655</v>
      </c>
      <c r="C2945" t="s">
        <v>13</v>
      </c>
      <c r="D2945">
        <v>4</v>
      </c>
      <c r="E2945" t="s">
        <v>345</v>
      </c>
      <c r="F2945" t="s">
        <v>622</v>
      </c>
      <c r="G2945">
        <v>24</v>
      </c>
      <c r="H2945">
        <v>14</v>
      </c>
      <c r="I2945">
        <v>0</v>
      </c>
      <c r="J2945">
        <v>3</v>
      </c>
      <c r="K2945" s="9">
        <v>4.8461538461538458</v>
      </c>
    </row>
    <row r="2946" spans="1:11" x14ac:dyDescent="0.45">
      <c r="A2946" t="s">
        <v>261</v>
      </c>
      <c r="B2946" t="s">
        <v>655</v>
      </c>
      <c r="C2946" t="s">
        <v>13</v>
      </c>
      <c r="D2946">
        <v>5</v>
      </c>
      <c r="E2946" t="s">
        <v>349</v>
      </c>
      <c r="F2946" t="s">
        <v>622</v>
      </c>
      <c r="G2946">
        <v>6</v>
      </c>
      <c r="H2946">
        <v>4</v>
      </c>
      <c r="I2946">
        <v>0</v>
      </c>
      <c r="J2946">
        <v>1</v>
      </c>
      <c r="K2946" s="9">
        <v>5.352380952380952</v>
      </c>
    </row>
    <row r="2947" spans="1:11" x14ac:dyDescent="0.45">
      <c r="A2947" t="s">
        <v>261</v>
      </c>
      <c r="B2947" t="s">
        <v>655</v>
      </c>
      <c r="C2947" t="s">
        <v>13</v>
      </c>
      <c r="D2947">
        <v>6</v>
      </c>
      <c r="E2947" t="s">
        <v>347</v>
      </c>
      <c r="F2947" t="s">
        <v>623</v>
      </c>
      <c r="G2947">
        <v>20</v>
      </c>
      <c r="H2947">
        <v>12</v>
      </c>
      <c r="I2947">
        <v>3</v>
      </c>
      <c r="J2947">
        <v>0</v>
      </c>
      <c r="K2947" s="9">
        <v>4.8024691358024691</v>
      </c>
    </row>
    <row r="2948" spans="1:11" x14ac:dyDescent="0.45">
      <c r="A2948" t="s">
        <v>261</v>
      </c>
      <c r="B2948" t="s">
        <v>655</v>
      </c>
      <c r="C2948" t="s">
        <v>13</v>
      </c>
      <c r="D2948">
        <v>7</v>
      </c>
      <c r="E2948" t="s">
        <v>311</v>
      </c>
      <c r="F2948" t="s">
        <v>622</v>
      </c>
      <c r="G2948">
        <v>0</v>
      </c>
      <c r="H2948">
        <v>1</v>
      </c>
      <c r="I2948">
        <v>0</v>
      </c>
      <c r="J2948">
        <v>0</v>
      </c>
      <c r="K2948" s="9">
        <v>6.5693779904306222</v>
      </c>
    </row>
    <row r="2949" spans="1:11" x14ac:dyDescent="0.45">
      <c r="A2949" t="s">
        <v>261</v>
      </c>
      <c r="B2949" t="s">
        <v>655</v>
      </c>
      <c r="C2949" t="s">
        <v>13</v>
      </c>
      <c r="D2949">
        <v>8</v>
      </c>
      <c r="E2949" t="s">
        <v>388</v>
      </c>
      <c r="F2949" t="s">
        <v>623</v>
      </c>
      <c r="G2949">
        <v>15</v>
      </c>
      <c r="H2949">
        <v>22</v>
      </c>
      <c r="I2949">
        <v>1</v>
      </c>
      <c r="J2949">
        <v>0</v>
      </c>
      <c r="K2949" s="9">
        <v>4.4423076923076925</v>
      </c>
    </row>
    <row r="2950" spans="1:11" x14ac:dyDescent="0.45">
      <c r="A2950" t="s">
        <v>261</v>
      </c>
      <c r="B2950" t="s">
        <v>655</v>
      </c>
      <c r="C2950" t="s">
        <v>10</v>
      </c>
      <c r="D2950">
        <v>1</v>
      </c>
      <c r="E2950" t="s">
        <v>442</v>
      </c>
      <c r="F2950" t="s">
        <v>622</v>
      </c>
      <c r="G2950">
        <v>19</v>
      </c>
      <c r="H2950">
        <v>13</v>
      </c>
      <c r="I2950">
        <v>4</v>
      </c>
      <c r="J2950">
        <v>0</v>
      </c>
      <c r="K2950" s="9">
        <v>4.8939393939393936</v>
      </c>
    </row>
    <row r="2951" spans="1:11" x14ac:dyDescent="0.45">
      <c r="A2951" t="s">
        <v>261</v>
      </c>
      <c r="B2951" t="s">
        <v>655</v>
      </c>
      <c r="C2951" t="s">
        <v>10</v>
      </c>
      <c r="D2951">
        <v>2</v>
      </c>
      <c r="E2951" t="s">
        <v>329</v>
      </c>
      <c r="F2951" t="s">
        <v>622</v>
      </c>
      <c r="G2951">
        <v>0</v>
      </c>
      <c r="H2951">
        <v>2</v>
      </c>
      <c r="I2951">
        <v>0</v>
      </c>
      <c r="J2951">
        <v>0</v>
      </c>
      <c r="K2951" s="9">
        <v>6.1385542168674698</v>
      </c>
    </row>
    <row r="2952" spans="1:11" x14ac:dyDescent="0.45">
      <c r="A2952" t="s">
        <v>261</v>
      </c>
      <c r="B2952" t="s">
        <v>655</v>
      </c>
      <c r="C2952" t="s">
        <v>10</v>
      </c>
      <c r="D2952">
        <v>3</v>
      </c>
      <c r="E2952" t="s">
        <v>498</v>
      </c>
      <c r="F2952" t="s">
        <v>622</v>
      </c>
      <c r="G2952">
        <v>0</v>
      </c>
      <c r="H2952">
        <v>4</v>
      </c>
      <c r="I2952">
        <v>0</v>
      </c>
      <c r="J2952">
        <v>0</v>
      </c>
      <c r="K2952" s="9">
        <v>5.352380952380952</v>
      </c>
    </row>
    <row r="2953" spans="1:11" x14ac:dyDescent="0.45">
      <c r="A2953" t="s">
        <v>261</v>
      </c>
      <c r="B2953" t="s">
        <v>655</v>
      </c>
      <c r="C2953" t="s">
        <v>10</v>
      </c>
      <c r="D2953">
        <v>4</v>
      </c>
      <c r="E2953" t="s">
        <v>582</v>
      </c>
      <c r="F2953" t="s">
        <v>622</v>
      </c>
      <c r="G2953">
        <v>1</v>
      </c>
      <c r="H2953">
        <v>4</v>
      </c>
      <c r="I2953">
        <v>0</v>
      </c>
      <c r="J2953">
        <v>0</v>
      </c>
      <c r="K2953" s="9">
        <v>5.352380952380952</v>
      </c>
    </row>
    <row r="2954" spans="1:11" x14ac:dyDescent="0.45">
      <c r="A2954" t="s">
        <v>261</v>
      </c>
      <c r="B2954" t="s">
        <v>655</v>
      </c>
      <c r="C2954" t="s">
        <v>10</v>
      </c>
      <c r="D2954">
        <v>5</v>
      </c>
      <c r="E2954" t="s">
        <v>374</v>
      </c>
      <c r="F2954" t="s">
        <v>622</v>
      </c>
      <c r="G2954">
        <v>50</v>
      </c>
      <c r="H2954">
        <v>38</v>
      </c>
      <c r="I2954">
        <v>5</v>
      </c>
      <c r="J2954">
        <v>1</v>
      </c>
      <c r="K2954" s="9">
        <v>3.6842105263157894</v>
      </c>
    </row>
    <row r="2955" spans="1:11" x14ac:dyDescent="0.45">
      <c r="A2955" t="s">
        <v>261</v>
      </c>
      <c r="B2955" t="s">
        <v>655</v>
      </c>
      <c r="C2955" t="s">
        <v>10</v>
      </c>
      <c r="D2955">
        <v>6</v>
      </c>
      <c r="E2955" t="s">
        <v>607</v>
      </c>
      <c r="F2955" t="s">
        <v>622</v>
      </c>
      <c r="G2955">
        <v>5</v>
      </c>
      <c r="H2955">
        <v>8</v>
      </c>
      <c r="I2955">
        <v>0</v>
      </c>
      <c r="J2955">
        <v>0</v>
      </c>
      <c r="K2955" s="9">
        <v>4.9029126213592233</v>
      </c>
    </row>
    <row r="2956" spans="1:11" x14ac:dyDescent="0.45">
      <c r="A2956" t="s">
        <v>261</v>
      </c>
      <c r="B2956" t="s">
        <v>655</v>
      </c>
      <c r="C2956" t="s">
        <v>10</v>
      </c>
      <c r="D2956">
        <v>7</v>
      </c>
      <c r="E2956" t="s">
        <v>337</v>
      </c>
      <c r="F2956" t="s">
        <v>622</v>
      </c>
      <c r="G2956">
        <v>21</v>
      </c>
      <c r="H2956">
        <v>14</v>
      </c>
      <c r="I2956">
        <v>3</v>
      </c>
      <c r="J2956">
        <v>0</v>
      </c>
      <c r="K2956" s="9">
        <v>4.8461538461538458</v>
      </c>
    </row>
    <row r="2957" spans="1:11" x14ac:dyDescent="0.45">
      <c r="A2957" t="s">
        <v>261</v>
      </c>
      <c r="B2957" t="s">
        <v>655</v>
      </c>
      <c r="C2957" t="s">
        <v>10</v>
      </c>
      <c r="D2957">
        <v>8</v>
      </c>
      <c r="E2957" t="s">
        <v>545</v>
      </c>
      <c r="F2957" t="s">
        <v>622</v>
      </c>
      <c r="G2957">
        <v>18</v>
      </c>
      <c r="H2957">
        <v>10</v>
      </c>
      <c r="I2957">
        <v>1</v>
      </c>
      <c r="J2957">
        <v>1</v>
      </c>
      <c r="K2957" s="9">
        <v>4.7179487179487181</v>
      </c>
    </row>
    <row r="2958" spans="1:11" x14ac:dyDescent="0.45">
      <c r="A2958" t="s">
        <v>261</v>
      </c>
      <c r="B2958" t="s">
        <v>655</v>
      </c>
      <c r="C2958" t="s">
        <v>10</v>
      </c>
      <c r="D2958">
        <v>9</v>
      </c>
      <c r="E2958" t="s">
        <v>436</v>
      </c>
      <c r="F2958" t="s">
        <v>622</v>
      </c>
      <c r="G2958">
        <v>4</v>
      </c>
      <c r="H2958">
        <v>7</v>
      </c>
      <c r="I2958">
        <v>0</v>
      </c>
      <c r="J2958">
        <v>0</v>
      </c>
      <c r="K2958" s="9">
        <v>4.927835051546392</v>
      </c>
    </row>
    <row r="2959" spans="1:11" x14ac:dyDescent="0.45">
      <c r="A2959" t="s">
        <v>261</v>
      </c>
      <c r="B2959" t="s">
        <v>655</v>
      </c>
      <c r="C2959" t="s">
        <v>10</v>
      </c>
      <c r="D2959">
        <v>10</v>
      </c>
      <c r="E2959" t="s">
        <v>338</v>
      </c>
      <c r="F2959" t="s">
        <v>623</v>
      </c>
      <c r="G2959">
        <v>23</v>
      </c>
      <c r="H2959">
        <v>14</v>
      </c>
      <c r="I2959">
        <v>4</v>
      </c>
      <c r="J2959">
        <v>0</v>
      </c>
      <c r="K2959" s="9">
        <v>4.8461538461538458</v>
      </c>
    </row>
    <row r="2960" spans="1:11" x14ac:dyDescent="0.45">
      <c r="A2960" t="s">
        <v>261</v>
      </c>
      <c r="B2960" t="s">
        <v>655</v>
      </c>
      <c r="C2960" t="s">
        <v>10</v>
      </c>
      <c r="D2960">
        <v>11</v>
      </c>
      <c r="E2960" t="s">
        <v>500</v>
      </c>
      <c r="F2960" t="s">
        <v>623</v>
      </c>
      <c r="G2960">
        <v>7</v>
      </c>
      <c r="H2960">
        <v>6</v>
      </c>
      <c r="I2960">
        <v>1</v>
      </c>
      <c r="J2960">
        <v>0</v>
      </c>
      <c r="K2960" s="9">
        <v>5.4565217391304346</v>
      </c>
    </row>
    <row r="2961" spans="1:11" x14ac:dyDescent="0.45">
      <c r="A2961" t="s">
        <v>262</v>
      </c>
      <c r="B2961" t="s">
        <v>634</v>
      </c>
      <c r="C2961" t="s">
        <v>20</v>
      </c>
      <c r="D2961">
        <v>1</v>
      </c>
      <c r="E2961" t="s">
        <v>574</v>
      </c>
      <c r="F2961" t="s">
        <v>623</v>
      </c>
      <c r="G2961">
        <v>100</v>
      </c>
      <c r="H2961">
        <v>55</v>
      </c>
      <c r="I2961">
        <v>12</v>
      </c>
      <c r="J2961">
        <v>3</v>
      </c>
      <c r="K2961" s="9">
        <v>3.1875</v>
      </c>
    </row>
    <row r="2962" spans="1:11" x14ac:dyDescent="0.45">
      <c r="A2962" t="s">
        <v>262</v>
      </c>
      <c r="B2962" t="s">
        <v>634</v>
      </c>
      <c r="C2962" t="s">
        <v>20</v>
      </c>
      <c r="D2962">
        <v>2</v>
      </c>
      <c r="E2962" t="s">
        <v>398</v>
      </c>
      <c r="F2962" t="s">
        <v>622</v>
      </c>
      <c r="G2962">
        <v>9</v>
      </c>
      <c r="H2962">
        <v>13</v>
      </c>
      <c r="I2962">
        <v>0</v>
      </c>
      <c r="J2962">
        <v>0</v>
      </c>
      <c r="K2962" s="9">
        <v>4.8939393939393936</v>
      </c>
    </row>
    <row r="2963" spans="1:11" x14ac:dyDescent="0.45">
      <c r="A2963" t="s">
        <v>262</v>
      </c>
      <c r="B2963" t="s">
        <v>634</v>
      </c>
      <c r="C2963" t="s">
        <v>20</v>
      </c>
      <c r="D2963">
        <v>3</v>
      </c>
      <c r="E2963" t="s">
        <v>315</v>
      </c>
      <c r="F2963" t="s">
        <v>622</v>
      </c>
      <c r="G2963">
        <v>9</v>
      </c>
      <c r="H2963">
        <v>4</v>
      </c>
      <c r="I2963">
        <v>2</v>
      </c>
      <c r="J2963">
        <v>0</v>
      </c>
      <c r="K2963" s="9">
        <v>5.352380952380952</v>
      </c>
    </row>
    <row r="2964" spans="1:11" x14ac:dyDescent="0.45">
      <c r="A2964" t="s">
        <v>262</v>
      </c>
      <c r="B2964" t="s">
        <v>634</v>
      </c>
      <c r="C2964" t="s">
        <v>20</v>
      </c>
      <c r="D2964">
        <v>4</v>
      </c>
      <c r="E2964" t="s">
        <v>401</v>
      </c>
      <c r="F2964" t="s">
        <v>622</v>
      </c>
      <c r="G2964">
        <v>50</v>
      </c>
      <c r="H2964">
        <v>26</v>
      </c>
      <c r="I2964">
        <v>2</v>
      </c>
      <c r="J2964">
        <v>5</v>
      </c>
      <c r="K2964" s="9">
        <v>4.1568627450980395</v>
      </c>
    </row>
    <row r="2965" spans="1:11" x14ac:dyDescent="0.45">
      <c r="A2965" t="s">
        <v>262</v>
      </c>
      <c r="B2965" t="s">
        <v>634</v>
      </c>
      <c r="C2965" t="s">
        <v>20</v>
      </c>
      <c r="D2965">
        <v>5</v>
      </c>
      <c r="E2965" t="s">
        <v>373</v>
      </c>
      <c r="F2965" t="s">
        <v>622</v>
      </c>
      <c r="G2965">
        <v>32</v>
      </c>
      <c r="H2965">
        <v>17</v>
      </c>
      <c r="I2965">
        <v>3</v>
      </c>
      <c r="J2965">
        <v>2</v>
      </c>
      <c r="K2965" s="9">
        <v>4.82</v>
      </c>
    </row>
    <row r="2966" spans="1:11" x14ac:dyDescent="0.45">
      <c r="A2966" t="s">
        <v>262</v>
      </c>
      <c r="B2966" t="s">
        <v>634</v>
      </c>
      <c r="C2966" t="s">
        <v>20</v>
      </c>
      <c r="D2966">
        <v>6</v>
      </c>
      <c r="E2966" t="s">
        <v>573</v>
      </c>
      <c r="F2966" t="s">
        <v>623</v>
      </c>
      <c r="G2966">
        <v>16</v>
      </c>
      <c r="H2966">
        <v>6</v>
      </c>
      <c r="I2966">
        <v>2</v>
      </c>
      <c r="J2966">
        <v>1</v>
      </c>
      <c r="K2966" s="9">
        <v>5.4565217391304346</v>
      </c>
    </row>
    <row r="2967" spans="1:11" x14ac:dyDescent="0.45">
      <c r="A2967" t="s">
        <v>262</v>
      </c>
      <c r="B2967" t="s">
        <v>634</v>
      </c>
      <c r="C2967" t="s">
        <v>7</v>
      </c>
      <c r="D2967">
        <v>1</v>
      </c>
      <c r="E2967" t="s">
        <v>578</v>
      </c>
      <c r="F2967" t="s">
        <v>622</v>
      </c>
      <c r="G2967">
        <v>0</v>
      </c>
      <c r="H2967">
        <v>3</v>
      </c>
      <c r="I2967">
        <v>0</v>
      </c>
      <c r="J2967">
        <v>0</v>
      </c>
      <c r="K2967" s="9">
        <v>5.6607142857142856</v>
      </c>
    </row>
    <row r="2968" spans="1:11" x14ac:dyDescent="0.45">
      <c r="A2968" t="s">
        <v>262</v>
      </c>
      <c r="B2968" t="s">
        <v>634</v>
      </c>
      <c r="C2968" t="s">
        <v>7</v>
      </c>
      <c r="D2968">
        <v>2</v>
      </c>
      <c r="E2968" t="s">
        <v>506</v>
      </c>
      <c r="F2968" t="s">
        <v>622</v>
      </c>
      <c r="G2968">
        <v>36</v>
      </c>
      <c r="H2968">
        <v>21</v>
      </c>
      <c r="I2968">
        <v>5</v>
      </c>
      <c r="J2968">
        <v>1</v>
      </c>
      <c r="K2968" s="9">
        <v>4.3770491803278686</v>
      </c>
    </row>
    <row r="2969" spans="1:11" x14ac:dyDescent="0.45">
      <c r="A2969" t="s">
        <v>262</v>
      </c>
      <c r="B2969" t="s">
        <v>634</v>
      </c>
      <c r="C2969" t="s">
        <v>7</v>
      </c>
      <c r="D2969">
        <v>3</v>
      </c>
      <c r="E2969" t="s">
        <v>304</v>
      </c>
      <c r="F2969" t="s">
        <v>622</v>
      </c>
      <c r="G2969">
        <v>10</v>
      </c>
      <c r="H2969">
        <v>11</v>
      </c>
      <c r="I2969">
        <v>2</v>
      </c>
      <c r="J2969">
        <v>0</v>
      </c>
      <c r="K2969" s="9">
        <v>4.9649122807017543</v>
      </c>
    </row>
    <row r="2970" spans="1:11" x14ac:dyDescent="0.45">
      <c r="A2970" t="s">
        <v>262</v>
      </c>
      <c r="B2970" t="s">
        <v>634</v>
      </c>
      <c r="C2970" t="s">
        <v>7</v>
      </c>
      <c r="D2970">
        <v>4</v>
      </c>
      <c r="E2970" t="s">
        <v>308</v>
      </c>
      <c r="F2970" t="s">
        <v>622</v>
      </c>
      <c r="G2970">
        <v>0</v>
      </c>
      <c r="H2970">
        <v>1</v>
      </c>
      <c r="I2970">
        <v>0</v>
      </c>
      <c r="J2970">
        <v>0</v>
      </c>
      <c r="K2970" s="9">
        <v>6.5693779904306222</v>
      </c>
    </row>
    <row r="2971" spans="1:11" x14ac:dyDescent="0.45">
      <c r="A2971" t="s">
        <v>262</v>
      </c>
      <c r="B2971" t="s">
        <v>634</v>
      </c>
      <c r="C2971" t="s">
        <v>7</v>
      </c>
      <c r="D2971">
        <v>5</v>
      </c>
      <c r="E2971" t="s">
        <v>306</v>
      </c>
      <c r="F2971" t="s">
        <v>622</v>
      </c>
      <c r="G2971">
        <v>75</v>
      </c>
      <c r="H2971">
        <v>41</v>
      </c>
      <c r="I2971">
        <v>5</v>
      </c>
      <c r="J2971">
        <v>6</v>
      </c>
      <c r="K2971" s="9">
        <v>3.0909090909090908</v>
      </c>
    </row>
    <row r="2972" spans="1:11" x14ac:dyDescent="0.45">
      <c r="A2972" t="s">
        <v>262</v>
      </c>
      <c r="B2972" t="s">
        <v>634</v>
      </c>
      <c r="C2972" t="s">
        <v>7</v>
      </c>
      <c r="D2972">
        <v>6</v>
      </c>
      <c r="E2972" t="s">
        <v>440</v>
      </c>
      <c r="F2972" t="s">
        <v>622</v>
      </c>
      <c r="G2972">
        <v>3</v>
      </c>
      <c r="H2972">
        <v>6</v>
      </c>
      <c r="I2972">
        <v>0</v>
      </c>
      <c r="J2972">
        <v>0</v>
      </c>
      <c r="K2972" s="9">
        <v>5.4565217391304346</v>
      </c>
    </row>
    <row r="2973" spans="1:11" x14ac:dyDescent="0.45">
      <c r="A2973" t="s">
        <v>262</v>
      </c>
      <c r="B2973" t="s">
        <v>634</v>
      </c>
      <c r="C2973" t="s">
        <v>7</v>
      </c>
      <c r="D2973">
        <v>7</v>
      </c>
      <c r="E2973" t="s">
        <v>514</v>
      </c>
      <c r="F2973" t="s">
        <v>623</v>
      </c>
      <c r="G2973">
        <v>58</v>
      </c>
      <c r="H2973">
        <v>31</v>
      </c>
      <c r="I2973">
        <v>4</v>
      </c>
      <c r="J2973">
        <v>4</v>
      </c>
      <c r="K2973" s="9">
        <v>3.4375</v>
      </c>
    </row>
    <row r="2974" spans="1:11" x14ac:dyDescent="0.45">
      <c r="A2974" t="s">
        <v>262</v>
      </c>
      <c r="B2974" t="s">
        <v>634</v>
      </c>
      <c r="C2974" t="s">
        <v>7</v>
      </c>
      <c r="D2974">
        <v>8</v>
      </c>
      <c r="E2974" t="s">
        <v>326</v>
      </c>
      <c r="F2974" t="s">
        <v>622</v>
      </c>
      <c r="G2974">
        <v>12</v>
      </c>
      <c r="H2974">
        <v>7</v>
      </c>
      <c r="I2974">
        <v>2</v>
      </c>
      <c r="J2974">
        <v>0</v>
      </c>
      <c r="K2974" s="9">
        <v>4.927835051546392</v>
      </c>
    </row>
    <row r="2975" spans="1:11" x14ac:dyDescent="0.45">
      <c r="A2975" t="s">
        <v>262</v>
      </c>
      <c r="B2975" t="s">
        <v>634</v>
      </c>
      <c r="C2975" t="s">
        <v>7</v>
      </c>
      <c r="D2975">
        <v>9</v>
      </c>
      <c r="E2975" t="s">
        <v>515</v>
      </c>
      <c r="F2975" t="s">
        <v>623</v>
      </c>
      <c r="G2975">
        <v>1</v>
      </c>
      <c r="H2975">
        <v>1</v>
      </c>
      <c r="I2975">
        <v>0</v>
      </c>
      <c r="J2975">
        <v>0</v>
      </c>
      <c r="K2975" s="9">
        <v>6.5693779904306222</v>
      </c>
    </row>
    <row r="2976" spans="1:11" x14ac:dyDescent="0.45">
      <c r="A2976" t="s">
        <v>263</v>
      </c>
      <c r="B2976" t="s">
        <v>692</v>
      </c>
      <c r="C2976" t="s">
        <v>26</v>
      </c>
      <c r="D2976">
        <v>1</v>
      </c>
      <c r="E2976" t="s">
        <v>454</v>
      </c>
      <c r="F2976" t="s">
        <v>622</v>
      </c>
      <c r="G2976">
        <v>0</v>
      </c>
      <c r="H2976">
        <v>2</v>
      </c>
      <c r="I2976">
        <v>0</v>
      </c>
      <c r="J2976">
        <v>0</v>
      </c>
      <c r="K2976" s="9">
        <v>6.1385542168674698</v>
      </c>
    </row>
    <row r="2977" spans="1:11" x14ac:dyDescent="0.45">
      <c r="A2977" t="s">
        <v>263</v>
      </c>
      <c r="B2977" t="s">
        <v>692</v>
      </c>
      <c r="C2977" t="s">
        <v>26</v>
      </c>
      <c r="D2977">
        <v>2</v>
      </c>
      <c r="E2977" t="s">
        <v>330</v>
      </c>
      <c r="F2977" t="s">
        <v>622</v>
      </c>
      <c r="G2977">
        <v>8</v>
      </c>
      <c r="H2977">
        <v>8</v>
      </c>
      <c r="I2977">
        <v>2</v>
      </c>
      <c r="J2977">
        <v>0</v>
      </c>
      <c r="K2977" s="9">
        <v>4.9029126213592233</v>
      </c>
    </row>
    <row r="2978" spans="1:11" x14ac:dyDescent="0.45">
      <c r="A2978" t="s">
        <v>263</v>
      </c>
      <c r="B2978" t="s">
        <v>692</v>
      </c>
      <c r="C2978" t="s">
        <v>26</v>
      </c>
      <c r="D2978">
        <v>3</v>
      </c>
      <c r="E2978" t="s">
        <v>596</v>
      </c>
      <c r="F2978" t="s">
        <v>622</v>
      </c>
      <c r="G2978">
        <v>36</v>
      </c>
      <c r="H2978">
        <v>24</v>
      </c>
      <c r="I2978">
        <v>6</v>
      </c>
      <c r="J2978">
        <v>1</v>
      </c>
      <c r="K2978" s="9">
        <v>4.0606060606060606</v>
      </c>
    </row>
    <row r="2979" spans="1:11" x14ac:dyDescent="0.45">
      <c r="A2979" t="s">
        <v>263</v>
      </c>
      <c r="B2979" t="s">
        <v>692</v>
      </c>
      <c r="C2979" t="s">
        <v>26</v>
      </c>
      <c r="D2979">
        <v>4</v>
      </c>
      <c r="E2979" t="s">
        <v>519</v>
      </c>
      <c r="F2979" t="s">
        <v>622</v>
      </c>
      <c r="G2979">
        <v>20</v>
      </c>
      <c r="H2979">
        <v>26</v>
      </c>
      <c r="I2979">
        <v>1</v>
      </c>
      <c r="J2979">
        <v>0</v>
      </c>
      <c r="K2979" s="9">
        <v>4.1568627450980395</v>
      </c>
    </row>
    <row r="2980" spans="1:11" x14ac:dyDescent="0.45">
      <c r="A2980" t="s">
        <v>263</v>
      </c>
      <c r="B2980" t="s">
        <v>692</v>
      </c>
      <c r="C2980" t="s">
        <v>26</v>
      </c>
      <c r="D2980">
        <v>5</v>
      </c>
      <c r="E2980" t="s">
        <v>495</v>
      </c>
      <c r="F2980" t="s">
        <v>622</v>
      </c>
      <c r="G2980">
        <v>25</v>
      </c>
      <c r="H2980">
        <v>23</v>
      </c>
      <c r="I2980">
        <v>5</v>
      </c>
      <c r="J2980">
        <v>0</v>
      </c>
      <c r="K2980" s="9">
        <v>5.1142857142857139</v>
      </c>
    </row>
    <row r="2981" spans="1:11" x14ac:dyDescent="0.45">
      <c r="A2981" t="s">
        <v>263</v>
      </c>
      <c r="B2981" t="s">
        <v>692</v>
      </c>
      <c r="C2981" t="s">
        <v>26</v>
      </c>
      <c r="D2981">
        <v>6</v>
      </c>
      <c r="E2981" t="s">
        <v>420</v>
      </c>
      <c r="F2981" t="s">
        <v>622</v>
      </c>
      <c r="G2981">
        <v>22</v>
      </c>
      <c r="H2981">
        <v>22</v>
      </c>
      <c r="I2981">
        <v>1</v>
      </c>
      <c r="J2981">
        <v>1</v>
      </c>
      <c r="K2981" s="9">
        <v>4.4423076923076925</v>
      </c>
    </row>
    <row r="2982" spans="1:11" x14ac:dyDescent="0.45">
      <c r="A2982" t="s">
        <v>263</v>
      </c>
      <c r="B2982" t="s">
        <v>692</v>
      </c>
      <c r="C2982" t="s">
        <v>26</v>
      </c>
      <c r="D2982">
        <v>7</v>
      </c>
      <c r="E2982" t="s">
        <v>400</v>
      </c>
      <c r="F2982" t="s">
        <v>622</v>
      </c>
      <c r="G2982">
        <v>22</v>
      </c>
      <c r="H2982">
        <v>9</v>
      </c>
      <c r="I2982">
        <v>1</v>
      </c>
      <c r="J2982">
        <v>2</v>
      </c>
      <c r="K2982" s="9">
        <v>4.924050632911392</v>
      </c>
    </row>
    <row r="2983" spans="1:11" x14ac:dyDescent="0.45">
      <c r="A2983" t="s">
        <v>263</v>
      </c>
      <c r="B2983" t="s">
        <v>692</v>
      </c>
      <c r="C2983" t="s">
        <v>26</v>
      </c>
      <c r="D2983">
        <v>8</v>
      </c>
      <c r="E2983" t="s">
        <v>404</v>
      </c>
      <c r="F2983" t="s">
        <v>623</v>
      </c>
      <c r="G2983">
        <v>8</v>
      </c>
      <c r="H2983">
        <v>5</v>
      </c>
      <c r="I2983">
        <v>0</v>
      </c>
      <c r="J2983">
        <v>1</v>
      </c>
      <c r="K2983" s="9">
        <v>5.132075471698113</v>
      </c>
    </row>
    <row r="2984" spans="1:11" x14ac:dyDescent="0.45">
      <c r="A2984" t="s">
        <v>263</v>
      </c>
      <c r="B2984" t="s">
        <v>692</v>
      </c>
      <c r="C2984" t="s">
        <v>26</v>
      </c>
      <c r="D2984">
        <v>9</v>
      </c>
      <c r="E2984" t="s">
        <v>520</v>
      </c>
      <c r="F2984" t="s">
        <v>622</v>
      </c>
      <c r="G2984">
        <v>1</v>
      </c>
      <c r="H2984">
        <v>1</v>
      </c>
      <c r="I2984">
        <v>0</v>
      </c>
      <c r="J2984">
        <v>0</v>
      </c>
      <c r="K2984" s="9">
        <v>6.5693779904306222</v>
      </c>
    </row>
    <row r="2985" spans="1:11" x14ac:dyDescent="0.45">
      <c r="A2985" t="s">
        <v>263</v>
      </c>
      <c r="B2985" t="s">
        <v>692</v>
      </c>
      <c r="C2985" t="s">
        <v>101</v>
      </c>
      <c r="D2985">
        <v>1</v>
      </c>
      <c r="E2985" t="s">
        <v>380</v>
      </c>
      <c r="F2985" t="s">
        <v>622</v>
      </c>
      <c r="G2985">
        <v>30</v>
      </c>
      <c r="H2985">
        <v>19</v>
      </c>
      <c r="I2985">
        <v>5</v>
      </c>
      <c r="J2985">
        <v>0</v>
      </c>
      <c r="K2985" s="9">
        <v>4.5660377358490569</v>
      </c>
    </row>
    <row r="2986" spans="1:11" x14ac:dyDescent="0.45">
      <c r="A2986" t="s">
        <v>263</v>
      </c>
      <c r="B2986" t="s">
        <v>692</v>
      </c>
      <c r="C2986" t="s">
        <v>101</v>
      </c>
      <c r="D2986">
        <v>2</v>
      </c>
      <c r="E2986" t="s">
        <v>302</v>
      </c>
      <c r="F2986" t="s">
        <v>622</v>
      </c>
      <c r="G2986">
        <v>67</v>
      </c>
      <c r="H2986">
        <v>49</v>
      </c>
      <c r="I2986">
        <v>7</v>
      </c>
      <c r="J2986">
        <v>1</v>
      </c>
      <c r="K2986" s="9">
        <v>3.5714285714285716</v>
      </c>
    </row>
    <row r="2987" spans="1:11" x14ac:dyDescent="0.45">
      <c r="A2987" t="s">
        <v>263</v>
      </c>
      <c r="B2987" t="s">
        <v>692</v>
      </c>
      <c r="C2987" t="s">
        <v>101</v>
      </c>
      <c r="D2987">
        <v>3</v>
      </c>
      <c r="E2987" t="s">
        <v>534</v>
      </c>
      <c r="F2987" t="s">
        <v>622</v>
      </c>
      <c r="G2987">
        <v>19</v>
      </c>
      <c r="H2987">
        <v>20</v>
      </c>
      <c r="I2987">
        <v>2</v>
      </c>
      <c r="J2987">
        <v>0</v>
      </c>
      <c r="K2987" s="9">
        <v>4.9473684210526319</v>
      </c>
    </row>
    <row r="2988" spans="1:11" x14ac:dyDescent="0.45">
      <c r="A2988" t="s">
        <v>263</v>
      </c>
      <c r="B2988" t="s">
        <v>692</v>
      </c>
      <c r="C2988" t="s">
        <v>101</v>
      </c>
      <c r="D2988">
        <v>4</v>
      </c>
      <c r="E2988" t="s">
        <v>361</v>
      </c>
      <c r="F2988" t="s">
        <v>622</v>
      </c>
      <c r="G2988">
        <v>8</v>
      </c>
      <c r="H2988">
        <v>11</v>
      </c>
      <c r="I2988">
        <v>1</v>
      </c>
      <c r="J2988">
        <v>0</v>
      </c>
      <c r="K2988" s="9">
        <v>4.9649122807017543</v>
      </c>
    </row>
    <row r="2989" spans="1:11" x14ac:dyDescent="0.45">
      <c r="A2989" t="s">
        <v>263</v>
      </c>
      <c r="B2989" t="s">
        <v>692</v>
      </c>
      <c r="C2989" t="s">
        <v>101</v>
      </c>
      <c r="D2989">
        <v>5</v>
      </c>
      <c r="E2989" t="s">
        <v>411</v>
      </c>
      <c r="F2989" t="s">
        <v>623</v>
      </c>
      <c r="G2989">
        <v>17</v>
      </c>
      <c r="H2989">
        <v>18</v>
      </c>
      <c r="I2989">
        <v>1</v>
      </c>
      <c r="J2989">
        <v>0</v>
      </c>
      <c r="K2989" s="9">
        <v>4.375</v>
      </c>
    </row>
    <row r="2990" spans="1:11" x14ac:dyDescent="0.45">
      <c r="A2990" t="s">
        <v>263</v>
      </c>
      <c r="B2990" t="s">
        <v>692</v>
      </c>
      <c r="C2990" t="s">
        <v>101</v>
      </c>
      <c r="D2990">
        <v>6</v>
      </c>
      <c r="E2990" t="s">
        <v>390</v>
      </c>
      <c r="F2990" t="s">
        <v>623</v>
      </c>
      <c r="G2990">
        <v>5</v>
      </c>
      <c r="H2990">
        <v>2</v>
      </c>
      <c r="I2990">
        <v>1</v>
      </c>
      <c r="J2990">
        <v>0</v>
      </c>
      <c r="K2990" s="9">
        <v>6.1385542168674698</v>
      </c>
    </row>
    <row r="2991" spans="1:11" x14ac:dyDescent="0.45">
      <c r="A2991" t="s">
        <v>264</v>
      </c>
      <c r="B2991" t="s">
        <v>705</v>
      </c>
      <c r="C2991" t="s">
        <v>23</v>
      </c>
      <c r="D2991">
        <v>1</v>
      </c>
      <c r="E2991" t="s">
        <v>383</v>
      </c>
      <c r="F2991" t="s">
        <v>622</v>
      </c>
      <c r="G2991">
        <v>10</v>
      </c>
      <c r="H2991">
        <v>8</v>
      </c>
      <c r="I2991">
        <v>2</v>
      </c>
      <c r="J2991">
        <v>0</v>
      </c>
      <c r="K2991" s="9">
        <v>4.9029126213592233</v>
      </c>
    </row>
    <row r="2992" spans="1:11" x14ac:dyDescent="0.45">
      <c r="A2992" t="s">
        <v>264</v>
      </c>
      <c r="B2992" t="s">
        <v>705</v>
      </c>
      <c r="C2992" t="s">
        <v>23</v>
      </c>
      <c r="D2992">
        <v>2</v>
      </c>
      <c r="E2992" t="s">
        <v>458</v>
      </c>
      <c r="F2992" t="s">
        <v>622</v>
      </c>
      <c r="G2992">
        <v>52</v>
      </c>
      <c r="H2992">
        <v>36</v>
      </c>
      <c r="I2992">
        <v>1</v>
      </c>
      <c r="J2992">
        <v>3</v>
      </c>
      <c r="K2992" s="9">
        <v>4.083333333333333</v>
      </c>
    </row>
    <row r="2993" spans="1:11" x14ac:dyDescent="0.45">
      <c r="A2993" t="s">
        <v>264</v>
      </c>
      <c r="B2993" t="s">
        <v>705</v>
      </c>
      <c r="C2993" t="s">
        <v>23</v>
      </c>
      <c r="D2993">
        <v>3</v>
      </c>
      <c r="E2993" t="s">
        <v>342</v>
      </c>
      <c r="F2993" t="s">
        <v>622</v>
      </c>
      <c r="G2993">
        <v>38</v>
      </c>
      <c r="H2993">
        <v>26</v>
      </c>
      <c r="I2993">
        <v>5</v>
      </c>
      <c r="J2993">
        <v>0</v>
      </c>
      <c r="K2993" s="9">
        <v>4.1568627450980395</v>
      </c>
    </row>
    <row r="2994" spans="1:11" x14ac:dyDescent="0.45">
      <c r="A2994" t="s">
        <v>264</v>
      </c>
      <c r="B2994" t="s">
        <v>705</v>
      </c>
      <c r="C2994" t="s">
        <v>23</v>
      </c>
      <c r="D2994">
        <v>4</v>
      </c>
      <c r="E2994" t="s">
        <v>386</v>
      </c>
      <c r="F2994" t="s">
        <v>622</v>
      </c>
      <c r="G2994">
        <v>0</v>
      </c>
      <c r="H2994">
        <v>2</v>
      </c>
      <c r="I2994">
        <v>0</v>
      </c>
      <c r="J2994">
        <v>0</v>
      </c>
      <c r="K2994" s="9">
        <v>6.1385542168674698</v>
      </c>
    </row>
    <row r="2995" spans="1:11" x14ac:dyDescent="0.45">
      <c r="A2995" t="s">
        <v>264</v>
      </c>
      <c r="B2995" t="s">
        <v>705</v>
      </c>
      <c r="C2995" t="s">
        <v>23</v>
      </c>
      <c r="D2995">
        <v>5</v>
      </c>
      <c r="E2995" t="s">
        <v>339</v>
      </c>
      <c r="F2995" t="s">
        <v>622</v>
      </c>
      <c r="G2995">
        <v>30</v>
      </c>
      <c r="H2995">
        <v>22</v>
      </c>
      <c r="I2995">
        <v>1</v>
      </c>
      <c r="J2995">
        <v>2</v>
      </c>
      <c r="K2995" s="9">
        <v>4.4423076923076925</v>
      </c>
    </row>
    <row r="2996" spans="1:11" x14ac:dyDescent="0.45">
      <c r="A2996" t="s">
        <v>264</v>
      </c>
      <c r="B2996" t="s">
        <v>705</v>
      </c>
      <c r="C2996" t="s">
        <v>23</v>
      </c>
      <c r="D2996">
        <v>6</v>
      </c>
      <c r="E2996" t="s">
        <v>336</v>
      </c>
      <c r="F2996" t="s">
        <v>623</v>
      </c>
      <c r="G2996">
        <v>30</v>
      </c>
      <c r="H2996">
        <v>18</v>
      </c>
      <c r="I2996">
        <v>2</v>
      </c>
      <c r="J2996">
        <v>2</v>
      </c>
      <c r="K2996" s="9">
        <v>4.375</v>
      </c>
    </row>
    <row r="2997" spans="1:11" x14ac:dyDescent="0.45">
      <c r="A2997" t="s">
        <v>264</v>
      </c>
      <c r="B2997" t="s">
        <v>705</v>
      </c>
      <c r="C2997" t="s">
        <v>23</v>
      </c>
      <c r="D2997">
        <v>7</v>
      </c>
      <c r="E2997" t="s">
        <v>584</v>
      </c>
      <c r="F2997" t="s">
        <v>622</v>
      </c>
      <c r="G2997">
        <v>4</v>
      </c>
      <c r="H2997">
        <v>6</v>
      </c>
      <c r="I2997">
        <v>0</v>
      </c>
      <c r="J2997">
        <v>0</v>
      </c>
      <c r="K2997" s="9">
        <v>5.4565217391304346</v>
      </c>
    </row>
    <row r="2998" spans="1:11" x14ac:dyDescent="0.45">
      <c r="A2998" t="s">
        <v>264</v>
      </c>
      <c r="B2998" t="s">
        <v>705</v>
      </c>
      <c r="C2998" t="s">
        <v>23</v>
      </c>
      <c r="D2998">
        <v>8</v>
      </c>
      <c r="E2998" t="s">
        <v>378</v>
      </c>
      <c r="F2998" t="s">
        <v>622</v>
      </c>
      <c r="G2998">
        <v>0</v>
      </c>
      <c r="H2998">
        <v>1</v>
      </c>
      <c r="I2998">
        <v>0</v>
      </c>
      <c r="J2998">
        <v>0</v>
      </c>
      <c r="K2998" s="9">
        <v>6.5693779904306222</v>
      </c>
    </row>
    <row r="2999" spans="1:11" x14ac:dyDescent="0.45">
      <c r="A2999" t="s">
        <v>264</v>
      </c>
      <c r="B2999" t="s">
        <v>705</v>
      </c>
      <c r="C2999" t="s">
        <v>23</v>
      </c>
      <c r="D2999">
        <v>9</v>
      </c>
      <c r="E2999" t="s">
        <v>585</v>
      </c>
      <c r="F2999" t="s">
        <v>622</v>
      </c>
      <c r="G2999">
        <v>1</v>
      </c>
      <c r="H2999">
        <v>1</v>
      </c>
      <c r="I2999">
        <v>0</v>
      </c>
      <c r="J2999">
        <v>0</v>
      </c>
      <c r="K2999" s="9">
        <v>6.5693779904306222</v>
      </c>
    </row>
    <row r="3000" spans="1:11" x14ac:dyDescent="0.45">
      <c r="A3000" t="s">
        <v>264</v>
      </c>
      <c r="B3000" t="s">
        <v>705</v>
      </c>
      <c r="C3000" t="s">
        <v>6</v>
      </c>
      <c r="D3000">
        <v>1</v>
      </c>
      <c r="E3000" t="s">
        <v>290</v>
      </c>
      <c r="F3000" t="s">
        <v>622</v>
      </c>
      <c r="G3000">
        <v>8</v>
      </c>
      <c r="H3000">
        <v>10</v>
      </c>
      <c r="I3000">
        <v>1</v>
      </c>
      <c r="J3000">
        <v>0</v>
      </c>
      <c r="K3000" s="9">
        <v>4.7179487179487181</v>
      </c>
    </row>
    <row r="3001" spans="1:11" x14ac:dyDescent="0.45">
      <c r="A3001" t="s">
        <v>264</v>
      </c>
      <c r="B3001" t="s">
        <v>705</v>
      </c>
      <c r="C3001" t="s">
        <v>6</v>
      </c>
      <c r="D3001">
        <v>2</v>
      </c>
      <c r="E3001" t="s">
        <v>505</v>
      </c>
      <c r="F3001" t="s">
        <v>622</v>
      </c>
      <c r="G3001">
        <v>50</v>
      </c>
      <c r="H3001">
        <v>38</v>
      </c>
      <c r="I3001">
        <v>6</v>
      </c>
      <c r="J3001">
        <v>0</v>
      </c>
      <c r="K3001" s="9">
        <v>3.6842105263157894</v>
      </c>
    </row>
    <row r="3002" spans="1:11" x14ac:dyDescent="0.45">
      <c r="A3002" t="s">
        <v>264</v>
      </c>
      <c r="B3002" t="s">
        <v>705</v>
      </c>
      <c r="C3002" t="s">
        <v>6</v>
      </c>
      <c r="D3002">
        <v>3</v>
      </c>
      <c r="E3002" t="s">
        <v>481</v>
      </c>
      <c r="F3002" t="s">
        <v>622</v>
      </c>
      <c r="G3002">
        <v>31</v>
      </c>
      <c r="H3002">
        <v>19</v>
      </c>
      <c r="I3002">
        <v>2</v>
      </c>
      <c r="J3002">
        <v>1</v>
      </c>
      <c r="K3002" s="9">
        <v>4.5660377358490569</v>
      </c>
    </row>
    <row r="3003" spans="1:11" x14ac:dyDescent="0.45">
      <c r="A3003" t="s">
        <v>264</v>
      </c>
      <c r="B3003" t="s">
        <v>705</v>
      </c>
      <c r="C3003" t="s">
        <v>6</v>
      </c>
      <c r="D3003">
        <v>4</v>
      </c>
      <c r="E3003" t="s">
        <v>387</v>
      </c>
      <c r="F3003" t="s">
        <v>622</v>
      </c>
      <c r="G3003">
        <v>8</v>
      </c>
      <c r="H3003">
        <v>9</v>
      </c>
      <c r="I3003">
        <v>1</v>
      </c>
      <c r="J3003">
        <v>0</v>
      </c>
      <c r="K3003" s="9">
        <v>4.924050632911392</v>
      </c>
    </row>
    <row r="3004" spans="1:11" x14ac:dyDescent="0.45">
      <c r="A3004" t="s">
        <v>264</v>
      </c>
      <c r="B3004" t="s">
        <v>705</v>
      </c>
      <c r="C3004" t="s">
        <v>6</v>
      </c>
      <c r="D3004">
        <v>5</v>
      </c>
      <c r="E3004" t="s">
        <v>299</v>
      </c>
      <c r="F3004" t="s">
        <v>622</v>
      </c>
      <c r="G3004">
        <v>7</v>
      </c>
      <c r="H3004">
        <v>10</v>
      </c>
      <c r="I3004">
        <v>0</v>
      </c>
      <c r="J3004">
        <v>0</v>
      </c>
      <c r="K3004" s="9">
        <v>4.7179487179487181</v>
      </c>
    </row>
    <row r="3005" spans="1:11" x14ac:dyDescent="0.45">
      <c r="A3005" t="s">
        <v>264</v>
      </c>
      <c r="B3005" t="s">
        <v>705</v>
      </c>
      <c r="C3005" t="s">
        <v>6</v>
      </c>
      <c r="D3005">
        <v>6</v>
      </c>
      <c r="E3005" t="s">
        <v>355</v>
      </c>
      <c r="F3005" t="s">
        <v>622</v>
      </c>
      <c r="G3005">
        <v>1</v>
      </c>
      <c r="H3005">
        <v>2</v>
      </c>
      <c r="I3005">
        <v>0</v>
      </c>
      <c r="J3005">
        <v>0</v>
      </c>
      <c r="K3005" s="9">
        <v>6.1385542168674698</v>
      </c>
    </row>
    <row r="3006" spans="1:11" x14ac:dyDescent="0.45">
      <c r="A3006" t="s">
        <v>264</v>
      </c>
      <c r="B3006" t="s">
        <v>705</v>
      </c>
      <c r="C3006" t="s">
        <v>6</v>
      </c>
      <c r="D3006">
        <v>7</v>
      </c>
      <c r="E3006" t="s">
        <v>328</v>
      </c>
      <c r="F3006" t="s">
        <v>623</v>
      </c>
      <c r="G3006">
        <v>25</v>
      </c>
      <c r="H3006">
        <v>15</v>
      </c>
      <c r="I3006">
        <v>1</v>
      </c>
      <c r="J3006">
        <v>2</v>
      </c>
      <c r="K3006" s="9">
        <v>4.7777777777777777</v>
      </c>
    </row>
    <row r="3007" spans="1:11" x14ac:dyDescent="0.45">
      <c r="A3007" t="s">
        <v>264</v>
      </c>
      <c r="B3007" t="s">
        <v>705</v>
      </c>
      <c r="C3007" t="s">
        <v>6</v>
      </c>
      <c r="D3007">
        <v>8</v>
      </c>
      <c r="E3007" t="s">
        <v>356</v>
      </c>
      <c r="F3007" t="s">
        <v>623</v>
      </c>
      <c r="G3007">
        <v>32</v>
      </c>
      <c r="H3007">
        <v>17</v>
      </c>
      <c r="I3007">
        <v>1</v>
      </c>
      <c r="J3007">
        <v>3</v>
      </c>
      <c r="K3007" s="9">
        <v>4.82</v>
      </c>
    </row>
    <row r="3008" spans="1:11" x14ac:dyDescent="0.45">
      <c r="A3008" t="s">
        <v>265</v>
      </c>
      <c r="B3008" t="s">
        <v>668</v>
      </c>
      <c r="C3008" t="s">
        <v>10</v>
      </c>
      <c r="D3008">
        <v>1</v>
      </c>
      <c r="E3008" t="s">
        <v>442</v>
      </c>
      <c r="F3008" t="s">
        <v>622</v>
      </c>
      <c r="G3008">
        <v>51</v>
      </c>
      <c r="H3008">
        <v>47</v>
      </c>
      <c r="I3008">
        <v>6</v>
      </c>
      <c r="J3008">
        <v>0</v>
      </c>
      <c r="K3008" s="9">
        <v>3</v>
      </c>
    </row>
    <row r="3009" spans="1:11" x14ac:dyDescent="0.45">
      <c r="A3009" t="s">
        <v>265</v>
      </c>
      <c r="B3009" t="s">
        <v>668</v>
      </c>
      <c r="C3009" t="s">
        <v>10</v>
      </c>
      <c r="D3009">
        <v>2</v>
      </c>
      <c r="E3009" t="s">
        <v>329</v>
      </c>
      <c r="F3009" t="s">
        <v>622</v>
      </c>
      <c r="G3009">
        <v>15</v>
      </c>
      <c r="H3009">
        <v>10</v>
      </c>
      <c r="I3009">
        <v>3</v>
      </c>
      <c r="J3009">
        <v>0</v>
      </c>
      <c r="K3009" s="9">
        <v>4.7179487179487181</v>
      </c>
    </row>
    <row r="3010" spans="1:11" x14ac:dyDescent="0.45">
      <c r="A3010" t="s">
        <v>265</v>
      </c>
      <c r="B3010" t="s">
        <v>668</v>
      </c>
      <c r="C3010" t="s">
        <v>10</v>
      </c>
      <c r="D3010">
        <v>3</v>
      </c>
      <c r="E3010" t="s">
        <v>374</v>
      </c>
      <c r="F3010" t="s">
        <v>622</v>
      </c>
      <c r="G3010">
        <v>26</v>
      </c>
      <c r="H3010">
        <v>18</v>
      </c>
      <c r="I3010">
        <v>5</v>
      </c>
      <c r="J3010">
        <v>0</v>
      </c>
      <c r="K3010" s="9">
        <v>4.375</v>
      </c>
    </row>
    <row r="3011" spans="1:11" x14ac:dyDescent="0.45">
      <c r="A3011" t="s">
        <v>265</v>
      </c>
      <c r="B3011" t="s">
        <v>668</v>
      </c>
      <c r="C3011" t="s">
        <v>10</v>
      </c>
      <c r="D3011">
        <v>4</v>
      </c>
      <c r="E3011" t="s">
        <v>582</v>
      </c>
      <c r="F3011" t="s">
        <v>622</v>
      </c>
      <c r="G3011">
        <v>2</v>
      </c>
      <c r="H3011">
        <v>4</v>
      </c>
      <c r="I3011">
        <v>0</v>
      </c>
      <c r="J3011">
        <v>0</v>
      </c>
      <c r="K3011" s="9">
        <v>5.352380952380952</v>
      </c>
    </row>
    <row r="3012" spans="1:11" x14ac:dyDescent="0.45">
      <c r="A3012" t="s">
        <v>265</v>
      </c>
      <c r="B3012" t="s">
        <v>668</v>
      </c>
      <c r="C3012" t="s">
        <v>10</v>
      </c>
      <c r="D3012">
        <v>5</v>
      </c>
      <c r="E3012" t="s">
        <v>499</v>
      </c>
      <c r="F3012" t="s">
        <v>622</v>
      </c>
      <c r="G3012">
        <v>4</v>
      </c>
      <c r="H3012">
        <v>4</v>
      </c>
      <c r="I3012">
        <v>1</v>
      </c>
      <c r="J3012">
        <v>0</v>
      </c>
      <c r="K3012" s="9">
        <v>5.352380952380952</v>
      </c>
    </row>
    <row r="3013" spans="1:11" x14ac:dyDescent="0.45">
      <c r="A3013" t="s">
        <v>265</v>
      </c>
      <c r="B3013" t="s">
        <v>668</v>
      </c>
      <c r="C3013" t="s">
        <v>10</v>
      </c>
      <c r="D3013">
        <v>6</v>
      </c>
      <c r="E3013" t="s">
        <v>436</v>
      </c>
      <c r="F3013" t="s">
        <v>622</v>
      </c>
      <c r="G3013">
        <v>2</v>
      </c>
      <c r="H3013">
        <v>4</v>
      </c>
      <c r="I3013">
        <v>0</v>
      </c>
      <c r="J3013">
        <v>0</v>
      </c>
      <c r="K3013" s="9">
        <v>5.352380952380952</v>
      </c>
    </row>
    <row r="3014" spans="1:11" x14ac:dyDescent="0.45">
      <c r="A3014" t="s">
        <v>265</v>
      </c>
      <c r="B3014" t="s">
        <v>668</v>
      </c>
      <c r="C3014" t="s">
        <v>10</v>
      </c>
      <c r="D3014">
        <v>7</v>
      </c>
      <c r="E3014" t="s">
        <v>337</v>
      </c>
      <c r="F3014" t="s">
        <v>622</v>
      </c>
      <c r="G3014">
        <v>54</v>
      </c>
      <c r="H3014">
        <v>25</v>
      </c>
      <c r="I3014">
        <v>4</v>
      </c>
      <c r="J3014">
        <v>5</v>
      </c>
      <c r="K3014" s="9">
        <v>4.4782608695652177</v>
      </c>
    </row>
    <row r="3015" spans="1:11" x14ac:dyDescent="0.45">
      <c r="A3015" t="s">
        <v>265</v>
      </c>
      <c r="B3015" t="s">
        <v>668</v>
      </c>
      <c r="C3015" t="s">
        <v>10</v>
      </c>
      <c r="D3015">
        <v>8</v>
      </c>
      <c r="E3015" t="s">
        <v>607</v>
      </c>
      <c r="F3015" t="s">
        <v>622</v>
      </c>
      <c r="G3015">
        <v>1</v>
      </c>
      <c r="H3015">
        <v>3</v>
      </c>
      <c r="I3015">
        <v>0</v>
      </c>
      <c r="J3015">
        <v>0</v>
      </c>
      <c r="K3015" s="9">
        <v>5.6607142857142856</v>
      </c>
    </row>
    <row r="3016" spans="1:11" x14ac:dyDescent="0.45">
      <c r="A3016" t="s">
        <v>265</v>
      </c>
      <c r="B3016" t="s">
        <v>668</v>
      </c>
      <c r="C3016" t="s">
        <v>10</v>
      </c>
      <c r="D3016">
        <v>9</v>
      </c>
      <c r="E3016" t="s">
        <v>500</v>
      </c>
      <c r="F3016" t="s">
        <v>622</v>
      </c>
      <c r="G3016">
        <v>0</v>
      </c>
      <c r="H3016">
        <v>1</v>
      </c>
      <c r="I3016">
        <v>0</v>
      </c>
      <c r="J3016">
        <v>0</v>
      </c>
      <c r="K3016" s="9">
        <v>6.5693779904306222</v>
      </c>
    </row>
    <row r="3017" spans="1:11" x14ac:dyDescent="0.45">
      <c r="A3017" t="s">
        <v>265</v>
      </c>
      <c r="B3017" t="s">
        <v>668</v>
      </c>
      <c r="C3017" t="s">
        <v>10</v>
      </c>
      <c r="D3017">
        <v>10</v>
      </c>
      <c r="E3017" t="s">
        <v>338</v>
      </c>
      <c r="F3017" t="s">
        <v>622</v>
      </c>
      <c r="G3017">
        <v>5</v>
      </c>
      <c r="H3017">
        <v>3</v>
      </c>
      <c r="I3017">
        <v>1</v>
      </c>
      <c r="J3017">
        <v>0</v>
      </c>
      <c r="K3017" s="9">
        <v>5.6607142857142856</v>
      </c>
    </row>
    <row r="3018" spans="1:11" x14ac:dyDescent="0.45">
      <c r="A3018" t="s">
        <v>265</v>
      </c>
      <c r="B3018" t="s">
        <v>668</v>
      </c>
      <c r="C3018" t="s">
        <v>10</v>
      </c>
      <c r="D3018">
        <v>11</v>
      </c>
      <c r="E3018" t="s">
        <v>396</v>
      </c>
      <c r="F3018" t="s">
        <v>623</v>
      </c>
      <c r="G3018">
        <v>1</v>
      </c>
      <c r="H3018">
        <v>1</v>
      </c>
      <c r="I3018">
        <v>0</v>
      </c>
      <c r="J3018">
        <v>0</v>
      </c>
      <c r="K3018" s="9">
        <v>6.5693779904306222</v>
      </c>
    </row>
    <row r="3019" spans="1:11" x14ac:dyDescent="0.45">
      <c r="A3019" t="s">
        <v>265</v>
      </c>
      <c r="B3019" t="s">
        <v>668</v>
      </c>
      <c r="C3019" t="s">
        <v>19</v>
      </c>
      <c r="D3019">
        <v>1</v>
      </c>
      <c r="E3019" t="s">
        <v>359</v>
      </c>
      <c r="F3019" t="s">
        <v>622</v>
      </c>
      <c r="G3019">
        <v>65</v>
      </c>
      <c r="H3019">
        <v>45</v>
      </c>
      <c r="I3019">
        <v>6</v>
      </c>
      <c r="J3019">
        <v>4</v>
      </c>
      <c r="K3019" s="9">
        <v>3.4375</v>
      </c>
    </row>
    <row r="3020" spans="1:11" x14ac:dyDescent="0.45">
      <c r="A3020" t="s">
        <v>265</v>
      </c>
      <c r="B3020" t="s">
        <v>668</v>
      </c>
      <c r="C3020" t="s">
        <v>19</v>
      </c>
      <c r="D3020">
        <v>2</v>
      </c>
      <c r="E3020" t="s">
        <v>360</v>
      </c>
      <c r="F3020" t="s">
        <v>622</v>
      </c>
      <c r="G3020">
        <v>31</v>
      </c>
      <c r="H3020">
        <v>26</v>
      </c>
      <c r="I3020">
        <v>6</v>
      </c>
      <c r="J3020">
        <v>0</v>
      </c>
      <c r="K3020" s="9">
        <v>4.1568627450980395</v>
      </c>
    </row>
    <row r="3021" spans="1:11" x14ac:dyDescent="0.45">
      <c r="A3021" t="s">
        <v>265</v>
      </c>
      <c r="B3021" t="s">
        <v>668</v>
      </c>
      <c r="C3021" t="s">
        <v>19</v>
      </c>
      <c r="D3021">
        <v>3</v>
      </c>
      <c r="E3021" t="s">
        <v>502</v>
      </c>
      <c r="F3021" t="s">
        <v>622</v>
      </c>
      <c r="G3021">
        <v>41</v>
      </c>
      <c r="H3021">
        <v>29</v>
      </c>
      <c r="I3021">
        <v>1</v>
      </c>
      <c r="J3021">
        <v>4</v>
      </c>
      <c r="K3021" s="9">
        <v>4.0454545454545459</v>
      </c>
    </row>
    <row r="3022" spans="1:11" x14ac:dyDescent="0.45">
      <c r="A3022" t="s">
        <v>265</v>
      </c>
      <c r="B3022" t="s">
        <v>668</v>
      </c>
      <c r="C3022" t="s">
        <v>19</v>
      </c>
      <c r="D3022">
        <v>4</v>
      </c>
      <c r="E3022" t="s">
        <v>363</v>
      </c>
      <c r="F3022" t="s">
        <v>622</v>
      </c>
      <c r="G3022">
        <v>0</v>
      </c>
      <c r="H3022">
        <v>1</v>
      </c>
      <c r="I3022">
        <v>0</v>
      </c>
      <c r="J3022">
        <v>0</v>
      </c>
      <c r="K3022" s="9">
        <v>6.5693779904306222</v>
      </c>
    </row>
    <row r="3023" spans="1:11" x14ac:dyDescent="0.45">
      <c r="A3023" t="s">
        <v>265</v>
      </c>
      <c r="B3023" t="s">
        <v>668</v>
      </c>
      <c r="C3023" t="s">
        <v>19</v>
      </c>
      <c r="D3023">
        <v>5</v>
      </c>
      <c r="E3023" t="s">
        <v>447</v>
      </c>
      <c r="F3023" t="s">
        <v>623</v>
      </c>
      <c r="G3023">
        <v>13</v>
      </c>
      <c r="H3023">
        <v>11</v>
      </c>
      <c r="I3023">
        <v>0</v>
      </c>
      <c r="J3023">
        <v>1</v>
      </c>
      <c r="K3023" s="9">
        <v>4.9649122807017543</v>
      </c>
    </row>
    <row r="3024" spans="1:11" x14ac:dyDescent="0.45">
      <c r="A3024" t="s">
        <v>265</v>
      </c>
      <c r="B3024" t="s">
        <v>668</v>
      </c>
      <c r="C3024" t="s">
        <v>19</v>
      </c>
      <c r="D3024">
        <v>6</v>
      </c>
      <c r="E3024" t="s">
        <v>560</v>
      </c>
      <c r="F3024" t="s">
        <v>623</v>
      </c>
      <c r="G3024">
        <v>17</v>
      </c>
      <c r="H3024">
        <v>8</v>
      </c>
      <c r="I3024">
        <v>1</v>
      </c>
      <c r="J3024">
        <v>1</v>
      </c>
      <c r="K3024" s="9">
        <v>4.9029126213592233</v>
      </c>
    </row>
    <row r="3025" spans="1:11" x14ac:dyDescent="0.45">
      <c r="A3025" t="s">
        <v>267</v>
      </c>
      <c r="B3025" t="s">
        <v>666</v>
      </c>
      <c r="C3025" t="s">
        <v>13</v>
      </c>
      <c r="D3025">
        <v>1</v>
      </c>
      <c r="E3025" t="s">
        <v>343</v>
      </c>
      <c r="F3025" t="s">
        <v>622</v>
      </c>
      <c r="G3025">
        <v>61</v>
      </c>
      <c r="H3025">
        <v>44</v>
      </c>
      <c r="I3025">
        <v>4</v>
      </c>
      <c r="J3025">
        <v>4</v>
      </c>
      <c r="K3025" s="9">
        <v>3.35</v>
      </c>
    </row>
    <row r="3026" spans="1:11" x14ac:dyDescent="0.45">
      <c r="A3026" t="s">
        <v>267</v>
      </c>
      <c r="B3026" t="s">
        <v>666</v>
      </c>
      <c r="C3026" t="s">
        <v>13</v>
      </c>
      <c r="D3026">
        <v>2</v>
      </c>
      <c r="E3026" t="s">
        <v>294</v>
      </c>
      <c r="F3026" t="s">
        <v>623</v>
      </c>
      <c r="G3026">
        <v>79</v>
      </c>
      <c r="H3026">
        <v>46</v>
      </c>
      <c r="I3026">
        <v>5</v>
      </c>
      <c r="J3026">
        <v>5</v>
      </c>
      <c r="K3026" s="9">
        <v>3.4375</v>
      </c>
    </row>
    <row r="3027" spans="1:11" x14ac:dyDescent="0.45">
      <c r="A3027" t="s">
        <v>267</v>
      </c>
      <c r="B3027" t="s">
        <v>666</v>
      </c>
      <c r="C3027" t="s">
        <v>13</v>
      </c>
      <c r="D3027">
        <v>3</v>
      </c>
      <c r="E3027" t="s">
        <v>345</v>
      </c>
      <c r="F3027" t="s">
        <v>622</v>
      </c>
      <c r="G3027">
        <v>59</v>
      </c>
      <c r="H3027">
        <v>29</v>
      </c>
      <c r="I3027">
        <v>3</v>
      </c>
      <c r="J3027">
        <v>6</v>
      </c>
      <c r="K3027" s="9">
        <v>4.0454545454545459</v>
      </c>
    </row>
    <row r="3028" spans="1:11" x14ac:dyDescent="0.45">
      <c r="A3028" t="s">
        <v>267</v>
      </c>
      <c r="B3028" t="s">
        <v>666</v>
      </c>
      <c r="C3028" t="s">
        <v>13</v>
      </c>
      <c r="D3028">
        <v>4</v>
      </c>
      <c r="E3028" t="s">
        <v>311</v>
      </c>
      <c r="F3028" t="s">
        <v>623</v>
      </c>
      <c r="G3028">
        <v>1</v>
      </c>
      <c r="H3028">
        <v>1</v>
      </c>
      <c r="I3028">
        <v>0</v>
      </c>
      <c r="J3028">
        <v>0</v>
      </c>
      <c r="K3028" s="9">
        <v>6.5693779904306222</v>
      </c>
    </row>
    <row r="3029" spans="1:11" x14ac:dyDescent="0.45">
      <c r="A3029" t="s">
        <v>267</v>
      </c>
      <c r="B3029" t="s">
        <v>666</v>
      </c>
      <c r="C3029" t="s">
        <v>104</v>
      </c>
      <c r="D3029">
        <v>1</v>
      </c>
      <c r="E3029" t="s">
        <v>564</v>
      </c>
      <c r="F3029" t="s">
        <v>622</v>
      </c>
      <c r="G3029">
        <v>0</v>
      </c>
      <c r="H3029">
        <v>3</v>
      </c>
      <c r="I3029">
        <v>0</v>
      </c>
      <c r="J3029">
        <v>0</v>
      </c>
      <c r="K3029" s="9">
        <v>5.6607142857142856</v>
      </c>
    </row>
    <row r="3030" spans="1:11" x14ac:dyDescent="0.45">
      <c r="A3030" t="s">
        <v>267</v>
      </c>
      <c r="B3030" t="s">
        <v>666</v>
      </c>
      <c r="C3030" t="s">
        <v>104</v>
      </c>
      <c r="D3030">
        <v>2</v>
      </c>
      <c r="E3030" t="s">
        <v>397</v>
      </c>
      <c r="F3030" t="s">
        <v>622</v>
      </c>
      <c r="G3030">
        <v>18</v>
      </c>
      <c r="H3030">
        <v>20</v>
      </c>
      <c r="I3030">
        <v>1</v>
      </c>
      <c r="J3030">
        <v>0</v>
      </c>
      <c r="K3030" s="9">
        <v>4.9473684210526319</v>
      </c>
    </row>
    <row r="3031" spans="1:11" x14ac:dyDescent="0.45">
      <c r="A3031" t="s">
        <v>267</v>
      </c>
      <c r="B3031" t="s">
        <v>666</v>
      </c>
      <c r="C3031" t="s">
        <v>104</v>
      </c>
      <c r="D3031">
        <v>3</v>
      </c>
      <c r="E3031" t="s">
        <v>426</v>
      </c>
      <c r="F3031" t="s">
        <v>622</v>
      </c>
      <c r="G3031">
        <v>9</v>
      </c>
      <c r="H3031">
        <v>10</v>
      </c>
      <c r="I3031">
        <v>1</v>
      </c>
      <c r="J3031">
        <v>0</v>
      </c>
      <c r="K3031" s="9">
        <v>4.7179487179487181</v>
      </c>
    </row>
    <row r="3032" spans="1:11" x14ac:dyDescent="0.45">
      <c r="A3032" t="s">
        <v>267</v>
      </c>
      <c r="B3032" t="s">
        <v>666</v>
      </c>
      <c r="C3032" t="s">
        <v>104</v>
      </c>
      <c r="D3032">
        <v>4</v>
      </c>
      <c r="E3032" t="s">
        <v>366</v>
      </c>
      <c r="F3032" t="s">
        <v>622</v>
      </c>
      <c r="G3032">
        <v>0</v>
      </c>
      <c r="H3032">
        <v>2</v>
      </c>
      <c r="I3032">
        <v>0</v>
      </c>
      <c r="J3032">
        <v>0</v>
      </c>
      <c r="K3032" s="9">
        <v>6.1385542168674698</v>
      </c>
    </row>
    <row r="3033" spans="1:11" x14ac:dyDescent="0.45">
      <c r="A3033" t="s">
        <v>267</v>
      </c>
      <c r="B3033" t="s">
        <v>666</v>
      </c>
      <c r="C3033" t="s">
        <v>104</v>
      </c>
      <c r="D3033">
        <v>5</v>
      </c>
      <c r="E3033" t="s">
        <v>331</v>
      </c>
      <c r="F3033" t="s">
        <v>622</v>
      </c>
      <c r="G3033">
        <v>65</v>
      </c>
      <c r="H3033">
        <v>30</v>
      </c>
      <c r="I3033">
        <v>6</v>
      </c>
      <c r="J3033">
        <v>5</v>
      </c>
      <c r="K3033" s="9">
        <v>3.6774193548387095</v>
      </c>
    </row>
    <row r="3034" spans="1:11" x14ac:dyDescent="0.45">
      <c r="A3034" t="s">
        <v>267</v>
      </c>
      <c r="B3034" t="s">
        <v>666</v>
      </c>
      <c r="C3034" t="s">
        <v>104</v>
      </c>
      <c r="D3034">
        <v>6</v>
      </c>
      <c r="E3034" t="s">
        <v>416</v>
      </c>
      <c r="F3034" t="s">
        <v>622</v>
      </c>
      <c r="G3034">
        <v>62</v>
      </c>
      <c r="H3034">
        <v>19</v>
      </c>
      <c r="I3034">
        <v>4</v>
      </c>
      <c r="J3034">
        <v>7</v>
      </c>
      <c r="K3034" s="9">
        <v>4.5660377358490569</v>
      </c>
    </row>
    <row r="3035" spans="1:11" x14ac:dyDescent="0.45">
      <c r="A3035" t="s">
        <v>267</v>
      </c>
      <c r="B3035" t="s">
        <v>666</v>
      </c>
      <c r="C3035" t="s">
        <v>104</v>
      </c>
      <c r="D3035">
        <v>7</v>
      </c>
      <c r="E3035" t="s">
        <v>521</v>
      </c>
      <c r="F3035" t="s">
        <v>622</v>
      </c>
      <c r="G3035">
        <v>30</v>
      </c>
      <c r="H3035">
        <v>24</v>
      </c>
      <c r="I3035">
        <v>4</v>
      </c>
      <c r="J3035">
        <v>0</v>
      </c>
      <c r="K3035" s="9">
        <v>4.0606060606060606</v>
      </c>
    </row>
    <row r="3036" spans="1:11" x14ac:dyDescent="0.45">
      <c r="A3036" t="s">
        <v>267</v>
      </c>
      <c r="B3036" t="s">
        <v>666</v>
      </c>
      <c r="C3036" t="s">
        <v>104</v>
      </c>
      <c r="D3036">
        <v>8</v>
      </c>
      <c r="E3036" t="s">
        <v>392</v>
      </c>
      <c r="F3036" t="s">
        <v>622</v>
      </c>
      <c r="G3036">
        <v>9</v>
      </c>
      <c r="H3036">
        <v>7</v>
      </c>
      <c r="I3036">
        <v>1</v>
      </c>
      <c r="J3036">
        <v>0</v>
      </c>
      <c r="K3036" s="9">
        <v>4.927835051546392</v>
      </c>
    </row>
    <row r="3037" spans="1:11" x14ac:dyDescent="0.45">
      <c r="A3037" t="s">
        <v>267</v>
      </c>
      <c r="B3037" t="s">
        <v>666</v>
      </c>
      <c r="C3037" t="s">
        <v>104</v>
      </c>
      <c r="D3037">
        <v>9</v>
      </c>
      <c r="E3037" t="s">
        <v>606</v>
      </c>
      <c r="F3037" t="s">
        <v>622</v>
      </c>
      <c r="G3037">
        <v>1</v>
      </c>
      <c r="H3037">
        <v>2</v>
      </c>
      <c r="I3037">
        <v>0</v>
      </c>
      <c r="J3037">
        <v>0</v>
      </c>
      <c r="K3037" s="9">
        <v>6.1385542168674698</v>
      </c>
    </row>
    <row r="3038" spans="1:11" x14ac:dyDescent="0.45">
      <c r="A3038" t="s">
        <v>267</v>
      </c>
      <c r="B3038" t="s">
        <v>666</v>
      </c>
      <c r="C3038" t="s">
        <v>104</v>
      </c>
      <c r="D3038">
        <v>10</v>
      </c>
      <c r="E3038" t="s">
        <v>407</v>
      </c>
      <c r="F3038" t="s">
        <v>623</v>
      </c>
      <c r="G3038">
        <v>3</v>
      </c>
      <c r="H3038">
        <v>2</v>
      </c>
      <c r="I3038">
        <v>0</v>
      </c>
      <c r="J3038">
        <v>0</v>
      </c>
      <c r="K3038" s="9">
        <v>6.1385542168674698</v>
      </c>
    </row>
    <row r="3039" spans="1:11" x14ac:dyDescent="0.45">
      <c r="A3039" t="s">
        <v>267</v>
      </c>
      <c r="B3039" t="s">
        <v>666</v>
      </c>
      <c r="C3039" t="s">
        <v>104</v>
      </c>
      <c r="D3039">
        <v>11</v>
      </c>
      <c r="E3039" t="s">
        <v>340</v>
      </c>
      <c r="F3039" t="s">
        <v>623</v>
      </c>
      <c r="G3039">
        <v>0</v>
      </c>
      <c r="H3039">
        <v>1</v>
      </c>
      <c r="I3039">
        <v>0</v>
      </c>
      <c r="J3039">
        <v>0</v>
      </c>
      <c r="K3039" s="9">
        <v>6.5693779904306222</v>
      </c>
    </row>
    <row r="3040" spans="1:11" x14ac:dyDescent="0.45">
      <c r="A3040" t="s">
        <v>268</v>
      </c>
      <c r="B3040" t="s">
        <v>645</v>
      </c>
      <c r="C3040" t="s">
        <v>26</v>
      </c>
      <c r="D3040">
        <v>1</v>
      </c>
      <c r="E3040" t="s">
        <v>454</v>
      </c>
      <c r="F3040" t="s">
        <v>622</v>
      </c>
      <c r="G3040">
        <v>0</v>
      </c>
      <c r="H3040">
        <v>1</v>
      </c>
      <c r="I3040">
        <v>0</v>
      </c>
      <c r="J3040">
        <v>0</v>
      </c>
      <c r="K3040" s="9">
        <v>6.5693779904306222</v>
      </c>
    </row>
    <row r="3041" spans="1:11" x14ac:dyDescent="0.45">
      <c r="A3041" t="s">
        <v>268</v>
      </c>
      <c r="B3041" t="s">
        <v>645</v>
      </c>
      <c r="C3041" t="s">
        <v>26</v>
      </c>
      <c r="D3041">
        <v>2</v>
      </c>
      <c r="E3041" t="s">
        <v>330</v>
      </c>
      <c r="F3041" t="s">
        <v>623</v>
      </c>
      <c r="G3041">
        <v>99</v>
      </c>
      <c r="H3041">
        <v>66</v>
      </c>
      <c r="I3041">
        <v>12</v>
      </c>
      <c r="J3041">
        <v>5</v>
      </c>
      <c r="K3041" s="9">
        <v>3.6666666666666665</v>
      </c>
    </row>
    <row r="3042" spans="1:11" x14ac:dyDescent="0.45">
      <c r="A3042" t="s">
        <v>268</v>
      </c>
      <c r="B3042" t="s">
        <v>645</v>
      </c>
      <c r="C3042" t="s">
        <v>26</v>
      </c>
      <c r="D3042">
        <v>3</v>
      </c>
      <c r="E3042" t="s">
        <v>596</v>
      </c>
      <c r="F3042" t="s">
        <v>622</v>
      </c>
      <c r="G3042">
        <v>1</v>
      </c>
      <c r="H3042">
        <v>3</v>
      </c>
      <c r="I3042">
        <v>0</v>
      </c>
      <c r="J3042">
        <v>0</v>
      </c>
      <c r="K3042" s="9">
        <v>5.6607142857142856</v>
      </c>
    </row>
    <row r="3043" spans="1:11" x14ac:dyDescent="0.45">
      <c r="A3043" t="s">
        <v>268</v>
      </c>
      <c r="B3043" t="s">
        <v>645</v>
      </c>
      <c r="C3043" t="s">
        <v>26</v>
      </c>
      <c r="D3043">
        <v>4</v>
      </c>
      <c r="E3043" t="s">
        <v>495</v>
      </c>
      <c r="F3043" t="s">
        <v>622</v>
      </c>
      <c r="G3043">
        <v>4</v>
      </c>
      <c r="H3043">
        <v>9</v>
      </c>
      <c r="I3043">
        <v>1</v>
      </c>
      <c r="J3043">
        <v>0</v>
      </c>
      <c r="K3043" s="9">
        <v>4.924050632911392</v>
      </c>
    </row>
    <row r="3044" spans="1:11" x14ac:dyDescent="0.45">
      <c r="A3044" t="s">
        <v>268</v>
      </c>
      <c r="B3044" t="s">
        <v>645</v>
      </c>
      <c r="C3044" t="s">
        <v>26</v>
      </c>
      <c r="D3044">
        <v>5</v>
      </c>
      <c r="E3044" t="s">
        <v>420</v>
      </c>
      <c r="F3044" t="s">
        <v>622</v>
      </c>
      <c r="G3044">
        <v>22</v>
      </c>
      <c r="H3044">
        <v>15</v>
      </c>
      <c r="I3044">
        <v>3</v>
      </c>
      <c r="J3044">
        <v>1</v>
      </c>
      <c r="K3044" s="9">
        <v>4.7777777777777777</v>
      </c>
    </row>
    <row r="3045" spans="1:11" x14ac:dyDescent="0.45">
      <c r="A3045" t="s">
        <v>268</v>
      </c>
      <c r="B3045" t="s">
        <v>645</v>
      </c>
      <c r="C3045" t="s">
        <v>26</v>
      </c>
      <c r="D3045">
        <v>6</v>
      </c>
      <c r="E3045" t="s">
        <v>590</v>
      </c>
      <c r="F3045" t="s">
        <v>622</v>
      </c>
      <c r="G3045">
        <v>5</v>
      </c>
      <c r="H3045">
        <v>6</v>
      </c>
      <c r="I3045">
        <v>0</v>
      </c>
      <c r="J3045">
        <v>0</v>
      </c>
      <c r="K3045" s="9">
        <v>5.4565217391304346</v>
      </c>
    </row>
    <row r="3046" spans="1:11" x14ac:dyDescent="0.45">
      <c r="A3046" t="s">
        <v>268</v>
      </c>
      <c r="B3046" t="s">
        <v>645</v>
      </c>
      <c r="C3046" t="s">
        <v>26</v>
      </c>
      <c r="D3046">
        <v>7</v>
      </c>
      <c r="E3046" t="s">
        <v>400</v>
      </c>
      <c r="F3046" t="s">
        <v>622</v>
      </c>
      <c r="G3046">
        <v>4</v>
      </c>
      <c r="H3046">
        <v>3</v>
      </c>
      <c r="I3046">
        <v>1</v>
      </c>
      <c r="J3046">
        <v>0</v>
      </c>
      <c r="K3046" s="9">
        <v>5.6607142857142856</v>
      </c>
    </row>
    <row r="3047" spans="1:11" x14ac:dyDescent="0.45">
      <c r="A3047" t="s">
        <v>268</v>
      </c>
      <c r="B3047" t="s">
        <v>645</v>
      </c>
      <c r="C3047" t="s">
        <v>26</v>
      </c>
      <c r="D3047">
        <v>8</v>
      </c>
      <c r="E3047" t="s">
        <v>404</v>
      </c>
      <c r="F3047" t="s">
        <v>622</v>
      </c>
      <c r="G3047">
        <v>1</v>
      </c>
      <c r="H3047">
        <v>2</v>
      </c>
      <c r="I3047">
        <v>0</v>
      </c>
      <c r="J3047">
        <v>0</v>
      </c>
      <c r="K3047" s="9">
        <v>6.1385542168674698</v>
      </c>
    </row>
    <row r="3048" spans="1:11" x14ac:dyDescent="0.45">
      <c r="A3048" t="s">
        <v>268</v>
      </c>
      <c r="B3048" t="s">
        <v>645</v>
      </c>
      <c r="C3048" t="s">
        <v>26</v>
      </c>
      <c r="D3048">
        <v>9</v>
      </c>
      <c r="E3048" t="s">
        <v>435</v>
      </c>
      <c r="F3048" t="s">
        <v>622</v>
      </c>
      <c r="G3048">
        <v>0</v>
      </c>
      <c r="H3048">
        <v>8</v>
      </c>
      <c r="I3048">
        <v>0</v>
      </c>
      <c r="J3048">
        <v>0</v>
      </c>
      <c r="K3048" s="9">
        <v>4.9029126213592233</v>
      </c>
    </row>
    <row r="3049" spans="1:11" x14ac:dyDescent="0.45">
      <c r="A3049" t="s">
        <v>268</v>
      </c>
      <c r="B3049" t="s">
        <v>645</v>
      </c>
      <c r="C3049" t="s">
        <v>26</v>
      </c>
      <c r="D3049">
        <v>10</v>
      </c>
      <c r="E3049" t="s">
        <v>428</v>
      </c>
      <c r="F3049" t="s">
        <v>622</v>
      </c>
      <c r="G3049">
        <v>0</v>
      </c>
      <c r="H3049">
        <v>5</v>
      </c>
      <c r="I3049">
        <v>0</v>
      </c>
      <c r="J3049">
        <v>0</v>
      </c>
      <c r="K3049" s="9">
        <v>5.132075471698113</v>
      </c>
    </row>
    <row r="3050" spans="1:11" x14ac:dyDescent="0.45">
      <c r="A3050" t="s">
        <v>268</v>
      </c>
      <c r="B3050" t="s">
        <v>645</v>
      </c>
      <c r="C3050" t="s">
        <v>26</v>
      </c>
      <c r="D3050">
        <v>11</v>
      </c>
      <c r="E3050" t="s">
        <v>609</v>
      </c>
      <c r="F3050" t="s">
        <v>623</v>
      </c>
      <c r="G3050">
        <v>1</v>
      </c>
      <c r="H3050">
        <v>2</v>
      </c>
      <c r="I3050">
        <v>0</v>
      </c>
      <c r="J3050">
        <v>0</v>
      </c>
      <c r="K3050" s="9">
        <v>6.1385542168674698</v>
      </c>
    </row>
    <row r="3051" spans="1:11" x14ac:dyDescent="0.45">
      <c r="A3051" t="s">
        <v>268</v>
      </c>
      <c r="B3051" t="s">
        <v>645</v>
      </c>
      <c r="C3051" t="s">
        <v>20</v>
      </c>
      <c r="D3051">
        <v>1</v>
      </c>
      <c r="E3051" t="s">
        <v>574</v>
      </c>
      <c r="F3051" t="s">
        <v>622</v>
      </c>
      <c r="G3051">
        <v>13</v>
      </c>
      <c r="H3051">
        <v>14</v>
      </c>
      <c r="I3051">
        <v>3</v>
      </c>
      <c r="J3051">
        <v>0</v>
      </c>
      <c r="K3051" s="9">
        <v>4.8461538461538458</v>
      </c>
    </row>
    <row r="3052" spans="1:11" x14ac:dyDescent="0.45">
      <c r="A3052" t="s">
        <v>268</v>
      </c>
      <c r="B3052" t="s">
        <v>645</v>
      </c>
      <c r="C3052" t="s">
        <v>20</v>
      </c>
      <c r="D3052">
        <v>2</v>
      </c>
      <c r="E3052" t="s">
        <v>398</v>
      </c>
      <c r="F3052" t="s">
        <v>622</v>
      </c>
      <c r="G3052">
        <v>21</v>
      </c>
      <c r="H3052">
        <v>20</v>
      </c>
      <c r="I3052">
        <v>3</v>
      </c>
      <c r="J3052">
        <v>0</v>
      </c>
      <c r="K3052" s="9">
        <v>4.9473684210526319</v>
      </c>
    </row>
    <row r="3053" spans="1:11" x14ac:dyDescent="0.45">
      <c r="A3053" t="s">
        <v>268</v>
      </c>
      <c r="B3053" t="s">
        <v>645</v>
      </c>
      <c r="C3053" t="s">
        <v>20</v>
      </c>
      <c r="D3053">
        <v>3</v>
      </c>
      <c r="E3053" t="s">
        <v>315</v>
      </c>
      <c r="F3053" t="s">
        <v>623</v>
      </c>
      <c r="G3053">
        <v>74</v>
      </c>
      <c r="H3053">
        <v>48</v>
      </c>
      <c r="I3053">
        <v>10</v>
      </c>
      <c r="J3053">
        <v>3</v>
      </c>
      <c r="K3053" s="9">
        <v>3.2105263157894739</v>
      </c>
    </row>
    <row r="3054" spans="1:11" x14ac:dyDescent="0.45">
      <c r="A3054" t="s">
        <v>268</v>
      </c>
      <c r="B3054" t="s">
        <v>645</v>
      </c>
      <c r="C3054" t="s">
        <v>20</v>
      </c>
      <c r="D3054">
        <v>4</v>
      </c>
      <c r="E3054" t="s">
        <v>401</v>
      </c>
      <c r="F3054" t="s">
        <v>623</v>
      </c>
      <c r="G3054">
        <v>37</v>
      </c>
      <c r="H3054">
        <v>21</v>
      </c>
      <c r="I3054">
        <v>6</v>
      </c>
      <c r="J3054">
        <v>0</v>
      </c>
      <c r="K3054" s="9">
        <v>4.3770491803278686</v>
      </c>
    </row>
    <row r="3055" spans="1:11" x14ac:dyDescent="0.45">
      <c r="A3055" t="s">
        <v>269</v>
      </c>
      <c r="B3055" t="s">
        <v>688</v>
      </c>
      <c r="C3055" t="s">
        <v>101</v>
      </c>
      <c r="D3055">
        <v>1</v>
      </c>
      <c r="E3055" t="s">
        <v>380</v>
      </c>
      <c r="F3055" t="s">
        <v>622</v>
      </c>
      <c r="G3055">
        <v>17</v>
      </c>
      <c r="H3055">
        <v>17</v>
      </c>
      <c r="I3055">
        <v>3</v>
      </c>
      <c r="J3055">
        <v>0</v>
      </c>
      <c r="K3055" s="9">
        <v>4.82</v>
      </c>
    </row>
    <row r="3056" spans="1:11" x14ac:dyDescent="0.45">
      <c r="A3056" t="s">
        <v>269</v>
      </c>
      <c r="B3056" t="s">
        <v>688</v>
      </c>
      <c r="C3056" t="s">
        <v>101</v>
      </c>
      <c r="D3056">
        <v>2</v>
      </c>
      <c r="E3056" t="s">
        <v>302</v>
      </c>
      <c r="F3056" t="s">
        <v>622</v>
      </c>
      <c r="G3056">
        <v>39</v>
      </c>
      <c r="H3056">
        <v>31</v>
      </c>
      <c r="I3056">
        <v>5</v>
      </c>
      <c r="J3056">
        <v>0</v>
      </c>
      <c r="K3056" s="9">
        <v>3.4375</v>
      </c>
    </row>
    <row r="3057" spans="1:11" x14ac:dyDescent="0.45">
      <c r="A3057" t="s">
        <v>269</v>
      </c>
      <c r="B3057" t="s">
        <v>688</v>
      </c>
      <c r="C3057" t="s">
        <v>101</v>
      </c>
      <c r="D3057">
        <v>3</v>
      </c>
      <c r="E3057" t="s">
        <v>534</v>
      </c>
      <c r="F3057" t="s">
        <v>622</v>
      </c>
      <c r="G3057">
        <v>53</v>
      </c>
      <c r="H3057">
        <v>38</v>
      </c>
      <c r="I3057">
        <v>3</v>
      </c>
      <c r="J3057">
        <v>2</v>
      </c>
      <c r="K3057" s="9">
        <v>3.6842105263157894</v>
      </c>
    </row>
    <row r="3058" spans="1:11" x14ac:dyDescent="0.45">
      <c r="A3058" t="s">
        <v>269</v>
      </c>
      <c r="B3058" t="s">
        <v>688</v>
      </c>
      <c r="C3058" t="s">
        <v>101</v>
      </c>
      <c r="D3058">
        <v>4</v>
      </c>
      <c r="E3058" t="s">
        <v>540</v>
      </c>
      <c r="F3058" t="s">
        <v>622</v>
      </c>
      <c r="G3058">
        <v>14</v>
      </c>
      <c r="H3058">
        <v>8</v>
      </c>
      <c r="I3058">
        <v>3</v>
      </c>
      <c r="J3058">
        <v>0</v>
      </c>
      <c r="K3058" s="9">
        <v>4.9029126213592233</v>
      </c>
    </row>
    <row r="3059" spans="1:11" x14ac:dyDescent="0.45">
      <c r="A3059" t="s">
        <v>269</v>
      </c>
      <c r="B3059" t="s">
        <v>688</v>
      </c>
      <c r="C3059" t="s">
        <v>101</v>
      </c>
      <c r="D3059">
        <v>5</v>
      </c>
      <c r="E3059" t="s">
        <v>460</v>
      </c>
      <c r="F3059" t="s">
        <v>623</v>
      </c>
      <c r="G3059">
        <v>63</v>
      </c>
      <c r="H3059">
        <v>24</v>
      </c>
      <c r="I3059">
        <v>4</v>
      </c>
      <c r="J3059">
        <v>5</v>
      </c>
      <c r="K3059" s="9">
        <v>4.0606060606060606</v>
      </c>
    </row>
    <row r="3060" spans="1:11" x14ac:dyDescent="0.45">
      <c r="A3060" t="s">
        <v>269</v>
      </c>
      <c r="B3060" t="s">
        <v>688</v>
      </c>
      <c r="C3060" t="s">
        <v>101</v>
      </c>
      <c r="D3060">
        <v>6</v>
      </c>
      <c r="E3060" t="s">
        <v>411</v>
      </c>
      <c r="F3060" t="s">
        <v>623</v>
      </c>
      <c r="G3060">
        <v>2</v>
      </c>
      <c r="H3060">
        <v>3</v>
      </c>
      <c r="I3060">
        <v>0</v>
      </c>
      <c r="J3060">
        <v>0</v>
      </c>
      <c r="K3060" s="9">
        <v>5.6607142857142856</v>
      </c>
    </row>
    <row r="3061" spans="1:11" x14ac:dyDescent="0.45">
      <c r="A3061" t="s">
        <v>269</v>
      </c>
      <c r="B3061" t="s">
        <v>688</v>
      </c>
      <c r="C3061" t="s">
        <v>7</v>
      </c>
      <c r="D3061">
        <v>1</v>
      </c>
      <c r="E3061" t="s">
        <v>578</v>
      </c>
      <c r="F3061" t="s">
        <v>622</v>
      </c>
      <c r="G3061">
        <v>15</v>
      </c>
      <c r="H3061">
        <v>12</v>
      </c>
      <c r="I3061">
        <v>1</v>
      </c>
      <c r="J3061">
        <v>1</v>
      </c>
      <c r="K3061" s="9">
        <v>4.8024691358024691</v>
      </c>
    </row>
    <row r="3062" spans="1:11" x14ac:dyDescent="0.45">
      <c r="A3062" t="s">
        <v>269</v>
      </c>
      <c r="B3062" t="s">
        <v>688</v>
      </c>
      <c r="C3062" t="s">
        <v>7</v>
      </c>
      <c r="D3062">
        <v>2</v>
      </c>
      <c r="E3062" t="s">
        <v>506</v>
      </c>
      <c r="F3062" t="s">
        <v>622</v>
      </c>
      <c r="G3062">
        <v>6</v>
      </c>
      <c r="H3062">
        <v>8</v>
      </c>
      <c r="I3062">
        <v>1</v>
      </c>
      <c r="J3062">
        <v>0</v>
      </c>
      <c r="K3062" s="9">
        <v>4.9029126213592233</v>
      </c>
    </row>
    <row r="3063" spans="1:11" x14ac:dyDescent="0.45">
      <c r="A3063" t="s">
        <v>269</v>
      </c>
      <c r="B3063" t="s">
        <v>688</v>
      </c>
      <c r="C3063" t="s">
        <v>7</v>
      </c>
      <c r="D3063">
        <v>3</v>
      </c>
      <c r="E3063" t="s">
        <v>304</v>
      </c>
      <c r="F3063" t="s">
        <v>622</v>
      </c>
      <c r="G3063">
        <v>83</v>
      </c>
      <c r="H3063">
        <v>40</v>
      </c>
      <c r="I3063">
        <v>8</v>
      </c>
      <c r="J3063">
        <v>5</v>
      </c>
      <c r="K3063" s="9">
        <v>4</v>
      </c>
    </row>
    <row r="3064" spans="1:11" x14ac:dyDescent="0.45">
      <c r="A3064" t="s">
        <v>269</v>
      </c>
      <c r="B3064" t="s">
        <v>688</v>
      </c>
      <c r="C3064" t="s">
        <v>7</v>
      </c>
      <c r="D3064">
        <v>4</v>
      </c>
      <c r="E3064" t="s">
        <v>306</v>
      </c>
      <c r="F3064" t="s">
        <v>622</v>
      </c>
      <c r="G3064">
        <v>45</v>
      </c>
      <c r="H3064">
        <v>29</v>
      </c>
      <c r="I3064">
        <v>4</v>
      </c>
      <c r="J3064">
        <v>3</v>
      </c>
      <c r="K3064" s="9">
        <v>4.0454545454545459</v>
      </c>
    </row>
    <row r="3065" spans="1:11" x14ac:dyDescent="0.45">
      <c r="A3065" t="s">
        <v>269</v>
      </c>
      <c r="B3065" t="s">
        <v>688</v>
      </c>
      <c r="C3065" t="s">
        <v>7</v>
      </c>
      <c r="D3065">
        <v>5</v>
      </c>
      <c r="E3065" t="s">
        <v>514</v>
      </c>
      <c r="F3065" t="s">
        <v>623</v>
      </c>
      <c r="G3065">
        <v>48</v>
      </c>
      <c r="H3065">
        <v>21</v>
      </c>
      <c r="I3065">
        <v>1</v>
      </c>
      <c r="J3065">
        <v>6</v>
      </c>
      <c r="K3065" s="9">
        <v>4.3770491803278686</v>
      </c>
    </row>
    <row r="3066" spans="1:11" x14ac:dyDescent="0.45">
      <c r="A3066" t="s">
        <v>269</v>
      </c>
      <c r="B3066" t="s">
        <v>688</v>
      </c>
      <c r="C3066" t="s">
        <v>7</v>
      </c>
      <c r="D3066">
        <v>6</v>
      </c>
      <c r="E3066" t="s">
        <v>440</v>
      </c>
      <c r="F3066" t="s">
        <v>622</v>
      </c>
      <c r="G3066">
        <v>1</v>
      </c>
      <c r="H3066">
        <v>2</v>
      </c>
      <c r="I3066">
        <v>0</v>
      </c>
      <c r="J3066">
        <v>0</v>
      </c>
      <c r="K3066" s="9">
        <v>6.1385542168674698</v>
      </c>
    </row>
    <row r="3067" spans="1:11" x14ac:dyDescent="0.45">
      <c r="A3067" t="s">
        <v>269</v>
      </c>
      <c r="B3067" t="s">
        <v>688</v>
      </c>
      <c r="C3067" t="s">
        <v>7</v>
      </c>
      <c r="D3067">
        <v>7</v>
      </c>
      <c r="E3067" t="s">
        <v>308</v>
      </c>
      <c r="F3067" t="s">
        <v>622</v>
      </c>
      <c r="G3067">
        <v>0</v>
      </c>
      <c r="H3067">
        <v>1</v>
      </c>
      <c r="I3067">
        <v>0</v>
      </c>
      <c r="J3067">
        <v>0</v>
      </c>
      <c r="K3067" s="9">
        <v>6.5693779904306222</v>
      </c>
    </row>
    <row r="3068" spans="1:11" x14ac:dyDescent="0.45">
      <c r="A3068" t="s">
        <v>269</v>
      </c>
      <c r="B3068" t="s">
        <v>688</v>
      </c>
      <c r="C3068" t="s">
        <v>7</v>
      </c>
      <c r="D3068">
        <v>8</v>
      </c>
      <c r="E3068" t="s">
        <v>326</v>
      </c>
      <c r="F3068" t="s">
        <v>622</v>
      </c>
      <c r="G3068">
        <v>0</v>
      </c>
      <c r="H3068">
        <v>1</v>
      </c>
      <c r="I3068">
        <v>0</v>
      </c>
      <c r="J3068">
        <v>0</v>
      </c>
      <c r="K3068" s="9">
        <v>6.5693779904306222</v>
      </c>
    </row>
    <row r="3069" spans="1:11" x14ac:dyDescent="0.45">
      <c r="A3069" t="s">
        <v>269</v>
      </c>
      <c r="B3069" t="s">
        <v>688</v>
      </c>
      <c r="C3069" t="s">
        <v>7</v>
      </c>
      <c r="D3069">
        <v>9</v>
      </c>
      <c r="E3069" t="s">
        <v>515</v>
      </c>
      <c r="F3069" t="s">
        <v>623</v>
      </c>
      <c r="G3069">
        <v>5</v>
      </c>
      <c r="H3069">
        <v>6</v>
      </c>
      <c r="I3069">
        <v>0</v>
      </c>
      <c r="J3069">
        <v>0</v>
      </c>
      <c r="K3069" s="9">
        <v>5.4565217391304346</v>
      </c>
    </row>
    <row r="3070" spans="1:11" x14ac:dyDescent="0.45">
      <c r="A3070" t="s">
        <v>270</v>
      </c>
      <c r="B3070" t="s">
        <v>689</v>
      </c>
      <c r="C3070" t="s">
        <v>19</v>
      </c>
      <c r="D3070">
        <v>1</v>
      </c>
      <c r="E3070" t="s">
        <v>359</v>
      </c>
      <c r="F3070" t="s">
        <v>622</v>
      </c>
      <c r="G3070">
        <v>21</v>
      </c>
      <c r="H3070">
        <v>13</v>
      </c>
      <c r="I3070">
        <v>3</v>
      </c>
      <c r="J3070">
        <v>1</v>
      </c>
      <c r="K3070" s="9">
        <v>4.8939393939393936</v>
      </c>
    </row>
    <row r="3071" spans="1:11" x14ac:dyDescent="0.45">
      <c r="A3071" t="s">
        <v>270</v>
      </c>
      <c r="B3071" t="s">
        <v>689</v>
      </c>
      <c r="C3071" t="s">
        <v>19</v>
      </c>
      <c r="D3071">
        <v>2</v>
      </c>
      <c r="E3071" t="s">
        <v>360</v>
      </c>
      <c r="F3071" t="s">
        <v>622</v>
      </c>
      <c r="G3071">
        <v>32</v>
      </c>
      <c r="H3071">
        <v>21</v>
      </c>
      <c r="I3071">
        <v>5</v>
      </c>
      <c r="J3071">
        <v>0</v>
      </c>
      <c r="K3071" s="9">
        <v>4.3770491803278686</v>
      </c>
    </row>
    <row r="3072" spans="1:11" x14ac:dyDescent="0.45">
      <c r="A3072" t="s">
        <v>270</v>
      </c>
      <c r="B3072" t="s">
        <v>689</v>
      </c>
      <c r="C3072" t="s">
        <v>19</v>
      </c>
      <c r="D3072">
        <v>3</v>
      </c>
      <c r="E3072" t="s">
        <v>560</v>
      </c>
      <c r="F3072" t="s">
        <v>622</v>
      </c>
      <c r="G3072">
        <v>12</v>
      </c>
      <c r="H3072">
        <v>11</v>
      </c>
      <c r="I3072">
        <v>1</v>
      </c>
      <c r="J3072">
        <v>0</v>
      </c>
      <c r="K3072" s="9">
        <v>4.9649122807017543</v>
      </c>
    </row>
    <row r="3073" spans="1:11" x14ac:dyDescent="0.45">
      <c r="A3073" t="s">
        <v>270</v>
      </c>
      <c r="B3073" t="s">
        <v>689</v>
      </c>
      <c r="C3073" t="s">
        <v>19</v>
      </c>
      <c r="D3073">
        <v>4</v>
      </c>
      <c r="E3073" t="s">
        <v>363</v>
      </c>
      <c r="F3073" t="s">
        <v>622</v>
      </c>
      <c r="G3073">
        <v>1</v>
      </c>
      <c r="H3073">
        <v>2</v>
      </c>
      <c r="I3073">
        <v>0</v>
      </c>
      <c r="J3073">
        <v>0</v>
      </c>
      <c r="K3073" s="9">
        <v>6.1385542168674698</v>
      </c>
    </row>
    <row r="3074" spans="1:11" x14ac:dyDescent="0.45">
      <c r="A3074" t="s">
        <v>270</v>
      </c>
      <c r="B3074" t="s">
        <v>689</v>
      </c>
      <c r="C3074" t="s">
        <v>19</v>
      </c>
      <c r="D3074">
        <v>5</v>
      </c>
      <c r="E3074" t="s">
        <v>502</v>
      </c>
      <c r="F3074" t="s">
        <v>622</v>
      </c>
      <c r="G3074">
        <v>22</v>
      </c>
      <c r="H3074">
        <v>18</v>
      </c>
      <c r="I3074">
        <v>2</v>
      </c>
      <c r="J3074">
        <v>1</v>
      </c>
      <c r="K3074" s="9">
        <v>4.375</v>
      </c>
    </row>
    <row r="3075" spans="1:11" x14ac:dyDescent="0.45">
      <c r="A3075" t="s">
        <v>270</v>
      </c>
      <c r="B3075" t="s">
        <v>689</v>
      </c>
      <c r="C3075" t="s">
        <v>19</v>
      </c>
      <c r="D3075">
        <v>6</v>
      </c>
      <c r="E3075" t="s">
        <v>593</v>
      </c>
      <c r="F3075" t="s">
        <v>622</v>
      </c>
      <c r="G3075">
        <v>2</v>
      </c>
      <c r="H3075">
        <v>4</v>
      </c>
      <c r="I3075">
        <v>0</v>
      </c>
      <c r="J3075">
        <v>0</v>
      </c>
      <c r="K3075" s="9">
        <v>5.352380952380952</v>
      </c>
    </row>
    <row r="3076" spans="1:11" x14ac:dyDescent="0.45">
      <c r="A3076" t="s">
        <v>270</v>
      </c>
      <c r="B3076" t="s">
        <v>689</v>
      </c>
      <c r="C3076" t="s">
        <v>19</v>
      </c>
      <c r="D3076">
        <v>7</v>
      </c>
      <c r="E3076" t="s">
        <v>447</v>
      </c>
      <c r="F3076" t="s">
        <v>622</v>
      </c>
      <c r="G3076">
        <v>31</v>
      </c>
      <c r="H3076">
        <v>22</v>
      </c>
      <c r="I3076">
        <v>1</v>
      </c>
      <c r="J3076">
        <v>2</v>
      </c>
      <c r="K3076" s="9">
        <v>4.4423076923076925</v>
      </c>
    </row>
    <row r="3077" spans="1:11" x14ac:dyDescent="0.45">
      <c r="A3077" t="s">
        <v>270</v>
      </c>
      <c r="B3077" t="s">
        <v>689</v>
      </c>
      <c r="C3077" t="s">
        <v>19</v>
      </c>
      <c r="D3077">
        <v>8</v>
      </c>
      <c r="E3077" t="s">
        <v>517</v>
      </c>
      <c r="F3077" t="s">
        <v>622</v>
      </c>
      <c r="G3077">
        <v>5</v>
      </c>
      <c r="H3077">
        <v>10</v>
      </c>
      <c r="I3077">
        <v>0</v>
      </c>
      <c r="J3077">
        <v>0</v>
      </c>
      <c r="K3077" s="9">
        <v>4.7179487179487181</v>
      </c>
    </row>
    <row r="3078" spans="1:11" x14ac:dyDescent="0.45">
      <c r="A3078" t="s">
        <v>270</v>
      </c>
      <c r="B3078" t="s">
        <v>689</v>
      </c>
      <c r="C3078" t="s">
        <v>19</v>
      </c>
      <c r="D3078">
        <v>9</v>
      </c>
      <c r="E3078" t="s">
        <v>504</v>
      </c>
      <c r="F3078" t="s">
        <v>623</v>
      </c>
      <c r="G3078">
        <v>18</v>
      </c>
      <c r="H3078">
        <v>13</v>
      </c>
      <c r="I3078">
        <v>3</v>
      </c>
      <c r="J3078">
        <v>0</v>
      </c>
      <c r="K3078" s="9">
        <v>4.8939393939393936</v>
      </c>
    </row>
    <row r="3079" spans="1:11" x14ac:dyDescent="0.45">
      <c r="A3079" t="s">
        <v>270</v>
      </c>
      <c r="B3079" t="s">
        <v>689</v>
      </c>
      <c r="C3079" t="s">
        <v>19</v>
      </c>
      <c r="D3079">
        <v>10</v>
      </c>
      <c r="E3079" t="s">
        <v>368</v>
      </c>
      <c r="F3079" t="s">
        <v>623</v>
      </c>
      <c r="G3079">
        <v>5</v>
      </c>
      <c r="H3079">
        <v>6</v>
      </c>
      <c r="I3079">
        <v>0</v>
      </c>
      <c r="J3079">
        <v>0</v>
      </c>
      <c r="K3079" s="9">
        <v>5.4565217391304346</v>
      </c>
    </row>
    <row r="3080" spans="1:11" x14ac:dyDescent="0.45">
      <c r="A3080" t="s">
        <v>270</v>
      </c>
      <c r="B3080" t="s">
        <v>689</v>
      </c>
      <c r="C3080" t="s">
        <v>6</v>
      </c>
      <c r="D3080">
        <v>1</v>
      </c>
      <c r="E3080" t="s">
        <v>505</v>
      </c>
      <c r="F3080" t="s">
        <v>622</v>
      </c>
      <c r="G3080">
        <v>0</v>
      </c>
      <c r="H3080">
        <v>4</v>
      </c>
      <c r="I3080">
        <v>0</v>
      </c>
      <c r="J3080">
        <v>0</v>
      </c>
      <c r="K3080" s="9">
        <v>5.352380952380952</v>
      </c>
    </row>
    <row r="3081" spans="1:11" x14ac:dyDescent="0.45">
      <c r="A3081" t="s">
        <v>270</v>
      </c>
      <c r="B3081" t="s">
        <v>689</v>
      </c>
      <c r="C3081" t="s">
        <v>6</v>
      </c>
      <c r="D3081">
        <v>2</v>
      </c>
      <c r="E3081" t="s">
        <v>290</v>
      </c>
      <c r="F3081" t="s">
        <v>623</v>
      </c>
      <c r="G3081">
        <v>40</v>
      </c>
      <c r="H3081">
        <v>36</v>
      </c>
      <c r="I3081">
        <v>2</v>
      </c>
      <c r="J3081">
        <v>1</v>
      </c>
      <c r="K3081" s="9">
        <v>4.083333333333333</v>
      </c>
    </row>
    <row r="3082" spans="1:11" x14ac:dyDescent="0.45">
      <c r="A3082" t="s">
        <v>270</v>
      </c>
      <c r="B3082" t="s">
        <v>689</v>
      </c>
      <c r="C3082" t="s">
        <v>6</v>
      </c>
      <c r="D3082">
        <v>3</v>
      </c>
      <c r="E3082" t="s">
        <v>481</v>
      </c>
      <c r="F3082" t="s">
        <v>622</v>
      </c>
      <c r="G3082">
        <v>61</v>
      </c>
      <c r="H3082">
        <v>27</v>
      </c>
      <c r="I3082">
        <v>7</v>
      </c>
      <c r="J3082">
        <v>3</v>
      </c>
      <c r="K3082" s="9">
        <v>4.25</v>
      </c>
    </row>
    <row r="3083" spans="1:11" x14ac:dyDescent="0.45">
      <c r="A3083" t="s">
        <v>270</v>
      </c>
      <c r="B3083" t="s">
        <v>689</v>
      </c>
      <c r="C3083" t="s">
        <v>6</v>
      </c>
      <c r="D3083">
        <v>4</v>
      </c>
      <c r="E3083" t="s">
        <v>387</v>
      </c>
      <c r="F3083" t="s">
        <v>622</v>
      </c>
      <c r="G3083">
        <v>28</v>
      </c>
      <c r="H3083">
        <v>26</v>
      </c>
      <c r="I3083">
        <v>2</v>
      </c>
      <c r="J3083">
        <v>1</v>
      </c>
      <c r="K3083" s="9">
        <v>4.1568627450980395</v>
      </c>
    </row>
    <row r="3084" spans="1:11" x14ac:dyDescent="0.45">
      <c r="A3084" t="s">
        <v>270</v>
      </c>
      <c r="B3084" t="s">
        <v>689</v>
      </c>
      <c r="C3084" t="s">
        <v>6</v>
      </c>
      <c r="D3084">
        <v>5</v>
      </c>
      <c r="E3084" t="s">
        <v>355</v>
      </c>
      <c r="F3084" t="s">
        <v>623</v>
      </c>
      <c r="G3084">
        <v>20</v>
      </c>
      <c r="H3084">
        <v>16</v>
      </c>
      <c r="I3084">
        <v>3</v>
      </c>
      <c r="J3084">
        <v>0</v>
      </c>
      <c r="K3084" s="9">
        <v>4.7608695652173916</v>
      </c>
    </row>
    <row r="3085" spans="1:11" x14ac:dyDescent="0.45">
      <c r="A3085" t="s">
        <v>272</v>
      </c>
      <c r="B3085" t="s">
        <v>675</v>
      </c>
      <c r="C3085" t="s">
        <v>23</v>
      </c>
      <c r="D3085">
        <v>1</v>
      </c>
      <c r="E3085" t="s">
        <v>383</v>
      </c>
      <c r="F3085" t="s">
        <v>622</v>
      </c>
      <c r="G3085">
        <v>60</v>
      </c>
      <c r="H3085">
        <v>31</v>
      </c>
      <c r="I3085">
        <v>11</v>
      </c>
      <c r="J3085">
        <v>1</v>
      </c>
      <c r="K3085" s="9">
        <v>3.4375</v>
      </c>
    </row>
    <row r="3086" spans="1:11" x14ac:dyDescent="0.45">
      <c r="A3086" t="s">
        <v>272</v>
      </c>
      <c r="B3086" t="s">
        <v>675</v>
      </c>
      <c r="C3086" t="s">
        <v>23</v>
      </c>
      <c r="D3086">
        <v>2</v>
      </c>
      <c r="E3086" t="s">
        <v>458</v>
      </c>
      <c r="F3086" t="s">
        <v>622</v>
      </c>
      <c r="G3086">
        <v>79</v>
      </c>
      <c r="H3086">
        <v>51</v>
      </c>
      <c r="I3086">
        <v>11</v>
      </c>
      <c r="J3086">
        <v>1</v>
      </c>
      <c r="K3086" s="9">
        <v>3.2352941176470589</v>
      </c>
    </row>
    <row r="3087" spans="1:11" x14ac:dyDescent="0.45">
      <c r="A3087" t="s">
        <v>272</v>
      </c>
      <c r="B3087" t="s">
        <v>675</v>
      </c>
      <c r="C3087" t="s">
        <v>23</v>
      </c>
      <c r="D3087">
        <v>3</v>
      </c>
      <c r="E3087" t="s">
        <v>386</v>
      </c>
      <c r="F3087" t="s">
        <v>622</v>
      </c>
      <c r="G3087">
        <v>0</v>
      </c>
      <c r="H3087">
        <v>4</v>
      </c>
      <c r="I3087">
        <v>0</v>
      </c>
      <c r="J3087">
        <v>0</v>
      </c>
      <c r="K3087" s="9">
        <v>5.352380952380952</v>
      </c>
    </row>
    <row r="3088" spans="1:11" x14ac:dyDescent="0.45">
      <c r="A3088" t="s">
        <v>272</v>
      </c>
      <c r="B3088" t="s">
        <v>675</v>
      </c>
      <c r="C3088" t="s">
        <v>23</v>
      </c>
      <c r="D3088">
        <v>4</v>
      </c>
      <c r="E3088" t="s">
        <v>431</v>
      </c>
      <c r="F3088" t="s">
        <v>622</v>
      </c>
      <c r="G3088">
        <v>7</v>
      </c>
      <c r="H3088">
        <v>11</v>
      </c>
      <c r="I3088">
        <v>0</v>
      </c>
      <c r="J3088">
        <v>0</v>
      </c>
      <c r="K3088" s="9">
        <v>4.9649122807017543</v>
      </c>
    </row>
    <row r="3089" spans="1:11" x14ac:dyDescent="0.45">
      <c r="A3089" t="s">
        <v>272</v>
      </c>
      <c r="B3089" t="s">
        <v>675</v>
      </c>
      <c r="C3089" t="s">
        <v>23</v>
      </c>
      <c r="D3089">
        <v>5</v>
      </c>
      <c r="E3089" t="s">
        <v>336</v>
      </c>
      <c r="F3089" t="s">
        <v>623</v>
      </c>
      <c r="G3089">
        <v>39</v>
      </c>
      <c r="H3089">
        <v>21</v>
      </c>
      <c r="I3089">
        <v>1</v>
      </c>
      <c r="J3089">
        <v>4</v>
      </c>
      <c r="K3089" s="9">
        <v>4.3770491803278686</v>
      </c>
    </row>
    <row r="3090" spans="1:11" x14ac:dyDescent="0.45">
      <c r="A3090" t="s">
        <v>272</v>
      </c>
      <c r="B3090" t="s">
        <v>675</v>
      </c>
      <c r="C3090" t="s">
        <v>23</v>
      </c>
      <c r="D3090">
        <v>6</v>
      </c>
      <c r="E3090" t="s">
        <v>584</v>
      </c>
      <c r="F3090" t="s">
        <v>623</v>
      </c>
      <c r="G3090">
        <v>8</v>
      </c>
      <c r="H3090">
        <v>3</v>
      </c>
      <c r="I3090">
        <v>0</v>
      </c>
      <c r="J3090">
        <v>1</v>
      </c>
      <c r="K3090" s="9">
        <v>5.6607142857142856</v>
      </c>
    </row>
    <row r="3091" spans="1:11" x14ac:dyDescent="0.45">
      <c r="A3091" t="s">
        <v>272</v>
      </c>
      <c r="B3091" t="s">
        <v>675</v>
      </c>
      <c r="C3091" t="s">
        <v>10</v>
      </c>
      <c r="D3091">
        <v>1</v>
      </c>
      <c r="E3091" t="s">
        <v>329</v>
      </c>
      <c r="F3091" t="s">
        <v>622</v>
      </c>
      <c r="G3091">
        <v>0</v>
      </c>
      <c r="H3091">
        <v>3</v>
      </c>
      <c r="I3091">
        <v>0</v>
      </c>
      <c r="J3091">
        <v>0</v>
      </c>
      <c r="K3091" s="9">
        <v>5.6607142857142856</v>
      </c>
    </row>
    <row r="3092" spans="1:11" x14ac:dyDescent="0.45">
      <c r="A3092" t="s">
        <v>272</v>
      </c>
      <c r="B3092" t="s">
        <v>675</v>
      </c>
      <c r="C3092" t="s">
        <v>10</v>
      </c>
      <c r="D3092">
        <v>2</v>
      </c>
      <c r="E3092" t="s">
        <v>442</v>
      </c>
      <c r="F3092" t="s">
        <v>622</v>
      </c>
      <c r="G3092">
        <v>65</v>
      </c>
      <c r="H3092">
        <v>55</v>
      </c>
      <c r="I3092">
        <v>7</v>
      </c>
      <c r="J3092">
        <v>0</v>
      </c>
      <c r="K3092" s="9">
        <v>3.1875</v>
      </c>
    </row>
    <row r="3093" spans="1:11" x14ac:dyDescent="0.45">
      <c r="A3093" t="s">
        <v>272</v>
      </c>
      <c r="B3093" t="s">
        <v>675</v>
      </c>
      <c r="C3093" t="s">
        <v>10</v>
      </c>
      <c r="D3093">
        <v>3</v>
      </c>
      <c r="E3093" t="s">
        <v>374</v>
      </c>
      <c r="F3093" t="s">
        <v>622</v>
      </c>
      <c r="G3093">
        <v>0</v>
      </c>
      <c r="H3093">
        <v>1</v>
      </c>
      <c r="I3093">
        <v>0</v>
      </c>
      <c r="J3093">
        <v>0</v>
      </c>
      <c r="K3093" s="9">
        <v>6.5693779904306222</v>
      </c>
    </row>
    <row r="3094" spans="1:11" x14ac:dyDescent="0.45">
      <c r="A3094" t="s">
        <v>272</v>
      </c>
      <c r="B3094" t="s">
        <v>675</v>
      </c>
      <c r="C3094" t="s">
        <v>10</v>
      </c>
      <c r="D3094">
        <v>4</v>
      </c>
      <c r="E3094" t="s">
        <v>581</v>
      </c>
      <c r="F3094" t="s">
        <v>622</v>
      </c>
      <c r="G3094">
        <v>14</v>
      </c>
      <c r="H3094">
        <v>12</v>
      </c>
      <c r="I3094">
        <v>2</v>
      </c>
      <c r="J3094">
        <v>0</v>
      </c>
      <c r="K3094" s="9">
        <v>4.8024691358024691</v>
      </c>
    </row>
    <row r="3095" spans="1:11" x14ac:dyDescent="0.45">
      <c r="A3095" t="s">
        <v>272</v>
      </c>
      <c r="B3095" t="s">
        <v>675</v>
      </c>
      <c r="C3095" t="s">
        <v>10</v>
      </c>
      <c r="D3095">
        <v>5</v>
      </c>
      <c r="E3095" t="s">
        <v>436</v>
      </c>
      <c r="F3095" t="s">
        <v>622</v>
      </c>
      <c r="G3095">
        <v>38</v>
      </c>
      <c r="H3095">
        <v>24</v>
      </c>
      <c r="I3095">
        <v>5</v>
      </c>
      <c r="J3095">
        <v>0</v>
      </c>
      <c r="K3095" s="9">
        <v>4.0606060606060606</v>
      </c>
    </row>
    <row r="3096" spans="1:11" x14ac:dyDescent="0.45">
      <c r="A3096" t="s">
        <v>272</v>
      </c>
      <c r="B3096" t="s">
        <v>675</v>
      </c>
      <c r="C3096" t="s">
        <v>10</v>
      </c>
      <c r="D3096">
        <v>6</v>
      </c>
      <c r="E3096" t="s">
        <v>337</v>
      </c>
      <c r="F3096" t="s">
        <v>622</v>
      </c>
      <c r="G3096">
        <v>2</v>
      </c>
      <c r="H3096">
        <v>6</v>
      </c>
      <c r="I3096">
        <v>0</v>
      </c>
      <c r="J3096">
        <v>0</v>
      </c>
      <c r="K3096" s="9">
        <v>5.4565217391304346</v>
      </c>
    </row>
    <row r="3097" spans="1:11" x14ac:dyDescent="0.45">
      <c r="A3097" t="s">
        <v>272</v>
      </c>
      <c r="B3097" t="s">
        <v>675</v>
      </c>
      <c r="C3097" t="s">
        <v>10</v>
      </c>
      <c r="D3097">
        <v>7</v>
      </c>
      <c r="E3097" t="s">
        <v>499</v>
      </c>
      <c r="F3097" t="s">
        <v>622</v>
      </c>
      <c r="G3097">
        <v>2</v>
      </c>
      <c r="H3097">
        <v>2</v>
      </c>
      <c r="I3097">
        <v>0</v>
      </c>
      <c r="J3097">
        <v>0</v>
      </c>
      <c r="K3097" s="9">
        <v>6.1385542168674698</v>
      </c>
    </row>
    <row r="3098" spans="1:11" x14ac:dyDescent="0.45">
      <c r="A3098" t="s">
        <v>272</v>
      </c>
      <c r="B3098" t="s">
        <v>675</v>
      </c>
      <c r="C3098" t="s">
        <v>10</v>
      </c>
      <c r="D3098">
        <v>8</v>
      </c>
      <c r="E3098" t="s">
        <v>607</v>
      </c>
      <c r="F3098" t="s">
        <v>622</v>
      </c>
      <c r="G3098">
        <v>7</v>
      </c>
      <c r="H3098">
        <v>9</v>
      </c>
      <c r="I3098">
        <v>1</v>
      </c>
      <c r="J3098">
        <v>0</v>
      </c>
      <c r="K3098" s="9">
        <v>4.924050632911392</v>
      </c>
    </row>
    <row r="3099" spans="1:11" x14ac:dyDescent="0.45">
      <c r="A3099" t="s">
        <v>272</v>
      </c>
      <c r="B3099" t="s">
        <v>675</v>
      </c>
      <c r="C3099" t="s">
        <v>10</v>
      </c>
      <c r="D3099">
        <v>9</v>
      </c>
      <c r="E3099" t="s">
        <v>500</v>
      </c>
      <c r="F3099" t="s">
        <v>623</v>
      </c>
      <c r="G3099">
        <v>3</v>
      </c>
      <c r="H3099">
        <v>7</v>
      </c>
      <c r="I3099">
        <v>0</v>
      </c>
      <c r="J3099">
        <v>0</v>
      </c>
      <c r="K3099" s="9">
        <v>4.927835051546392</v>
      </c>
    </row>
    <row r="3100" spans="1:11" x14ac:dyDescent="0.45">
      <c r="A3100" t="s">
        <v>272</v>
      </c>
      <c r="B3100" t="s">
        <v>675</v>
      </c>
      <c r="C3100" t="s">
        <v>10</v>
      </c>
      <c r="D3100">
        <v>10</v>
      </c>
      <c r="E3100" t="s">
        <v>338</v>
      </c>
      <c r="F3100" t="s">
        <v>622</v>
      </c>
      <c r="G3100">
        <v>0</v>
      </c>
      <c r="H3100">
        <v>1</v>
      </c>
      <c r="I3100">
        <v>0</v>
      </c>
      <c r="J3100">
        <v>0</v>
      </c>
      <c r="K3100" s="9">
        <v>6.5693779904306222</v>
      </c>
    </row>
    <row r="3101" spans="1:11" x14ac:dyDescent="0.45">
      <c r="A3101" t="s">
        <v>272</v>
      </c>
      <c r="B3101" t="s">
        <v>675</v>
      </c>
      <c r="C3101" t="s">
        <v>10</v>
      </c>
      <c r="D3101">
        <v>11</v>
      </c>
      <c r="E3101" t="s">
        <v>587</v>
      </c>
      <c r="F3101" t="s">
        <v>623</v>
      </c>
      <c r="G3101">
        <v>1</v>
      </c>
      <c r="H3101">
        <v>1</v>
      </c>
      <c r="I3101">
        <v>0</v>
      </c>
      <c r="J3101">
        <v>0</v>
      </c>
      <c r="K3101" s="9">
        <v>6.5693779904306222</v>
      </c>
    </row>
    <row r="3102" spans="1:11" x14ac:dyDescent="0.45">
      <c r="A3102" t="s">
        <v>273</v>
      </c>
      <c r="B3102" t="s">
        <v>702</v>
      </c>
      <c r="C3102" t="s">
        <v>20</v>
      </c>
      <c r="D3102">
        <v>1</v>
      </c>
      <c r="E3102" t="s">
        <v>453</v>
      </c>
      <c r="F3102" t="s">
        <v>622</v>
      </c>
      <c r="G3102">
        <v>31</v>
      </c>
      <c r="H3102">
        <v>26</v>
      </c>
      <c r="I3102">
        <v>3</v>
      </c>
      <c r="J3102">
        <v>1</v>
      </c>
      <c r="K3102" s="9">
        <v>4.1568627450980395</v>
      </c>
    </row>
    <row r="3103" spans="1:11" x14ac:dyDescent="0.45">
      <c r="A3103" t="s">
        <v>273</v>
      </c>
      <c r="B3103" t="s">
        <v>702</v>
      </c>
      <c r="C3103" t="s">
        <v>20</v>
      </c>
      <c r="D3103">
        <v>2</v>
      </c>
      <c r="E3103" t="s">
        <v>398</v>
      </c>
      <c r="F3103" t="s">
        <v>622</v>
      </c>
      <c r="G3103">
        <v>8</v>
      </c>
      <c r="H3103">
        <v>7</v>
      </c>
      <c r="I3103">
        <v>1</v>
      </c>
      <c r="J3103">
        <v>0</v>
      </c>
      <c r="K3103" s="9">
        <v>4.927835051546392</v>
      </c>
    </row>
    <row r="3104" spans="1:11" x14ac:dyDescent="0.45">
      <c r="A3104" t="s">
        <v>273</v>
      </c>
      <c r="B3104" t="s">
        <v>702</v>
      </c>
      <c r="C3104" t="s">
        <v>20</v>
      </c>
      <c r="D3104">
        <v>3</v>
      </c>
      <c r="E3104" t="s">
        <v>315</v>
      </c>
      <c r="F3104" t="s">
        <v>622</v>
      </c>
      <c r="G3104">
        <v>34</v>
      </c>
      <c r="H3104">
        <v>41</v>
      </c>
      <c r="I3104">
        <v>4</v>
      </c>
      <c r="J3104">
        <v>0</v>
      </c>
      <c r="K3104" s="9">
        <v>3.0909090909090908</v>
      </c>
    </row>
    <row r="3105" spans="1:11" x14ac:dyDescent="0.45">
      <c r="A3105" t="s">
        <v>273</v>
      </c>
      <c r="B3105" t="s">
        <v>702</v>
      </c>
      <c r="C3105" t="s">
        <v>20</v>
      </c>
      <c r="D3105">
        <v>4</v>
      </c>
      <c r="E3105" t="s">
        <v>401</v>
      </c>
      <c r="F3105" t="s">
        <v>622</v>
      </c>
      <c r="G3105">
        <v>0</v>
      </c>
      <c r="H3105">
        <v>1</v>
      </c>
      <c r="I3105">
        <v>0</v>
      </c>
      <c r="J3105">
        <v>0</v>
      </c>
      <c r="K3105" s="9">
        <v>6.5693779904306222</v>
      </c>
    </row>
    <row r="3106" spans="1:11" x14ac:dyDescent="0.45">
      <c r="A3106" t="s">
        <v>273</v>
      </c>
      <c r="B3106" t="s">
        <v>702</v>
      </c>
      <c r="C3106" t="s">
        <v>20</v>
      </c>
      <c r="D3106">
        <v>5</v>
      </c>
      <c r="E3106" t="s">
        <v>574</v>
      </c>
      <c r="F3106" t="s">
        <v>622</v>
      </c>
      <c r="G3106">
        <v>3</v>
      </c>
      <c r="H3106">
        <v>4</v>
      </c>
      <c r="I3106">
        <v>0</v>
      </c>
      <c r="J3106">
        <v>0</v>
      </c>
      <c r="K3106" s="9">
        <v>5.352380952380952</v>
      </c>
    </row>
    <row r="3107" spans="1:11" x14ac:dyDescent="0.45">
      <c r="A3107" t="s">
        <v>273</v>
      </c>
      <c r="B3107" t="s">
        <v>702</v>
      </c>
      <c r="C3107" t="s">
        <v>20</v>
      </c>
      <c r="D3107">
        <v>6</v>
      </c>
      <c r="E3107" t="s">
        <v>467</v>
      </c>
      <c r="F3107" t="s">
        <v>622</v>
      </c>
      <c r="G3107">
        <v>16</v>
      </c>
      <c r="H3107">
        <v>28</v>
      </c>
      <c r="I3107">
        <v>0</v>
      </c>
      <c r="J3107">
        <v>0</v>
      </c>
      <c r="K3107" s="9">
        <v>3.806451612903226</v>
      </c>
    </row>
    <row r="3108" spans="1:11" x14ac:dyDescent="0.45">
      <c r="A3108" t="s">
        <v>273</v>
      </c>
      <c r="B3108" t="s">
        <v>702</v>
      </c>
      <c r="C3108" t="s">
        <v>20</v>
      </c>
      <c r="D3108">
        <v>7</v>
      </c>
      <c r="E3108" t="s">
        <v>376</v>
      </c>
      <c r="F3108" t="s">
        <v>623</v>
      </c>
      <c r="G3108">
        <v>21</v>
      </c>
      <c r="H3108">
        <v>10</v>
      </c>
      <c r="I3108">
        <v>1</v>
      </c>
      <c r="J3108">
        <v>2</v>
      </c>
      <c r="K3108" s="9">
        <v>4.7179487179487181</v>
      </c>
    </row>
    <row r="3109" spans="1:11" x14ac:dyDescent="0.45">
      <c r="A3109" t="s">
        <v>273</v>
      </c>
      <c r="B3109" t="s">
        <v>702</v>
      </c>
      <c r="C3109" t="s">
        <v>20</v>
      </c>
      <c r="D3109">
        <v>8</v>
      </c>
      <c r="E3109" t="s">
        <v>451</v>
      </c>
      <c r="F3109" t="s">
        <v>622</v>
      </c>
      <c r="G3109">
        <v>4</v>
      </c>
      <c r="H3109">
        <v>3</v>
      </c>
      <c r="I3109">
        <v>1</v>
      </c>
      <c r="J3109">
        <v>0</v>
      </c>
      <c r="K3109" s="9">
        <v>5.6607142857142856</v>
      </c>
    </row>
    <row r="3110" spans="1:11" x14ac:dyDescent="0.45">
      <c r="A3110" t="s">
        <v>273</v>
      </c>
      <c r="B3110" t="s">
        <v>702</v>
      </c>
      <c r="C3110" t="s">
        <v>20</v>
      </c>
      <c r="D3110">
        <v>9</v>
      </c>
      <c r="E3110" t="s">
        <v>382</v>
      </c>
      <c r="F3110" t="s">
        <v>622</v>
      </c>
      <c r="G3110">
        <v>0</v>
      </c>
      <c r="H3110">
        <v>0</v>
      </c>
      <c r="I3110">
        <v>0</v>
      </c>
      <c r="J3110">
        <v>0</v>
      </c>
      <c r="K3110" s="9">
        <v>6.2519685039370083</v>
      </c>
    </row>
    <row r="3111" spans="1:11" x14ac:dyDescent="0.45">
      <c r="A3111" t="s">
        <v>273</v>
      </c>
      <c r="B3111" t="s">
        <v>702</v>
      </c>
      <c r="C3111" t="s">
        <v>20</v>
      </c>
      <c r="D3111">
        <v>10</v>
      </c>
      <c r="E3111" t="s">
        <v>409</v>
      </c>
      <c r="F3111" t="s">
        <v>623</v>
      </c>
      <c r="G3111">
        <v>0</v>
      </c>
      <c r="H3111">
        <v>0</v>
      </c>
      <c r="I3111">
        <v>0</v>
      </c>
      <c r="J3111">
        <v>0</v>
      </c>
      <c r="K3111" s="9">
        <v>6.2519685039370083</v>
      </c>
    </row>
    <row r="3112" spans="1:11" x14ac:dyDescent="0.45">
      <c r="A3112" t="s">
        <v>273</v>
      </c>
      <c r="B3112" t="s">
        <v>702</v>
      </c>
      <c r="C3112" t="s">
        <v>104</v>
      </c>
      <c r="D3112">
        <v>1</v>
      </c>
      <c r="E3112" t="s">
        <v>564</v>
      </c>
      <c r="F3112" t="s">
        <v>622</v>
      </c>
      <c r="G3112">
        <v>13</v>
      </c>
      <c r="H3112">
        <v>14</v>
      </c>
      <c r="I3112">
        <v>2</v>
      </c>
      <c r="J3112">
        <v>0</v>
      </c>
      <c r="K3112" s="9">
        <v>4.8461538461538458</v>
      </c>
    </row>
    <row r="3113" spans="1:11" x14ac:dyDescent="0.45">
      <c r="A3113" t="s">
        <v>273</v>
      </c>
      <c r="B3113" t="s">
        <v>702</v>
      </c>
      <c r="C3113" t="s">
        <v>104</v>
      </c>
      <c r="D3113">
        <v>2</v>
      </c>
      <c r="E3113" t="s">
        <v>397</v>
      </c>
      <c r="F3113" t="s">
        <v>622</v>
      </c>
      <c r="G3113">
        <v>35</v>
      </c>
      <c r="H3113">
        <v>31</v>
      </c>
      <c r="I3113">
        <v>4</v>
      </c>
      <c r="J3113">
        <v>0</v>
      </c>
      <c r="K3113" s="9">
        <v>3.4375</v>
      </c>
    </row>
    <row r="3114" spans="1:11" x14ac:dyDescent="0.45">
      <c r="A3114" t="s">
        <v>273</v>
      </c>
      <c r="B3114" t="s">
        <v>702</v>
      </c>
      <c r="C3114" t="s">
        <v>104</v>
      </c>
      <c r="D3114">
        <v>3</v>
      </c>
      <c r="E3114" t="s">
        <v>426</v>
      </c>
      <c r="F3114" t="s">
        <v>622</v>
      </c>
      <c r="G3114">
        <v>7</v>
      </c>
      <c r="H3114">
        <v>8</v>
      </c>
      <c r="I3114">
        <v>0</v>
      </c>
      <c r="J3114">
        <v>1</v>
      </c>
      <c r="K3114" s="9">
        <v>4.9029126213592233</v>
      </c>
    </row>
    <row r="3115" spans="1:11" x14ac:dyDescent="0.45">
      <c r="A3115" t="s">
        <v>273</v>
      </c>
      <c r="B3115" t="s">
        <v>702</v>
      </c>
      <c r="C3115" t="s">
        <v>104</v>
      </c>
      <c r="D3115">
        <v>4</v>
      </c>
      <c r="E3115" t="s">
        <v>366</v>
      </c>
      <c r="F3115" t="s">
        <v>622</v>
      </c>
      <c r="G3115">
        <v>34</v>
      </c>
      <c r="H3115">
        <v>23</v>
      </c>
      <c r="I3115">
        <v>4</v>
      </c>
      <c r="J3115">
        <v>1</v>
      </c>
      <c r="K3115" s="9">
        <v>5.1142857142857139</v>
      </c>
    </row>
    <row r="3116" spans="1:11" x14ac:dyDescent="0.45">
      <c r="A3116" t="s">
        <v>273</v>
      </c>
      <c r="B3116" t="s">
        <v>702</v>
      </c>
      <c r="C3116" t="s">
        <v>104</v>
      </c>
      <c r="D3116">
        <v>5</v>
      </c>
      <c r="E3116" t="s">
        <v>331</v>
      </c>
      <c r="F3116" t="s">
        <v>623</v>
      </c>
      <c r="G3116">
        <v>10</v>
      </c>
      <c r="H3116">
        <v>13</v>
      </c>
      <c r="I3116">
        <v>2</v>
      </c>
      <c r="J3116">
        <v>0</v>
      </c>
      <c r="K3116" s="9">
        <v>4.8939393939393936</v>
      </c>
    </row>
    <row r="3117" spans="1:11" x14ac:dyDescent="0.45">
      <c r="A3117" t="s">
        <v>273</v>
      </c>
      <c r="B3117" t="s">
        <v>702</v>
      </c>
      <c r="C3117" t="s">
        <v>104</v>
      </c>
      <c r="D3117">
        <v>6</v>
      </c>
      <c r="E3117" t="s">
        <v>494</v>
      </c>
      <c r="F3117" t="s">
        <v>622</v>
      </c>
      <c r="G3117">
        <v>0</v>
      </c>
      <c r="H3117">
        <v>1</v>
      </c>
      <c r="I3117">
        <v>0</v>
      </c>
      <c r="J3117">
        <v>0</v>
      </c>
      <c r="K3117" s="9">
        <v>6.5693779904306222</v>
      </c>
    </row>
    <row r="3118" spans="1:11" x14ac:dyDescent="0.45">
      <c r="A3118" t="s">
        <v>273</v>
      </c>
      <c r="B3118" t="s">
        <v>702</v>
      </c>
      <c r="C3118" t="s">
        <v>104</v>
      </c>
      <c r="D3118">
        <v>7</v>
      </c>
      <c r="E3118" t="s">
        <v>416</v>
      </c>
      <c r="F3118" t="s">
        <v>623</v>
      </c>
      <c r="G3118">
        <v>11</v>
      </c>
      <c r="H3118">
        <v>6</v>
      </c>
      <c r="I3118">
        <v>1</v>
      </c>
      <c r="J3118">
        <v>1</v>
      </c>
      <c r="K3118" s="9">
        <v>5.4565217391304346</v>
      </c>
    </row>
    <row r="3119" spans="1:11" x14ac:dyDescent="0.45">
      <c r="A3119" t="s">
        <v>274</v>
      </c>
      <c r="B3119" t="s">
        <v>697</v>
      </c>
      <c r="C3119" t="s">
        <v>7</v>
      </c>
      <c r="D3119">
        <v>1</v>
      </c>
      <c r="E3119" t="s">
        <v>578</v>
      </c>
      <c r="F3119" t="s">
        <v>622</v>
      </c>
      <c r="G3119">
        <v>57</v>
      </c>
      <c r="H3119">
        <v>44</v>
      </c>
      <c r="I3119">
        <v>6</v>
      </c>
      <c r="J3119">
        <v>3</v>
      </c>
      <c r="K3119" s="9">
        <v>3.35</v>
      </c>
    </row>
    <row r="3120" spans="1:11" x14ac:dyDescent="0.45">
      <c r="A3120" t="s">
        <v>274</v>
      </c>
      <c r="B3120" t="s">
        <v>697</v>
      </c>
      <c r="C3120" t="s">
        <v>7</v>
      </c>
      <c r="D3120">
        <v>2</v>
      </c>
      <c r="E3120" t="s">
        <v>304</v>
      </c>
      <c r="F3120" t="s">
        <v>622</v>
      </c>
      <c r="G3120">
        <v>3</v>
      </c>
      <c r="H3120">
        <v>7</v>
      </c>
      <c r="I3120">
        <v>0</v>
      </c>
      <c r="J3120">
        <v>0</v>
      </c>
      <c r="K3120" s="9">
        <v>4.927835051546392</v>
      </c>
    </row>
    <row r="3121" spans="1:11" x14ac:dyDescent="0.45">
      <c r="A3121" t="s">
        <v>274</v>
      </c>
      <c r="B3121" t="s">
        <v>697</v>
      </c>
      <c r="C3121" t="s">
        <v>7</v>
      </c>
      <c r="D3121">
        <v>3</v>
      </c>
      <c r="E3121" t="s">
        <v>433</v>
      </c>
      <c r="F3121" t="s">
        <v>622</v>
      </c>
      <c r="G3121">
        <v>0</v>
      </c>
      <c r="H3121">
        <v>1</v>
      </c>
      <c r="I3121">
        <v>0</v>
      </c>
      <c r="J3121">
        <v>0</v>
      </c>
      <c r="K3121" s="9">
        <v>6.5693779904306222</v>
      </c>
    </row>
    <row r="3122" spans="1:11" x14ac:dyDescent="0.45">
      <c r="A3122" t="s">
        <v>274</v>
      </c>
      <c r="B3122" t="s">
        <v>697</v>
      </c>
      <c r="C3122" t="s">
        <v>7</v>
      </c>
      <c r="D3122">
        <v>4</v>
      </c>
      <c r="E3122" t="s">
        <v>306</v>
      </c>
      <c r="F3122" t="s">
        <v>622</v>
      </c>
      <c r="G3122">
        <v>1</v>
      </c>
      <c r="H3122">
        <v>5</v>
      </c>
      <c r="I3122">
        <v>0</v>
      </c>
      <c r="J3122">
        <v>0</v>
      </c>
      <c r="K3122" s="9">
        <v>5.132075471698113</v>
      </c>
    </row>
    <row r="3123" spans="1:11" x14ac:dyDescent="0.45">
      <c r="A3123" t="s">
        <v>274</v>
      </c>
      <c r="B3123" t="s">
        <v>697</v>
      </c>
      <c r="C3123" t="s">
        <v>7</v>
      </c>
      <c r="D3123">
        <v>5</v>
      </c>
      <c r="E3123" t="s">
        <v>514</v>
      </c>
      <c r="F3123" t="s">
        <v>622</v>
      </c>
      <c r="G3123">
        <v>46</v>
      </c>
      <c r="H3123">
        <v>33</v>
      </c>
      <c r="I3123">
        <v>2</v>
      </c>
      <c r="J3123">
        <v>3</v>
      </c>
      <c r="K3123" s="9">
        <v>2.8421052631578947</v>
      </c>
    </row>
    <row r="3124" spans="1:11" x14ac:dyDescent="0.45">
      <c r="A3124" t="s">
        <v>274</v>
      </c>
      <c r="B3124" t="s">
        <v>697</v>
      </c>
      <c r="C3124" t="s">
        <v>7</v>
      </c>
      <c r="D3124">
        <v>6</v>
      </c>
      <c r="E3124" t="s">
        <v>440</v>
      </c>
      <c r="F3124" t="s">
        <v>622</v>
      </c>
      <c r="G3124">
        <v>0</v>
      </c>
      <c r="H3124">
        <v>1</v>
      </c>
      <c r="I3124">
        <v>0</v>
      </c>
      <c r="J3124">
        <v>0</v>
      </c>
      <c r="K3124" s="9">
        <v>6.5693779904306222</v>
      </c>
    </row>
    <row r="3125" spans="1:11" x14ac:dyDescent="0.45">
      <c r="A3125" t="s">
        <v>274</v>
      </c>
      <c r="B3125" t="s">
        <v>697</v>
      </c>
      <c r="C3125" t="s">
        <v>7</v>
      </c>
      <c r="D3125">
        <v>7</v>
      </c>
      <c r="E3125" t="s">
        <v>326</v>
      </c>
      <c r="F3125" t="s">
        <v>622</v>
      </c>
      <c r="G3125">
        <v>68</v>
      </c>
      <c r="H3125">
        <v>29</v>
      </c>
      <c r="I3125">
        <v>9</v>
      </c>
      <c r="J3125">
        <v>3</v>
      </c>
      <c r="K3125" s="9">
        <v>4.0454545454545459</v>
      </c>
    </row>
    <row r="3126" spans="1:11" x14ac:dyDescent="0.45">
      <c r="A3126" t="s">
        <v>274</v>
      </c>
      <c r="B3126" t="s">
        <v>697</v>
      </c>
      <c r="C3126" t="s">
        <v>7</v>
      </c>
      <c r="D3126">
        <v>8</v>
      </c>
      <c r="E3126" t="s">
        <v>308</v>
      </c>
      <c r="F3126" t="s">
        <v>623</v>
      </c>
      <c r="G3126">
        <v>0</v>
      </c>
      <c r="H3126">
        <v>1</v>
      </c>
      <c r="I3126">
        <v>0</v>
      </c>
      <c r="J3126">
        <v>0</v>
      </c>
      <c r="K3126" s="9">
        <v>6.5693779904306222</v>
      </c>
    </row>
    <row r="3127" spans="1:11" x14ac:dyDescent="0.45">
      <c r="A3127" t="s">
        <v>274</v>
      </c>
      <c r="B3127" t="s">
        <v>697</v>
      </c>
      <c r="C3127" t="s">
        <v>7</v>
      </c>
      <c r="D3127">
        <v>9</v>
      </c>
      <c r="E3127" t="s">
        <v>515</v>
      </c>
      <c r="F3127" t="s">
        <v>623</v>
      </c>
      <c r="G3127">
        <v>6</v>
      </c>
      <c r="H3127">
        <v>2</v>
      </c>
      <c r="I3127">
        <v>1</v>
      </c>
      <c r="J3127">
        <v>0</v>
      </c>
      <c r="K3127" s="9">
        <v>6.1385542168674698</v>
      </c>
    </row>
    <row r="3128" spans="1:11" x14ac:dyDescent="0.45">
      <c r="A3128" t="s">
        <v>274</v>
      </c>
      <c r="B3128" t="s">
        <v>697</v>
      </c>
      <c r="C3128" t="s">
        <v>13</v>
      </c>
      <c r="D3128">
        <v>1</v>
      </c>
      <c r="E3128" t="s">
        <v>343</v>
      </c>
      <c r="F3128" t="s">
        <v>622</v>
      </c>
      <c r="G3128">
        <v>21</v>
      </c>
      <c r="H3128">
        <v>18</v>
      </c>
      <c r="I3128">
        <v>3</v>
      </c>
      <c r="J3128">
        <v>0</v>
      </c>
      <c r="K3128" s="9">
        <v>4.375</v>
      </c>
    </row>
    <row r="3129" spans="1:11" x14ac:dyDescent="0.45">
      <c r="A3129" t="s">
        <v>274</v>
      </c>
      <c r="B3129" t="s">
        <v>697</v>
      </c>
      <c r="C3129" t="s">
        <v>13</v>
      </c>
      <c r="D3129">
        <v>2</v>
      </c>
      <c r="E3129" t="s">
        <v>294</v>
      </c>
      <c r="F3129" t="s">
        <v>622</v>
      </c>
      <c r="G3129">
        <v>23</v>
      </c>
      <c r="H3129">
        <v>12</v>
      </c>
      <c r="I3129">
        <v>2</v>
      </c>
      <c r="J3129">
        <v>2</v>
      </c>
      <c r="K3129" s="9">
        <v>4.8024691358024691</v>
      </c>
    </row>
    <row r="3130" spans="1:11" x14ac:dyDescent="0.45">
      <c r="A3130" t="s">
        <v>274</v>
      </c>
      <c r="B3130" t="s">
        <v>697</v>
      </c>
      <c r="C3130" t="s">
        <v>13</v>
      </c>
      <c r="D3130">
        <v>3</v>
      </c>
      <c r="E3130" t="s">
        <v>568</v>
      </c>
      <c r="F3130" t="s">
        <v>622</v>
      </c>
      <c r="G3130">
        <v>19</v>
      </c>
      <c r="H3130">
        <v>18</v>
      </c>
      <c r="I3130">
        <v>1</v>
      </c>
      <c r="J3130">
        <v>1</v>
      </c>
      <c r="K3130" s="9">
        <v>4.375</v>
      </c>
    </row>
    <row r="3131" spans="1:11" x14ac:dyDescent="0.45">
      <c r="A3131" t="s">
        <v>274</v>
      </c>
      <c r="B3131" t="s">
        <v>697</v>
      </c>
      <c r="C3131" t="s">
        <v>13</v>
      </c>
      <c r="D3131">
        <v>4</v>
      </c>
      <c r="E3131" t="s">
        <v>345</v>
      </c>
      <c r="F3131" t="s">
        <v>622</v>
      </c>
      <c r="G3131">
        <v>5</v>
      </c>
      <c r="H3131">
        <v>7</v>
      </c>
      <c r="I3131">
        <v>1</v>
      </c>
      <c r="J3131">
        <v>0</v>
      </c>
      <c r="K3131" s="9">
        <v>4.927835051546392</v>
      </c>
    </row>
    <row r="3132" spans="1:11" x14ac:dyDescent="0.45">
      <c r="A3132" t="s">
        <v>274</v>
      </c>
      <c r="B3132" t="s">
        <v>697</v>
      </c>
      <c r="C3132" t="s">
        <v>13</v>
      </c>
      <c r="D3132">
        <v>5</v>
      </c>
      <c r="E3132" t="s">
        <v>349</v>
      </c>
      <c r="F3132" t="s">
        <v>622</v>
      </c>
      <c r="G3132">
        <v>0</v>
      </c>
      <c r="H3132">
        <v>2</v>
      </c>
      <c r="I3132">
        <v>0</v>
      </c>
      <c r="J3132">
        <v>0</v>
      </c>
      <c r="K3132" s="9">
        <v>6.1385542168674698</v>
      </c>
    </row>
    <row r="3133" spans="1:11" x14ac:dyDescent="0.45">
      <c r="A3133" t="s">
        <v>274</v>
      </c>
      <c r="B3133" t="s">
        <v>697</v>
      </c>
      <c r="C3133" t="s">
        <v>13</v>
      </c>
      <c r="D3133">
        <v>6</v>
      </c>
      <c r="E3133" t="s">
        <v>347</v>
      </c>
      <c r="F3133" t="s">
        <v>622</v>
      </c>
      <c r="G3133">
        <v>1</v>
      </c>
      <c r="H3133">
        <v>5</v>
      </c>
      <c r="I3133">
        <v>0</v>
      </c>
      <c r="J3133">
        <v>0</v>
      </c>
      <c r="K3133" s="9">
        <v>5.132075471698113</v>
      </c>
    </row>
    <row r="3134" spans="1:11" x14ac:dyDescent="0.45">
      <c r="A3134" t="s">
        <v>274</v>
      </c>
      <c r="B3134" t="s">
        <v>697</v>
      </c>
      <c r="C3134" t="s">
        <v>13</v>
      </c>
      <c r="D3134">
        <v>7</v>
      </c>
      <c r="E3134" t="s">
        <v>311</v>
      </c>
      <c r="F3134" t="s">
        <v>622</v>
      </c>
      <c r="G3134">
        <v>9</v>
      </c>
      <c r="H3134">
        <v>8</v>
      </c>
      <c r="I3134">
        <v>1</v>
      </c>
      <c r="J3134">
        <v>0</v>
      </c>
      <c r="K3134" s="9">
        <v>4.9029126213592233</v>
      </c>
    </row>
    <row r="3135" spans="1:11" x14ac:dyDescent="0.45">
      <c r="A3135" t="s">
        <v>274</v>
      </c>
      <c r="B3135" t="s">
        <v>697</v>
      </c>
      <c r="C3135" t="s">
        <v>13</v>
      </c>
      <c r="D3135">
        <v>8</v>
      </c>
      <c r="E3135" t="s">
        <v>388</v>
      </c>
      <c r="F3135" t="s">
        <v>622</v>
      </c>
      <c r="G3135">
        <v>1</v>
      </c>
      <c r="H3135">
        <v>5</v>
      </c>
      <c r="I3135">
        <v>0</v>
      </c>
      <c r="J3135">
        <v>0</v>
      </c>
      <c r="K3135" s="9">
        <v>5.132075471698113</v>
      </c>
    </row>
    <row r="3136" spans="1:11" x14ac:dyDescent="0.45">
      <c r="A3136" t="s">
        <v>274</v>
      </c>
      <c r="B3136" t="s">
        <v>697</v>
      </c>
      <c r="C3136" t="s">
        <v>13</v>
      </c>
      <c r="D3136">
        <v>9</v>
      </c>
      <c r="E3136" t="s">
        <v>550</v>
      </c>
      <c r="F3136" t="s">
        <v>623</v>
      </c>
      <c r="G3136">
        <v>20</v>
      </c>
      <c r="H3136">
        <v>20</v>
      </c>
      <c r="I3136">
        <v>2</v>
      </c>
      <c r="J3136">
        <v>0</v>
      </c>
      <c r="K3136" s="9">
        <v>4.9473684210526319</v>
      </c>
    </row>
    <row r="3137" spans="1:11" x14ac:dyDescent="0.45">
      <c r="A3137" t="s">
        <v>274</v>
      </c>
      <c r="B3137" t="s">
        <v>697</v>
      </c>
      <c r="C3137" t="s">
        <v>13</v>
      </c>
      <c r="D3137">
        <v>10</v>
      </c>
      <c r="E3137" t="s">
        <v>586</v>
      </c>
      <c r="F3137" t="s">
        <v>622</v>
      </c>
      <c r="G3137">
        <v>1</v>
      </c>
      <c r="H3137">
        <v>3</v>
      </c>
      <c r="I3137">
        <v>0</v>
      </c>
      <c r="J3137">
        <v>0</v>
      </c>
      <c r="K3137" s="9">
        <v>5.6607142857142856</v>
      </c>
    </row>
    <row r="3138" spans="1:11" x14ac:dyDescent="0.45">
      <c r="A3138" t="s">
        <v>274</v>
      </c>
      <c r="B3138" t="s">
        <v>697</v>
      </c>
      <c r="C3138" t="s">
        <v>13</v>
      </c>
      <c r="D3138">
        <v>11</v>
      </c>
      <c r="E3138" t="s">
        <v>547</v>
      </c>
      <c r="F3138" t="s">
        <v>622</v>
      </c>
      <c r="G3138">
        <v>17</v>
      </c>
      <c r="H3138">
        <v>8</v>
      </c>
      <c r="I3138">
        <v>2</v>
      </c>
      <c r="J3138">
        <v>1</v>
      </c>
      <c r="K3138" s="9">
        <v>4.9029126213592233</v>
      </c>
    </row>
    <row r="3139" spans="1:11" x14ac:dyDescent="0.45">
      <c r="A3139" t="s">
        <v>275</v>
      </c>
      <c r="B3139" t="s">
        <v>661</v>
      </c>
      <c r="C3139" t="s">
        <v>26</v>
      </c>
      <c r="D3139">
        <v>1</v>
      </c>
      <c r="E3139" t="s">
        <v>454</v>
      </c>
      <c r="F3139" t="s">
        <v>622</v>
      </c>
      <c r="G3139">
        <v>60</v>
      </c>
      <c r="H3139">
        <v>34</v>
      </c>
      <c r="I3139">
        <v>7</v>
      </c>
      <c r="J3139">
        <v>3</v>
      </c>
      <c r="K3139" s="9">
        <v>4.4137931034482758</v>
      </c>
    </row>
    <row r="3140" spans="1:11" x14ac:dyDescent="0.45">
      <c r="A3140" t="s">
        <v>275</v>
      </c>
      <c r="B3140" t="s">
        <v>661</v>
      </c>
      <c r="C3140" t="s">
        <v>26</v>
      </c>
      <c r="D3140">
        <v>2</v>
      </c>
      <c r="E3140" t="s">
        <v>330</v>
      </c>
      <c r="F3140" t="s">
        <v>623</v>
      </c>
      <c r="G3140">
        <v>86</v>
      </c>
      <c r="H3140">
        <v>56</v>
      </c>
      <c r="I3140">
        <v>9</v>
      </c>
      <c r="J3140">
        <v>3</v>
      </c>
      <c r="K3140" s="9">
        <v>3</v>
      </c>
    </row>
    <row r="3141" spans="1:11" x14ac:dyDescent="0.45">
      <c r="A3141" t="s">
        <v>275</v>
      </c>
      <c r="B3141" t="s">
        <v>661</v>
      </c>
      <c r="C3141" t="s">
        <v>26</v>
      </c>
      <c r="D3141">
        <v>3</v>
      </c>
      <c r="E3141" t="s">
        <v>519</v>
      </c>
      <c r="F3141" t="s">
        <v>622</v>
      </c>
      <c r="G3141">
        <v>1</v>
      </c>
      <c r="H3141">
        <v>1</v>
      </c>
      <c r="I3141">
        <v>0</v>
      </c>
      <c r="J3141">
        <v>0</v>
      </c>
      <c r="K3141" s="9">
        <v>6.5693779904306222</v>
      </c>
    </row>
    <row r="3142" spans="1:11" x14ac:dyDescent="0.45">
      <c r="A3142" t="s">
        <v>275</v>
      </c>
      <c r="B3142" t="s">
        <v>661</v>
      </c>
      <c r="C3142" t="s">
        <v>26</v>
      </c>
      <c r="D3142">
        <v>4</v>
      </c>
      <c r="E3142" t="s">
        <v>495</v>
      </c>
      <c r="F3142" t="s">
        <v>622</v>
      </c>
      <c r="G3142">
        <v>27</v>
      </c>
      <c r="H3142">
        <v>16</v>
      </c>
      <c r="I3142">
        <v>2</v>
      </c>
      <c r="J3142">
        <v>1</v>
      </c>
      <c r="K3142" s="9">
        <v>4.7608695652173916</v>
      </c>
    </row>
    <row r="3143" spans="1:11" x14ac:dyDescent="0.45">
      <c r="A3143" t="s">
        <v>275</v>
      </c>
      <c r="B3143" t="s">
        <v>661</v>
      </c>
      <c r="C3143" t="s">
        <v>26</v>
      </c>
      <c r="D3143">
        <v>5</v>
      </c>
      <c r="E3143" t="s">
        <v>590</v>
      </c>
      <c r="F3143" t="s">
        <v>622</v>
      </c>
      <c r="G3143">
        <v>1</v>
      </c>
      <c r="H3143">
        <v>2</v>
      </c>
      <c r="I3143">
        <v>0</v>
      </c>
      <c r="J3143">
        <v>0</v>
      </c>
      <c r="K3143" s="9">
        <v>6.1385542168674698</v>
      </c>
    </row>
    <row r="3144" spans="1:11" x14ac:dyDescent="0.45">
      <c r="A3144" t="s">
        <v>275</v>
      </c>
      <c r="B3144" t="s">
        <v>661</v>
      </c>
      <c r="C3144" t="s">
        <v>26</v>
      </c>
      <c r="D3144">
        <v>6</v>
      </c>
      <c r="E3144" t="s">
        <v>400</v>
      </c>
      <c r="F3144" t="s">
        <v>622</v>
      </c>
      <c r="G3144">
        <v>11</v>
      </c>
      <c r="H3144">
        <v>10</v>
      </c>
      <c r="I3144">
        <v>1</v>
      </c>
      <c r="J3144">
        <v>0</v>
      </c>
      <c r="K3144" s="9">
        <v>4.7179487179487181</v>
      </c>
    </row>
    <row r="3145" spans="1:11" x14ac:dyDescent="0.45">
      <c r="A3145" t="s">
        <v>275</v>
      </c>
      <c r="B3145" t="s">
        <v>661</v>
      </c>
      <c r="C3145" t="s">
        <v>26</v>
      </c>
      <c r="D3145">
        <v>7</v>
      </c>
      <c r="E3145" t="s">
        <v>420</v>
      </c>
      <c r="F3145" t="s">
        <v>623</v>
      </c>
      <c r="G3145">
        <v>1</v>
      </c>
      <c r="H3145">
        <v>2</v>
      </c>
      <c r="I3145">
        <v>0</v>
      </c>
      <c r="J3145">
        <v>0</v>
      </c>
      <c r="K3145" s="9">
        <v>6.1385542168674698</v>
      </c>
    </row>
    <row r="3146" spans="1:11" x14ac:dyDescent="0.45">
      <c r="A3146" t="s">
        <v>275</v>
      </c>
      <c r="B3146" t="s">
        <v>661</v>
      </c>
      <c r="C3146" t="s">
        <v>23</v>
      </c>
      <c r="D3146">
        <v>1</v>
      </c>
      <c r="E3146" t="s">
        <v>383</v>
      </c>
      <c r="F3146" t="s">
        <v>622</v>
      </c>
      <c r="G3146">
        <v>11</v>
      </c>
      <c r="H3146">
        <v>8</v>
      </c>
      <c r="I3146">
        <v>1</v>
      </c>
      <c r="J3146">
        <v>1</v>
      </c>
      <c r="K3146" s="9">
        <v>4.9029126213592233</v>
      </c>
    </row>
    <row r="3147" spans="1:11" x14ac:dyDescent="0.45">
      <c r="A3147" t="s">
        <v>275</v>
      </c>
      <c r="B3147" t="s">
        <v>661</v>
      </c>
      <c r="C3147" t="s">
        <v>23</v>
      </c>
      <c r="D3147">
        <v>2</v>
      </c>
      <c r="E3147" t="s">
        <v>339</v>
      </c>
      <c r="F3147" t="s">
        <v>622</v>
      </c>
      <c r="G3147">
        <v>0</v>
      </c>
      <c r="H3147">
        <v>4</v>
      </c>
      <c r="I3147">
        <v>0</v>
      </c>
      <c r="J3147">
        <v>0</v>
      </c>
      <c r="K3147" s="9">
        <v>5.352380952380952</v>
      </c>
    </row>
    <row r="3148" spans="1:11" x14ac:dyDescent="0.45">
      <c r="A3148" t="s">
        <v>275</v>
      </c>
      <c r="B3148" t="s">
        <v>661</v>
      </c>
      <c r="C3148" t="s">
        <v>23</v>
      </c>
      <c r="D3148">
        <v>3</v>
      </c>
      <c r="E3148" t="s">
        <v>458</v>
      </c>
      <c r="F3148" t="s">
        <v>622</v>
      </c>
      <c r="G3148">
        <v>19</v>
      </c>
      <c r="H3148">
        <v>11</v>
      </c>
      <c r="I3148">
        <v>1</v>
      </c>
      <c r="J3148">
        <v>1</v>
      </c>
      <c r="K3148" s="9">
        <v>4.9649122807017543</v>
      </c>
    </row>
    <row r="3149" spans="1:11" x14ac:dyDescent="0.45">
      <c r="A3149" t="s">
        <v>275</v>
      </c>
      <c r="B3149" t="s">
        <v>661</v>
      </c>
      <c r="C3149" t="s">
        <v>23</v>
      </c>
      <c r="D3149">
        <v>4</v>
      </c>
      <c r="E3149" t="s">
        <v>386</v>
      </c>
      <c r="F3149" t="s">
        <v>622</v>
      </c>
      <c r="G3149">
        <v>42</v>
      </c>
      <c r="H3149">
        <v>25</v>
      </c>
      <c r="I3149">
        <v>5</v>
      </c>
      <c r="J3149">
        <v>1</v>
      </c>
      <c r="K3149" s="9">
        <v>4.4782608695652177</v>
      </c>
    </row>
    <row r="3150" spans="1:11" x14ac:dyDescent="0.45">
      <c r="A3150" t="s">
        <v>275</v>
      </c>
      <c r="B3150" t="s">
        <v>661</v>
      </c>
      <c r="C3150" t="s">
        <v>23</v>
      </c>
      <c r="D3150">
        <v>5</v>
      </c>
      <c r="E3150" t="s">
        <v>342</v>
      </c>
      <c r="F3150" t="s">
        <v>622</v>
      </c>
      <c r="G3150">
        <v>21</v>
      </c>
      <c r="H3150">
        <v>26</v>
      </c>
      <c r="I3150">
        <v>1</v>
      </c>
      <c r="J3150">
        <v>0</v>
      </c>
      <c r="K3150" s="9">
        <v>4.1568627450980395</v>
      </c>
    </row>
    <row r="3151" spans="1:11" x14ac:dyDescent="0.45">
      <c r="A3151" t="s">
        <v>275</v>
      </c>
      <c r="B3151" t="s">
        <v>661</v>
      </c>
      <c r="C3151" t="s">
        <v>23</v>
      </c>
      <c r="D3151">
        <v>6</v>
      </c>
      <c r="E3151" t="s">
        <v>431</v>
      </c>
      <c r="F3151" t="s">
        <v>622</v>
      </c>
      <c r="G3151">
        <v>20</v>
      </c>
      <c r="H3151">
        <v>12</v>
      </c>
      <c r="I3151">
        <v>1</v>
      </c>
      <c r="J3151">
        <v>2</v>
      </c>
      <c r="K3151" s="9">
        <v>4.8024691358024691</v>
      </c>
    </row>
    <row r="3152" spans="1:11" x14ac:dyDescent="0.45">
      <c r="A3152" t="s">
        <v>275</v>
      </c>
      <c r="B3152" t="s">
        <v>661</v>
      </c>
      <c r="C3152" t="s">
        <v>23</v>
      </c>
      <c r="D3152">
        <v>7</v>
      </c>
      <c r="E3152" t="s">
        <v>336</v>
      </c>
      <c r="F3152" t="s">
        <v>622</v>
      </c>
      <c r="G3152">
        <v>36</v>
      </c>
      <c r="H3152">
        <v>18</v>
      </c>
      <c r="I3152">
        <v>1</v>
      </c>
      <c r="J3152">
        <v>3</v>
      </c>
      <c r="K3152" s="9">
        <v>4.375</v>
      </c>
    </row>
    <row r="3153" spans="1:11" x14ac:dyDescent="0.45">
      <c r="A3153" t="s">
        <v>275</v>
      </c>
      <c r="B3153" t="s">
        <v>661</v>
      </c>
      <c r="C3153" t="s">
        <v>23</v>
      </c>
      <c r="D3153">
        <v>8</v>
      </c>
      <c r="E3153" t="s">
        <v>584</v>
      </c>
      <c r="F3153" t="s">
        <v>623</v>
      </c>
      <c r="G3153">
        <v>32</v>
      </c>
      <c r="H3153">
        <v>15</v>
      </c>
      <c r="I3153">
        <v>3</v>
      </c>
      <c r="J3153">
        <v>2</v>
      </c>
      <c r="K3153" s="9">
        <v>4.7777777777777777</v>
      </c>
    </row>
    <row r="3154" spans="1:11" x14ac:dyDescent="0.45">
      <c r="A3154" t="s">
        <v>275</v>
      </c>
      <c r="B3154" t="s">
        <v>661</v>
      </c>
      <c r="C3154" t="s">
        <v>23</v>
      </c>
      <c r="D3154">
        <v>9</v>
      </c>
      <c r="E3154" t="s">
        <v>378</v>
      </c>
      <c r="F3154" t="s">
        <v>623</v>
      </c>
      <c r="G3154">
        <v>1</v>
      </c>
      <c r="H3154">
        <v>1</v>
      </c>
      <c r="I3154">
        <v>0</v>
      </c>
      <c r="J3154">
        <v>0</v>
      </c>
      <c r="K3154" s="9">
        <v>6.5693779904306222</v>
      </c>
    </row>
    <row r="3155" spans="1:11" x14ac:dyDescent="0.45">
      <c r="A3155" t="s">
        <v>276</v>
      </c>
      <c r="B3155" t="s">
        <v>703</v>
      </c>
      <c r="C3155" t="s">
        <v>10</v>
      </c>
      <c r="D3155">
        <v>1</v>
      </c>
      <c r="E3155" t="s">
        <v>442</v>
      </c>
      <c r="F3155" t="s">
        <v>622</v>
      </c>
      <c r="G3155">
        <v>37</v>
      </c>
      <c r="H3155">
        <v>32</v>
      </c>
      <c r="I3155">
        <v>7</v>
      </c>
      <c r="J3155">
        <v>0</v>
      </c>
      <c r="K3155" s="9">
        <v>3.9375</v>
      </c>
    </row>
    <row r="3156" spans="1:11" x14ac:dyDescent="0.45">
      <c r="A3156" t="s">
        <v>276</v>
      </c>
      <c r="B3156" t="s">
        <v>703</v>
      </c>
      <c r="C3156" t="s">
        <v>10</v>
      </c>
      <c r="D3156">
        <v>2</v>
      </c>
      <c r="E3156" t="s">
        <v>329</v>
      </c>
      <c r="F3156" t="s">
        <v>622</v>
      </c>
      <c r="G3156">
        <v>7</v>
      </c>
      <c r="H3156">
        <v>5</v>
      </c>
      <c r="I3156">
        <v>1</v>
      </c>
      <c r="J3156">
        <v>0</v>
      </c>
      <c r="K3156" s="9">
        <v>5.132075471698113</v>
      </c>
    </row>
    <row r="3157" spans="1:11" x14ac:dyDescent="0.45">
      <c r="A3157" t="s">
        <v>276</v>
      </c>
      <c r="B3157" t="s">
        <v>703</v>
      </c>
      <c r="C3157" t="s">
        <v>10</v>
      </c>
      <c r="D3157">
        <v>3</v>
      </c>
      <c r="E3157" t="s">
        <v>498</v>
      </c>
      <c r="F3157" t="s">
        <v>622</v>
      </c>
      <c r="G3157">
        <v>4</v>
      </c>
      <c r="H3157">
        <v>4</v>
      </c>
      <c r="I3157">
        <v>1</v>
      </c>
      <c r="J3157">
        <v>0</v>
      </c>
      <c r="K3157" s="9">
        <v>5.352380952380952</v>
      </c>
    </row>
    <row r="3158" spans="1:11" x14ac:dyDescent="0.45">
      <c r="A3158" t="s">
        <v>276</v>
      </c>
      <c r="B3158" t="s">
        <v>703</v>
      </c>
      <c r="C3158" t="s">
        <v>10</v>
      </c>
      <c r="D3158">
        <v>4</v>
      </c>
      <c r="E3158" t="s">
        <v>399</v>
      </c>
      <c r="F3158" t="s">
        <v>622</v>
      </c>
      <c r="G3158">
        <v>30</v>
      </c>
      <c r="H3158">
        <v>34</v>
      </c>
      <c r="I3158">
        <v>2</v>
      </c>
      <c r="J3158">
        <v>0</v>
      </c>
      <c r="K3158" s="9">
        <v>4.4137931034482758</v>
      </c>
    </row>
    <row r="3159" spans="1:11" x14ac:dyDescent="0.45">
      <c r="A3159" t="s">
        <v>276</v>
      </c>
      <c r="B3159" t="s">
        <v>703</v>
      </c>
      <c r="C3159" t="s">
        <v>10</v>
      </c>
      <c r="D3159">
        <v>5</v>
      </c>
      <c r="E3159" t="s">
        <v>581</v>
      </c>
      <c r="F3159" t="s">
        <v>622</v>
      </c>
      <c r="G3159">
        <v>0</v>
      </c>
      <c r="H3159">
        <v>1</v>
      </c>
      <c r="I3159">
        <v>0</v>
      </c>
      <c r="J3159">
        <v>0</v>
      </c>
      <c r="K3159" s="9">
        <v>6.5693779904306222</v>
      </c>
    </row>
    <row r="3160" spans="1:11" x14ac:dyDescent="0.45">
      <c r="A3160" t="s">
        <v>276</v>
      </c>
      <c r="B3160" t="s">
        <v>703</v>
      </c>
      <c r="C3160" t="s">
        <v>10</v>
      </c>
      <c r="D3160">
        <v>6</v>
      </c>
      <c r="E3160" t="s">
        <v>607</v>
      </c>
      <c r="F3160" t="s">
        <v>622</v>
      </c>
      <c r="G3160">
        <v>20</v>
      </c>
      <c r="H3160">
        <v>11</v>
      </c>
      <c r="I3160">
        <v>0</v>
      </c>
      <c r="J3160">
        <v>2</v>
      </c>
      <c r="K3160" s="9">
        <v>4.9649122807017543</v>
      </c>
    </row>
    <row r="3161" spans="1:11" x14ac:dyDescent="0.45">
      <c r="A3161" t="s">
        <v>276</v>
      </c>
      <c r="B3161" t="s">
        <v>703</v>
      </c>
      <c r="C3161" t="s">
        <v>10</v>
      </c>
      <c r="D3161">
        <v>7</v>
      </c>
      <c r="E3161" t="s">
        <v>337</v>
      </c>
      <c r="F3161" t="s">
        <v>622</v>
      </c>
      <c r="G3161">
        <v>36</v>
      </c>
      <c r="H3161">
        <v>22</v>
      </c>
      <c r="I3161">
        <v>2</v>
      </c>
      <c r="J3161">
        <v>3</v>
      </c>
      <c r="K3161" s="9">
        <v>4.4423076923076925</v>
      </c>
    </row>
    <row r="3162" spans="1:11" x14ac:dyDescent="0.45">
      <c r="A3162" t="s">
        <v>276</v>
      </c>
      <c r="B3162" t="s">
        <v>703</v>
      </c>
      <c r="C3162" t="s">
        <v>10</v>
      </c>
      <c r="D3162">
        <v>8</v>
      </c>
      <c r="E3162" t="s">
        <v>545</v>
      </c>
      <c r="F3162" t="s">
        <v>622</v>
      </c>
      <c r="G3162">
        <v>8</v>
      </c>
      <c r="H3162">
        <v>8</v>
      </c>
      <c r="I3162">
        <v>0</v>
      </c>
      <c r="J3162">
        <v>1</v>
      </c>
      <c r="K3162" s="9">
        <v>4.9029126213592233</v>
      </c>
    </row>
    <row r="3163" spans="1:11" x14ac:dyDescent="0.45">
      <c r="A3163" t="s">
        <v>276</v>
      </c>
      <c r="B3163" t="s">
        <v>703</v>
      </c>
      <c r="C3163" t="s">
        <v>10</v>
      </c>
      <c r="D3163">
        <v>9</v>
      </c>
      <c r="E3163" t="s">
        <v>500</v>
      </c>
      <c r="F3163" t="s">
        <v>623</v>
      </c>
      <c r="G3163">
        <v>1</v>
      </c>
      <c r="H3163">
        <v>1</v>
      </c>
      <c r="I3163">
        <v>0</v>
      </c>
      <c r="J3163">
        <v>0</v>
      </c>
      <c r="K3163" s="9">
        <v>6.5693779904306222</v>
      </c>
    </row>
    <row r="3164" spans="1:11" x14ac:dyDescent="0.45">
      <c r="A3164" t="s">
        <v>276</v>
      </c>
      <c r="B3164" t="s">
        <v>703</v>
      </c>
      <c r="C3164" t="s">
        <v>10</v>
      </c>
      <c r="D3164">
        <v>10</v>
      </c>
      <c r="E3164" t="s">
        <v>338</v>
      </c>
      <c r="F3164" t="s">
        <v>623</v>
      </c>
      <c r="G3164">
        <v>4</v>
      </c>
      <c r="H3164">
        <v>2</v>
      </c>
      <c r="I3164">
        <v>1</v>
      </c>
      <c r="J3164">
        <v>0</v>
      </c>
      <c r="K3164" s="9">
        <v>6.1385542168674698</v>
      </c>
    </row>
    <row r="3165" spans="1:11" x14ac:dyDescent="0.45">
      <c r="A3165" t="s">
        <v>276</v>
      </c>
      <c r="B3165" t="s">
        <v>703</v>
      </c>
      <c r="C3165" t="s">
        <v>101</v>
      </c>
      <c r="D3165">
        <v>1</v>
      </c>
      <c r="E3165" t="s">
        <v>380</v>
      </c>
      <c r="F3165" t="s">
        <v>622</v>
      </c>
      <c r="G3165">
        <v>14</v>
      </c>
      <c r="H3165">
        <v>7</v>
      </c>
      <c r="I3165">
        <v>2</v>
      </c>
      <c r="J3165">
        <v>1</v>
      </c>
      <c r="K3165" s="9">
        <v>4.927835051546392</v>
      </c>
    </row>
    <row r="3166" spans="1:11" x14ac:dyDescent="0.45">
      <c r="A3166" t="s">
        <v>276</v>
      </c>
      <c r="B3166" t="s">
        <v>703</v>
      </c>
      <c r="C3166" t="s">
        <v>101</v>
      </c>
      <c r="D3166">
        <v>2</v>
      </c>
      <c r="E3166" t="s">
        <v>302</v>
      </c>
      <c r="F3166" t="s">
        <v>622</v>
      </c>
      <c r="G3166">
        <v>14</v>
      </c>
      <c r="H3166">
        <v>13</v>
      </c>
      <c r="I3166">
        <v>3</v>
      </c>
      <c r="J3166">
        <v>0</v>
      </c>
      <c r="K3166" s="9">
        <v>4.8939393939393936</v>
      </c>
    </row>
    <row r="3167" spans="1:11" x14ac:dyDescent="0.45">
      <c r="A3167" t="s">
        <v>276</v>
      </c>
      <c r="B3167" t="s">
        <v>703</v>
      </c>
      <c r="C3167" t="s">
        <v>101</v>
      </c>
      <c r="D3167">
        <v>3</v>
      </c>
      <c r="E3167" t="s">
        <v>534</v>
      </c>
      <c r="F3167" t="s">
        <v>623</v>
      </c>
      <c r="G3167">
        <v>62</v>
      </c>
      <c r="H3167">
        <v>48</v>
      </c>
      <c r="I3167">
        <v>4</v>
      </c>
      <c r="J3167">
        <v>2</v>
      </c>
      <c r="K3167" s="9">
        <v>3.2105263157894739</v>
      </c>
    </row>
    <row r="3168" spans="1:11" x14ac:dyDescent="0.45">
      <c r="A3168" t="s">
        <v>276</v>
      </c>
      <c r="B3168" t="s">
        <v>703</v>
      </c>
      <c r="C3168" t="s">
        <v>101</v>
      </c>
      <c r="D3168">
        <v>4</v>
      </c>
      <c r="E3168" t="s">
        <v>361</v>
      </c>
      <c r="F3168" t="s">
        <v>622</v>
      </c>
      <c r="G3168">
        <v>5</v>
      </c>
      <c r="H3168">
        <v>4</v>
      </c>
      <c r="I3168">
        <v>1</v>
      </c>
      <c r="J3168">
        <v>0</v>
      </c>
      <c r="K3168" s="9">
        <v>5.352380952380952</v>
      </c>
    </row>
    <row r="3169" spans="1:11" x14ac:dyDescent="0.45">
      <c r="A3169" t="s">
        <v>276</v>
      </c>
      <c r="B3169" t="s">
        <v>703</v>
      </c>
      <c r="C3169" t="s">
        <v>101</v>
      </c>
      <c r="D3169">
        <v>5</v>
      </c>
      <c r="E3169" t="s">
        <v>460</v>
      </c>
      <c r="F3169" t="s">
        <v>622</v>
      </c>
      <c r="G3169">
        <v>29</v>
      </c>
      <c r="H3169">
        <v>23</v>
      </c>
      <c r="I3169">
        <v>3</v>
      </c>
      <c r="J3169">
        <v>0</v>
      </c>
      <c r="K3169" s="9">
        <v>5.1142857142857139</v>
      </c>
    </row>
    <row r="3170" spans="1:11" x14ac:dyDescent="0.45">
      <c r="A3170" t="s">
        <v>276</v>
      </c>
      <c r="B3170" t="s">
        <v>703</v>
      </c>
      <c r="C3170" t="s">
        <v>101</v>
      </c>
      <c r="D3170">
        <v>6</v>
      </c>
      <c r="E3170" t="s">
        <v>411</v>
      </c>
      <c r="F3170" t="s">
        <v>623</v>
      </c>
      <c r="G3170">
        <v>31</v>
      </c>
      <c r="H3170">
        <v>16</v>
      </c>
      <c r="I3170">
        <v>2</v>
      </c>
      <c r="J3170">
        <v>2</v>
      </c>
      <c r="K3170" s="9">
        <v>4.7608695652173916</v>
      </c>
    </row>
    <row r="3171" spans="1:11" x14ac:dyDescent="0.45">
      <c r="A3171" t="s">
        <v>277</v>
      </c>
      <c r="B3171" t="s">
        <v>696</v>
      </c>
      <c r="C3171" t="s">
        <v>6</v>
      </c>
      <c r="D3171">
        <v>1</v>
      </c>
      <c r="E3171" t="s">
        <v>290</v>
      </c>
      <c r="F3171" t="s">
        <v>622</v>
      </c>
      <c r="G3171">
        <v>57</v>
      </c>
      <c r="H3171">
        <v>31</v>
      </c>
      <c r="I3171">
        <v>3</v>
      </c>
      <c r="J3171">
        <v>4</v>
      </c>
      <c r="K3171" s="9">
        <v>3.4375</v>
      </c>
    </row>
    <row r="3172" spans="1:11" x14ac:dyDescent="0.45">
      <c r="A3172" t="s">
        <v>277</v>
      </c>
      <c r="B3172" t="s">
        <v>696</v>
      </c>
      <c r="C3172" t="s">
        <v>6</v>
      </c>
      <c r="D3172">
        <v>2</v>
      </c>
      <c r="E3172" t="s">
        <v>505</v>
      </c>
      <c r="F3172" t="s">
        <v>622</v>
      </c>
      <c r="G3172">
        <v>47</v>
      </c>
      <c r="H3172">
        <v>29</v>
      </c>
      <c r="I3172">
        <v>5</v>
      </c>
      <c r="J3172">
        <v>2</v>
      </c>
      <c r="K3172" s="9">
        <v>4.0454545454545459</v>
      </c>
    </row>
    <row r="3173" spans="1:11" x14ac:dyDescent="0.45">
      <c r="A3173" t="s">
        <v>277</v>
      </c>
      <c r="B3173" t="s">
        <v>696</v>
      </c>
      <c r="C3173" t="s">
        <v>6</v>
      </c>
      <c r="D3173">
        <v>3</v>
      </c>
      <c r="E3173" t="s">
        <v>387</v>
      </c>
      <c r="F3173" t="s">
        <v>622</v>
      </c>
      <c r="G3173">
        <v>27</v>
      </c>
      <c r="H3173">
        <v>16</v>
      </c>
      <c r="I3173">
        <v>1</v>
      </c>
      <c r="J3173">
        <v>3</v>
      </c>
      <c r="K3173" s="9">
        <v>4.7608695652173916</v>
      </c>
    </row>
    <row r="3174" spans="1:11" x14ac:dyDescent="0.45">
      <c r="A3174" t="s">
        <v>277</v>
      </c>
      <c r="B3174" t="s">
        <v>696</v>
      </c>
      <c r="C3174" t="s">
        <v>6</v>
      </c>
      <c r="D3174">
        <v>4</v>
      </c>
      <c r="E3174" t="s">
        <v>299</v>
      </c>
      <c r="F3174" t="s">
        <v>622</v>
      </c>
      <c r="G3174">
        <v>19</v>
      </c>
      <c r="H3174">
        <v>13</v>
      </c>
      <c r="I3174">
        <v>3</v>
      </c>
      <c r="J3174">
        <v>0</v>
      </c>
      <c r="K3174" s="9">
        <v>4.8939393939393936</v>
      </c>
    </row>
    <row r="3175" spans="1:11" x14ac:dyDescent="0.45">
      <c r="A3175" t="s">
        <v>277</v>
      </c>
      <c r="B3175" t="s">
        <v>696</v>
      </c>
      <c r="C3175" t="s">
        <v>6</v>
      </c>
      <c r="D3175">
        <v>5</v>
      </c>
      <c r="E3175" t="s">
        <v>485</v>
      </c>
      <c r="F3175" t="s">
        <v>622</v>
      </c>
      <c r="G3175">
        <v>8</v>
      </c>
      <c r="H3175">
        <v>8</v>
      </c>
      <c r="I3175">
        <v>1</v>
      </c>
      <c r="J3175">
        <v>0</v>
      </c>
      <c r="K3175" s="9">
        <v>4.9029126213592233</v>
      </c>
    </row>
    <row r="3176" spans="1:11" x14ac:dyDescent="0.45">
      <c r="A3176" t="s">
        <v>277</v>
      </c>
      <c r="B3176" t="s">
        <v>696</v>
      </c>
      <c r="C3176" t="s">
        <v>6</v>
      </c>
      <c r="D3176">
        <v>6</v>
      </c>
      <c r="E3176" t="s">
        <v>355</v>
      </c>
      <c r="F3176" t="s">
        <v>623</v>
      </c>
      <c r="G3176">
        <v>27</v>
      </c>
      <c r="H3176">
        <v>14</v>
      </c>
      <c r="I3176">
        <v>2</v>
      </c>
      <c r="J3176">
        <v>2</v>
      </c>
      <c r="K3176" s="9">
        <v>4.8461538461538458</v>
      </c>
    </row>
    <row r="3177" spans="1:11" x14ac:dyDescent="0.45">
      <c r="A3177" t="s">
        <v>277</v>
      </c>
      <c r="B3177" t="s">
        <v>696</v>
      </c>
      <c r="C3177" t="s">
        <v>6</v>
      </c>
      <c r="D3177">
        <v>7</v>
      </c>
      <c r="E3177" t="s">
        <v>328</v>
      </c>
      <c r="F3177" t="s">
        <v>622</v>
      </c>
      <c r="G3177">
        <v>3</v>
      </c>
      <c r="H3177">
        <v>6</v>
      </c>
      <c r="I3177">
        <v>0</v>
      </c>
      <c r="J3177">
        <v>0</v>
      </c>
      <c r="K3177" s="9">
        <v>5.4565217391304346</v>
      </c>
    </row>
    <row r="3178" spans="1:11" x14ac:dyDescent="0.45">
      <c r="A3178" t="s">
        <v>277</v>
      </c>
      <c r="B3178" t="s">
        <v>696</v>
      </c>
      <c r="C3178" t="s">
        <v>6</v>
      </c>
      <c r="D3178">
        <v>8</v>
      </c>
      <c r="E3178" t="s">
        <v>356</v>
      </c>
      <c r="F3178" t="s">
        <v>622</v>
      </c>
      <c r="G3178">
        <v>12</v>
      </c>
      <c r="H3178">
        <v>3</v>
      </c>
      <c r="I3178">
        <v>0</v>
      </c>
      <c r="J3178">
        <v>2</v>
      </c>
      <c r="K3178" s="9">
        <v>5.6607142857142856</v>
      </c>
    </row>
    <row r="3179" spans="1:11" x14ac:dyDescent="0.45">
      <c r="A3179" t="s">
        <v>277</v>
      </c>
      <c r="B3179" t="s">
        <v>696</v>
      </c>
      <c r="C3179" t="s">
        <v>6</v>
      </c>
      <c r="D3179">
        <v>9</v>
      </c>
      <c r="E3179" t="s">
        <v>507</v>
      </c>
      <c r="F3179" t="s">
        <v>623</v>
      </c>
      <c r="G3179">
        <v>1</v>
      </c>
      <c r="H3179">
        <v>1</v>
      </c>
      <c r="I3179">
        <v>0</v>
      </c>
      <c r="J3179">
        <v>0</v>
      </c>
      <c r="K3179" s="9">
        <v>6.5693779904306222</v>
      </c>
    </row>
    <row r="3180" spans="1:11" x14ac:dyDescent="0.45">
      <c r="A3180" t="s">
        <v>277</v>
      </c>
      <c r="B3180" t="s">
        <v>696</v>
      </c>
      <c r="C3180" t="s">
        <v>104</v>
      </c>
      <c r="D3180">
        <v>1</v>
      </c>
      <c r="E3180" t="s">
        <v>397</v>
      </c>
      <c r="F3180" t="s">
        <v>622</v>
      </c>
      <c r="G3180">
        <v>20</v>
      </c>
      <c r="H3180">
        <v>18</v>
      </c>
      <c r="I3180">
        <v>2</v>
      </c>
      <c r="J3180">
        <v>0</v>
      </c>
      <c r="K3180" s="9">
        <v>4.375</v>
      </c>
    </row>
    <row r="3181" spans="1:11" x14ac:dyDescent="0.45">
      <c r="A3181" t="s">
        <v>277</v>
      </c>
      <c r="B3181" t="s">
        <v>696</v>
      </c>
      <c r="C3181" t="s">
        <v>104</v>
      </c>
      <c r="D3181">
        <v>2</v>
      </c>
      <c r="E3181" t="s">
        <v>564</v>
      </c>
      <c r="F3181" t="s">
        <v>622</v>
      </c>
      <c r="G3181">
        <v>53</v>
      </c>
      <c r="H3181">
        <v>22</v>
      </c>
      <c r="I3181">
        <v>8</v>
      </c>
      <c r="J3181">
        <v>2</v>
      </c>
      <c r="K3181" s="9">
        <v>4.4423076923076925</v>
      </c>
    </row>
    <row r="3182" spans="1:11" x14ac:dyDescent="0.45">
      <c r="A3182" t="s">
        <v>277</v>
      </c>
      <c r="B3182" t="s">
        <v>696</v>
      </c>
      <c r="C3182" t="s">
        <v>104</v>
      </c>
      <c r="D3182">
        <v>3</v>
      </c>
      <c r="E3182" t="s">
        <v>426</v>
      </c>
      <c r="F3182" t="s">
        <v>622</v>
      </c>
      <c r="G3182">
        <v>2</v>
      </c>
      <c r="H3182">
        <v>6</v>
      </c>
      <c r="I3182">
        <v>0</v>
      </c>
      <c r="J3182">
        <v>0</v>
      </c>
      <c r="K3182" s="9">
        <v>5.4565217391304346</v>
      </c>
    </row>
    <row r="3183" spans="1:11" x14ac:dyDescent="0.45">
      <c r="A3183" t="s">
        <v>277</v>
      </c>
      <c r="B3183" t="s">
        <v>696</v>
      </c>
      <c r="C3183" t="s">
        <v>104</v>
      </c>
      <c r="D3183">
        <v>4</v>
      </c>
      <c r="E3183" t="s">
        <v>366</v>
      </c>
      <c r="F3183" t="s">
        <v>622</v>
      </c>
      <c r="G3183">
        <v>9</v>
      </c>
      <c r="H3183">
        <v>9</v>
      </c>
      <c r="I3183">
        <v>0</v>
      </c>
      <c r="J3183">
        <v>1</v>
      </c>
      <c r="K3183" s="9">
        <v>4.924050632911392</v>
      </c>
    </row>
    <row r="3184" spans="1:11" x14ac:dyDescent="0.45">
      <c r="A3184" t="s">
        <v>277</v>
      </c>
      <c r="B3184" t="s">
        <v>696</v>
      </c>
      <c r="C3184" t="s">
        <v>104</v>
      </c>
      <c r="D3184">
        <v>5</v>
      </c>
      <c r="E3184" t="s">
        <v>331</v>
      </c>
      <c r="F3184" t="s">
        <v>622</v>
      </c>
      <c r="G3184">
        <v>21</v>
      </c>
      <c r="H3184">
        <v>18</v>
      </c>
      <c r="I3184">
        <v>0</v>
      </c>
      <c r="J3184">
        <v>1</v>
      </c>
      <c r="K3184" s="9">
        <v>4.375</v>
      </c>
    </row>
    <row r="3185" spans="1:11" x14ac:dyDescent="0.45">
      <c r="A3185" t="s">
        <v>277</v>
      </c>
      <c r="B3185" t="s">
        <v>696</v>
      </c>
      <c r="C3185" t="s">
        <v>104</v>
      </c>
      <c r="D3185">
        <v>6</v>
      </c>
      <c r="E3185" t="s">
        <v>416</v>
      </c>
      <c r="F3185" t="s">
        <v>622</v>
      </c>
      <c r="G3185">
        <v>32</v>
      </c>
      <c r="H3185">
        <v>18</v>
      </c>
      <c r="I3185">
        <v>2</v>
      </c>
      <c r="J3185">
        <v>3</v>
      </c>
      <c r="K3185" s="9">
        <v>4.375</v>
      </c>
    </row>
    <row r="3186" spans="1:11" x14ac:dyDescent="0.45">
      <c r="A3186" t="s">
        <v>277</v>
      </c>
      <c r="B3186" t="s">
        <v>696</v>
      </c>
      <c r="C3186" t="s">
        <v>104</v>
      </c>
      <c r="D3186">
        <v>7</v>
      </c>
      <c r="E3186" t="s">
        <v>521</v>
      </c>
      <c r="F3186" t="s">
        <v>622</v>
      </c>
      <c r="G3186">
        <v>23</v>
      </c>
      <c r="H3186">
        <v>18</v>
      </c>
      <c r="I3186">
        <v>0</v>
      </c>
      <c r="J3186">
        <v>0</v>
      </c>
      <c r="K3186" s="9">
        <v>4.375</v>
      </c>
    </row>
    <row r="3187" spans="1:11" x14ac:dyDescent="0.45">
      <c r="A3187" t="s">
        <v>277</v>
      </c>
      <c r="B3187" t="s">
        <v>696</v>
      </c>
      <c r="C3187" t="s">
        <v>104</v>
      </c>
      <c r="D3187">
        <v>8</v>
      </c>
      <c r="E3187" t="s">
        <v>516</v>
      </c>
      <c r="F3187" t="s">
        <v>623</v>
      </c>
      <c r="G3187">
        <v>17</v>
      </c>
      <c r="H3187">
        <v>11</v>
      </c>
      <c r="I3187">
        <v>0</v>
      </c>
      <c r="J3187">
        <v>1</v>
      </c>
      <c r="K3187" s="9">
        <v>4.9649122807017543</v>
      </c>
    </row>
    <row r="3188" spans="1:11" x14ac:dyDescent="0.45">
      <c r="A3188" t="s">
        <v>277</v>
      </c>
      <c r="B3188" t="s">
        <v>696</v>
      </c>
      <c r="C3188" t="s">
        <v>104</v>
      </c>
      <c r="D3188">
        <v>9</v>
      </c>
      <c r="E3188" t="s">
        <v>606</v>
      </c>
      <c r="F3188" t="s">
        <v>623</v>
      </c>
      <c r="G3188">
        <v>10</v>
      </c>
      <c r="H3188">
        <v>3</v>
      </c>
      <c r="I3188">
        <v>1</v>
      </c>
      <c r="J3188">
        <v>1</v>
      </c>
      <c r="K3188" s="9">
        <v>5.6607142857142856</v>
      </c>
    </row>
    <row r="3189" spans="1:11" x14ac:dyDescent="0.45">
      <c r="A3189" t="s">
        <v>278</v>
      </c>
      <c r="B3189" t="s">
        <v>663</v>
      </c>
      <c r="C3189" t="s">
        <v>19</v>
      </c>
      <c r="D3189">
        <v>1</v>
      </c>
      <c r="E3189" t="s">
        <v>359</v>
      </c>
      <c r="F3189" t="s">
        <v>622</v>
      </c>
      <c r="G3189">
        <v>1</v>
      </c>
      <c r="H3189">
        <v>10</v>
      </c>
      <c r="I3189">
        <v>0</v>
      </c>
      <c r="J3189">
        <v>0</v>
      </c>
      <c r="K3189" s="9">
        <v>4.7179487179487181</v>
      </c>
    </row>
    <row r="3190" spans="1:11" x14ac:dyDescent="0.45">
      <c r="A3190" t="s">
        <v>278</v>
      </c>
      <c r="B3190" t="s">
        <v>663</v>
      </c>
      <c r="C3190" t="s">
        <v>19</v>
      </c>
      <c r="D3190">
        <v>2</v>
      </c>
      <c r="E3190" t="s">
        <v>360</v>
      </c>
      <c r="F3190" t="s">
        <v>622</v>
      </c>
      <c r="G3190">
        <v>10</v>
      </c>
      <c r="H3190">
        <v>13</v>
      </c>
      <c r="I3190">
        <v>2</v>
      </c>
      <c r="J3190">
        <v>0</v>
      </c>
      <c r="K3190" s="9">
        <v>4.8939393939393936</v>
      </c>
    </row>
    <row r="3191" spans="1:11" x14ac:dyDescent="0.45">
      <c r="A3191" t="s">
        <v>278</v>
      </c>
      <c r="B3191" t="s">
        <v>663</v>
      </c>
      <c r="C3191" t="s">
        <v>19</v>
      </c>
      <c r="D3191">
        <v>3</v>
      </c>
      <c r="E3191" t="s">
        <v>560</v>
      </c>
      <c r="F3191" t="s">
        <v>622</v>
      </c>
      <c r="G3191">
        <v>5</v>
      </c>
      <c r="H3191">
        <v>4</v>
      </c>
      <c r="I3191">
        <v>1</v>
      </c>
      <c r="J3191">
        <v>0</v>
      </c>
      <c r="K3191" s="9">
        <v>5.352380952380952</v>
      </c>
    </row>
    <row r="3192" spans="1:11" x14ac:dyDescent="0.45">
      <c r="A3192" t="s">
        <v>278</v>
      </c>
      <c r="B3192" t="s">
        <v>663</v>
      </c>
      <c r="C3192" t="s">
        <v>19</v>
      </c>
      <c r="D3192">
        <v>4</v>
      </c>
      <c r="E3192" t="s">
        <v>363</v>
      </c>
      <c r="F3192" t="s">
        <v>622</v>
      </c>
      <c r="G3192">
        <v>15</v>
      </c>
      <c r="H3192">
        <v>16</v>
      </c>
      <c r="I3192">
        <v>1</v>
      </c>
      <c r="J3192">
        <v>0</v>
      </c>
      <c r="K3192" s="9">
        <v>4.7608695652173916</v>
      </c>
    </row>
    <row r="3193" spans="1:11" x14ac:dyDescent="0.45">
      <c r="A3193" t="s">
        <v>278</v>
      </c>
      <c r="B3193" t="s">
        <v>663</v>
      </c>
      <c r="C3193" t="s">
        <v>19</v>
      </c>
      <c r="D3193">
        <v>5</v>
      </c>
      <c r="E3193" t="s">
        <v>502</v>
      </c>
      <c r="F3193" t="s">
        <v>623</v>
      </c>
      <c r="G3193">
        <v>84</v>
      </c>
      <c r="H3193">
        <v>46</v>
      </c>
      <c r="I3193">
        <v>9</v>
      </c>
      <c r="J3193">
        <v>4</v>
      </c>
      <c r="K3193" s="9">
        <v>3.4375</v>
      </c>
    </row>
    <row r="3194" spans="1:11" x14ac:dyDescent="0.45">
      <c r="A3194" t="s">
        <v>278</v>
      </c>
      <c r="B3194" t="s">
        <v>663</v>
      </c>
      <c r="C3194" t="s">
        <v>19</v>
      </c>
      <c r="D3194">
        <v>6</v>
      </c>
      <c r="E3194" t="s">
        <v>559</v>
      </c>
      <c r="F3194" t="s">
        <v>622</v>
      </c>
      <c r="G3194">
        <v>21</v>
      </c>
      <c r="H3194">
        <v>13</v>
      </c>
      <c r="I3194">
        <v>1</v>
      </c>
      <c r="J3194">
        <v>2</v>
      </c>
      <c r="K3194" s="9">
        <v>4.8939393939393936</v>
      </c>
    </row>
    <row r="3195" spans="1:11" x14ac:dyDescent="0.45">
      <c r="A3195" t="s">
        <v>278</v>
      </c>
      <c r="B3195" t="s">
        <v>663</v>
      </c>
      <c r="C3195" t="s">
        <v>19</v>
      </c>
      <c r="D3195">
        <v>7</v>
      </c>
      <c r="E3195" t="s">
        <v>447</v>
      </c>
      <c r="F3195" t="s">
        <v>622</v>
      </c>
      <c r="G3195">
        <v>4</v>
      </c>
      <c r="H3195">
        <v>7</v>
      </c>
      <c r="I3195">
        <v>0</v>
      </c>
      <c r="J3195">
        <v>0</v>
      </c>
      <c r="K3195" s="9">
        <v>4.927835051546392</v>
      </c>
    </row>
    <row r="3196" spans="1:11" x14ac:dyDescent="0.45">
      <c r="A3196" t="s">
        <v>278</v>
      </c>
      <c r="B3196" t="s">
        <v>663</v>
      </c>
      <c r="C3196" t="s">
        <v>19</v>
      </c>
      <c r="D3196">
        <v>8</v>
      </c>
      <c r="E3196" t="s">
        <v>504</v>
      </c>
      <c r="F3196" t="s">
        <v>622</v>
      </c>
      <c r="G3196">
        <v>5</v>
      </c>
      <c r="H3196">
        <v>3</v>
      </c>
      <c r="I3196">
        <v>1</v>
      </c>
      <c r="J3196">
        <v>0</v>
      </c>
      <c r="K3196" s="9">
        <v>5.6607142857142856</v>
      </c>
    </row>
    <row r="3197" spans="1:11" x14ac:dyDescent="0.45">
      <c r="A3197" t="s">
        <v>278</v>
      </c>
      <c r="B3197" t="s">
        <v>663</v>
      </c>
      <c r="C3197" t="s">
        <v>19</v>
      </c>
      <c r="D3197">
        <v>9</v>
      </c>
      <c r="E3197" t="s">
        <v>593</v>
      </c>
      <c r="F3197" t="s">
        <v>623</v>
      </c>
      <c r="G3197">
        <v>15</v>
      </c>
      <c r="H3197">
        <v>9</v>
      </c>
      <c r="I3197">
        <v>0</v>
      </c>
      <c r="J3197">
        <v>1</v>
      </c>
      <c r="K3197" s="9">
        <v>4.924050632911392</v>
      </c>
    </row>
    <row r="3198" spans="1:11" x14ac:dyDescent="0.45">
      <c r="A3198" t="s">
        <v>278</v>
      </c>
      <c r="B3198" t="s">
        <v>663</v>
      </c>
      <c r="C3198" t="s">
        <v>13</v>
      </c>
      <c r="D3198">
        <v>1</v>
      </c>
      <c r="E3198" t="s">
        <v>343</v>
      </c>
      <c r="F3198" t="s">
        <v>623</v>
      </c>
      <c r="G3198">
        <v>82</v>
      </c>
      <c r="H3198">
        <v>49</v>
      </c>
      <c r="I3198">
        <v>6</v>
      </c>
      <c r="J3198">
        <v>5</v>
      </c>
      <c r="K3198" s="9">
        <v>3.5714285714285716</v>
      </c>
    </row>
    <row r="3199" spans="1:11" x14ac:dyDescent="0.45">
      <c r="A3199" t="s">
        <v>278</v>
      </c>
      <c r="B3199" t="s">
        <v>663</v>
      </c>
      <c r="C3199" t="s">
        <v>13</v>
      </c>
      <c r="D3199">
        <v>2</v>
      </c>
      <c r="E3199" t="s">
        <v>294</v>
      </c>
      <c r="F3199" t="s">
        <v>622</v>
      </c>
      <c r="G3199">
        <v>73</v>
      </c>
      <c r="H3199">
        <v>43</v>
      </c>
      <c r="I3199">
        <v>5</v>
      </c>
      <c r="J3199">
        <v>6</v>
      </c>
      <c r="K3199" s="9">
        <v>2.8888888888888888</v>
      </c>
    </row>
    <row r="3200" spans="1:11" x14ac:dyDescent="0.45">
      <c r="A3200" t="s">
        <v>278</v>
      </c>
      <c r="B3200" t="s">
        <v>663</v>
      </c>
      <c r="C3200" t="s">
        <v>13</v>
      </c>
      <c r="D3200">
        <v>3</v>
      </c>
      <c r="E3200" t="s">
        <v>311</v>
      </c>
      <c r="F3200" t="s">
        <v>622</v>
      </c>
      <c r="G3200">
        <v>0</v>
      </c>
      <c r="H3200">
        <v>3</v>
      </c>
      <c r="I3200">
        <v>0</v>
      </c>
      <c r="J3200">
        <v>0</v>
      </c>
      <c r="K3200" s="9">
        <v>5.6607142857142856</v>
      </c>
    </row>
    <row r="3201" spans="1:11" x14ac:dyDescent="0.45">
      <c r="A3201" t="s">
        <v>278</v>
      </c>
      <c r="B3201" t="s">
        <v>663</v>
      </c>
      <c r="C3201" t="s">
        <v>13</v>
      </c>
      <c r="D3201">
        <v>4</v>
      </c>
      <c r="E3201" t="s">
        <v>345</v>
      </c>
      <c r="F3201" t="s">
        <v>623</v>
      </c>
      <c r="G3201">
        <v>12</v>
      </c>
      <c r="H3201">
        <v>3</v>
      </c>
      <c r="I3201">
        <v>0</v>
      </c>
      <c r="J3201">
        <v>2</v>
      </c>
      <c r="K3201" s="9">
        <v>5.6607142857142856</v>
      </c>
    </row>
    <row r="3202" spans="1:11" x14ac:dyDescent="0.45">
      <c r="A3202" t="s">
        <v>280</v>
      </c>
      <c r="B3202" t="s">
        <v>642</v>
      </c>
      <c r="C3202" t="s">
        <v>23</v>
      </c>
      <c r="D3202">
        <v>1</v>
      </c>
      <c r="E3202" t="s">
        <v>383</v>
      </c>
      <c r="F3202" t="s">
        <v>622</v>
      </c>
      <c r="G3202">
        <v>54</v>
      </c>
      <c r="H3202">
        <v>37</v>
      </c>
      <c r="I3202">
        <v>9</v>
      </c>
      <c r="J3202">
        <v>0</v>
      </c>
      <c r="K3202" s="9">
        <v>3.5555555555555554</v>
      </c>
    </row>
    <row r="3203" spans="1:11" x14ac:dyDescent="0.45">
      <c r="A3203" t="s">
        <v>280</v>
      </c>
      <c r="B3203" t="s">
        <v>642</v>
      </c>
      <c r="C3203" t="s">
        <v>23</v>
      </c>
      <c r="D3203">
        <v>2</v>
      </c>
      <c r="E3203" t="s">
        <v>458</v>
      </c>
      <c r="F3203" t="s">
        <v>622</v>
      </c>
      <c r="G3203">
        <v>54</v>
      </c>
      <c r="H3203">
        <v>22</v>
      </c>
      <c r="I3203">
        <v>7</v>
      </c>
      <c r="J3203">
        <v>3</v>
      </c>
      <c r="K3203" s="9">
        <v>4.4423076923076925</v>
      </c>
    </row>
    <row r="3204" spans="1:11" x14ac:dyDescent="0.45">
      <c r="A3204" t="s">
        <v>280</v>
      </c>
      <c r="B3204" t="s">
        <v>642</v>
      </c>
      <c r="C3204" t="s">
        <v>23</v>
      </c>
      <c r="D3204">
        <v>3</v>
      </c>
      <c r="E3204" t="s">
        <v>386</v>
      </c>
      <c r="F3204" t="s">
        <v>622</v>
      </c>
      <c r="G3204">
        <v>55</v>
      </c>
      <c r="H3204">
        <v>32</v>
      </c>
      <c r="I3204">
        <v>3</v>
      </c>
      <c r="J3204">
        <v>4</v>
      </c>
      <c r="K3204" s="9">
        <v>3.9375</v>
      </c>
    </row>
    <row r="3205" spans="1:11" x14ac:dyDescent="0.45">
      <c r="A3205" t="s">
        <v>280</v>
      </c>
      <c r="B3205" t="s">
        <v>642</v>
      </c>
      <c r="C3205" t="s">
        <v>23</v>
      </c>
      <c r="D3205">
        <v>4</v>
      </c>
      <c r="E3205" t="s">
        <v>342</v>
      </c>
      <c r="F3205" t="s">
        <v>622</v>
      </c>
      <c r="G3205">
        <v>2</v>
      </c>
      <c r="H3205">
        <v>5</v>
      </c>
      <c r="I3205">
        <v>0</v>
      </c>
      <c r="J3205">
        <v>0</v>
      </c>
      <c r="K3205" s="9">
        <v>5.132075471698113</v>
      </c>
    </row>
    <row r="3206" spans="1:11" x14ac:dyDescent="0.45">
      <c r="A3206" t="s">
        <v>280</v>
      </c>
      <c r="B3206" t="s">
        <v>642</v>
      </c>
      <c r="C3206" t="s">
        <v>23</v>
      </c>
      <c r="D3206">
        <v>5</v>
      </c>
      <c r="E3206" t="s">
        <v>431</v>
      </c>
      <c r="F3206" t="s">
        <v>622</v>
      </c>
      <c r="G3206">
        <v>7</v>
      </c>
      <c r="H3206">
        <v>6</v>
      </c>
      <c r="I3206">
        <v>1</v>
      </c>
      <c r="J3206">
        <v>0</v>
      </c>
      <c r="K3206" s="9">
        <v>5.4565217391304346</v>
      </c>
    </row>
    <row r="3207" spans="1:11" x14ac:dyDescent="0.45">
      <c r="A3207" t="s">
        <v>280</v>
      </c>
      <c r="B3207" t="s">
        <v>642</v>
      </c>
      <c r="C3207" t="s">
        <v>23</v>
      </c>
      <c r="D3207">
        <v>6</v>
      </c>
      <c r="E3207" t="s">
        <v>336</v>
      </c>
      <c r="F3207" t="s">
        <v>623</v>
      </c>
      <c r="G3207">
        <v>22</v>
      </c>
      <c r="H3207">
        <v>16</v>
      </c>
      <c r="I3207">
        <v>1</v>
      </c>
      <c r="J3207">
        <v>1</v>
      </c>
      <c r="K3207" s="9">
        <v>4.7608695652173916</v>
      </c>
    </row>
    <row r="3208" spans="1:11" x14ac:dyDescent="0.45">
      <c r="A3208" t="s">
        <v>280</v>
      </c>
      <c r="B3208" t="s">
        <v>642</v>
      </c>
      <c r="C3208" t="s">
        <v>23</v>
      </c>
      <c r="D3208">
        <v>7</v>
      </c>
      <c r="E3208" t="s">
        <v>339</v>
      </c>
      <c r="F3208" t="s">
        <v>623</v>
      </c>
      <c r="G3208">
        <v>1</v>
      </c>
      <c r="H3208">
        <v>2</v>
      </c>
      <c r="I3208">
        <v>0</v>
      </c>
      <c r="J3208">
        <v>0</v>
      </c>
      <c r="K3208" s="9">
        <v>6.1385542168674698</v>
      </c>
    </row>
    <row r="3209" spans="1:11" x14ac:dyDescent="0.45">
      <c r="A3209" t="s">
        <v>280</v>
      </c>
      <c r="B3209" t="s">
        <v>642</v>
      </c>
      <c r="C3209" t="s">
        <v>20</v>
      </c>
      <c r="D3209">
        <v>1</v>
      </c>
      <c r="E3209" t="s">
        <v>373</v>
      </c>
      <c r="F3209" t="s">
        <v>622</v>
      </c>
      <c r="G3209">
        <v>0</v>
      </c>
      <c r="H3209">
        <v>3</v>
      </c>
      <c r="I3209">
        <v>0</v>
      </c>
      <c r="J3209">
        <v>0</v>
      </c>
      <c r="K3209" s="9">
        <v>5.6607142857142856</v>
      </c>
    </row>
    <row r="3210" spans="1:11" x14ac:dyDescent="0.45">
      <c r="A3210" t="s">
        <v>280</v>
      </c>
      <c r="B3210" t="s">
        <v>642</v>
      </c>
      <c r="C3210" t="s">
        <v>20</v>
      </c>
      <c r="D3210">
        <v>2</v>
      </c>
      <c r="E3210" t="s">
        <v>398</v>
      </c>
      <c r="F3210" t="s">
        <v>622</v>
      </c>
      <c r="G3210">
        <v>27</v>
      </c>
      <c r="H3210">
        <v>23</v>
      </c>
      <c r="I3210">
        <v>3</v>
      </c>
      <c r="J3210">
        <v>0</v>
      </c>
      <c r="K3210" s="9">
        <v>5.1142857142857139</v>
      </c>
    </row>
    <row r="3211" spans="1:11" x14ac:dyDescent="0.45">
      <c r="A3211" t="s">
        <v>280</v>
      </c>
      <c r="B3211" t="s">
        <v>642</v>
      </c>
      <c r="C3211" t="s">
        <v>20</v>
      </c>
      <c r="D3211">
        <v>3</v>
      </c>
      <c r="E3211" t="s">
        <v>315</v>
      </c>
      <c r="F3211" t="s">
        <v>622</v>
      </c>
      <c r="G3211">
        <v>0</v>
      </c>
      <c r="H3211">
        <v>2</v>
      </c>
      <c r="I3211">
        <v>0</v>
      </c>
      <c r="J3211">
        <v>0</v>
      </c>
      <c r="K3211" s="9">
        <v>6.1385542168674698</v>
      </c>
    </row>
    <row r="3212" spans="1:11" x14ac:dyDescent="0.45">
      <c r="A3212" t="s">
        <v>280</v>
      </c>
      <c r="B3212" t="s">
        <v>642</v>
      </c>
      <c r="C3212" t="s">
        <v>20</v>
      </c>
      <c r="D3212">
        <v>4</v>
      </c>
      <c r="E3212" t="s">
        <v>574</v>
      </c>
      <c r="F3212" t="s">
        <v>622</v>
      </c>
      <c r="G3212">
        <v>13</v>
      </c>
      <c r="H3212">
        <v>21</v>
      </c>
      <c r="I3212">
        <v>1</v>
      </c>
      <c r="J3212">
        <v>0</v>
      </c>
      <c r="K3212" s="9">
        <v>4.3770491803278686</v>
      </c>
    </row>
    <row r="3213" spans="1:11" x14ac:dyDescent="0.45">
      <c r="A3213" t="s">
        <v>280</v>
      </c>
      <c r="B3213" t="s">
        <v>642</v>
      </c>
      <c r="C3213" t="s">
        <v>20</v>
      </c>
      <c r="D3213">
        <v>5</v>
      </c>
      <c r="E3213" t="s">
        <v>467</v>
      </c>
      <c r="F3213" t="s">
        <v>622</v>
      </c>
      <c r="G3213">
        <v>1</v>
      </c>
      <c r="H3213">
        <v>5</v>
      </c>
      <c r="I3213">
        <v>0</v>
      </c>
      <c r="J3213">
        <v>0</v>
      </c>
      <c r="K3213" s="9">
        <v>5.132075471698113</v>
      </c>
    </row>
    <row r="3214" spans="1:11" x14ac:dyDescent="0.45">
      <c r="A3214" t="s">
        <v>280</v>
      </c>
      <c r="B3214" t="s">
        <v>642</v>
      </c>
      <c r="C3214" t="s">
        <v>20</v>
      </c>
      <c r="D3214">
        <v>6</v>
      </c>
      <c r="E3214" t="s">
        <v>389</v>
      </c>
      <c r="F3214" t="s">
        <v>622</v>
      </c>
      <c r="G3214">
        <v>8</v>
      </c>
      <c r="H3214">
        <v>6</v>
      </c>
      <c r="I3214">
        <v>0</v>
      </c>
      <c r="J3214">
        <v>1</v>
      </c>
      <c r="K3214" s="9">
        <v>5.4565217391304346</v>
      </c>
    </row>
    <row r="3215" spans="1:11" x14ac:dyDescent="0.45">
      <c r="A3215" t="s">
        <v>280</v>
      </c>
      <c r="B3215" t="s">
        <v>642</v>
      </c>
      <c r="C3215" t="s">
        <v>20</v>
      </c>
      <c r="D3215">
        <v>7</v>
      </c>
      <c r="E3215" t="s">
        <v>376</v>
      </c>
      <c r="F3215" t="s">
        <v>623</v>
      </c>
      <c r="G3215">
        <v>32</v>
      </c>
      <c r="H3215">
        <v>32</v>
      </c>
      <c r="I3215">
        <v>2</v>
      </c>
      <c r="J3215">
        <v>1</v>
      </c>
      <c r="K3215" s="9">
        <v>3.9375</v>
      </c>
    </row>
    <row r="3216" spans="1:11" x14ac:dyDescent="0.45">
      <c r="A3216" t="s">
        <v>280</v>
      </c>
      <c r="B3216" t="s">
        <v>642</v>
      </c>
      <c r="C3216" t="s">
        <v>20</v>
      </c>
      <c r="D3216">
        <v>8</v>
      </c>
      <c r="E3216" t="s">
        <v>451</v>
      </c>
      <c r="F3216" t="s">
        <v>622</v>
      </c>
      <c r="G3216">
        <v>18</v>
      </c>
      <c r="H3216">
        <v>13</v>
      </c>
      <c r="I3216">
        <v>1</v>
      </c>
      <c r="J3216">
        <v>1</v>
      </c>
      <c r="K3216" s="9">
        <v>4.8939393939393936</v>
      </c>
    </row>
    <row r="3217" spans="1:11" x14ac:dyDescent="0.45">
      <c r="A3217" t="s">
        <v>280</v>
      </c>
      <c r="B3217" t="s">
        <v>642</v>
      </c>
      <c r="C3217" t="s">
        <v>20</v>
      </c>
      <c r="D3217">
        <v>9</v>
      </c>
      <c r="E3217" t="s">
        <v>409</v>
      </c>
      <c r="F3217" t="s">
        <v>622</v>
      </c>
      <c r="G3217">
        <v>6</v>
      </c>
      <c r="H3217">
        <v>10</v>
      </c>
      <c r="I3217">
        <v>0</v>
      </c>
      <c r="J3217">
        <v>0</v>
      </c>
      <c r="K3217" s="9">
        <v>4.7179487179487181</v>
      </c>
    </row>
    <row r="3218" spans="1:11" x14ac:dyDescent="0.45">
      <c r="A3218" t="s">
        <v>280</v>
      </c>
      <c r="B3218" t="s">
        <v>642</v>
      </c>
      <c r="C3218" t="s">
        <v>20</v>
      </c>
      <c r="D3218">
        <v>10</v>
      </c>
      <c r="E3218" t="s">
        <v>382</v>
      </c>
      <c r="F3218" t="s">
        <v>623</v>
      </c>
      <c r="G3218">
        <v>19</v>
      </c>
      <c r="H3218">
        <v>8</v>
      </c>
      <c r="I3218">
        <v>1</v>
      </c>
      <c r="J3218">
        <v>2</v>
      </c>
      <c r="K3218" s="9">
        <v>4.9029126213592233</v>
      </c>
    </row>
    <row r="3219" spans="1:11" x14ac:dyDescent="0.45">
      <c r="A3219" t="s">
        <v>282</v>
      </c>
      <c r="B3219" t="s">
        <v>683</v>
      </c>
      <c r="C3219" t="s">
        <v>104</v>
      </c>
      <c r="D3219">
        <v>1</v>
      </c>
      <c r="E3219" t="s">
        <v>397</v>
      </c>
      <c r="F3219" t="s">
        <v>622</v>
      </c>
      <c r="G3219">
        <v>8</v>
      </c>
      <c r="H3219">
        <v>12</v>
      </c>
      <c r="I3219">
        <v>0</v>
      </c>
      <c r="J3219">
        <v>1</v>
      </c>
      <c r="K3219" s="9">
        <v>4.8024691358024691</v>
      </c>
    </row>
    <row r="3220" spans="1:11" x14ac:dyDescent="0.45">
      <c r="A3220" t="s">
        <v>282</v>
      </c>
      <c r="B3220" t="s">
        <v>683</v>
      </c>
      <c r="C3220" t="s">
        <v>104</v>
      </c>
      <c r="D3220">
        <v>2</v>
      </c>
      <c r="E3220" t="s">
        <v>564</v>
      </c>
      <c r="F3220" t="s">
        <v>622</v>
      </c>
      <c r="G3220">
        <v>73</v>
      </c>
      <c r="H3220">
        <v>38</v>
      </c>
      <c r="I3220">
        <v>2</v>
      </c>
      <c r="J3220">
        <v>7</v>
      </c>
      <c r="K3220" s="9">
        <v>3.6842105263157894</v>
      </c>
    </row>
    <row r="3221" spans="1:11" x14ac:dyDescent="0.45">
      <c r="A3221" t="s">
        <v>282</v>
      </c>
      <c r="B3221" t="s">
        <v>683</v>
      </c>
      <c r="C3221" t="s">
        <v>104</v>
      </c>
      <c r="D3221">
        <v>3</v>
      </c>
      <c r="E3221" t="s">
        <v>426</v>
      </c>
      <c r="F3221" t="s">
        <v>622</v>
      </c>
      <c r="G3221">
        <v>17</v>
      </c>
      <c r="H3221">
        <v>18</v>
      </c>
      <c r="I3221">
        <v>0</v>
      </c>
      <c r="J3221">
        <v>0</v>
      </c>
      <c r="K3221" s="9">
        <v>4.375</v>
      </c>
    </row>
    <row r="3222" spans="1:11" x14ac:dyDescent="0.45">
      <c r="A3222" t="s">
        <v>282</v>
      </c>
      <c r="B3222" t="s">
        <v>683</v>
      </c>
      <c r="C3222" t="s">
        <v>104</v>
      </c>
      <c r="D3222">
        <v>4</v>
      </c>
      <c r="E3222" t="s">
        <v>366</v>
      </c>
      <c r="F3222" t="s">
        <v>623</v>
      </c>
      <c r="G3222">
        <v>15</v>
      </c>
      <c r="H3222">
        <v>13</v>
      </c>
      <c r="I3222">
        <v>0</v>
      </c>
      <c r="J3222">
        <v>1</v>
      </c>
      <c r="K3222" s="9">
        <v>4.8939393939393936</v>
      </c>
    </row>
    <row r="3223" spans="1:11" x14ac:dyDescent="0.45">
      <c r="A3223" t="s">
        <v>282</v>
      </c>
      <c r="B3223" t="s">
        <v>683</v>
      </c>
      <c r="C3223" t="s">
        <v>104</v>
      </c>
      <c r="D3223">
        <v>5</v>
      </c>
      <c r="E3223" t="s">
        <v>331</v>
      </c>
      <c r="F3223" t="s">
        <v>622</v>
      </c>
      <c r="G3223">
        <v>12</v>
      </c>
      <c r="H3223">
        <v>10</v>
      </c>
      <c r="I3223">
        <v>0</v>
      </c>
      <c r="J3223">
        <v>1</v>
      </c>
      <c r="K3223" s="9">
        <v>4.7179487179487181</v>
      </c>
    </row>
    <row r="3224" spans="1:11" x14ac:dyDescent="0.45">
      <c r="A3224" t="s">
        <v>282</v>
      </c>
      <c r="B3224" t="s">
        <v>683</v>
      </c>
      <c r="C3224" t="s">
        <v>104</v>
      </c>
      <c r="D3224">
        <v>6</v>
      </c>
      <c r="E3224" t="s">
        <v>416</v>
      </c>
      <c r="F3224" t="s">
        <v>622</v>
      </c>
      <c r="G3224">
        <v>36</v>
      </c>
      <c r="H3224">
        <v>21</v>
      </c>
      <c r="I3224">
        <v>2</v>
      </c>
      <c r="J3224">
        <v>3</v>
      </c>
      <c r="K3224" s="9">
        <v>4.3770491803278686</v>
      </c>
    </row>
    <row r="3225" spans="1:11" x14ac:dyDescent="0.45">
      <c r="A3225" t="s">
        <v>282</v>
      </c>
      <c r="B3225" t="s">
        <v>683</v>
      </c>
      <c r="C3225" t="s">
        <v>104</v>
      </c>
      <c r="D3225">
        <v>7</v>
      </c>
      <c r="E3225" t="s">
        <v>521</v>
      </c>
      <c r="F3225" t="s">
        <v>622</v>
      </c>
      <c r="G3225">
        <v>18</v>
      </c>
      <c r="H3225">
        <v>7</v>
      </c>
      <c r="I3225">
        <v>1</v>
      </c>
      <c r="J3225">
        <v>2</v>
      </c>
      <c r="K3225" s="9">
        <v>4.927835051546392</v>
      </c>
    </row>
    <row r="3226" spans="1:11" x14ac:dyDescent="0.45">
      <c r="A3226" t="s">
        <v>282</v>
      </c>
      <c r="B3226" t="s">
        <v>683</v>
      </c>
      <c r="C3226" t="s">
        <v>104</v>
      </c>
      <c r="D3226">
        <v>8</v>
      </c>
      <c r="E3226" t="s">
        <v>516</v>
      </c>
      <c r="F3226" t="s">
        <v>623</v>
      </c>
      <c r="G3226">
        <v>6</v>
      </c>
      <c r="H3226">
        <v>1</v>
      </c>
      <c r="I3226">
        <v>0</v>
      </c>
      <c r="J3226">
        <v>1</v>
      </c>
      <c r="K3226" s="9">
        <v>6.5693779904306222</v>
      </c>
    </row>
    <row r="3227" spans="1:11" x14ac:dyDescent="0.45">
      <c r="A3227" t="s">
        <v>282</v>
      </c>
      <c r="B3227" t="s">
        <v>683</v>
      </c>
      <c r="C3227" t="s">
        <v>10</v>
      </c>
      <c r="D3227">
        <v>1</v>
      </c>
      <c r="E3227" t="s">
        <v>329</v>
      </c>
      <c r="F3227" t="s">
        <v>622</v>
      </c>
      <c r="G3227">
        <v>12</v>
      </c>
      <c r="H3227">
        <v>9</v>
      </c>
      <c r="I3227">
        <v>2</v>
      </c>
      <c r="J3227">
        <v>0</v>
      </c>
      <c r="K3227" s="9">
        <v>4.924050632911392</v>
      </c>
    </row>
    <row r="3228" spans="1:11" x14ac:dyDescent="0.45">
      <c r="A3228" t="s">
        <v>282</v>
      </c>
      <c r="B3228" t="s">
        <v>683</v>
      </c>
      <c r="C3228" t="s">
        <v>10</v>
      </c>
      <c r="D3228">
        <v>2</v>
      </c>
      <c r="E3228" t="s">
        <v>442</v>
      </c>
      <c r="F3228" t="s">
        <v>622</v>
      </c>
      <c r="G3228">
        <v>56</v>
      </c>
      <c r="H3228">
        <v>48</v>
      </c>
      <c r="I3228">
        <v>7</v>
      </c>
      <c r="J3228">
        <v>0</v>
      </c>
      <c r="K3228" s="9">
        <v>3.2105263157894739</v>
      </c>
    </row>
    <row r="3229" spans="1:11" x14ac:dyDescent="0.45">
      <c r="A3229" t="s">
        <v>282</v>
      </c>
      <c r="B3229" t="s">
        <v>683</v>
      </c>
      <c r="C3229" t="s">
        <v>10</v>
      </c>
      <c r="D3229">
        <v>3</v>
      </c>
      <c r="E3229" t="s">
        <v>498</v>
      </c>
      <c r="F3229" t="s">
        <v>622</v>
      </c>
      <c r="G3229">
        <v>0</v>
      </c>
      <c r="H3229">
        <v>1</v>
      </c>
      <c r="I3229">
        <v>0</v>
      </c>
      <c r="J3229">
        <v>0</v>
      </c>
      <c r="K3229" s="9">
        <v>6.5693779904306222</v>
      </c>
    </row>
    <row r="3230" spans="1:11" x14ac:dyDescent="0.45">
      <c r="A3230" t="s">
        <v>282</v>
      </c>
      <c r="B3230" t="s">
        <v>683</v>
      </c>
      <c r="C3230" t="s">
        <v>10</v>
      </c>
      <c r="D3230">
        <v>4</v>
      </c>
      <c r="E3230" t="s">
        <v>399</v>
      </c>
      <c r="F3230" t="s">
        <v>622</v>
      </c>
      <c r="G3230">
        <v>4</v>
      </c>
      <c r="H3230">
        <v>9</v>
      </c>
      <c r="I3230">
        <v>1</v>
      </c>
      <c r="J3230">
        <v>0</v>
      </c>
      <c r="K3230" s="9">
        <v>4.924050632911392</v>
      </c>
    </row>
    <row r="3231" spans="1:11" x14ac:dyDescent="0.45">
      <c r="A3231" t="s">
        <v>282</v>
      </c>
      <c r="B3231" t="s">
        <v>683</v>
      </c>
      <c r="C3231" t="s">
        <v>10</v>
      </c>
      <c r="D3231">
        <v>5</v>
      </c>
      <c r="E3231" t="s">
        <v>581</v>
      </c>
      <c r="F3231" t="s">
        <v>622</v>
      </c>
      <c r="G3231">
        <v>30</v>
      </c>
      <c r="H3231">
        <v>20</v>
      </c>
      <c r="I3231">
        <v>3</v>
      </c>
      <c r="J3231">
        <v>1</v>
      </c>
      <c r="K3231" s="9">
        <v>4.9473684210526319</v>
      </c>
    </row>
    <row r="3232" spans="1:11" x14ac:dyDescent="0.45">
      <c r="A3232" t="s">
        <v>282</v>
      </c>
      <c r="B3232" t="s">
        <v>683</v>
      </c>
      <c r="C3232" t="s">
        <v>10</v>
      </c>
      <c r="D3232">
        <v>6</v>
      </c>
      <c r="E3232" t="s">
        <v>499</v>
      </c>
      <c r="F3232" t="s">
        <v>622</v>
      </c>
      <c r="G3232">
        <v>1</v>
      </c>
      <c r="H3232">
        <v>3</v>
      </c>
      <c r="I3232">
        <v>0</v>
      </c>
      <c r="J3232">
        <v>0</v>
      </c>
      <c r="K3232" s="9">
        <v>5.6607142857142856</v>
      </c>
    </row>
    <row r="3233" spans="1:11" x14ac:dyDescent="0.45">
      <c r="A3233" t="s">
        <v>282</v>
      </c>
      <c r="B3233" t="s">
        <v>683</v>
      </c>
      <c r="C3233" t="s">
        <v>10</v>
      </c>
      <c r="D3233">
        <v>7</v>
      </c>
      <c r="E3233" t="s">
        <v>545</v>
      </c>
      <c r="F3233" t="s">
        <v>622</v>
      </c>
      <c r="G3233">
        <v>4</v>
      </c>
      <c r="H3233">
        <v>5</v>
      </c>
      <c r="I3233">
        <v>0</v>
      </c>
      <c r="J3233">
        <v>0</v>
      </c>
      <c r="K3233" s="9">
        <v>5.132075471698113</v>
      </c>
    </row>
    <row r="3234" spans="1:11" x14ac:dyDescent="0.45">
      <c r="A3234" t="s">
        <v>282</v>
      </c>
      <c r="B3234" t="s">
        <v>683</v>
      </c>
      <c r="C3234" t="s">
        <v>10</v>
      </c>
      <c r="D3234">
        <v>8</v>
      </c>
      <c r="E3234" t="s">
        <v>337</v>
      </c>
      <c r="F3234" t="s">
        <v>622</v>
      </c>
      <c r="G3234">
        <v>16</v>
      </c>
      <c r="H3234">
        <v>11</v>
      </c>
      <c r="I3234">
        <v>1</v>
      </c>
      <c r="J3234">
        <v>1</v>
      </c>
      <c r="K3234" s="9">
        <v>4.9649122807017543</v>
      </c>
    </row>
    <row r="3235" spans="1:11" x14ac:dyDescent="0.45">
      <c r="A3235" t="s">
        <v>282</v>
      </c>
      <c r="B3235" t="s">
        <v>683</v>
      </c>
      <c r="C3235" t="s">
        <v>10</v>
      </c>
      <c r="D3235">
        <v>9</v>
      </c>
      <c r="E3235" t="s">
        <v>500</v>
      </c>
      <c r="F3235" t="s">
        <v>623</v>
      </c>
      <c r="G3235">
        <v>6</v>
      </c>
      <c r="H3235">
        <v>10</v>
      </c>
      <c r="I3235">
        <v>0</v>
      </c>
      <c r="J3235">
        <v>0</v>
      </c>
      <c r="K3235" s="9">
        <v>4.7179487179487181</v>
      </c>
    </row>
    <row r="3236" spans="1:11" x14ac:dyDescent="0.45">
      <c r="A3236" t="s">
        <v>282</v>
      </c>
      <c r="B3236" t="s">
        <v>683</v>
      </c>
      <c r="C3236" t="s">
        <v>10</v>
      </c>
      <c r="D3236">
        <v>10</v>
      </c>
      <c r="E3236" t="s">
        <v>394</v>
      </c>
      <c r="F3236" t="s">
        <v>622</v>
      </c>
      <c r="G3236">
        <v>4</v>
      </c>
      <c r="H3236">
        <v>4</v>
      </c>
      <c r="I3236">
        <v>1</v>
      </c>
      <c r="J3236">
        <v>0</v>
      </c>
      <c r="K3236" s="9">
        <v>5.352380952380952</v>
      </c>
    </row>
    <row r="3237" spans="1:11" x14ac:dyDescent="0.45">
      <c r="A3237" t="s">
        <v>282</v>
      </c>
      <c r="B3237" t="s">
        <v>683</v>
      </c>
      <c r="C3237" t="s">
        <v>10</v>
      </c>
      <c r="D3237">
        <v>11</v>
      </c>
      <c r="E3237" t="s">
        <v>587</v>
      </c>
      <c r="F3237" t="s">
        <v>623</v>
      </c>
      <c r="G3237">
        <v>0</v>
      </c>
      <c r="H3237">
        <v>1</v>
      </c>
      <c r="I3237">
        <v>0</v>
      </c>
      <c r="J3237">
        <v>0</v>
      </c>
      <c r="K3237" s="9">
        <v>6.5693779904306222</v>
      </c>
    </row>
    <row r="3238" spans="1:11" x14ac:dyDescent="0.45">
      <c r="A3238" t="s">
        <v>283</v>
      </c>
      <c r="B3238" t="s">
        <v>656</v>
      </c>
      <c r="C3238" t="s">
        <v>26</v>
      </c>
      <c r="D3238">
        <v>1</v>
      </c>
      <c r="E3238" t="s">
        <v>454</v>
      </c>
      <c r="F3238" t="s">
        <v>622</v>
      </c>
      <c r="G3238">
        <v>23</v>
      </c>
      <c r="H3238">
        <v>12</v>
      </c>
      <c r="I3238">
        <v>2</v>
      </c>
      <c r="J3238">
        <v>2</v>
      </c>
      <c r="K3238" s="9">
        <v>4.8024691358024691</v>
      </c>
    </row>
    <row r="3239" spans="1:11" x14ac:dyDescent="0.45">
      <c r="A3239" t="s">
        <v>283</v>
      </c>
      <c r="B3239" t="s">
        <v>656</v>
      </c>
      <c r="C3239" t="s">
        <v>26</v>
      </c>
      <c r="D3239">
        <v>2</v>
      </c>
      <c r="E3239" t="s">
        <v>330</v>
      </c>
      <c r="F3239" t="s">
        <v>622</v>
      </c>
      <c r="G3239">
        <v>40</v>
      </c>
      <c r="H3239">
        <v>29</v>
      </c>
      <c r="I3239">
        <v>6</v>
      </c>
      <c r="J3239">
        <v>0</v>
      </c>
      <c r="K3239" s="9">
        <v>4.0454545454545459</v>
      </c>
    </row>
    <row r="3240" spans="1:11" x14ac:dyDescent="0.45">
      <c r="A3240" t="s">
        <v>283</v>
      </c>
      <c r="B3240" t="s">
        <v>656</v>
      </c>
      <c r="C3240" t="s">
        <v>26</v>
      </c>
      <c r="D3240">
        <v>3</v>
      </c>
      <c r="E3240" t="s">
        <v>519</v>
      </c>
      <c r="F3240" t="s">
        <v>622</v>
      </c>
      <c r="G3240">
        <v>50</v>
      </c>
      <c r="H3240">
        <v>32</v>
      </c>
      <c r="I3240">
        <v>5</v>
      </c>
      <c r="J3240">
        <v>2</v>
      </c>
      <c r="K3240" s="9">
        <v>3.9375</v>
      </c>
    </row>
    <row r="3241" spans="1:11" x14ac:dyDescent="0.45">
      <c r="A3241" t="s">
        <v>283</v>
      </c>
      <c r="B3241" t="s">
        <v>656</v>
      </c>
      <c r="C3241" t="s">
        <v>26</v>
      </c>
      <c r="D3241">
        <v>4</v>
      </c>
      <c r="E3241" t="s">
        <v>495</v>
      </c>
      <c r="F3241" t="s">
        <v>622</v>
      </c>
      <c r="G3241">
        <v>21</v>
      </c>
      <c r="H3241">
        <v>11</v>
      </c>
      <c r="I3241">
        <v>1</v>
      </c>
      <c r="J3241">
        <v>2</v>
      </c>
      <c r="K3241" s="9">
        <v>4.9649122807017543</v>
      </c>
    </row>
    <row r="3242" spans="1:11" x14ac:dyDescent="0.45">
      <c r="A3242" t="s">
        <v>283</v>
      </c>
      <c r="B3242" t="s">
        <v>656</v>
      </c>
      <c r="C3242" t="s">
        <v>26</v>
      </c>
      <c r="D3242">
        <v>5</v>
      </c>
      <c r="E3242" t="s">
        <v>590</v>
      </c>
      <c r="F3242" t="s">
        <v>622</v>
      </c>
      <c r="G3242">
        <v>16</v>
      </c>
      <c r="H3242">
        <v>13</v>
      </c>
      <c r="I3242">
        <v>1</v>
      </c>
      <c r="J3242">
        <v>1</v>
      </c>
      <c r="K3242" s="9">
        <v>4.8939393939393936</v>
      </c>
    </row>
    <row r="3243" spans="1:11" x14ac:dyDescent="0.45">
      <c r="A3243" t="s">
        <v>283</v>
      </c>
      <c r="B3243" t="s">
        <v>656</v>
      </c>
      <c r="C3243" t="s">
        <v>26</v>
      </c>
      <c r="D3243">
        <v>6</v>
      </c>
      <c r="E3243" t="s">
        <v>420</v>
      </c>
      <c r="F3243" t="s">
        <v>623</v>
      </c>
      <c r="G3243">
        <v>26</v>
      </c>
      <c r="H3243">
        <v>17</v>
      </c>
      <c r="I3243">
        <v>0</v>
      </c>
      <c r="J3243">
        <v>2</v>
      </c>
      <c r="K3243" s="9">
        <v>4.82</v>
      </c>
    </row>
    <row r="3244" spans="1:11" x14ac:dyDescent="0.45">
      <c r="A3244" t="s">
        <v>283</v>
      </c>
      <c r="B3244" t="s">
        <v>656</v>
      </c>
      <c r="C3244" t="s">
        <v>26</v>
      </c>
      <c r="D3244">
        <v>7</v>
      </c>
      <c r="E3244" t="s">
        <v>400</v>
      </c>
      <c r="F3244" t="s">
        <v>623</v>
      </c>
      <c r="G3244">
        <v>11</v>
      </c>
      <c r="H3244">
        <v>7</v>
      </c>
      <c r="I3244">
        <v>2</v>
      </c>
      <c r="J3244">
        <v>0</v>
      </c>
      <c r="K3244" s="9">
        <v>4.927835051546392</v>
      </c>
    </row>
    <row r="3245" spans="1:11" x14ac:dyDescent="0.45">
      <c r="A3245" t="s">
        <v>283</v>
      </c>
      <c r="B3245" t="s">
        <v>656</v>
      </c>
      <c r="C3245" t="s">
        <v>7</v>
      </c>
      <c r="D3245">
        <v>1</v>
      </c>
      <c r="E3245" t="s">
        <v>433</v>
      </c>
      <c r="F3245" t="s">
        <v>622</v>
      </c>
      <c r="G3245">
        <v>2</v>
      </c>
      <c r="H3245">
        <v>4</v>
      </c>
      <c r="I3245">
        <v>0</v>
      </c>
      <c r="J3245">
        <v>0</v>
      </c>
      <c r="K3245" s="9">
        <v>5.352380952380952</v>
      </c>
    </row>
    <row r="3246" spans="1:11" x14ac:dyDescent="0.45">
      <c r="A3246" t="s">
        <v>283</v>
      </c>
      <c r="B3246" t="s">
        <v>656</v>
      </c>
      <c r="C3246" t="s">
        <v>7</v>
      </c>
      <c r="D3246">
        <v>2</v>
      </c>
      <c r="E3246" t="s">
        <v>578</v>
      </c>
      <c r="F3246" t="s">
        <v>622</v>
      </c>
      <c r="G3246">
        <v>22</v>
      </c>
      <c r="H3246">
        <v>16</v>
      </c>
      <c r="I3246">
        <v>3</v>
      </c>
      <c r="J3246">
        <v>1</v>
      </c>
      <c r="K3246" s="9">
        <v>4.7608695652173916</v>
      </c>
    </row>
    <row r="3247" spans="1:11" x14ac:dyDescent="0.45">
      <c r="A3247" t="s">
        <v>283</v>
      </c>
      <c r="B3247" t="s">
        <v>656</v>
      </c>
      <c r="C3247" t="s">
        <v>7</v>
      </c>
      <c r="D3247">
        <v>3</v>
      </c>
      <c r="E3247" t="s">
        <v>532</v>
      </c>
      <c r="F3247" t="s">
        <v>622</v>
      </c>
      <c r="G3247">
        <v>4</v>
      </c>
      <c r="H3247">
        <v>5</v>
      </c>
      <c r="I3247">
        <v>1</v>
      </c>
      <c r="J3247">
        <v>0</v>
      </c>
      <c r="K3247" s="9">
        <v>5.132075471698113</v>
      </c>
    </row>
    <row r="3248" spans="1:11" x14ac:dyDescent="0.45">
      <c r="A3248" t="s">
        <v>283</v>
      </c>
      <c r="B3248" t="s">
        <v>656</v>
      </c>
      <c r="C3248" t="s">
        <v>7</v>
      </c>
      <c r="D3248">
        <v>4</v>
      </c>
      <c r="E3248" t="s">
        <v>304</v>
      </c>
      <c r="F3248" t="s">
        <v>622</v>
      </c>
      <c r="G3248">
        <v>34</v>
      </c>
      <c r="H3248">
        <v>28</v>
      </c>
      <c r="I3248">
        <v>3</v>
      </c>
      <c r="J3248">
        <v>1</v>
      </c>
      <c r="K3248" s="9">
        <v>3.806451612903226</v>
      </c>
    </row>
    <row r="3249" spans="1:11" x14ac:dyDescent="0.45">
      <c r="A3249" t="s">
        <v>283</v>
      </c>
      <c r="B3249" t="s">
        <v>656</v>
      </c>
      <c r="C3249" t="s">
        <v>7</v>
      </c>
      <c r="D3249">
        <v>5</v>
      </c>
      <c r="E3249" t="s">
        <v>306</v>
      </c>
      <c r="F3249" t="s">
        <v>622</v>
      </c>
      <c r="G3249">
        <v>24</v>
      </c>
      <c r="H3249">
        <v>17</v>
      </c>
      <c r="I3249">
        <v>3</v>
      </c>
      <c r="J3249">
        <v>1</v>
      </c>
      <c r="K3249" s="9">
        <v>4.82</v>
      </c>
    </row>
    <row r="3250" spans="1:11" x14ac:dyDescent="0.45">
      <c r="A3250" t="s">
        <v>283</v>
      </c>
      <c r="B3250" t="s">
        <v>656</v>
      </c>
      <c r="C3250" t="s">
        <v>7</v>
      </c>
      <c r="D3250">
        <v>6</v>
      </c>
      <c r="E3250" t="s">
        <v>514</v>
      </c>
      <c r="F3250" t="s">
        <v>622</v>
      </c>
      <c r="G3250">
        <v>4</v>
      </c>
      <c r="H3250">
        <v>4</v>
      </c>
      <c r="I3250">
        <v>0</v>
      </c>
      <c r="J3250">
        <v>0</v>
      </c>
      <c r="K3250" s="9">
        <v>5.352380952380952</v>
      </c>
    </row>
    <row r="3251" spans="1:11" x14ac:dyDescent="0.45">
      <c r="A3251" t="s">
        <v>283</v>
      </c>
      <c r="B3251" t="s">
        <v>656</v>
      </c>
      <c r="C3251" t="s">
        <v>7</v>
      </c>
      <c r="D3251">
        <v>7</v>
      </c>
      <c r="E3251" t="s">
        <v>440</v>
      </c>
      <c r="F3251" t="s">
        <v>622</v>
      </c>
      <c r="G3251">
        <v>35</v>
      </c>
      <c r="H3251">
        <v>19</v>
      </c>
      <c r="I3251">
        <v>3</v>
      </c>
      <c r="J3251">
        <v>2</v>
      </c>
      <c r="K3251" s="9">
        <v>4.5660377358490569</v>
      </c>
    </row>
    <row r="3252" spans="1:11" x14ac:dyDescent="0.45">
      <c r="A3252" t="s">
        <v>283</v>
      </c>
      <c r="B3252" t="s">
        <v>656</v>
      </c>
      <c r="C3252" t="s">
        <v>7</v>
      </c>
      <c r="D3252">
        <v>8</v>
      </c>
      <c r="E3252" t="s">
        <v>326</v>
      </c>
      <c r="F3252" t="s">
        <v>623</v>
      </c>
      <c r="G3252">
        <v>8</v>
      </c>
      <c r="H3252">
        <v>3</v>
      </c>
      <c r="I3252">
        <v>0</v>
      </c>
      <c r="J3252">
        <v>1</v>
      </c>
      <c r="K3252" s="9">
        <v>5.6607142857142856</v>
      </c>
    </row>
    <row r="3253" spans="1:11" x14ac:dyDescent="0.45">
      <c r="A3253" t="s">
        <v>283</v>
      </c>
      <c r="B3253" t="s">
        <v>656</v>
      </c>
      <c r="C3253" t="s">
        <v>7</v>
      </c>
      <c r="D3253">
        <v>9</v>
      </c>
      <c r="E3253" t="s">
        <v>308</v>
      </c>
      <c r="F3253" t="s">
        <v>623</v>
      </c>
      <c r="G3253">
        <v>7</v>
      </c>
      <c r="H3253">
        <v>2</v>
      </c>
      <c r="I3253">
        <v>0</v>
      </c>
      <c r="J3253">
        <v>1</v>
      </c>
      <c r="K3253" s="9">
        <v>6.1385542168674698</v>
      </c>
    </row>
    <row r="3254" spans="1:11" x14ac:dyDescent="0.45">
      <c r="A3254" t="s">
        <v>284</v>
      </c>
      <c r="B3254" t="s">
        <v>674</v>
      </c>
      <c r="C3254" t="s">
        <v>6</v>
      </c>
      <c r="D3254">
        <v>1</v>
      </c>
      <c r="E3254" t="s">
        <v>505</v>
      </c>
      <c r="F3254" t="s">
        <v>622</v>
      </c>
      <c r="G3254">
        <v>1</v>
      </c>
      <c r="H3254">
        <v>6</v>
      </c>
      <c r="I3254">
        <v>0</v>
      </c>
      <c r="J3254">
        <v>0</v>
      </c>
      <c r="K3254" s="9">
        <v>5.4565217391304346</v>
      </c>
    </row>
    <row r="3255" spans="1:11" x14ac:dyDescent="0.45">
      <c r="A3255" t="s">
        <v>284</v>
      </c>
      <c r="B3255" t="s">
        <v>674</v>
      </c>
      <c r="C3255" t="s">
        <v>6</v>
      </c>
      <c r="D3255">
        <v>2</v>
      </c>
      <c r="E3255" t="s">
        <v>290</v>
      </c>
      <c r="F3255" t="s">
        <v>622</v>
      </c>
      <c r="G3255">
        <v>92</v>
      </c>
      <c r="H3255">
        <v>50</v>
      </c>
      <c r="I3255">
        <v>4</v>
      </c>
      <c r="J3255">
        <v>9</v>
      </c>
      <c r="K3255" s="9">
        <v>2.9047619047619047</v>
      </c>
    </row>
    <row r="3256" spans="1:11" x14ac:dyDescent="0.45">
      <c r="A3256" t="s">
        <v>284</v>
      </c>
      <c r="B3256" t="s">
        <v>674</v>
      </c>
      <c r="C3256" t="s">
        <v>6</v>
      </c>
      <c r="D3256">
        <v>3</v>
      </c>
      <c r="E3256" t="s">
        <v>299</v>
      </c>
      <c r="F3256" t="s">
        <v>622</v>
      </c>
      <c r="G3256">
        <v>23</v>
      </c>
      <c r="H3256">
        <v>17</v>
      </c>
      <c r="I3256">
        <v>4</v>
      </c>
      <c r="J3256">
        <v>1</v>
      </c>
      <c r="K3256" s="9">
        <v>4.82</v>
      </c>
    </row>
    <row r="3257" spans="1:11" x14ac:dyDescent="0.45">
      <c r="A3257" t="s">
        <v>284</v>
      </c>
      <c r="B3257" t="s">
        <v>674</v>
      </c>
      <c r="C3257" t="s">
        <v>6</v>
      </c>
      <c r="D3257">
        <v>4</v>
      </c>
      <c r="E3257" t="s">
        <v>485</v>
      </c>
      <c r="F3257" t="s">
        <v>622</v>
      </c>
      <c r="G3257">
        <v>7</v>
      </c>
      <c r="H3257">
        <v>6</v>
      </c>
      <c r="I3257">
        <v>1</v>
      </c>
      <c r="J3257">
        <v>0</v>
      </c>
      <c r="K3257" s="9">
        <v>5.4565217391304346</v>
      </c>
    </row>
    <row r="3258" spans="1:11" x14ac:dyDescent="0.45">
      <c r="A3258" t="s">
        <v>284</v>
      </c>
      <c r="B3258" t="s">
        <v>674</v>
      </c>
      <c r="C3258" t="s">
        <v>6</v>
      </c>
      <c r="D3258">
        <v>5</v>
      </c>
      <c r="E3258" t="s">
        <v>355</v>
      </c>
      <c r="F3258" t="s">
        <v>622</v>
      </c>
      <c r="G3258">
        <v>12</v>
      </c>
      <c r="H3258">
        <v>12</v>
      </c>
      <c r="I3258">
        <v>0</v>
      </c>
      <c r="J3258">
        <v>1</v>
      </c>
      <c r="K3258" s="9">
        <v>4.8024691358024691</v>
      </c>
    </row>
    <row r="3259" spans="1:11" x14ac:dyDescent="0.45">
      <c r="A3259" t="s">
        <v>284</v>
      </c>
      <c r="B3259" t="s">
        <v>674</v>
      </c>
      <c r="C3259" t="s">
        <v>6</v>
      </c>
      <c r="D3259">
        <v>6</v>
      </c>
      <c r="E3259" t="s">
        <v>387</v>
      </c>
      <c r="F3259" t="s">
        <v>622</v>
      </c>
      <c r="G3259">
        <v>19</v>
      </c>
      <c r="H3259">
        <v>18</v>
      </c>
      <c r="I3259">
        <v>0</v>
      </c>
      <c r="J3259">
        <v>1</v>
      </c>
      <c r="K3259" s="9">
        <v>4.375</v>
      </c>
    </row>
    <row r="3260" spans="1:11" x14ac:dyDescent="0.45">
      <c r="A3260" t="s">
        <v>284</v>
      </c>
      <c r="B3260" t="s">
        <v>674</v>
      </c>
      <c r="C3260" t="s">
        <v>6</v>
      </c>
      <c r="D3260">
        <v>7</v>
      </c>
      <c r="E3260" t="s">
        <v>328</v>
      </c>
      <c r="F3260" t="s">
        <v>622</v>
      </c>
      <c r="G3260">
        <v>1</v>
      </c>
      <c r="H3260">
        <v>2</v>
      </c>
      <c r="I3260">
        <v>0</v>
      </c>
      <c r="J3260">
        <v>0</v>
      </c>
      <c r="K3260" s="9">
        <v>6.1385542168674698</v>
      </c>
    </row>
    <row r="3261" spans="1:11" x14ac:dyDescent="0.45">
      <c r="A3261" t="s">
        <v>284</v>
      </c>
      <c r="B3261" t="s">
        <v>674</v>
      </c>
      <c r="C3261" t="s">
        <v>6</v>
      </c>
      <c r="D3261">
        <v>8</v>
      </c>
      <c r="E3261" t="s">
        <v>356</v>
      </c>
      <c r="F3261" t="s">
        <v>623</v>
      </c>
      <c r="G3261">
        <v>14</v>
      </c>
      <c r="H3261">
        <v>7</v>
      </c>
      <c r="I3261">
        <v>1</v>
      </c>
      <c r="J3261">
        <v>1</v>
      </c>
      <c r="K3261" s="9">
        <v>4.927835051546392</v>
      </c>
    </row>
    <row r="3262" spans="1:11" x14ac:dyDescent="0.45">
      <c r="A3262" t="s">
        <v>284</v>
      </c>
      <c r="B3262" t="s">
        <v>674</v>
      </c>
      <c r="C3262" t="s">
        <v>6</v>
      </c>
      <c r="D3262">
        <v>9</v>
      </c>
      <c r="E3262" t="s">
        <v>507</v>
      </c>
      <c r="F3262" t="s">
        <v>623</v>
      </c>
      <c r="G3262">
        <v>1</v>
      </c>
      <c r="H3262">
        <v>3</v>
      </c>
      <c r="I3262">
        <v>0</v>
      </c>
      <c r="J3262">
        <v>0</v>
      </c>
      <c r="K3262" s="9">
        <v>5.6607142857142856</v>
      </c>
    </row>
    <row r="3263" spans="1:11" x14ac:dyDescent="0.45">
      <c r="A3263" t="s">
        <v>284</v>
      </c>
      <c r="B3263" t="s">
        <v>674</v>
      </c>
      <c r="C3263" t="s">
        <v>101</v>
      </c>
      <c r="D3263">
        <v>1</v>
      </c>
      <c r="E3263" t="s">
        <v>380</v>
      </c>
      <c r="F3263" t="s">
        <v>622</v>
      </c>
      <c r="G3263">
        <v>25</v>
      </c>
      <c r="H3263">
        <v>16</v>
      </c>
      <c r="I3263">
        <v>2</v>
      </c>
      <c r="J3263">
        <v>2</v>
      </c>
      <c r="K3263" s="9">
        <v>4.7608695652173916</v>
      </c>
    </row>
    <row r="3264" spans="1:11" x14ac:dyDescent="0.45">
      <c r="A3264" t="s">
        <v>284</v>
      </c>
      <c r="B3264" t="s">
        <v>674</v>
      </c>
      <c r="C3264" t="s">
        <v>101</v>
      </c>
      <c r="D3264">
        <v>2</v>
      </c>
      <c r="E3264" t="s">
        <v>302</v>
      </c>
      <c r="F3264" t="s">
        <v>622</v>
      </c>
      <c r="G3264">
        <v>63</v>
      </c>
      <c r="H3264">
        <v>36</v>
      </c>
      <c r="I3264">
        <v>6</v>
      </c>
      <c r="J3264">
        <v>3</v>
      </c>
      <c r="K3264" s="9">
        <v>4.083333333333333</v>
      </c>
    </row>
    <row r="3265" spans="1:11" x14ac:dyDescent="0.45">
      <c r="A3265" t="s">
        <v>284</v>
      </c>
      <c r="B3265" t="s">
        <v>674</v>
      </c>
      <c r="C3265" t="s">
        <v>101</v>
      </c>
      <c r="D3265">
        <v>3</v>
      </c>
      <c r="E3265" t="s">
        <v>534</v>
      </c>
      <c r="F3265" t="s">
        <v>622</v>
      </c>
      <c r="G3265">
        <v>22</v>
      </c>
      <c r="H3265">
        <v>17</v>
      </c>
      <c r="I3265">
        <v>3</v>
      </c>
      <c r="J3265">
        <v>0</v>
      </c>
      <c r="K3265" s="9">
        <v>4.82</v>
      </c>
    </row>
    <row r="3266" spans="1:11" x14ac:dyDescent="0.45">
      <c r="A3266" t="s">
        <v>284</v>
      </c>
      <c r="B3266" t="s">
        <v>674</v>
      </c>
      <c r="C3266" t="s">
        <v>101</v>
      </c>
      <c r="D3266">
        <v>4</v>
      </c>
      <c r="E3266" t="s">
        <v>361</v>
      </c>
      <c r="F3266" t="s">
        <v>622</v>
      </c>
      <c r="G3266">
        <v>8</v>
      </c>
      <c r="H3266">
        <v>11</v>
      </c>
      <c r="I3266">
        <v>0</v>
      </c>
      <c r="J3266">
        <v>0</v>
      </c>
      <c r="K3266" s="9">
        <v>4.9649122807017543</v>
      </c>
    </row>
    <row r="3267" spans="1:11" x14ac:dyDescent="0.45">
      <c r="A3267" t="s">
        <v>284</v>
      </c>
      <c r="B3267" t="s">
        <v>674</v>
      </c>
      <c r="C3267" t="s">
        <v>101</v>
      </c>
      <c r="D3267">
        <v>5</v>
      </c>
      <c r="E3267" t="s">
        <v>460</v>
      </c>
      <c r="F3267" t="s">
        <v>622</v>
      </c>
      <c r="G3267">
        <v>27</v>
      </c>
      <c r="H3267">
        <v>21</v>
      </c>
      <c r="I3267">
        <v>2</v>
      </c>
      <c r="J3267">
        <v>1</v>
      </c>
      <c r="K3267" s="9">
        <v>4.3770491803278686</v>
      </c>
    </row>
    <row r="3268" spans="1:11" x14ac:dyDescent="0.45">
      <c r="A3268" t="s">
        <v>284</v>
      </c>
      <c r="B3268" t="s">
        <v>674</v>
      </c>
      <c r="C3268" t="s">
        <v>101</v>
      </c>
      <c r="D3268">
        <v>6</v>
      </c>
      <c r="E3268" t="s">
        <v>390</v>
      </c>
      <c r="F3268" t="s">
        <v>623</v>
      </c>
      <c r="G3268">
        <v>15</v>
      </c>
      <c r="H3268">
        <v>14</v>
      </c>
      <c r="I3268">
        <v>1</v>
      </c>
      <c r="J3268">
        <v>1</v>
      </c>
      <c r="K3268" s="9">
        <v>4.8461538461538458</v>
      </c>
    </row>
    <row r="3269" spans="1:11" x14ac:dyDescent="0.45">
      <c r="A3269" t="s">
        <v>284</v>
      </c>
      <c r="B3269" t="s">
        <v>674</v>
      </c>
      <c r="C3269" t="s">
        <v>101</v>
      </c>
      <c r="D3269">
        <v>7</v>
      </c>
      <c r="E3269" t="s">
        <v>379</v>
      </c>
      <c r="F3269" t="s">
        <v>623</v>
      </c>
      <c r="G3269">
        <v>10</v>
      </c>
      <c r="H3269">
        <v>3</v>
      </c>
      <c r="I3269">
        <v>1</v>
      </c>
      <c r="J3269">
        <v>1</v>
      </c>
      <c r="K3269" s="9">
        <v>5.6607142857142856</v>
      </c>
    </row>
  </sheetData>
  <autoFilter ref="A1:K3269" xr:uid="{235B4B34-831D-479A-A1E6-A2720B1B88F1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BEEEF-C8B8-409C-ACD8-9CA5AA0B648B}">
  <dimension ref="A1:N2437"/>
  <sheetViews>
    <sheetView topLeftCell="D1" workbookViewId="0">
      <selection activeCell="P9" sqref="P9"/>
    </sheetView>
  </sheetViews>
  <sheetFormatPr defaultRowHeight="14.25" x14ac:dyDescent="0.45"/>
  <cols>
    <col min="2" max="2" width="18.73046875" customWidth="1"/>
    <col min="3" max="3" width="20.1328125" customWidth="1"/>
    <col min="4" max="4" width="21.86328125" customWidth="1"/>
  </cols>
  <sheetData>
    <row r="1" spans="1:14" x14ac:dyDescent="0.45">
      <c r="A1" s="7" t="s">
        <v>5</v>
      </c>
      <c r="B1" s="7" t="s">
        <v>612</v>
      </c>
      <c r="C1" s="7" t="s">
        <v>707</v>
      </c>
      <c r="D1" s="7" t="s">
        <v>708</v>
      </c>
      <c r="E1" s="7" t="s">
        <v>709</v>
      </c>
      <c r="F1" s="7" t="s">
        <v>710</v>
      </c>
      <c r="G1" s="7" t="s">
        <v>617</v>
      </c>
      <c r="H1" s="7" t="s">
        <v>711</v>
      </c>
      <c r="I1" s="7" t="s">
        <v>712</v>
      </c>
      <c r="J1" s="7" t="s">
        <v>713</v>
      </c>
      <c r="K1" s="7" t="s">
        <v>619</v>
      </c>
      <c r="L1" s="7" t="s">
        <v>620</v>
      </c>
      <c r="M1" s="7" t="s">
        <v>714</v>
      </c>
      <c r="N1" s="7" t="s">
        <v>715</v>
      </c>
    </row>
    <row r="2" spans="1:14" x14ac:dyDescent="0.45">
      <c r="A2" t="s">
        <v>9</v>
      </c>
      <c r="B2" t="s">
        <v>621</v>
      </c>
      <c r="C2" t="s">
        <v>7</v>
      </c>
      <c r="D2" t="s">
        <v>313</v>
      </c>
      <c r="E2">
        <v>3</v>
      </c>
      <c r="F2">
        <v>0</v>
      </c>
      <c r="G2">
        <v>33</v>
      </c>
      <c r="H2">
        <v>0</v>
      </c>
      <c r="I2">
        <v>11</v>
      </c>
      <c r="J2">
        <v>6</v>
      </c>
      <c r="K2">
        <v>2</v>
      </c>
      <c r="L2">
        <v>3</v>
      </c>
      <c r="M2">
        <v>0</v>
      </c>
      <c r="N2">
        <v>0</v>
      </c>
    </row>
    <row r="3" spans="1:14" x14ac:dyDescent="0.45">
      <c r="A3" t="s">
        <v>9</v>
      </c>
      <c r="B3" t="s">
        <v>621</v>
      </c>
      <c r="C3" t="s">
        <v>7</v>
      </c>
      <c r="D3" t="s">
        <v>320</v>
      </c>
      <c r="E3">
        <v>4</v>
      </c>
      <c r="F3">
        <v>0</v>
      </c>
      <c r="G3">
        <v>32</v>
      </c>
      <c r="H3">
        <v>1</v>
      </c>
      <c r="I3">
        <v>8</v>
      </c>
      <c r="J3">
        <v>8</v>
      </c>
      <c r="K3">
        <v>1</v>
      </c>
      <c r="L3">
        <v>2</v>
      </c>
      <c r="M3">
        <v>0</v>
      </c>
      <c r="N3">
        <v>0</v>
      </c>
    </row>
    <row r="4" spans="1:14" x14ac:dyDescent="0.45">
      <c r="A4" t="s">
        <v>9</v>
      </c>
      <c r="B4" t="s">
        <v>621</v>
      </c>
      <c r="C4" t="s">
        <v>7</v>
      </c>
      <c r="D4" t="s">
        <v>317</v>
      </c>
      <c r="E4">
        <v>4</v>
      </c>
      <c r="F4">
        <v>0</v>
      </c>
      <c r="G4">
        <v>56</v>
      </c>
      <c r="H4">
        <v>0</v>
      </c>
      <c r="I4">
        <v>14</v>
      </c>
      <c r="J4">
        <v>4</v>
      </c>
      <c r="K4">
        <v>7</v>
      </c>
      <c r="L4">
        <v>2</v>
      </c>
      <c r="M4">
        <v>2</v>
      </c>
      <c r="N4">
        <v>0</v>
      </c>
    </row>
    <row r="5" spans="1:14" x14ac:dyDescent="0.45">
      <c r="A5" t="s">
        <v>9</v>
      </c>
      <c r="B5" t="s">
        <v>621</v>
      </c>
      <c r="C5" t="s">
        <v>7</v>
      </c>
      <c r="D5" t="s">
        <v>322</v>
      </c>
      <c r="E5">
        <v>4</v>
      </c>
      <c r="F5">
        <v>0</v>
      </c>
      <c r="G5">
        <v>38</v>
      </c>
      <c r="H5">
        <v>0</v>
      </c>
      <c r="I5">
        <v>9.5</v>
      </c>
      <c r="J5">
        <v>5</v>
      </c>
      <c r="K5">
        <v>2</v>
      </c>
      <c r="L5">
        <v>2</v>
      </c>
      <c r="M5">
        <v>0</v>
      </c>
      <c r="N5">
        <v>1</v>
      </c>
    </row>
    <row r="6" spans="1:14" x14ac:dyDescent="0.45">
      <c r="A6" t="s">
        <v>9</v>
      </c>
      <c r="B6" t="s">
        <v>621</v>
      </c>
      <c r="C6" t="s">
        <v>7</v>
      </c>
      <c r="D6" t="s">
        <v>308</v>
      </c>
      <c r="E6">
        <v>4</v>
      </c>
      <c r="F6">
        <v>0</v>
      </c>
      <c r="G6">
        <v>26</v>
      </c>
      <c r="H6">
        <v>2</v>
      </c>
      <c r="I6">
        <v>6.5</v>
      </c>
      <c r="J6">
        <v>6</v>
      </c>
      <c r="K6">
        <v>0</v>
      </c>
      <c r="L6">
        <v>1</v>
      </c>
      <c r="M6">
        <v>1</v>
      </c>
      <c r="N6">
        <v>0</v>
      </c>
    </row>
    <row r="7" spans="1:14" x14ac:dyDescent="0.45">
      <c r="A7" t="s">
        <v>9</v>
      </c>
      <c r="B7" t="s">
        <v>621</v>
      </c>
      <c r="C7" t="s">
        <v>7</v>
      </c>
      <c r="D7" t="s">
        <v>304</v>
      </c>
      <c r="E7">
        <v>1</v>
      </c>
      <c r="F7">
        <v>0</v>
      </c>
      <c r="G7">
        <v>5</v>
      </c>
      <c r="H7">
        <v>0</v>
      </c>
      <c r="I7">
        <v>5</v>
      </c>
      <c r="J7">
        <v>2</v>
      </c>
      <c r="K7">
        <v>0</v>
      </c>
      <c r="L7">
        <v>0</v>
      </c>
      <c r="M7">
        <v>0</v>
      </c>
      <c r="N7">
        <v>0</v>
      </c>
    </row>
    <row r="8" spans="1:14" x14ac:dyDescent="0.45">
      <c r="A8" t="s">
        <v>9</v>
      </c>
      <c r="B8" t="s">
        <v>621</v>
      </c>
      <c r="C8" t="s">
        <v>6</v>
      </c>
      <c r="D8" t="s">
        <v>324</v>
      </c>
      <c r="E8">
        <v>4</v>
      </c>
      <c r="F8">
        <v>0</v>
      </c>
      <c r="G8">
        <v>32</v>
      </c>
      <c r="H8">
        <v>1</v>
      </c>
      <c r="I8">
        <v>8</v>
      </c>
      <c r="J8">
        <v>10</v>
      </c>
      <c r="K8">
        <v>4</v>
      </c>
      <c r="L8">
        <v>1</v>
      </c>
      <c r="M8">
        <v>1</v>
      </c>
      <c r="N8">
        <v>0</v>
      </c>
    </row>
    <row r="9" spans="1:14" x14ac:dyDescent="0.45">
      <c r="A9" t="s">
        <v>9</v>
      </c>
      <c r="B9" t="s">
        <v>621</v>
      </c>
      <c r="C9" t="s">
        <v>6</v>
      </c>
      <c r="D9" t="s">
        <v>325</v>
      </c>
      <c r="E9">
        <v>4</v>
      </c>
      <c r="F9">
        <v>0</v>
      </c>
      <c r="G9">
        <v>29</v>
      </c>
      <c r="H9">
        <v>2</v>
      </c>
      <c r="I9">
        <v>7.25</v>
      </c>
      <c r="J9">
        <v>10</v>
      </c>
      <c r="K9">
        <v>2</v>
      </c>
      <c r="L9">
        <v>1</v>
      </c>
      <c r="M9">
        <v>2</v>
      </c>
      <c r="N9">
        <v>0</v>
      </c>
    </row>
    <row r="10" spans="1:14" x14ac:dyDescent="0.45">
      <c r="A10" t="s">
        <v>9</v>
      </c>
      <c r="B10" t="s">
        <v>621</v>
      </c>
      <c r="C10" t="s">
        <v>6</v>
      </c>
      <c r="D10" t="s">
        <v>326</v>
      </c>
      <c r="E10">
        <v>4</v>
      </c>
      <c r="F10">
        <v>0</v>
      </c>
      <c r="G10">
        <v>38</v>
      </c>
      <c r="H10">
        <v>3</v>
      </c>
      <c r="I10">
        <v>9.5</v>
      </c>
      <c r="J10">
        <v>11</v>
      </c>
      <c r="K10">
        <v>3</v>
      </c>
      <c r="L10">
        <v>1</v>
      </c>
      <c r="M10">
        <v>4</v>
      </c>
      <c r="N10">
        <v>1</v>
      </c>
    </row>
    <row r="11" spans="1:14" x14ac:dyDescent="0.45">
      <c r="A11" t="s">
        <v>9</v>
      </c>
      <c r="B11" t="s">
        <v>621</v>
      </c>
      <c r="C11" t="s">
        <v>6</v>
      </c>
      <c r="D11" t="s">
        <v>327</v>
      </c>
      <c r="E11">
        <v>4</v>
      </c>
      <c r="F11">
        <v>0</v>
      </c>
      <c r="G11">
        <v>29</v>
      </c>
      <c r="H11">
        <v>1</v>
      </c>
      <c r="I11">
        <v>7.25</v>
      </c>
      <c r="J11">
        <v>9</v>
      </c>
      <c r="K11">
        <v>1</v>
      </c>
      <c r="L11">
        <v>2</v>
      </c>
      <c r="M11">
        <v>0</v>
      </c>
      <c r="N11">
        <v>0</v>
      </c>
    </row>
    <row r="12" spans="1:14" x14ac:dyDescent="0.45">
      <c r="A12" t="s">
        <v>9</v>
      </c>
      <c r="B12" t="s">
        <v>621</v>
      </c>
      <c r="C12" t="s">
        <v>6</v>
      </c>
      <c r="D12" t="s">
        <v>328</v>
      </c>
      <c r="E12">
        <v>4</v>
      </c>
      <c r="F12">
        <v>0</v>
      </c>
      <c r="G12">
        <v>37</v>
      </c>
      <c r="H12">
        <v>2</v>
      </c>
      <c r="I12">
        <v>9.25</v>
      </c>
      <c r="J12">
        <v>9</v>
      </c>
      <c r="K12">
        <v>3</v>
      </c>
      <c r="L12">
        <v>2</v>
      </c>
      <c r="M12">
        <v>1</v>
      </c>
      <c r="N12">
        <v>0</v>
      </c>
    </row>
    <row r="13" spans="1:14" x14ac:dyDescent="0.45">
      <c r="A13" t="s">
        <v>12</v>
      </c>
      <c r="B13" t="s">
        <v>624</v>
      </c>
      <c r="C13" t="s">
        <v>7</v>
      </c>
      <c r="D13" t="s">
        <v>313</v>
      </c>
      <c r="E13">
        <v>4</v>
      </c>
      <c r="F13">
        <v>0</v>
      </c>
      <c r="G13">
        <v>28</v>
      </c>
      <c r="H13">
        <v>0</v>
      </c>
      <c r="I13">
        <v>7</v>
      </c>
      <c r="J13">
        <v>9</v>
      </c>
      <c r="K13">
        <v>2</v>
      </c>
      <c r="L13">
        <v>1</v>
      </c>
      <c r="M13">
        <v>1</v>
      </c>
      <c r="N13">
        <v>0</v>
      </c>
    </row>
    <row r="14" spans="1:14" x14ac:dyDescent="0.45">
      <c r="A14" t="s">
        <v>12</v>
      </c>
      <c r="B14" t="s">
        <v>624</v>
      </c>
      <c r="C14" t="s">
        <v>7</v>
      </c>
      <c r="D14" t="s">
        <v>317</v>
      </c>
      <c r="E14">
        <v>4</v>
      </c>
      <c r="F14">
        <v>0</v>
      </c>
      <c r="G14">
        <v>26</v>
      </c>
      <c r="H14">
        <v>1</v>
      </c>
      <c r="I14">
        <v>6.5</v>
      </c>
      <c r="J14">
        <v>11</v>
      </c>
      <c r="K14">
        <v>1</v>
      </c>
      <c r="L14">
        <v>2</v>
      </c>
      <c r="M14">
        <v>0</v>
      </c>
      <c r="N14">
        <v>0</v>
      </c>
    </row>
    <row r="15" spans="1:14" x14ac:dyDescent="0.45">
      <c r="A15" t="s">
        <v>12</v>
      </c>
      <c r="B15" t="s">
        <v>624</v>
      </c>
      <c r="C15" t="s">
        <v>7</v>
      </c>
      <c r="D15" t="s">
        <v>308</v>
      </c>
      <c r="E15">
        <v>4</v>
      </c>
      <c r="F15">
        <v>0</v>
      </c>
      <c r="G15">
        <v>27</v>
      </c>
      <c r="H15">
        <v>0</v>
      </c>
      <c r="I15">
        <v>6.75</v>
      </c>
      <c r="J15">
        <v>9</v>
      </c>
      <c r="K15">
        <v>0</v>
      </c>
      <c r="L15">
        <v>2</v>
      </c>
      <c r="M15">
        <v>1</v>
      </c>
      <c r="N15">
        <v>0</v>
      </c>
    </row>
    <row r="16" spans="1:14" x14ac:dyDescent="0.45">
      <c r="A16" t="s">
        <v>12</v>
      </c>
      <c r="B16" t="s">
        <v>624</v>
      </c>
      <c r="C16" t="s">
        <v>7</v>
      </c>
      <c r="D16" t="s">
        <v>322</v>
      </c>
      <c r="E16">
        <v>4</v>
      </c>
      <c r="F16">
        <v>0</v>
      </c>
      <c r="G16">
        <v>26</v>
      </c>
      <c r="H16">
        <v>2</v>
      </c>
      <c r="I16">
        <v>6.5</v>
      </c>
      <c r="J16">
        <v>7</v>
      </c>
      <c r="K16">
        <v>2</v>
      </c>
      <c r="L16">
        <v>0</v>
      </c>
      <c r="M16">
        <v>0</v>
      </c>
      <c r="N16">
        <v>1</v>
      </c>
    </row>
    <row r="17" spans="1:14" x14ac:dyDescent="0.45">
      <c r="A17" t="s">
        <v>12</v>
      </c>
      <c r="B17" t="s">
        <v>624</v>
      </c>
      <c r="C17" t="s">
        <v>7</v>
      </c>
      <c r="D17" t="s">
        <v>320</v>
      </c>
      <c r="E17">
        <v>4</v>
      </c>
      <c r="F17">
        <v>0</v>
      </c>
      <c r="G17">
        <v>27</v>
      </c>
      <c r="H17">
        <v>1</v>
      </c>
      <c r="I17">
        <v>6.75</v>
      </c>
      <c r="J17">
        <v>9</v>
      </c>
      <c r="K17">
        <v>1</v>
      </c>
      <c r="L17">
        <v>1</v>
      </c>
      <c r="M17">
        <v>1</v>
      </c>
      <c r="N17">
        <v>0</v>
      </c>
    </row>
    <row r="18" spans="1:14" x14ac:dyDescent="0.45">
      <c r="A18" t="s">
        <v>12</v>
      </c>
      <c r="B18" t="s">
        <v>624</v>
      </c>
      <c r="C18" t="s">
        <v>10</v>
      </c>
      <c r="D18" t="s">
        <v>338</v>
      </c>
      <c r="E18">
        <v>4</v>
      </c>
      <c r="F18">
        <v>0</v>
      </c>
      <c r="G18">
        <v>31</v>
      </c>
      <c r="H18">
        <v>2</v>
      </c>
      <c r="I18">
        <v>7.75</v>
      </c>
      <c r="J18">
        <v>10</v>
      </c>
      <c r="K18">
        <v>2</v>
      </c>
      <c r="L18">
        <v>1</v>
      </c>
      <c r="M18">
        <v>1</v>
      </c>
      <c r="N18">
        <v>0</v>
      </c>
    </row>
    <row r="19" spans="1:14" x14ac:dyDescent="0.45">
      <c r="A19" t="s">
        <v>12</v>
      </c>
      <c r="B19" t="s">
        <v>624</v>
      </c>
      <c r="C19" t="s">
        <v>10</v>
      </c>
      <c r="D19" t="s">
        <v>339</v>
      </c>
      <c r="E19">
        <v>3.5</v>
      </c>
      <c r="F19">
        <v>0</v>
      </c>
      <c r="G19">
        <v>27</v>
      </c>
      <c r="H19">
        <v>2</v>
      </c>
      <c r="I19">
        <v>7.04</v>
      </c>
      <c r="J19">
        <v>7</v>
      </c>
      <c r="K19">
        <v>1</v>
      </c>
      <c r="L19">
        <v>1</v>
      </c>
      <c r="M19">
        <v>1</v>
      </c>
      <c r="N19">
        <v>0</v>
      </c>
    </row>
    <row r="20" spans="1:14" x14ac:dyDescent="0.45">
      <c r="A20" t="s">
        <v>12</v>
      </c>
      <c r="B20" t="s">
        <v>624</v>
      </c>
      <c r="C20" t="s">
        <v>10</v>
      </c>
      <c r="D20" t="s">
        <v>340</v>
      </c>
      <c r="E20">
        <v>4</v>
      </c>
      <c r="F20">
        <v>0</v>
      </c>
      <c r="G20">
        <v>22</v>
      </c>
      <c r="H20">
        <v>1</v>
      </c>
      <c r="I20">
        <v>5.5</v>
      </c>
      <c r="J20">
        <v>9</v>
      </c>
      <c r="K20">
        <v>1</v>
      </c>
      <c r="L20">
        <v>0</v>
      </c>
      <c r="M20">
        <v>0</v>
      </c>
      <c r="N20">
        <v>0</v>
      </c>
    </row>
    <row r="21" spans="1:14" x14ac:dyDescent="0.45">
      <c r="A21" t="s">
        <v>12</v>
      </c>
      <c r="B21" t="s">
        <v>624</v>
      </c>
      <c r="C21" t="s">
        <v>10</v>
      </c>
      <c r="D21" t="s">
        <v>337</v>
      </c>
      <c r="E21">
        <v>4</v>
      </c>
      <c r="F21">
        <v>0</v>
      </c>
      <c r="G21">
        <v>32</v>
      </c>
      <c r="H21">
        <v>0</v>
      </c>
      <c r="I21">
        <v>8</v>
      </c>
      <c r="J21">
        <v>8</v>
      </c>
      <c r="K21">
        <v>0</v>
      </c>
      <c r="L21">
        <v>3</v>
      </c>
      <c r="M21">
        <v>1</v>
      </c>
      <c r="N21">
        <v>0</v>
      </c>
    </row>
    <row r="22" spans="1:14" x14ac:dyDescent="0.45">
      <c r="A22" t="s">
        <v>12</v>
      </c>
      <c r="B22" t="s">
        <v>624</v>
      </c>
      <c r="C22" t="s">
        <v>10</v>
      </c>
      <c r="D22" t="s">
        <v>341</v>
      </c>
      <c r="E22">
        <v>4</v>
      </c>
      <c r="F22">
        <v>0</v>
      </c>
      <c r="G22">
        <v>23</v>
      </c>
      <c r="H22">
        <v>2</v>
      </c>
      <c r="I22">
        <v>5.75</v>
      </c>
      <c r="J22">
        <v>13</v>
      </c>
      <c r="K22">
        <v>1</v>
      </c>
      <c r="L22">
        <v>1</v>
      </c>
      <c r="M22">
        <v>2</v>
      </c>
      <c r="N22">
        <v>0</v>
      </c>
    </row>
    <row r="23" spans="1:14" x14ac:dyDescent="0.45">
      <c r="A23" t="s">
        <v>15</v>
      </c>
      <c r="B23" t="s">
        <v>625</v>
      </c>
      <c r="C23" t="s">
        <v>7</v>
      </c>
      <c r="D23" t="s">
        <v>313</v>
      </c>
      <c r="E23">
        <v>4</v>
      </c>
      <c r="F23">
        <v>0</v>
      </c>
      <c r="G23">
        <v>24</v>
      </c>
      <c r="H23">
        <v>0</v>
      </c>
      <c r="I23">
        <v>6</v>
      </c>
      <c r="J23">
        <v>6</v>
      </c>
      <c r="K23">
        <v>2</v>
      </c>
      <c r="L23">
        <v>0</v>
      </c>
      <c r="M23">
        <v>0</v>
      </c>
      <c r="N23">
        <v>0</v>
      </c>
    </row>
    <row r="24" spans="1:14" x14ac:dyDescent="0.45">
      <c r="A24" t="s">
        <v>15</v>
      </c>
      <c r="B24" t="s">
        <v>625</v>
      </c>
      <c r="C24" t="s">
        <v>7</v>
      </c>
      <c r="D24" t="s">
        <v>320</v>
      </c>
      <c r="E24">
        <v>4</v>
      </c>
      <c r="F24">
        <v>0</v>
      </c>
      <c r="G24">
        <v>36</v>
      </c>
      <c r="H24">
        <v>0</v>
      </c>
      <c r="I24">
        <v>9</v>
      </c>
      <c r="J24">
        <v>8</v>
      </c>
      <c r="K24">
        <v>4</v>
      </c>
      <c r="L24">
        <v>0</v>
      </c>
      <c r="M24">
        <v>2</v>
      </c>
      <c r="N24">
        <v>2</v>
      </c>
    </row>
    <row r="25" spans="1:14" x14ac:dyDescent="0.45">
      <c r="A25" t="s">
        <v>15</v>
      </c>
      <c r="B25" t="s">
        <v>625</v>
      </c>
      <c r="C25" t="s">
        <v>7</v>
      </c>
      <c r="D25" t="s">
        <v>322</v>
      </c>
      <c r="E25">
        <v>4</v>
      </c>
      <c r="F25">
        <v>0</v>
      </c>
      <c r="G25">
        <v>20</v>
      </c>
      <c r="H25">
        <v>0</v>
      </c>
      <c r="I25">
        <v>5</v>
      </c>
      <c r="J25">
        <v>7</v>
      </c>
      <c r="K25">
        <v>0</v>
      </c>
      <c r="L25">
        <v>0</v>
      </c>
      <c r="M25">
        <v>0</v>
      </c>
      <c r="N25">
        <v>0</v>
      </c>
    </row>
    <row r="26" spans="1:14" x14ac:dyDescent="0.45">
      <c r="A26" t="s">
        <v>15</v>
      </c>
      <c r="B26" t="s">
        <v>625</v>
      </c>
      <c r="C26" t="s">
        <v>7</v>
      </c>
      <c r="D26" t="s">
        <v>317</v>
      </c>
      <c r="E26">
        <v>4</v>
      </c>
      <c r="F26">
        <v>0</v>
      </c>
      <c r="G26">
        <v>30</v>
      </c>
      <c r="H26">
        <v>2</v>
      </c>
      <c r="I26">
        <v>7.5</v>
      </c>
      <c r="J26">
        <v>8</v>
      </c>
      <c r="K26">
        <v>4</v>
      </c>
      <c r="L26">
        <v>0</v>
      </c>
      <c r="M26">
        <v>1</v>
      </c>
      <c r="N26">
        <v>0</v>
      </c>
    </row>
    <row r="27" spans="1:14" x14ac:dyDescent="0.45">
      <c r="A27" t="s">
        <v>15</v>
      </c>
      <c r="B27" t="s">
        <v>625</v>
      </c>
      <c r="C27" t="s">
        <v>7</v>
      </c>
      <c r="D27" t="s">
        <v>308</v>
      </c>
      <c r="E27">
        <v>4</v>
      </c>
      <c r="F27">
        <v>0</v>
      </c>
      <c r="G27">
        <v>21</v>
      </c>
      <c r="H27">
        <v>4</v>
      </c>
      <c r="I27">
        <v>5.25</v>
      </c>
      <c r="J27">
        <v>11</v>
      </c>
      <c r="K27">
        <v>2</v>
      </c>
      <c r="L27">
        <v>0</v>
      </c>
      <c r="M27">
        <v>1</v>
      </c>
      <c r="N27">
        <v>0</v>
      </c>
    </row>
    <row r="28" spans="1:14" x14ac:dyDescent="0.45">
      <c r="A28" t="s">
        <v>15</v>
      </c>
      <c r="B28" t="s">
        <v>625</v>
      </c>
      <c r="C28" t="s">
        <v>13</v>
      </c>
      <c r="D28" t="s">
        <v>352</v>
      </c>
      <c r="E28">
        <v>4</v>
      </c>
      <c r="F28">
        <v>0</v>
      </c>
      <c r="G28">
        <v>19</v>
      </c>
      <c r="H28">
        <v>2</v>
      </c>
      <c r="I28">
        <v>4.75</v>
      </c>
      <c r="J28">
        <v>10</v>
      </c>
      <c r="K28">
        <v>1</v>
      </c>
      <c r="L28">
        <v>0</v>
      </c>
      <c r="M28">
        <v>0</v>
      </c>
      <c r="N28">
        <v>0</v>
      </c>
    </row>
    <row r="29" spans="1:14" x14ac:dyDescent="0.45">
      <c r="A29" t="s">
        <v>15</v>
      </c>
      <c r="B29" t="s">
        <v>625</v>
      </c>
      <c r="C29" t="s">
        <v>13</v>
      </c>
      <c r="D29" t="s">
        <v>350</v>
      </c>
      <c r="E29">
        <v>3</v>
      </c>
      <c r="F29">
        <v>0</v>
      </c>
      <c r="G29">
        <v>29</v>
      </c>
      <c r="H29">
        <v>0</v>
      </c>
      <c r="I29">
        <v>9.66</v>
      </c>
      <c r="J29">
        <v>4</v>
      </c>
      <c r="K29">
        <v>3</v>
      </c>
      <c r="L29">
        <v>1</v>
      </c>
      <c r="M29">
        <v>0</v>
      </c>
      <c r="N29">
        <v>0</v>
      </c>
    </row>
    <row r="30" spans="1:14" x14ac:dyDescent="0.45">
      <c r="A30" t="s">
        <v>15</v>
      </c>
      <c r="B30" t="s">
        <v>625</v>
      </c>
      <c r="C30" t="s">
        <v>13</v>
      </c>
      <c r="D30" t="s">
        <v>349</v>
      </c>
      <c r="E30">
        <v>4</v>
      </c>
      <c r="F30">
        <v>0</v>
      </c>
      <c r="G30">
        <v>19</v>
      </c>
      <c r="H30">
        <v>2</v>
      </c>
      <c r="I30">
        <v>4.75</v>
      </c>
      <c r="J30">
        <v>10</v>
      </c>
      <c r="K30">
        <v>1</v>
      </c>
      <c r="L30">
        <v>0</v>
      </c>
      <c r="M30">
        <v>1</v>
      </c>
      <c r="N30">
        <v>0</v>
      </c>
    </row>
    <row r="31" spans="1:14" x14ac:dyDescent="0.45">
      <c r="A31" t="s">
        <v>15</v>
      </c>
      <c r="B31" t="s">
        <v>625</v>
      </c>
      <c r="C31" t="s">
        <v>13</v>
      </c>
      <c r="D31" t="s">
        <v>353</v>
      </c>
      <c r="E31">
        <v>4</v>
      </c>
      <c r="F31">
        <v>0</v>
      </c>
      <c r="G31">
        <v>16</v>
      </c>
      <c r="H31">
        <v>2</v>
      </c>
      <c r="I31">
        <v>4</v>
      </c>
      <c r="J31">
        <v>8</v>
      </c>
      <c r="K31">
        <v>0</v>
      </c>
      <c r="L31">
        <v>0</v>
      </c>
      <c r="M31">
        <v>0</v>
      </c>
      <c r="N31">
        <v>0</v>
      </c>
    </row>
    <row r="32" spans="1:14" x14ac:dyDescent="0.45">
      <c r="A32" t="s">
        <v>15</v>
      </c>
      <c r="B32" t="s">
        <v>625</v>
      </c>
      <c r="C32" t="s">
        <v>13</v>
      </c>
      <c r="D32" t="s">
        <v>345</v>
      </c>
      <c r="E32">
        <v>3</v>
      </c>
      <c r="F32">
        <v>0</v>
      </c>
      <c r="G32">
        <v>25</v>
      </c>
      <c r="H32">
        <v>0</v>
      </c>
      <c r="I32">
        <v>8.33</v>
      </c>
      <c r="J32">
        <v>4</v>
      </c>
      <c r="K32">
        <v>2</v>
      </c>
      <c r="L32">
        <v>1</v>
      </c>
      <c r="M32">
        <v>0</v>
      </c>
      <c r="N32">
        <v>0</v>
      </c>
    </row>
    <row r="33" spans="1:14" x14ac:dyDescent="0.45">
      <c r="A33" t="s">
        <v>15</v>
      </c>
      <c r="B33" t="s">
        <v>625</v>
      </c>
      <c r="C33" t="s">
        <v>13</v>
      </c>
      <c r="D33" t="s">
        <v>348</v>
      </c>
      <c r="E33">
        <v>1.4</v>
      </c>
      <c r="F33">
        <v>0</v>
      </c>
      <c r="G33">
        <v>29</v>
      </c>
      <c r="H33">
        <v>0</v>
      </c>
      <c r="I33">
        <v>17.399999999999999</v>
      </c>
      <c r="J33">
        <v>1</v>
      </c>
      <c r="K33">
        <v>1</v>
      </c>
      <c r="L33">
        <v>3</v>
      </c>
      <c r="M33">
        <v>2</v>
      </c>
      <c r="N33">
        <v>0</v>
      </c>
    </row>
    <row r="34" spans="1:14" x14ac:dyDescent="0.45">
      <c r="A34" t="s">
        <v>16</v>
      </c>
      <c r="B34" t="s">
        <v>626</v>
      </c>
      <c r="C34" t="s">
        <v>6</v>
      </c>
      <c r="D34" t="s">
        <v>324</v>
      </c>
      <c r="E34">
        <v>3</v>
      </c>
      <c r="F34">
        <v>0</v>
      </c>
      <c r="G34">
        <v>26</v>
      </c>
      <c r="H34">
        <v>0</v>
      </c>
      <c r="I34">
        <v>8.66</v>
      </c>
      <c r="J34">
        <v>5</v>
      </c>
      <c r="K34">
        <v>4</v>
      </c>
      <c r="L34">
        <v>0</v>
      </c>
      <c r="M34">
        <v>1</v>
      </c>
      <c r="N34">
        <v>0</v>
      </c>
    </row>
    <row r="35" spans="1:14" x14ac:dyDescent="0.45">
      <c r="A35" t="s">
        <v>16</v>
      </c>
      <c r="B35" t="s">
        <v>626</v>
      </c>
      <c r="C35" t="s">
        <v>6</v>
      </c>
      <c r="D35" t="s">
        <v>325</v>
      </c>
      <c r="E35">
        <v>4</v>
      </c>
      <c r="F35">
        <v>0</v>
      </c>
      <c r="G35">
        <v>29</v>
      </c>
      <c r="H35">
        <v>2</v>
      </c>
      <c r="I35">
        <v>7.25</v>
      </c>
      <c r="J35">
        <v>13</v>
      </c>
      <c r="K35">
        <v>4</v>
      </c>
      <c r="L35">
        <v>1</v>
      </c>
      <c r="M35">
        <v>0</v>
      </c>
      <c r="N35">
        <v>0</v>
      </c>
    </row>
    <row r="36" spans="1:14" x14ac:dyDescent="0.45">
      <c r="A36" t="s">
        <v>16</v>
      </c>
      <c r="B36" t="s">
        <v>626</v>
      </c>
      <c r="C36" t="s">
        <v>6</v>
      </c>
      <c r="D36" t="s">
        <v>326</v>
      </c>
      <c r="E36">
        <v>3</v>
      </c>
      <c r="F36">
        <v>0</v>
      </c>
      <c r="G36">
        <v>36</v>
      </c>
      <c r="H36">
        <v>0</v>
      </c>
      <c r="I36">
        <v>12</v>
      </c>
      <c r="J36">
        <v>5</v>
      </c>
      <c r="K36">
        <v>1</v>
      </c>
      <c r="L36">
        <v>3</v>
      </c>
      <c r="M36">
        <v>2</v>
      </c>
      <c r="N36">
        <v>0</v>
      </c>
    </row>
    <row r="37" spans="1:14" x14ac:dyDescent="0.45">
      <c r="A37" t="s">
        <v>16</v>
      </c>
      <c r="B37" t="s">
        <v>626</v>
      </c>
      <c r="C37" t="s">
        <v>6</v>
      </c>
      <c r="D37" t="s">
        <v>328</v>
      </c>
      <c r="E37">
        <v>3</v>
      </c>
      <c r="F37">
        <v>0</v>
      </c>
      <c r="G37">
        <v>23</v>
      </c>
      <c r="H37">
        <v>1</v>
      </c>
      <c r="I37">
        <v>7.66</v>
      </c>
      <c r="J37">
        <v>4</v>
      </c>
      <c r="K37">
        <v>3</v>
      </c>
      <c r="L37">
        <v>0</v>
      </c>
      <c r="M37">
        <v>0</v>
      </c>
      <c r="N37">
        <v>0</v>
      </c>
    </row>
    <row r="38" spans="1:14" x14ac:dyDescent="0.45">
      <c r="A38" t="s">
        <v>16</v>
      </c>
      <c r="B38" t="s">
        <v>626</v>
      </c>
      <c r="C38" t="s">
        <v>6</v>
      </c>
      <c r="D38" t="s">
        <v>299</v>
      </c>
      <c r="E38">
        <v>4</v>
      </c>
      <c r="F38">
        <v>0</v>
      </c>
      <c r="G38">
        <v>27</v>
      </c>
      <c r="H38">
        <v>1</v>
      </c>
      <c r="I38">
        <v>6.75</v>
      </c>
      <c r="J38">
        <v>5</v>
      </c>
      <c r="K38">
        <v>0</v>
      </c>
      <c r="L38">
        <v>1</v>
      </c>
      <c r="M38">
        <v>1</v>
      </c>
      <c r="N38">
        <v>0</v>
      </c>
    </row>
    <row r="39" spans="1:14" x14ac:dyDescent="0.45">
      <c r="A39" t="s">
        <v>16</v>
      </c>
      <c r="B39" t="s">
        <v>626</v>
      </c>
      <c r="C39" t="s">
        <v>6</v>
      </c>
      <c r="D39" t="s">
        <v>327</v>
      </c>
      <c r="E39">
        <v>3</v>
      </c>
      <c r="F39">
        <v>0</v>
      </c>
      <c r="G39">
        <v>31</v>
      </c>
      <c r="H39">
        <v>1</v>
      </c>
      <c r="I39">
        <v>10.33</v>
      </c>
      <c r="J39">
        <v>4</v>
      </c>
      <c r="K39">
        <v>3</v>
      </c>
      <c r="L39">
        <v>1</v>
      </c>
      <c r="M39">
        <v>2</v>
      </c>
      <c r="N39">
        <v>0</v>
      </c>
    </row>
    <row r="40" spans="1:14" x14ac:dyDescent="0.45">
      <c r="A40" t="s">
        <v>16</v>
      </c>
      <c r="B40" t="s">
        <v>626</v>
      </c>
      <c r="C40" t="s">
        <v>10</v>
      </c>
      <c r="D40" t="s">
        <v>338</v>
      </c>
      <c r="E40">
        <v>4</v>
      </c>
      <c r="F40">
        <v>0</v>
      </c>
      <c r="G40">
        <v>31</v>
      </c>
      <c r="H40">
        <v>1</v>
      </c>
      <c r="I40">
        <v>7.75</v>
      </c>
      <c r="J40">
        <v>7</v>
      </c>
      <c r="K40">
        <v>4</v>
      </c>
      <c r="L40">
        <v>0</v>
      </c>
      <c r="M40">
        <v>0</v>
      </c>
      <c r="N40">
        <v>0</v>
      </c>
    </row>
    <row r="41" spans="1:14" x14ac:dyDescent="0.45">
      <c r="A41" t="s">
        <v>16</v>
      </c>
      <c r="B41" t="s">
        <v>626</v>
      </c>
      <c r="C41" t="s">
        <v>10</v>
      </c>
      <c r="D41" t="s">
        <v>340</v>
      </c>
      <c r="E41">
        <v>4</v>
      </c>
      <c r="F41">
        <v>0</v>
      </c>
      <c r="G41">
        <v>47</v>
      </c>
      <c r="H41">
        <v>1</v>
      </c>
      <c r="I41">
        <v>11.75</v>
      </c>
      <c r="J41">
        <v>8</v>
      </c>
      <c r="K41">
        <v>5</v>
      </c>
      <c r="L41">
        <v>3</v>
      </c>
      <c r="M41">
        <v>1</v>
      </c>
      <c r="N41">
        <v>0</v>
      </c>
    </row>
    <row r="42" spans="1:14" x14ac:dyDescent="0.45">
      <c r="A42" t="s">
        <v>16</v>
      </c>
      <c r="B42" t="s">
        <v>626</v>
      </c>
      <c r="C42" t="s">
        <v>10</v>
      </c>
      <c r="D42" t="s">
        <v>341</v>
      </c>
      <c r="E42">
        <v>3</v>
      </c>
      <c r="F42">
        <v>0</v>
      </c>
      <c r="G42">
        <v>23</v>
      </c>
      <c r="H42">
        <v>0</v>
      </c>
      <c r="I42">
        <v>7.66</v>
      </c>
      <c r="J42">
        <v>5</v>
      </c>
      <c r="K42">
        <v>1</v>
      </c>
      <c r="L42">
        <v>1</v>
      </c>
      <c r="M42">
        <v>0</v>
      </c>
      <c r="N42">
        <v>0</v>
      </c>
    </row>
    <row r="43" spans="1:14" x14ac:dyDescent="0.45">
      <c r="A43" t="s">
        <v>16</v>
      </c>
      <c r="B43" t="s">
        <v>626</v>
      </c>
      <c r="C43" t="s">
        <v>10</v>
      </c>
      <c r="D43" t="s">
        <v>337</v>
      </c>
      <c r="E43">
        <v>3</v>
      </c>
      <c r="F43">
        <v>0</v>
      </c>
      <c r="G43">
        <v>23</v>
      </c>
      <c r="H43">
        <v>0</v>
      </c>
      <c r="I43">
        <v>7.66</v>
      </c>
      <c r="J43">
        <v>7</v>
      </c>
      <c r="K43">
        <v>2</v>
      </c>
      <c r="L43">
        <v>1</v>
      </c>
      <c r="M43">
        <v>0</v>
      </c>
      <c r="N43">
        <v>0</v>
      </c>
    </row>
    <row r="44" spans="1:14" x14ac:dyDescent="0.45">
      <c r="A44" t="s">
        <v>16</v>
      </c>
      <c r="B44" t="s">
        <v>626</v>
      </c>
      <c r="C44" t="s">
        <v>10</v>
      </c>
      <c r="D44" t="s">
        <v>354</v>
      </c>
      <c r="E44">
        <v>3.4</v>
      </c>
      <c r="F44">
        <v>0</v>
      </c>
      <c r="G44">
        <v>29</v>
      </c>
      <c r="H44">
        <v>3</v>
      </c>
      <c r="I44">
        <v>7.9</v>
      </c>
      <c r="J44">
        <v>6</v>
      </c>
      <c r="K44">
        <v>3</v>
      </c>
      <c r="L44">
        <v>0</v>
      </c>
      <c r="M44">
        <v>2</v>
      </c>
      <c r="N44">
        <v>0</v>
      </c>
    </row>
    <row r="45" spans="1:14" x14ac:dyDescent="0.45">
      <c r="A45" t="s">
        <v>16</v>
      </c>
      <c r="B45" t="s">
        <v>626</v>
      </c>
      <c r="C45" t="s">
        <v>10</v>
      </c>
      <c r="D45" t="s">
        <v>339</v>
      </c>
      <c r="E45">
        <v>2</v>
      </c>
      <c r="F45">
        <v>0</v>
      </c>
      <c r="G45">
        <v>19</v>
      </c>
      <c r="H45">
        <v>0</v>
      </c>
      <c r="I45">
        <v>9.5</v>
      </c>
      <c r="J45">
        <v>0</v>
      </c>
      <c r="K45">
        <v>2</v>
      </c>
      <c r="L45">
        <v>0</v>
      </c>
      <c r="M45">
        <v>0</v>
      </c>
      <c r="N45">
        <v>0</v>
      </c>
    </row>
    <row r="46" spans="1:14" x14ac:dyDescent="0.45">
      <c r="A46" t="s">
        <v>18</v>
      </c>
      <c r="B46" t="s">
        <v>627</v>
      </c>
      <c r="C46" t="s">
        <v>13</v>
      </c>
      <c r="D46" t="s">
        <v>345</v>
      </c>
      <c r="E46">
        <v>3</v>
      </c>
      <c r="F46">
        <v>0</v>
      </c>
      <c r="G46">
        <v>29</v>
      </c>
      <c r="H46">
        <v>0</v>
      </c>
      <c r="I46">
        <v>9.66</v>
      </c>
      <c r="J46">
        <v>3</v>
      </c>
      <c r="K46">
        <v>2</v>
      </c>
      <c r="L46">
        <v>1</v>
      </c>
      <c r="M46">
        <v>2</v>
      </c>
      <c r="N46">
        <v>0</v>
      </c>
    </row>
    <row r="47" spans="1:14" x14ac:dyDescent="0.45">
      <c r="A47" t="s">
        <v>18</v>
      </c>
      <c r="B47" t="s">
        <v>627</v>
      </c>
      <c r="C47" t="s">
        <v>13</v>
      </c>
      <c r="D47" t="s">
        <v>352</v>
      </c>
      <c r="E47">
        <v>4</v>
      </c>
      <c r="F47">
        <v>0</v>
      </c>
      <c r="G47">
        <v>25</v>
      </c>
      <c r="H47">
        <v>2</v>
      </c>
      <c r="I47">
        <v>6.25</v>
      </c>
      <c r="J47">
        <v>11</v>
      </c>
      <c r="K47">
        <v>4</v>
      </c>
      <c r="L47">
        <v>0</v>
      </c>
      <c r="M47">
        <v>0</v>
      </c>
      <c r="N47">
        <v>0</v>
      </c>
    </row>
    <row r="48" spans="1:14" x14ac:dyDescent="0.45">
      <c r="A48" t="s">
        <v>18</v>
      </c>
      <c r="B48" t="s">
        <v>627</v>
      </c>
      <c r="C48" t="s">
        <v>13</v>
      </c>
      <c r="D48" t="s">
        <v>350</v>
      </c>
      <c r="E48">
        <v>3</v>
      </c>
      <c r="F48">
        <v>0</v>
      </c>
      <c r="G48">
        <v>20</v>
      </c>
      <c r="H48">
        <v>0</v>
      </c>
      <c r="I48">
        <v>6.66</v>
      </c>
      <c r="J48">
        <v>6</v>
      </c>
      <c r="K48">
        <v>2</v>
      </c>
      <c r="L48">
        <v>0</v>
      </c>
      <c r="M48">
        <v>0</v>
      </c>
      <c r="N48">
        <v>1</v>
      </c>
    </row>
    <row r="49" spans="1:14" x14ac:dyDescent="0.45">
      <c r="A49" t="s">
        <v>18</v>
      </c>
      <c r="B49" t="s">
        <v>627</v>
      </c>
      <c r="C49" t="s">
        <v>13</v>
      </c>
      <c r="D49" t="s">
        <v>353</v>
      </c>
      <c r="E49">
        <v>4</v>
      </c>
      <c r="F49">
        <v>0</v>
      </c>
      <c r="G49">
        <v>34</v>
      </c>
      <c r="H49">
        <v>1</v>
      </c>
      <c r="I49">
        <v>8.5</v>
      </c>
      <c r="J49">
        <v>5</v>
      </c>
      <c r="K49">
        <v>1</v>
      </c>
      <c r="L49">
        <v>2</v>
      </c>
      <c r="M49">
        <v>0</v>
      </c>
      <c r="N49">
        <v>0</v>
      </c>
    </row>
    <row r="50" spans="1:14" x14ac:dyDescent="0.45">
      <c r="A50" t="s">
        <v>18</v>
      </c>
      <c r="B50" t="s">
        <v>627</v>
      </c>
      <c r="C50" t="s">
        <v>13</v>
      </c>
      <c r="D50" t="s">
        <v>349</v>
      </c>
      <c r="E50">
        <v>4</v>
      </c>
      <c r="F50">
        <v>0</v>
      </c>
      <c r="G50">
        <v>34</v>
      </c>
      <c r="H50">
        <v>1</v>
      </c>
      <c r="I50">
        <v>8.5</v>
      </c>
      <c r="J50">
        <v>8</v>
      </c>
      <c r="K50">
        <v>1</v>
      </c>
      <c r="L50">
        <v>2</v>
      </c>
      <c r="M50">
        <v>3</v>
      </c>
      <c r="N50">
        <v>0</v>
      </c>
    </row>
    <row r="51" spans="1:14" x14ac:dyDescent="0.45">
      <c r="A51" t="s">
        <v>18</v>
      </c>
      <c r="B51" t="s">
        <v>627</v>
      </c>
      <c r="C51" t="s">
        <v>13</v>
      </c>
      <c r="D51" t="s">
        <v>348</v>
      </c>
      <c r="E51">
        <v>2</v>
      </c>
      <c r="F51">
        <v>0</v>
      </c>
      <c r="G51">
        <v>19</v>
      </c>
      <c r="H51">
        <v>1</v>
      </c>
      <c r="I51">
        <v>9.5</v>
      </c>
      <c r="J51">
        <v>5</v>
      </c>
      <c r="K51">
        <v>2</v>
      </c>
      <c r="L51">
        <v>1</v>
      </c>
      <c r="M51">
        <v>0</v>
      </c>
      <c r="N51">
        <v>0</v>
      </c>
    </row>
    <row r="52" spans="1:14" x14ac:dyDescent="0.45">
      <c r="A52" t="s">
        <v>18</v>
      </c>
      <c r="B52" t="s">
        <v>627</v>
      </c>
      <c r="C52" t="s">
        <v>10</v>
      </c>
      <c r="D52" t="s">
        <v>338</v>
      </c>
      <c r="E52">
        <v>4</v>
      </c>
      <c r="F52">
        <v>0</v>
      </c>
      <c r="G52">
        <v>24</v>
      </c>
      <c r="H52">
        <v>2</v>
      </c>
      <c r="I52">
        <v>6</v>
      </c>
      <c r="J52">
        <v>9</v>
      </c>
      <c r="K52">
        <v>2</v>
      </c>
      <c r="L52">
        <v>0</v>
      </c>
      <c r="M52">
        <v>1</v>
      </c>
      <c r="N52">
        <v>0</v>
      </c>
    </row>
    <row r="53" spans="1:14" x14ac:dyDescent="0.45">
      <c r="A53" t="s">
        <v>18</v>
      </c>
      <c r="B53" t="s">
        <v>627</v>
      </c>
      <c r="C53" t="s">
        <v>10</v>
      </c>
      <c r="D53" t="s">
        <v>340</v>
      </c>
      <c r="E53">
        <v>4</v>
      </c>
      <c r="F53">
        <v>0</v>
      </c>
      <c r="G53">
        <v>31</v>
      </c>
      <c r="H53">
        <v>0</v>
      </c>
      <c r="I53">
        <v>7.75</v>
      </c>
      <c r="J53">
        <v>11</v>
      </c>
      <c r="K53">
        <v>2</v>
      </c>
      <c r="L53">
        <v>1</v>
      </c>
      <c r="M53">
        <v>2</v>
      </c>
      <c r="N53">
        <v>0</v>
      </c>
    </row>
    <row r="54" spans="1:14" x14ac:dyDescent="0.45">
      <c r="A54" t="s">
        <v>18</v>
      </c>
      <c r="B54" t="s">
        <v>627</v>
      </c>
      <c r="C54" t="s">
        <v>10</v>
      </c>
      <c r="D54" t="s">
        <v>337</v>
      </c>
      <c r="E54">
        <v>4</v>
      </c>
      <c r="F54">
        <v>0</v>
      </c>
      <c r="G54">
        <v>39</v>
      </c>
      <c r="H54">
        <v>1</v>
      </c>
      <c r="I54">
        <v>9.75</v>
      </c>
      <c r="J54">
        <v>8</v>
      </c>
      <c r="K54">
        <v>4</v>
      </c>
      <c r="L54">
        <v>2</v>
      </c>
      <c r="M54">
        <v>0</v>
      </c>
      <c r="N54">
        <v>0</v>
      </c>
    </row>
    <row r="55" spans="1:14" x14ac:dyDescent="0.45">
      <c r="A55" t="s">
        <v>18</v>
      </c>
      <c r="B55" t="s">
        <v>627</v>
      </c>
      <c r="C55" t="s">
        <v>10</v>
      </c>
      <c r="D55" t="s">
        <v>341</v>
      </c>
      <c r="E55">
        <v>4</v>
      </c>
      <c r="F55">
        <v>0</v>
      </c>
      <c r="G55">
        <v>37</v>
      </c>
      <c r="H55">
        <v>0</v>
      </c>
      <c r="I55">
        <v>9.25</v>
      </c>
      <c r="J55">
        <v>4</v>
      </c>
      <c r="K55">
        <v>3</v>
      </c>
      <c r="L55">
        <v>1</v>
      </c>
      <c r="M55">
        <v>0</v>
      </c>
      <c r="N55">
        <v>0</v>
      </c>
    </row>
    <row r="56" spans="1:14" x14ac:dyDescent="0.45">
      <c r="A56" t="s">
        <v>18</v>
      </c>
      <c r="B56" t="s">
        <v>627</v>
      </c>
      <c r="C56" t="s">
        <v>10</v>
      </c>
      <c r="D56" t="s">
        <v>339</v>
      </c>
      <c r="E56">
        <v>1</v>
      </c>
      <c r="F56">
        <v>0</v>
      </c>
      <c r="G56">
        <v>11</v>
      </c>
      <c r="H56">
        <v>0</v>
      </c>
      <c r="I56">
        <v>11</v>
      </c>
      <c r="J56">
        <v>1</v>
      </c>
      <c r="K56">
        <v>0</v>
      </c>
      <c r="L56">
        <v>1</v>
      </c>
      <c r="M56">
        <v>0</v>
      </c>
      <c r="N56">
        <v>0</v>
      </c>
    </row>
    <row r="57" spans="1:14" x14ac:dyDescent="0.45">
      <c r="A57" t="s">
        <v>18</v>
      </c>
      <c r="B57" t="s">
        <v>627</v>
      </c>
      <c r="C57" t="s">
        <v>10</v>
      </c>
      <c r="D57" t="s">
        <v>357</v>
      </c>
      <c r="E57">
        <v>3</v>
      </c>
      <c r="F57">
        <v>0</v>
      </c>
      <c r="G57">
        <v>22</v>
      </c>
      <c r="H57">
        <v>0</v>
      </c>
      <c r="I57">
        <v>7.33</v>
      </c>
      <c r="J57">
        <v>5</v>
      </c>
      <c r="K57">
        <v>2</v>
      </c>
      <c r="L57">
        <v>0</v>
      </c>
      <c r="M57">
        <v>2</v>
      </c>
      <c r="N57">
        <v>0</v>
      </c>
    </row>
    <row r="58" spans="1:14" x14ac:dyDescent="0.45">
      <c r="A58" t="s">
        <v>22</v>
      </c>
      <c r="B58" t="s">
        <v>628</v>
      </c>
      <c r="C58" t="s">
        <v>20</v>
      </c>
      <c r="D58" t="s">
        <v>375</v>
      </c>
      <c r="E58">
        <v>3</v>
      </c>
      <c r="F58">
        <v>0</v>
      </c>
      <c r="G58">
        <v>33</v>
      </c>
      <c r="H58">
        <v>0</v>
      </c>
      <c r="I58">
        <v>11</v>
      </c>
      <c r="J58">
        <v>3</v>
      </c>
      <c r="K58">
        <v>4</v>
      </c>
      <c r="L58">
        <v>1</v>
      </c>
      <c r="M58">
        <v>0</v>
      </c>
      <c r="N58">
        <v>0</v>
      </c>
    </row>
    <row r="59" spans="1:14" x14ac:dyDescent="0.45">
      <c r="A59" t="s">
        <v>22</v>
      </c>
      <c r="B59" t="s">
        <v>628</v>
      </c>
      <c r="C59" t="s">
        <v>20</v>
      </c>
      <c r="D59" t="s">
        <v>381</v>
      </c>
      <c r="E59">
        <v>4</v>
      </c>
      <c r="F59">
        <v>0</v>
      </c>
      <c r="G59">
        <v>56</v>
      </c>
      <c r="H59">
        <v>0</v>
      </c>
      <c r="I59">
        <v>14</v>
      </c>
      <c r="J59">
        <v>5</v>
      </c>
      <c r="K59">
        <v>10</v>
      </c>
      <c r="L59">
        <v>1</v>
      </c>
      <c r="M59">
        <v>0</v>
      </c>
      <c r="N59">
        <v>0</v>
      </c>
    </row>
    <row r="60" spans="1:14" x14ac:dyDescent="0.45">
      <c r="A60" t="s">
        <v>22</v>
      </c>
      <c r="B60" t="s">
        <v>628</v>
      </c>
      <c r="C60" t="s">
        <v>20</v>
      </c>
      <c r="D60" t="s">
        <v>378</v>
      </c>
      <c r="E60">
        <v>4</v>
      </c>
      <c r="F60">
        <v>0</v>
      </c>
      <c r="G60">
        <v>52</v>
      </c>
      <c r="H60">
        <v>4</v>
      </c>
      <c r="I60">
        <v>13</v>
      </c>
      <c r="J60">
        <v>9</v>
      </c>
      <c r="K60">
        <v>6</v>
      </c>
      <c r="L60">
        <v>2</v>
      </c>
      <c r="M60">
        <v>3</v>
      </c>
      <c r="N60">
        <v>0</v>
      </c>
    </row>
    <row r="61" spans="1:14" x14ac:dyDescent="0.45">
      <c r="A61" t="s">
        <v>22</v>
      </c>
      <c r="B61" t="s">
        <v>628</v>
      </c>
      <c r="C61" t="s">
        <v>20</v>
      </c>
      <c r="D61" t="s">
        <v>382</v>
      </c>
      <c r="E61">
        <v>4</v>
      </c>
      <c r="F61">
        <v>0</v>
      </c>
      <c r="G61">
        <v>48</v>
      </c>
      <c r="H61">
        <v>1</v>
      </c>
      <c r="I61">
        <v>12</v>
      </c>
      <c r="J61">
        <v>7</v>
      </c>
      <c r="K61">
        <v>8</v>
      </c>
      <c r="L61">
        <v>1</v>
      </c>
      <c r="M61">
        <v>1</v>
      </c>
      <c r="N61">
        <v>0</v>
      </c>
    </row>
    <row r="62" spans="1:14" x14ac:dyDescent="0.45">
      <c r="A62" t="s">
        <v>22</v>
      </c>
      <c r="B62" t="s">
        <v>628</v>
      </c>
      <c r="C62" t="s">
        <v>20</v>
      </c>
      <c r="D62" t="s">
        <v>379</v>
      </c>
      <c r="E62">
        <v>4</v>
      </c>
      <c r="F62">
        <v>0</v>
      </c>
      <c r="G62">
        <v>40</v>
      </c>
      <c r="H62">
        <v>2</v>
      </c>
      <c r="I62">
        <v>10</v>
      </c>
      <c r="J62">
        <v>5</v>
      </c>
      <c r="K62">
        <v>2</v>
      </c>
      <c r="L62">
        <v>3</v>
      </c>
      <c r="M62">
        <v>0</v>
      </c>
      <c r="N62">
        <v>0</v>
      </c>
    </row>
    <row r="63" spans="1:14" x14ac:dyDescent="0.45">
      <c r="A63" t="s">
        <v>22</v>
      </c>
      <c r="B63" t="s">
        <v>628</v>
      </c>
      <c r="C63" t="s">
        <v>20</v>
      </c>
      <c r="D63" t="s">
        <v>373</v>
      </c>
      <c r="E63">
        <v>1</v>
      </c>
      <c r="F63">
        <v>0</v>
      </c>
      <c r="G63">
        <v>4</v>
      </c>
      <c r="H63">
        <v>2</v>
      </c>
      <c r="I63">
        <v>4</v>
      </c>
      <c r="J63">
        <v>4</v>
      </c>
      <c r="K63">
        <v>0</v>
      </c>
      <c r="L63">
        <v>0</v>
      </c>
      <c r="M63">
        <v>1</v>
      </c>
      <c r="N63">
        <v>0</v>
      </c>
    </row>
    <row r="64" spans="1:14" x14ac:dyDescent="0.45">
      <c r="A64" t="s">
        <v>22</v>
      </c>
      <c r="B64" t="s">
        <v>628</v>
      </c>
      <c r="C64" t="s">
        <v>19</v>
      </c>
      <c r="D64" t="s">
        <v>370</v>
      </c>
      <c r="E64">
        <v>4</v>
      </c>
      <c r="F64">
        <v>0</v>
      </c>
      <c r="G64">
        <v>30</v>
      </c>
      <c r="H64">
        <v>1</v>
      </c>
      <c r="I64">
        <v>7.5</v>
      </c>
      <c r="J64">
        <v>8</v>
      </c>
      <c r="K64">
        <v>4</v>
      </c>
      <c r="L64">
        <v>0</v>
      </c>
      <c r="M64">
        <v>0</v>
      </c>
      <c r="N64">
        <v>0</v>
      </c>
    </row>
    <row r="65" spans="1:14" x14ac:dyDescent="0.45">
      <c r="A65" t="s">
        <v>22</v>
      </c>
      <c r="B65" t="s">
        <v>628</v>
      </c>
      <c r="C65" t="s">
        <v>19</v>
      </c>
      <c r="D65" t="s">
        <v>369</v>
      </c>
      <c r="E65">
        <v>4</v>
      </c>
      <c r="F65">
        <v>0</v>
      </c>
      <c r="G65">
        <v>39</v>
      </c>
      <c r="H65">
        <v>2</v>
      </c>
      <c r="I65">
        <v>9.75</v>
      </c>
      <c r="J65">
        <v>8</v>
      </c>
      <c r="K65">
        <v>4</v>
      </c>
      <c r="L65">
        <v>0</v>
      </c>
      <c r="M65">
        <v>3</v>
      </c>
      <c r="N65">
        <v>0</v>
      </c>
    </row>
    <row r="66" spans="1:14" x14ac:dyDescent="0.45">
      <c r="A66" t="s">
        <v>22</v>
      </c>
      <c r="B66" t="s">
        <v>628</v>
      </c>
      <c r="C66" t="s">
        <v>19</v>
      </c>
      <c r="D66" t="s">
        <v>368</v>
      </c>
      <c r="E66">
        <v>4</v>
      </c>
      <c r="F66">
        <v>0</v>
      </c>
      <c r="G66">
        <v>38</v>
      </c>
      <c r="H66">
        <v>1</v>
      </c>
      <c r="I66">
        <v>9.5</v>
      </c>
      <c r="J66">
        <v>3</v>
      </c>
      <c r="K66">
        <v>3</v>
      </c>
      <c r="L66">
        <v>1</v>
      </c>
      <c r="M66">
        <v>0</v>
      </c>
      <c r="N66">
        <v>0</v>
      </c>
    </row>
    <row r="67" spans="1:14" x14ac:dyDescent="0.45">
      <c r="A67" t="s">
        <v>22</v>
      </c>
      <c r="B67" t="s">
        <v>628</v>
      </c>
      <c r="C67" t="s">
        <v>19</v>
      </c>
      <c r="D67" t="s">
        <v>367</v>
      </c>
      <c r="E67">
        <v>4</v>
      </c>
      <c r="F67">
        <v>0</v>
      </c>
      <c r="G67">
        <v>40</v>
      </c>
      <c r="H67">
        <v>2</v>
      </c>
      <c r="I67">
        <v>10</v>
      </c>
      <c r="J67">
        <v>7</v>
      </c>
      <c r="K67">
        <v>6</v>
      </c>
      <c r="L67">
        <v>1</v>
      </c>
      <c r="M67">
        <v>0</v>
      </c>
      <c r="N67">
        <v>0</v>
      </c>
    </row>
    <row r="68" spans="1:14" x14ac:dyDescent="0.45">
      <c r="A68" t="s">
        <v>22</v>
      </c>
      <c r="B68" t="s">
        <v>628</v>
      </c>
      <c r="C68" t="s">
        <v>19</v>
      </c>
      <c r="D68" t="s">
        <v>365</v>
      </c>
      <c r="E68">
        <v>3</v>
      </c>
      <c r="F68">
        <v>0</v>
      </c>
      <c r="G68">
        <v>28</v>
      </c>
      <c r="H68">
        <v>2</v>
      </c>
      <c r="I68">
        <v>9.33</v>
      </c>
      <c r="J68">
        <v>5</v>
      </c>
      <c r="K68">
        <v>3</v>
      </c>
      <c r="L68">
        <v>1</v>
      </c>
      <c r="M68">
        <v>0</v>
      </c>
      <c r="N68">
        <v>0</v>
      </c>
    </row>
    <row r="69" spans="1:14" x14ac:dyDescent="0.45">
      <c r="A69" t="s">
        <v>22</v>
      </c>
      <c r="B69" t="s">
        <v>628</v>
      </c>
      <c r="C69" t="s">
        <v>19</v>
      </c>
      <c r="D69" t="s">
        <v>366</v>
      </c>
      <c r="E69">
        <v>1</v>
      </c>
      <c r="F69">
        <v>0</v>
      </c>
      <c r="G69">
        <v>16</v>
      </c>
      <c r="H69">
        <v>0</v>
      </c>
      <c r="I69">
        <v>16</v>
      </c>
      <c r="J69">
        <v>1</v>
      </c>
      <c r="K69">
        <v>1</v>
      </c>
      <c r="L69">
        <v>1</v>
      </c>
      <c r="M69">
        <v>0</v>
      </c>
      <c r="N69">
        <v>1</v>
      </c>
    </row>
    <row r="70" spans="1:14" x14ac:dyDescent="0.45">
      <c r="A70" t="s">
        <v>25</v>
      </c>
      <c r="B70" t="s">
        <v>629</v>
      </c>
      <c r="C70" t="s">
        <v>23</v>
      </c>
      <c r="D70" t="s">
        <v>392</v>
      </c>
      <c r="E70">
        <v>4</v>
      </c>
      <c r="F70">
        <v>0</v>
      </c>
      <c r="G70">
        <v>35</v>
      </c>
      <c r="H70">
        <v>0</v>
      </c>
      <c r="I70">
        <v>8.75</v>
      </c>
      <c r="J70">
        <v>8</v>
      </c>
      <c r="K70">
        <v>2</v>
      </c>
      <c r="L70">
        <v>2</v>
      </c>
      <c r="M70">
        <v>1</v>
      </c>
      <c r="N70">
        <v>0</v>
      </c>
    </row>
    <row r="71" spans="1:14" x14ac:dyDescent="0.45">
      <c r="A71" t="s">
        <v>25</v>
      </c>
      <c r="B71" t="s">
        <v>629</v>
      </c>
      <c r="C71" t="s">
        <v>23</v>
      </c>
      <c r="D71" t="s">
        <v>391</v>
      </c>
      <c r="E71">
        <v>4</v>
      </c>
      <c r="F71">
        <v>0</v>
      </c>
      <c r="G71">
        <v>28</v>
      </c>
      <c r="H71">
        <v>1</v>
      </c>
      <c r="I71">
        <v>7</v>
      </c>
      <c r="J71">
        <v>12</v>
      </c>
      <c r="K71">
        <v>2</v>
      </c>
      <c r="L71">
        <v>1</v>
      </c>
      <c r="M71">
        <v>3</v>
      </c>
      <c r="N71">
        <v>0</v>
      </c>
    </row>
    <row r="72" spans="1:14" x14ac:dyDescent="0.45">
      <c r="A72" t="s">
        <v>25</v>
      </c>
      <c r="B72" t="s">
        <v>629</v>
      </c>
      <c r="C72" t="s">
        <v>23</v>
      </c>
      <c r="D72" t="s">
        <v>394</v>
      </c>
      <c r="E72">
        <v>4</v>
      </c>
      <c r="F72">
        <v>0</v>
      </c>
      <c r="G72">
        <v>23</v>
      </c>
      <c r="H72">
        <v>1</v>
      </c>
      <c r="I72">
        <v>5.75</v>
      </c>
      <c r="J72">
        <v>12</v>
      </c>
      <c r="K72">
        <v>2</v>
      </c>
      <c r="L72">
        <v>1</v>
      </c>
      <c r="M72">
        <v>0</v>
      </c>
      <c r="N72">
        <v>0</v>
      </c>
    </row>
    <row r="73" spans="1:14" x14ac:dyDescent="0.45">
      <c r="A73" t="s">
        <v>25</v>
      </c>
      <c r="B73" t="s">
        <v>629</v>
      </c>
      <c r="C73" t="s">
        <v>23</v>
      </c>
      <c r="D73" t="s">
        <v>396</v>
      </c>
      <c r="E73">
        <v>4</v>
      </c>
      <c r="F73">
        <v>0</v>
      </c>
      <c r="G73">
        <v>31</v>
      </c>
      <c r="H73">
        <v>0</v>
      </c>
      <c r="I73">
        <v>7.75</v>
      </c>
      <c r="J73">
        <v>8</v>
      </c>
      <c r="K73">
        <v>2</v>
      </c>
      <c r="L73">
        <v>1</v>
      </c>
      <c r="M73">
        <v>1</v>
      </c>
      <c r="N73">
        <v>0</v>
      </c>
    </row>
    <row r="74" spans="1:14" x14ac:dyDescent="0.45">
      <c r="A74" t="s">
        <v>25</v>
      </c>
      <c r="B74" t="s">
        <v>629</v>
      </c>
      <c r="C74" t="s">
        <v>23</v>
      </c>
      <c r="D74" t="s">
        <v>387</v>
      </c>
      <c r="E74">
        <v>2</v>
      </c>
      <c r="F74">
        <v>0</v>
      </c>
      <c r="G74">
        <v>18</v>
      </c>
      <c r="H74">
        <v>0</v>
      </c>
      <c r="I74">
        <v>9</v>
      </c>
      <c r="J74">
        <v>1</v>
      </c>
      <c r="K74">
        <v>2</v>
      </c>
      <c r="L74">
        <v>0</v>
      </c>
      <c r="M74">
        <v>0</v>
      </c>
      <c r="N74">
        <v>0</v>
      </c>
    </row>
    <row r="75" spans="1:14" x14ac:dyDescent="0.45">
      <c r="A75" t="s">
        <v>25</v>
      </c>
      <c r="B75" t="s">
        <v>629</v>
      </c>
      <c r="C75" t="s">
        <v>23</v>
      </c>
      <c r="D75" t="s">
        <v>390</v>
      </c>
      <c r="E75">
        <v>1</v>
      </c>
      <c r="F75">
        <v>0</v>
      </c>
      <c r="G75">
        <v>11</v>
      </c>
      <c r="H75">
        <v>1</v>
      </c>
      <c r="I75">
        <v>11</v>
      </c>
      <c r="J75">
        <v>1</v>
      </c>
      <c r="K75">
        <v>0</v>
      </c>
      <c r="L75">
        <v>1</v>
      </c>
      <c r="M75">
        <v>1</v>
      </c>
      <c r="N75">
        <v>0</v>
      </c>
    </row>
    <row r="76" spans="1:14" x14ac:dyDescent="0.45">
      <c r="A76" t="s">
        <v>25</v>
      </c>
      <c r="B76" t="s">
        <v>629</v>
      </c>
      <c r="C76" t="s">
        <v>23</v>
      </c>
      <c r="D76" t="s">
        <v>389</v>
      </c>
      <c r="E76">
        <v>1</v>
      </c>
      <c r="F76">
        <v>0</v>
      </c>
      <c r="G76">
        <v>17</v>
      </c>
      <c r="H76">
        <v>1</v>
      </c>
      <c r="I76">
        <v>17</v>
      </c>
      <c r="J76">
        <v>1</v>
      </c>
      <c r="K76">
        <v>2</v>
      </c>
      <c r="L76">
        <v>1</v>
      </c>
      <c r="M76">
        <v>1</v>
      </c>
      <c r="N76">
        <v>0</v>
      </c>
    </row>
    <row r="77" spans="1:14" x14ac:dyDescent="0.45">
      <c r="A77" t="s">
        <v>25</v>
      </c>
      <c r="B77" t="s">
        <v>629</v>
      </c>
      <c r="C77" t="s">
        <v>7</v>
      </c>
      <c r="D77" t="s">
        <v>313</v>
      </c>
      <c r="E77">
        <v>1</v>
      </c>
      <c r="F77">
        <v>0</v>
      </c>
      <c r="G77">
        <v>1</v>
      </c>
      <c r="H77">
        <v>1</v>
      </c>
      <c r="I77">
        <v>1</v>
      </c>
      <c r="J77">
        <v>5</v>
      </c>
      <c r="K77">
        <v>0</v>
      </c>
      <c r="L77">
        <v>0</v>
      </c>
      <c r="M77">
        <v>0</v>
      </c>
      <c r="N77">
        <v>0</v>
      </c>
    </row>
    <row r="78" spans="1:14" x14ac:dyDescent="0.45">
      <c r="A78" t="s">
        <v>25</v>
      </c>
      <c r="B78" t="s">
        <v>629</v>
      </c>
      <c r="C78" t="s">
        <v>7</v>
      </c>
      <c r="D78" t="s">
        <v>320</v>
      </c>
      <c r="E78">
        <v>3.1</v>
      </c>
      <c r="F78">
        <v>0</v>
      </c>
      <c r="G78">
        <v>21</v>
      </c>
      <c r="H78">
        <v>4</v>
      </c>
      <c r="I78">
        <v>6.63</v>
      </c>
      <c r="J78">
        <v>10</v>
      </c>
      <c r="K78">
        <v>3</v>
      </c>
      <c r="L78">
        <v>0</v>
      </c>
      <c r="M78">
        <v>0</v>
      </c>
      <c r="N78">
        <v>0</v>
      </c>
    </row>
    <row r="79" spans="1:14" x14ac:dyDescent="0.45">
      <c r="A79" t="s">
        <v>25</v>
      </c>
      <c r="B79" t="s">
        <v>629</v>
      </c>
      <c r="C79" t="s">
        <v>7</v>
      </c>
      <c r="D79" t="s">
        <v>308</v>
      </c>
      <c r="E79">
        <v>4</v>
      </c>
      <c r="F79">
        <v>0</v>
      </c>
      <c r="G79">
        <v>30</v>
      </c>
      <c r="H79">
        <v>0</v>
      </c>
      <c r="I79">
        <v>7.5</v>
      </c>
      <c r="J79">
        <v>12</v>
      </c>
      <c r="K79">
        <v>1</v>
      </c>
      <c r="L79">
        <v>3</v>
      </c>
      <c r="M79">
        <v>0</v>
      </c>
      <c r="N79">
        <v>0</v>
      </c>
    </row>
    <row r="80" spans="1:14" x14ac:dyDescent="0.45">
      <c r="A80" t="s">
        <v>25</v>
      </c>
      <c r="B80" t="s">
        <v>629</v>
      </c>
      <c r="C80" t="s">
        <v>7</v>
      </c>
      <c r="D80" t="s">
        <v>317</v>
      </c>
      <c r="E80">
        <v>4</v>
      </c>
      <c r="F80">
        <v>0</v>
      </c>
      <c r="G80">
        <v>18</v>
      </c>
      <c r="H80">
        <v>3</v>
      </c>
      <c r="I80">
        <v>4.5</v>
      </c>
      <c r="J80">
        <v>17</v>
      </c>
      <c r="K80">
        <v>3</v>
      </c>
      <c r="L80">
        <v>0</v>
      </c>
      <c r="M80">
        <v>0</v>
      </c>
      <c r="N80">
        <v>0</v>
      </c>
    </row>
    <row r="81" spans="1:14" x14ac:dyDescent="0.45">
      <c r="A81" t="s">
        <v>25</v>
      </c>
      <c r="B81" t="s">
        <v>629</v>
      </c>
      <c r="C81" t="s">
        <v>7</v>
      </c>
      <c r="D81" t="s">
        <v>322</v>
      </c>
      <c r="E81">
        <v>4</v>
      </c>
      <c r="F81">
        <v>0</v>
      </c>
      <c r="G81">
        <v>14</v>
      </c>
      <c r="H81">
        <v>1</v>
      </c>
      <c r="I81">
        <v>3.5</v>
      </c>
      <c r="J81">
        <v>16</v>
      </c>
      <c r="K81">
        <v>0</v>
      </c>
      <c r="L81">
        <v>1</v>
      </c>
      <c r="M81">
        <v>0</v>
      </c>
      <c r="N81">
        <v>0</v>
      </c>
    </row>
    <row r="82" spans="1:14" x14ac:dyDescent="0.45">
      <c r="A82" t="s">
        <v>28</v>
      </c>
      <c r="B82" t="s">
        <v>630</v>
      </c>
      <c r="C82" t="s">
        <v>26</v>
      </c>
      <c r="D82" t="s">
        <v>403</v>
      </c>
      <c r="E82">
        <v>4</v>
      </c>
      <c r="F82">
        <v>0</v>
      </c>
      <c r="G82">
        <v>22</v>
      </c>
      <c r="H82">
        <v>1</v>
      </c>
      <c r="I82">
        <v>5.5</v>
      </c>
      <c r="J82">
        <v>14</v>
      </c>
      <c r="K82">
        <v>2</v>
      </c>
      <c r="L82">
        <v>1</v>
      </c>
      <c r="M82">
        <v>1</v>
      </c>
      <c r="N82">
        <v>0</v>
      </c>
    </row>
    <row r="83" spans="1:14" x14ac:dyDescent="0.45">
      <c r="A83" t="s">
        <v>28</v>
      </c>
      <c r="B83" t="s">
        <v>630</v>
      </c>
      <c r="C83" t="s">
        <v>26</v>
      </c>
      <c r="D83" t="s">
        <v>404</v>
      </c>
      <c r="E83">
        <v>4</v>
      </c>
      <c r="F83">
        <v>0</v>
      </c>
      <c r="G83">
        <v>22</v>
      </c>
      <c r="H83">
        <v>0</v>
      </c>
      <c r="I83">
        <v>5.5</v>
      </c>
      <c r="J83">
        <v>12</v>
      </c>
      <c r="K83">
        <v>2</v>
      </c>
      <c r="L83">
        <v>0</v>
      </c>
      <c r="M83">
        <v>2</v>
      </c>
      <c r="N83">
        <v>0</v>
      </c>
    </row>
    <row r="84" spans="1:14" x14ac:dyDescent="0.45">
      <c r="A84" t="s">
        <v>28</v>
      </c>
      <c r="B84" t="s">
        <v>630</v>
      </c>
      <c r="C84" t="s">
        <v>26</v>
      </c>
      <c r="D84" t="s">
        <v>405</v>
      </c>
      <c r="E84">
        <v>4</v>
      </c>
      <c r="F84">
        <v>0</v>
      </c>
      <c r="G84">
        <v>35</v>
      </c>
      <c r="H84">
        <v>2</v>
      </c>
      <c r="I84">
        <v>8.75</v>
      </c>
      <c r="J84">
        <v>6</v>
      </c>
      <c r="K84">
        <v>3</v>
      </c>
      <c r="L84">
        <v>1</v>
      </c>
      <c r="M84">
        <v>1</v>
      </c>
      <c r="N84">
        <v>0</v>
      </c>
    </row>
    <row r="85" spans="1:14" x14ac:dyDescent="0.45">
      <c r="A85" t="s">
        <v>28</v>
      </c>
      <c r="B85" t="s">
        <v>630</v>
      </c>
      <c r="C85" t="s">
        <v>26</v>
      </c>
      <c r="D85" t="s">
        <v>406</v>
      </c>
      <c r="E85">
        <v>3</v>
      </c>
      <c r="F85">
        <v>0</v>
      </c>
      <c r="G85">
        <v>20</v>
      </c>
      <c r="H85">
        <v>2</v>
      </c>
      <c r="I85">
        <v>6.66</v>
      </c>
      <c r="J85">
        <v>6</v>
      </c>
      <c r="K85">
        <v>2</v>
      </c>
      <c r="L85">
        <v>0</v>
      </c>
      <c r="M85">
        <v>1</v>
      </c>
      <c r="N85">
        <v>0</v>
      </c>
    </row>
    <row r="86" spans="1:14" x14ac:dyDescent="0.45">
      <c r="A86" t="s">
        <v>28</v>
      </c>
      <c r="B86" t="s">
        <v>630</v>
      </c>
      <c r="C86" t="s">
        <v>26</v>
      </c>
      <c r="D86" t="s">
        <v>407</v>
      </c>
      <c r="E86">
        <v>4</v>
      </c>
      <c r="F86">
        <v>0</v>
      </c>
      <c r="G86">
        <v>25</v>
      </c>
      <c r="H86">
        <v>1</v>
      </c>
      <c r="I86">
        <v>6.25</v>
      </c>
      <c r="J86">
        <v>10</v>
      </c>
      <c r="K86">
        <v>3</v>
      </c>
      <c r="L86">
        <v>0</v>
      </c>
      <c r="M86">
        <v>1</v>
      </c>
      <c r="N86">
        <v>0</v>
      </c>
    </row>
    <row r="87" spans="1:14" x14ac:dyDescent="0.45">
      <c r="A87" t="s">
        <v>28</v>
      </c>
      <c r="B87" t="s">
        <v>630</v>
      </c>
      <c r="C87" t="s">
        <v>26</v>
      </c>
      <c r="D87" t="s">
        <v>402</v>
      </c>
      <c r="E87">
        <v>1</v>
      </c>
      <c r="F87">
        <v>0</v>
      </c>
      <c r="G87">
        <v>9</v>
      </c>
      <c r="H87">
        <v>0</v>
      </c>
      <c r="I87">
        <v>9</v>
      </c>
      <c r="J87">
        <v>1</v>
      </c>
      <c r="K87">
        <v>1</v>
      </c>
      <c r="L87">
        <v>0</v>
      </c>
      <c r="M87">
        <v>1</v>
      </c>
      <c r="N87">
        <v>0</v>
      </c>
    </row>
    <row r="88" spans="1:14" x14ac:dyDescent="0.45">
      <c r="A88" t="s">
        <v>28</v>
      </c>
      <c r="B88" t="s">
        <v>630</v>
      </c>
      <c r="C88" t="s">
        <v>6</v>
      </c>
      <c r="D88" t="s">
        <v>324</v>
      </c>
      <c r="E88">
        <v>4</v>
      </c>
      <c r="F88">
        <v>0</v>
      </c>
      <c r="G88">
        <v>48</v>
      </c>
      <c r="H88">
        <v>1</v>
      </c>
      <c r="I88">
        <v>12</v>
      </c>
      <c r="J88">
        <v>5</v>
      </c>
      <c r="K88">
        <v>3</v>
      </c>
      <c r="L88">
        <v>3</v>
      </c>
      <c r="M88">
        <v>3</v>
      </c>
      <c r="N88">
        <v>0</v>
      </c>
    </row>
    <row r="89" spans="1:14" x14ac:dyDescent="0.45">
      <c r="A89" t="s">
        <v>28</v>
      </c>
      <c r="B89" t="s">
        <v>630</v>
      </c>
      <c r="C89" t="s">
        <v>6</v>
      </c>
      <c r="D89" t="s">
        <v>325</v>
      </c>
      <c r="E89">
        <v>3</v>
      </c>
      <c r="F89">
        <v>0</v>
      </c>
      <c r="G89">
        <v>22</v>
      </c>
      <c r="H89">
        <v>0</v>
      </c>
      <c r="I89">
        <v>7.33</v>
      </c>
      <c r="J89">
        <v>10</v>
      </c>
      <c r="K89">
        <v>3</v>
      </c>
      <c r="L89">
        <v>1</v>
      </c>
      <c r="M89">
        <v>0</v>
      </c>
      <c r="N89">
        <v>0</v>
      </c>
    </row>
    <row r="90" spans="1:14" x14ac:dyDescent="0.45">
      <c r="A90" t="s">
        <v>28</v>
      </c>
      <c r="B90" t="s">
        <v>630</v>
      </c>
      <c r="C90" t="s">
        <v>6</v>
      </c>
      <c r="D90" t="s">
        <v>326</v>
      </c>
      <c r="E90">
        <v>3</v>
      </c>
      <c r="F90">
        <v>0</v>
      </c>
      <c r="G90">
        <v>28</v>
      </c>
      <c r="H90">
        <v>3</v>
      </c>
      <c r="I90">
        <v>9.33</v>
      </c>
      <c r="J90">
        <v>10</v>
      </c>
      <c r="K90">
        <v>3</v>
      </c>
      <c r="L90">
        <v>2</v>
      </c>
      <c r="M90">
        <v>0</v>
      </c>
      <c r="N90">
        <v>0</v>
      </c>
    </row>
    <row r="91" spans="1:14" x14ac:dyDescent="0.45">
      <c r="A91" t="s">
        <v>28</v>
      </c>
      <c r="B91" t="s">
        <v>630</v>
      </c>
      <c r="C91" t="s">
        <v>6</v>
      </c>
      <c r="D91" t="s">
        <v>328</v>
      </c>
      <c r="E91">
        <v>1</v>
      </c>
      <c r="F91">
        <v>0</v>
      </c>
      <c r="G91">
        <v>9</v>
      </c>
      <c r="H91">
        <v>0</v>
      </c>
      <c r="I91">
        <v>9</v>
      </c>
      <c r="J91">
        <v>2</v>
      </c>
      <c r="K91">
        <v>0</v>
      </c>
      <c r="L91">
        <v>1</v>
      </c>
      <c r="M91">
        <v>0</v>
      </c>
      <c r="N91">
        <v>0</v>
      </c>
    </row>
    <row r="92" spans="1:14" x14ac:dyDescent="0.45">
      <c r="A92" t="s">
        <v>28</v>
      </c>
      <c r="B92" t="s">
        <v>630</v>
      </c>
      <c r="C92" t="s">
        <v>6</v>
      </c>
      <c r="D92" t="s">
        <v>327</v>
      </c>
      <c r="E92">
        <v>2</v>
      </c>
      <c r="F92">
        <v>0</v>
      </c>
      <c r="G92">
        <v>32</v>
      </c>
      <c r="H92">
        <v>0</v>
      </c>
      <c r="I92">
        <v>16</v>
      </c>
      <c r="J92">
        <v>0</v>
      </c>
      <c r="K92">
        <v>0</v>
      </c>
      <c r="L92">
        <v>3</v>
      </c>
      <c r="M92">
        <v>2</v>
      </c>
      <c r="N92">
        <v>0</v>
      </c>
    </row>
    <row r="93" spans="1:14" x14ac:dyDescent="0.45">
      <c r="A93" t="s">
        <v>30</v>
      </c>
      <c r="B93" t="s">
        <v>631</v>
      </c>
      <c r="C93" t="s">
        <v>13</v>
      </c>
      <c r="D93" t="s">
        <v>352</v>
      </c>
      <c r="E93">
        <v>3</v>
      </c>
      <c r="F93">
        <v>0</v>
      </c>
      <c r="G93">
        <v>17</v>
      </c>
      <c r="H93">
        <v>0</v>
      </c>
      <c r="I93">
        <v>5.66</v>
      </c>
      <c r="J93">
        <v>11</v>
      </c>
      <c r="K93">
        <v>3</v>
      </c>
      <c r="L93">
        <v>0</v>
      </c>
      <c r="M93">
        <v>1</v>
      </c>
      <c r="N93">
        <v>0</v>
      </c>
    </row>
    <row r="94" spans="1:14" x14ac:dyDescent="0.45">
      <c r="A94" t="s">
        <v>30</v>
      </c>
      <c r="B94" t="s">
        <v>631</v>
      </c>
      <c r="C94" t="s">
        <v>13</v>
      </c>
      <c r="D94" t="s">
        <v>350</v>
      </c>
      <c r="E94">
        <v>2</v>
      </c>
      <c r="F94">
        <v>0</v>
      </c>
      <c r="G94">
        <v>29</v>
      </c>
      <c r="H94">
        <v>1</v>
      </c>
      <c r="I94">
        <v>14.5</v>
      </c>
      <c r="J94">
        <v>3</v>
      </c>
      <c r="K94">
        <v>4</v>
      </c>
      <c r="L94">
        <v>1</v>
      </c>
      <c r="M94">
        <v>2</v>
      </c>
      <c r="N94">
        <v>0</v>
      </c>
    </row>
    <row r="95" spans="1:14" x14ac:dyDescent="0.45">
      <c r="A95" t="s">
        <v>30</v>
      </c>
      <c r="B95" t="s">
        <v>631</v>
      </c>
      <c r="C95" t="s">
        <v>13</v>
      </c>
      <c r="D95" t="s">
        <v>347</v>
      </c>
      <c r="E95">
        <v>4</v>
      </c>
      <c r="F95">
        <v>0</v>
      </c>
      <c r="G95">
        <v>21</v>
      </c>
      <c r="H95">
        <v>0</v>
      </c>
      <c r="I95">
        <v>5.25</v>
      </c>
      <c r="J95">
        <v>7</v>
      </c>
      <c r="K95">
        <v>1</v>
      </c>
      <c r="L95">
        <v>0</v>
      </c>
      <c r="M95">
        <v>0</v>
      </c>
      <c r="N95">
        <v>0</v>
      </c>
    </row>
    <row r="96" spans="1:14" x14ac:dyDescent="0.45">
      <c r="A96" t="s">
        <v>30</v>
      </c>
      <c r="B96" t="s">
        <v>631</v>
      </c>
      <c r="C96" t="s">
        <v>13</v>
      </c>
      <c r="D96" t="s">
        <v>349</v>
      </c>
      <c r="E96">
        <v>4</v>
      </c>
      <c r="F96">
        <v>0</v>
      </c>
      <c r="G96">
        <v>33</v>
      </c>
      <c r="H96">
        <v>3</v>
      </c>
      <c r="I96">
        <v>8.25</v>
      </c>
      <c r="J96">
        <v>8</v>
      </c>
      <c r="K96">
        <v>4</v>
      </c>
      <c r="L96">
        <v>0</v>
      </c>
      <c r="M96">
        <v>0</v>
      </c>
      <c r="N96">
        <v>1</v>
      </c>
    </row>
    <row r="97" spans="1:14" x14ac:dyDescent="0.45">
      <c r="A97" t="s">
        <v>30</v>
      </c>
      <c r="B97" t="s">
        <v>631</v>
      </c>
      <c r="C97" t="s">
        <v>13</v>
      </c>
      <c r="D97" t="s">
        <v>353</v>
      </c>
      <c r="E97">
        <v>4</v>
      </c>
      <c r="F97">
        <v>0</v>
      </c>
      <c r="G97">
        <v>27</v>
      </c>
      <c r="H97">
        <v>1</v>
      </c>
      <c r="I97">
        <v>6.75</v>
      </c>
      <c r="J97">
        <v>9</v>
      </c>
      <c r="K97">
        <v>1</v>
      </c>
      <c r="L97">
        <v>1</v>
      </c>
      <c r="M97">
        <v>0</v>
      </c>
      <c r="N97">
        <v>0</v>
      </c>
    </row>
    <row r="98" spans="1:14" x14ac:dyDescent="0.45">
      <c r="A98" t="s">
        <v>30</v>
      </c>
      <c r="B98" t="s">
        <v>631</v>
      </c>
      <c r="C98" t="s">
        <v>13</v>
      </c>
      <c r="D98" t="s">
        <v>348</v>
      </c>
      <c r="E98">
        <v>3</v>
      </c>
      <c r="F98">
        <v>0</v>
      </c>
      <c r="G98">
        <v>14</v>
      </c>
      <c r="H98">
        <v>2</v>
      </c>
      <c r="I98">
        <v>4.66</v>
      </c>
      <c r="J98">
        <v>8</v>
      </c>
      <c r="K98">
        <v>1</v>
      </c>
      <c r="L98">
        <v>0</v>
      </c>
      <c r="M98">
        <v>0</v>
      </c>
      <c r="N98">
        <v>0</v>
      </c>
    </row>
    <row r="99" spans="1:14" x14ac:dyDescent="0.45">
      <c r="A99" t="s">
        <v>30</v>
      </c>
      <c r="B99" t="s">
        <v>631</v>
      </c>
      <c r="C99" t="s">
        <v>20</v>
      </c>
      <c r="D99" t="s">
        <v>409</v>
      </c>
      <c r="E99">
        <v>4</v>
      </c>
      <c r="F99">
        <v>0</v>
      </c>
      <c r="G99">
        <v>25</v>
      </c>
      <c r="H99">
        <v>1</v>
      </c>
      <c r="I99">
        <v>6.25</v>
      </c>
      <c r="J99">
        <v>11</v>
      </c>
      <c r="K99">
        <v>2</v>
      </c>
      <c r="L99">
        <v>1</v>
      </c>
      <c r="M99">
        <v>0</v>
      </c>
      <c r="N99">
        <v>0</v>
      </c>
    </row>
    <row r="100" spans="1:14" x14ac:dyDescent="0.45">
      <c r="A100" t="s">
        <v>30</v>
      </c>
      <c r="B100" t="s">
        <v>631</v>
      </c>
      <c r="C100" t="s">
        <v>20</v>
      </c>
      <c r="D100" t="s">
        <v>378</v>
      </c>
      <c r="E100">
        <v>4</v>
      </c>
      <c r="F100">
        <v>0</v>
      </c>
      <c r="G100">
        <v>27</v>
      </c>
      <c r="H100">
        <v>1</v>
      </c>
      <c r="I100">
        <v>6.75</v>
      </c>
      <c r="J100">
        <v>11</v>
      </c>
      <c r="K100">
        <v>3</v>
      </c>
      <c r="L100">
        <v>0</v>
      </c>
      <c r="M100">
        <v>2</v>
      </c>
      <c r="N100">
        <v>0</v>
      </c>
    </row>
    <row r="101" spans="1:14" x14ac:dyDescent="0.45">
      <c r="A101" t="s">
        <v>30</v>
      </c>
      <c r="B101" t="s">
        <v>631</v>
      </c>
      <c r="C101" t="s">
        <v>20</v>
      </c>
      <c r="D101" t="s">
        <v>381</v>
      </c>
      <c r="E101">
        <v>4</v>
      </c>
      <c r="F101">
        <v>1</v>
      </c>
      <c r="G101">
        <v>24</v>
      </c>
      <c r="H101">
        <v>1</v>
      </c>
      <c r="I101">
        <v>6</v>
      </c>
      <c r="J101">
        <v>12</v>
      </c>
      <c r="K101">
        <v>2</v>
      </c>
      <c r="L101">
        <v>1</v>
      </c>
      <c r="M101">
        <v>0</v>
      </c>
      <c r="N101">
        <v>0</v>
      </c>
    </row>
    <row r="102" spans="1:14" x14ac:dyDescent="0.45">
      <c r="A102" t="s">
        <v>30</v>
      </c>
      <c r="B102" t="s">
        <v>631</v>
      </c>
      <c r="C102" t="s">
        <v>20</v>
      </c>
      <c r="D102" t="s">
        <v>382</v>
      </c>
      <c r="E102">
        <v>4</v>
      </c>
      <c r="F102">
        <v>0</v>
      </c>
      <c r="G102">
        <v>21</v>
      </c>
      <c r="H102">
        <v>1</v>
      </c>
      <c r="I102">
        <v>5.25</v>
      </c>
      <c r="J102">
        <v>11</v>
      </c>
      <c r="K102">
        <v>2</v>
      </c>
      <c r="L102">
        <v>0</v>
      </c>
      <c r="M102">
        <v>0</v>
      </c>
      <c r="N102">
        <v>0</v>
      </c>
    </row>
    <row r="103" spans="1:14" x14ac:dyDescent="0.45">
      <c r="A103" t="s">
        <v>30</v>
      </c>
      <c r="B103" t="s">
        <v>631</v>
      </c>
      <c r="C103" t="s">
        <v>20</v>
      </c>
      <c r="D103" t="s">
        <v>379</v>
      </c>
      <c r="E103">
        <v>4</v>
      </c>
      <c r="F103">
        <v>0</v>
      </c>
      <c r="G103">
        <v>39</v>
      </c>
      <c r="H103">
        <v>1</v>
      </c>
      <c r="I103">
        <v>9.75</v>
      </c>
      <c r="J103">
        <v>7</v>
      </c>
      <c r="K103">
        <v>3</v>
      </c>
      <c r="L103">
        <v>2</v>
      </c>
      <c r="M103">
        <v>0</v>
      </c>
      <c r="N103">
        <v>0</v>
      </c>
    </row>
    <row r="104" spans="1:14" x14ac:dyDescent="0.45">
      <c r="A104" t="s">
        <v>32</v>
      </c>
      <c r="B104" t="s">
        <v>632</v>
      </c>
      <c r="C104" t="s">
        <v>19</v>
      </c>
      <c r="D104" t="s">
        <v>370</v>
      </c>
      <c r="E104">
        <v>4</v>
      </c>
      <c r="F104">
        <v>0</v>
      </c>
      <c r="G104">
        <v>24</v>
      </c>
      <c r="H104">
        <v>0</v>
      </c>
      <c r="I104">
        <v>6</v>
      </c>
      <c r="J104">
        <v>10</v>
      </c>
      <c r="K104">
        <v>1</v>
      </c>
      <c r="L104">
        <v>1</v>
      </c>
      <c r="M104">
        <v>2</v>
      </c>
      <c r="N104">
        <v>0</v>
      </c>
    </row>
    <row r="105" spans="1:14" x14ac:dyDescent="0.45">
      <c r="A105" t="s">
        <v>32</v>
      </c>
      <c r="B105" t="s">
        <v>632</v>
      </c>
      <c r="C105" t="s">
        <v>19</v>
      </c>
      <c r="D105" t="s">
        <v>414</v>
      </c>
      <c r="E105">
        <v>2</v>
      </c>
      <c r="F105">
        <v>0</v>
      </c>
      <c r="G105">
        <v>17</v>
      </c>
      <c r="H105">
        <v>0</v>
      </c>
      <c r="I105">
        <v>8.5</v>
      </c>
      <c r="J105">
        <v>6</v>
      </c>
      <c r="K105">
        <v>2</v>
      </c>
      <c r="L105">
        <v>1</v>
      </c>
      <c r="M105">
        <v>0</v>
      </c>
      <c r="N105">
        <v>0</v>
      </c>
    </row>
    <row r="106" spans="1:14" x14ac:dyDescent="0.45">
      <c r="A106" t="s">
        <v>32</v>
      </c>
      <c r="B106" t="s">
        <v>632</v>
      </c>
      <c r="C106" t="s">
        <v>19</v>
      </c>
      <c r="D106" t="s">
        <v>369</v>
      </c>
      <c r="E106">
        <v>4</v>
      </c>
      <c r="F106">
        <v>0</v>
      </c>
      <c r="G106">
        <v>14</v>
      </c>
      <c r="H106">
        <v>2</v>
      </c>
      <c r="I106">
        <v>3.5</v>
      </c>
      <c r="J106">
        <v>18</v>
      </c>
      <c r="K106">
        <v>2</v>
      </c>
      <c r="L106">
        <v>0</v>
      </c>
      <c r="M106">
        <v>0</v>
      </c>
      <c r="N106">
        <v>1</v>
      </c>
    </row>
    <row r="107" spans="1:14" x14ac:dyDescent="0.45">
      <c r="A107" t="s">
        <v>32</v>
      </c>
      <c r="B107" t="s">
        <v>632</v>
      </c>
      <c r="C107" t="s">
        <v>19</v>
      </c>
      <c r="D107" t="s">
        <v>367</v>
      </c>
      <c r="E107">
        <v>4</v>
      </c>
      <c r="F107">
        <v>0</v>
      </c>
      <c r="G107">
        <v>14</v>
      </c>
      <c r="H107">
        <v>4</v>
      </c>
      <c r="I107">
        <v>3.5</v>
      </c>
      <c r="J107">
        <v>16</v>
      </c>
      <c r="K107">
        <v>2</v>
      </c>
      <c r="L107">
        <v>0</v>
      </c>
      <c r="M107">
        <v>0</v>
      </c>
      <c r="N107">
        <v>0</v>
      </c>
    </row>
    <row r="108" spans="1:14" x14ac:dyDescent="0.45">
      <c r="A108" t="s">
        <v>32</v>
      </c>
      <c r="B108" t="s">
        <v>632</v>
      </c>
      <c r="C108" t="s">
        <v>19</v>
      </c>
      <c r="D108" t="s">
        <v>365</v>
      </c>
      <c r="E108">
        <v>4</v>
      </c>
      <c r="F108">
        <v>0</v>
      </c>
      <c r="G108">
        <v>12</v>
      </c>
      <c r="H108">
        <v>3</v>
      </c>
      <c r="I108">
        <v>3</v>
      </c>
      <c r="J108">
        <v>13</v>
      </c>
      <c r="K108">
        <v>0</v>
      </c>
      <c r="L108">
        <v>0</v>
      </c>
      <c r="M108">
        <v>0</v>
      </c>
      <c r="N108">
        <v>0</v>
      </c>
    </row>
    <row r="109" spans="1:14" x14ac:dyDescent="0.45">
      <c r="A109" t="s">
        <v>32</v>
      </c>
      <c r="B109" t="s">
        <v>632</v>
      </c>
      <c r="C109" t="s">
        <v>19</v>
      </c>
      <c r="D109" t="s">
        <v>362</v>
      </c>
      <c r="E109">
        <v>2</v>
      </c>
      <c r="F109">
        <v>0</v>
      </c>
      <c r="G109">
        <v>9</v>
      </c>
      <c r="H109">
        <v>0</v>
      </c>
      <c r="I109">
        <v>4.5</v>
      </c>
      <c r="J109">
        <v>3</v>
      </c>
      <c r="K109">
        <v>0</v>
      </c>
      <c r="L109">
        <v>0</v>
      </c>
      <c r="M109">
        <v>0</v>
      </c>
      <c r="N109">
        <v>0</v>
      </c>
    </row>
    <row r="110" spans="1:14" x14ac:dyDescent="0.45">
      <c r="A110" t="s">
        <v>32</v>
      </c>
      <c r="B110" t="s">
        <v>632</v>
      </c>
      <c r="C110" t="s">
        <v>23</v>
      </c>
      <c r="D110" t="s">
        <v>396</v>
      </c>
      <c r="E110">
        <v>2.2000000000000002</v>
      </c>
      <c r="F110">
        <v>0</v>
      </c>
      <c r="G110">
        <v>32</v>
      </c>
      <c r="H110">
        <v>1</v>
      </c>
      <c r="I110">
        <v>13.71</v>
      </c>
      <c r="J110">
        <v>6</v>
      </c>
      <c r="K110">
        <v>3</v>
      </c>
      <c r="L110">
        <v>2</v>
      </c>
      <c r="M110">
        <v>1</v>
      </c>
      <c r="N110">
        <v>0</v>
      </c>
    </row>
    <row r="111" spans="1:14" x14ac:dyDescent="0.45">
      <c r="A111" t="s">
        <v>32</v>
      </c>
      <c r="B111" t="s">
        <v>632</v>
      </c>
      <c r="C111" t="s">
        <v>23</v>
      </c>
      <c r="D111" t="s">
        <v>394</v>
      </c>
      <c r="E111">
        <v>3</v>
      </c>
      <c r="F111">
        <v>1</v>
      </c>
      <c r="G111">
        <v>36</v>
      </c>
      <c r="H111">
        <v>1</v>
      </c>
      <c r="I111">
        <v>12</v>
      </c>
      <c r="J111">
        <v>9</v>
      </c>
      <c r="K111">
        <v>3</v>
      </c>
      <c r="L111">
        <v>2</v>
      </c>
      <c r="M111">
        <v>0</v>
      </c>
      <c r="N111">
        <v>2</v>
      </c>
    </row>
    <row r="112" spans="1:14" x14ac:dyDescent="0.45">
      <c r="A112" t="s">
        <v>32</v>
      </c>
      <c r="B112" t="s">
        <v>632</v>
      </c>
      <c r="C112" t="s">
        <v>23</v>
      </c>
      <c r="D112" t="s">
        <v>412</v>
      </c>
      <c r="E112">
        <v>1</v>
      </c>
      <c r="F112">
        <v>0</v>
      </c>
      <c r="G112">
        <v>9</v>
      </c>
      <c r="H112">
        <v>0</v>
      </c>
      <c r="I112">
        <v>9</v>
      </c>
      <c r="J112">
        <v>2</v>
      </c>
      <c r="K112">
        <v>0</v>
      </c>
      <c r="L112">
        <v>1</v>
      </c>
      <c r="M112">
        <v>0</v>
      </c>
      <c r="N112">
        <v>0</v>
      </c>
    </row>
    <row r="113" spans="1:14" x14ac:dyDescent="0.45">
      <c r="A113" t="s">
        <v>32</v>
      </c>
      <c r="B113" t="s">
        <v>632</v>
      </c>
      <c r="C113" t="s">
        <v>23</v>
      </c>
      <c r="D113" t="s">
        <v>413</v>
      </c>
      <c r="E113">
        <v>2</v>
      </c>
      <c r="F113">
        <v>0</v>
      </c>
      <c r="G113">
        <v>16</v>
      </c>
      <c r="H113">
        <v>0</v>
      </c>
      <c r="I113">
        <v>8</v>
      </c>
      <c r="J113">
        <v>5</v>
      </c>
      <c r="K113">
        <v>3</v>
      </c>
      <c r="L113">
        <v>0</v>
      </c>
      <c r="M113">
        <v>0</v>
      </c>
      <c r="N113">
        <v>0</v>
      </c>
    </row>
    <row r="114" spans="1:14" x14ac:dyDescent="0.45">
      <c r="A114" t="s">
        <v>33</v>
      </c>
      <c r="B114" t="s">
        <v>633</v>
      </c>
      <c r="C114" t="s">
        <v>10</v>
      </c>
      <c r="D114" t="s">
        <v>338</v>
      </c>
      <c r="E114">
        <v>4</v>
      </c>
      <c r="F114">
        <v>0</v>
      </c>
      <c r="G114">
        <v>37</v>
      </c>
      <c r="H114">
        <v>1</v>
      </c>
      <c r="I114">
        <v>9.25</v>
      </c>
      <c r="J114">
        <v>8</v>
      </c>
      <c r="K114">
        <v>2</v>
      </c>
      <c r="L114">
        <v>1</v>
      </c>
      <c r="M114">
        <v>2</v>
      </c>
      <c r="N114">
        <v>0</v>
      </c>
    </row>
    <row r="115" spans="1:14" x14ac:dyDescent="0.45">
      <c r="A115" t="s">
        <v>33</v>
      </c>
      <c r="B115" t="s">
        <v>633</v>
      </c>
      <c r="C115" t="s">
        <v>10</v>
      </c>
      <c r="D115" t="s">
        <v>340</v>
      </c>
      <c r="E115">
        <v>4</v>
      </c>
      <c r="F115">
        <v>0</v>
      </c>
      <c r="G115">
        <v>35</v>
      </c>
      <c r="H115">
        <v>1</v>
      </c>
      <c r="I115">
        <v>8.75</v>
      </c>
      <c r="J115">
        <v>12</v>
      </c>
      <c r="K115">
        <v>5</v>
      </c>
      <c r="L115">
        <v>1</v>
      </c>
      <c r="M115">
        <v>2</v>
      </c>
      <c r="N115">
        <v>0</v>
      </c>
    </row>
    <row r="116" spans="1:14" x14ac:dyDescent="0.45">
      <c r="A116" t="s">
        <v>33</v>
      </c>
      <c r="B116" t="s">
        <v>633</v>
      </c>
      <c r="C116" t="s">
        <v>10</v>
      </c>
      <c r="D116" t="s">
        <v>337</v>
      </c>
      <c r="E116">
        <v>4</v>
      </c>
      <c r="F116">
        <v>0</v>
      </c>
      <c r="G116">
        <v>18</v>
      </c>
      <c r="H116">
        <v>2</v>
      </c>
      <c r="I116">
        <v>4.5</v>
      </c>
      <c r="J116">
        <v>6</v>
      </c>
      <c r="K116">
        <v>0</v>
      </c>
      <c r="L116">
        <v>0</v>
      </c>
      <c r="M116">
        <v>0</v>
      </c>
      <c r="N116">
        <v>0</v>
      </c>
    </row>
    <row r="117" spans="1:14" x14ac:dyDescent="0.45">
      <c r="A117" t="s">
        <v>33</v>
      </c>
      <c r="B117" t="s">
        <v>633</v>
      </c>
      <c r="C117" t="s">
        <v>10</v>
      </c>
      <c r="D117" t="s">
        <v>341</v>
      </c>
      <c r="E117">
        <v>4</v>
      </c>
      <c r="F117">
        <v>0</v>
      </c>
      <c r="G117">
        <v>21</v>
      </c>
      <c r="H117">
        <v>0</v>
      </c>
      <c r="I117">
        <v>5.25</v>
      </c>
      <c r="J117">
        <v>12</v>
      </c>
      <c r="K117">
        <v>3</v>
      </c>
      <c r="L117">
        <v>0</v>
      </c>
      <c r="M117">
        <v>0</v>
      </c>
      <c r="N117">
        <v>0</v>
      </c>
    </row>
    <row r="118" spans="1:14" x14ac:dyDescent="0.45">
      <c r="A118" t="s">
        <v>33</v>
      </c>
      <c r="B118" t="s">
        <v>633</v>
      </c>
      <c r="C118" t="s">
        <v>10</v>
      </c>
      <c r="D118" t="s">
        <v>339</v>
      </c>
      <c r="E118">
        <v>4</v>
      </c>
      <c r="F118">
        <v>0</v>
      </c>
      <c r="G118">
        <v>20</v>
      </c>
      <c r="H118">
        <v>1</v>
      </c>
      <c r="I118">
        <v>5</v>
      </c>
      <c r="J118">
        <v>8</v>
      </c>
      <c r="K118">
        <v>0</v>
      </c>
      <c r="L118">
        <v>0</v>
      </c>
      <c r="M118">
        <v>2</v>
      </c>
      <c r="N118">
        <v>0</v>
      </c>
    </row>
    <row r="119" spans="1:14" x14ac:dyDescent="0.45">
      <c r="A119" t="s">
        <v>33</v>
      </c>
      <c r="B119" t="s">
        <v>633</v>
      </c>
      <c r="C119" t="s">
        <v>6</v>
      </c>
      <c r="D119" t="s">
        <v>324</v>
      </c>
      <c r="E119">
        <v>3</v>
      </c>
      <c r="F119">
        <v>0</v>
      </c>
      <c r="G119">
        <v>34</v>
      </c>
      <c r="H119">
        <v>1</v>
      </c>
      <c r="I119">
        <v>11.33</v>
      </c>
      <c r="J119">
        <v>9</v>
      </c>
      <c r="K119">
        <v>4</v>
      </c>
      <c r="L119">
        <v>2</v>
      </c>
      <c r="M119">
        <v>2</v>
      </c>
      <c r="N119">
        <v>0</v>
      </c>
    </row>
    <row r="120" spans="1:14" x14ac:dyDescent="0.45">
      <c r="A120" t="s">
        <v>33</v>
      </c>
      <c r="B120" t="s">
        <v>633</v>
      </c>
      <c r="C120" t="s">
        <v>6</v>
      </c>
      <c r="D120" t="s">
        <v>325</v>
      </c>
      <c r="E120">
        <v>4</v>
      </c>
      <c r="F120">
        <v>0</v>
      </c>
      <c r="G120">
        <v>27</v>
      </c>
      <c r="H120">
        <v>1</v>
      </c>
      <c r="I120">
        <v>6.75</v>
      </c>
      <c r="J120">
        <v>10</v>
      </c>
      <c r="K120">
        <v>2</v>
      </c>
      <c r="L120">
        <v>1</v>
      </c>
      <c r="M120">
        <v>0</v>
      </c>
      <c r="N120">
        <v>0</v>
      </c>
    </row>
    <row r="121" spans="1:14" x14ac:dyDescent="0.45">
      <c r="A121" t="s">
        <v>33</v>
      </c>
      <c r="B121" t="s">
        <v>633</v>
      </c>
      <c r="C121" t="s">
        <v>6</v>
      </c>
      <c r="D121" t="s">
        <v>328</v>
      </c>
      <c r="E121">
        <v>4</v>
      </c>
      <c r="F121">
        <v>0</v>
      </c>
      <c r="G121">
        <v>28</v>
      </c>
      <c r="H121">
        <v>2</v>
      </c>
      <c r="I121">
        <v>7</v>
      </c>
      <c r="J121">
        <v>10</v>
      </c>
      <c r="K121">
        <v>3</v>
      </c>
      <c r="L121">
        <v>0</v>
      </c>
      <c r="M121">
        <v>1</v>
      </c>
      <c r="N121">
        <v>0</v>
      </c>
    </row>
    <row r="122" spans="1:14" x14ac:dyDescent="0.45">
      <c r="A122" t="s">
        <v>33</v>
      </c>
      <c r="B122" t="s">
        <v>633</v>
      </c>
      <c r="C122" t="s">
        <v>6</v>
      </c>
      <c r="D122" t="s">
        <v>299</v>
      </c>
      <c r="E122">
        <v>3</v>
      </c>
      <c r="F122">
        <v>0</v>
      </c>
      <c r="G122">
        <v>16</v>
      </c>
      <c r="H122">
        <v>0</v>
      </c>
      <c r="I122">
        <v>5.33</v>
      </c>
      <c r="J122">
        <v>8</v>
      </c>
      <c r="K122">
        <v>0</v>
      </c>
      <c r="L122">
        <v>1</v>
      </c>
      <c r="M122">
        <v>0</v>
      </c>
      <c r="N122">
        <v>0</v>
      </c>
    </row>
    <row r="123" spans="1:14" x14ac:dyDescent="0.45">
      <c r="A123" t="s">
        <v>33</v>
      </c>
      <c r="B123" t="s">
        <v>633</v>
      </c>
      <c r="C123" t="s">
        <v>6</v>
      </c>
      <c r="D123" t="s">
        <v>326</v>
      </c>
      <c r="E123">
        <v>4</v>
      </c>
      <c r="F123">
        <v>0</v>
      </c>
      <c r="G123">
        <v>13</v>
      </c>
      <c r="H123">
        <v>2</v>
      </c>
      <c r="I123">
        <v>3.25</v>
      </c>
      <c r="J123">
        <v>12</v>
      </c>
      <c r="K123">
        <v>0</v>
      </c>
      <c r="L123">
        <v>0</v>
      </c>
      <c r="M123">
        <v>0</v>
      </c>
      <c r="N123">
        <v>0</v>
      </c>
    </row>
    <row r="124" spans="1:14" x14ac:dyDescent="0.45">
      <c r="A124" t="s">
        <v>33</v>
      </c>
      <c r="B124" t="s">
        <v>633</v>
      </c>
      <c r="C124" t="s">
        <v>6</v>
      </c>
      <c r="D124" t="s">
        <v>327</v>
      </c>
      <c r="E124">
        <v>1.4</v>
      </c>
      <c r="F124">
        <v>0</v>
      </c>
      <c r="G124">
        <v>20</v>
      </c>
      <c r="H124">
        <v>1</v>
      </c>
      <c r="I124">
        <v>12</v>
      </c>
      <c r="J124">
        <v>4</v>
      </c>
      <c r="K124">
        <v>3</v>
      </c>
      <c r="L124">
        <v>0</v>
      </c>
      <c r="M124">
        <v>3</v>
      </c>
      <c r="N124">
        <v>0</v>
      </c>
    </row>
    <row r="125" spans="1:14" x14ac:dyDescent="0.45">
      <c r="A125" t="s">
        <v>34</v>
      </c>
      <c r="B125" t="s">
        <v>634</v>
      </c>
      <c r="C125" t="s">
        <v>7</v>
      </c>
      <c r="D125" t="s">
        <v>415</v>
      </c>
      <c r="E125">
        <v>4</v>
      </c>
      <c r="F125">
        <v>0</v>
      </c>
      <c r="G125">
        <v>26</v>
      </c>
      <c r="H125">
        <v>2</v>
      </c>
      <c r="I125">
        <v>6.5</v>
      </c>
      <c r="J125">
        <v>9</v>
      </c>
      <c r="K125">
        <v>3</v>
      </c>
      <c r="L125">
        <v>0</v>
      </c>
      <c r="M125">
        <v>0</v>
      </c>
      <c r="N125">
        <v>0</v>
      </c>
    </row>
    <row r="126" spans="1:14" x14ac:dyDescent="0.45">
      <c r="A126" t="s">
        <v>34</v>
      </c>
      <c r="B126" t="s">
        <v>634</v>
      </c>
      <c r="C126" t="s">
        <v>7</v>
      </c>
      <c r="D126" t="s">
        <v>320</v>
      </c>
      <c r="E126">
        <v>4</v>
      </c>
      <c r="F126">
        <v>0</v>
      </c>
      <c r="G126">
        <v>29</v>
      </c>
      <c r="H126">
        <v>2</v>
      </c>
      <c r="I126">
        <v>7.25</v>
      </c>
      <c r="J126">
        <v>12</v>
      </c>
      <c r="K126">
        <v>5</v>
      </c>
      <c r="L126">
        <v>0</v>
      </c>
      <c r="M126">
        <v>0</v>
      </c>
      <c r="N126">
        <v>1</v>
      </c>
    </row>
    <row r="127" spans="1:14" x14ac:dyDescent="0.45">
      <c r="A127" t="s">
        <v>34</v>
      </c>
      <c r="B127" t="s">
        <v>634</v>
      </c>
      <c r="C127" t="s">
        <v>7</v>
      </c>
      <c r="D127" t="s">
        <v>322</v>
      </c>
      <c r="E127">
        <v>4</v>
      </c>
      <c r="F127">
        <v>0</v>
      </c>
      <c r="G127">
        <v>26</v>
      </c>
      <c r="H127">
        <v>2</v>
      </c>
      <c r="I127">
        <v>6.5</v>
      </c>
      <c r="J127">
        <v>13</v>
      </c>
      <c r="K127">
        <v>0</v>
      </c>
      <c r="L127">
        <v>3</v>
      </c>
      <c r="M127">
        <v>0</v>
      </c>
      <c r="N127">
        <v>0</v>
      </c>
    </row>
    <row r="128" spans="1:14" x14ac:dyDescent="0.45">
      <c r="A128" t="s">
        <v>34</v>
      </c>
      <c r="B128" t="s">
        <v>634</v>
      </c>
      <c r="C128" t="s">
        <v>7</v>
      </c>
      <c r="D128" t="s">
        <v>313</v>
      </c>
      <c r="E128">
        <v>4</v>
      </c>
      <c r="F128">
        <v>0</v>
      </c>
      <c r="G128">
        <v>20</v>
      </c>
      <c r="H128">
        <v>1</v>
      </c>
      <c r="I128">
        <v>5</v>
      </c>
      <c r="J128">
        <v>10</v>
      </c>
      <c r="K128">
        <v>0</v>
      </c>
      <c r="L128">
        <v>1</v>
      </c>
      <c r="M128">
        <v>0</v>
      </c>
      <c r="N128">
        <v>0</v>
      </c>
    </row>
    <row r="129" spans="1:14" x14ac:dyDescent="0.45">
      <c r="A129" t="s">
        <v>34</v>
      </c>
      <c r="B129" t="s">
        <v>634</v>
      </c>
      <c r="C129" t="s">
        <v>7</v>
      </c>
      <c r="D129" t="s">
        <v>308</v>
      </c>
      <c r="E129">
        <v>4</v>
      </c>
      <c r="F129">
        <v>0</v>
      </c>
      <c r="G129">
        <v>12</v>
      </c>
      <c r="H129">
        <v>0</v>
      </c>
      <c r="I129">
        <v>3</v>
      </c>
      <c r="J129">
        <v>12</v>
      </c>
      <c r="K129">
        <v>0</v>
      </c>
      <c r="L129">
        <v>0</v>
      </c>
      <c r="M129">
        <v>0</v>
      </c>
      <c r="N129">
        <v>0</v>
      </c>
    </row>
    <row r="130" spans="1:14" x14ac:dyDescent="0.45">
      <c r="A130" t="s">
        <v>34</v>
      </c>
      <c r="B130" t="s">
        <v>634</v>
      </c>
      <c r="C130" t="s">
        <v>20</v>
      </c>
      <c r="D130" t="s">
        <v>409</v>
      </c>
      <c r="E130">
        <v>4</v>
      </c>
      <c r="F130">
        <v>0</v>
      </c>
      <c r="G130">
        <v>20</v>
      </c>
      <c r="H130">
        <v>0</v>
      </c>
      <c r="I130">
        <v>5</v>
      </c>
      <c r="J130">
        <v>14</v>
      </c>
      <c r="K130">
        <v>3</v>
      </c>
      <c r="L130">
        <v>0</v>
      </c>
      <c r="M130">
        <v>0</v>
      </c>
      <c r="N130">
        <v>0</v>
      </c>
    </row>
    <row r="131" spans="1:14" x14ac:dyDescent="0.45">
      <c r="A131" t="s">
        <v>34</v>
      </c>
      <c r="B131" t="s">
        <v>634</v>
      </c>
      <c r="C131" t="s">
        <v>20</v>
      </c>
      <c r="D131" t="s">
        <v>378</v>
      </c>
      <c r="E131">
        <v>4</v>
      </c>
      <c r="F131">
        <v>0</v>
      </c>
      <c r="G131">
        <v>32</v>
      </c>
      <c r="H131">
        <v>2</v>
      </c>
      <c r="I131">
        <v>8</v>
      </c>
      <c r="J131">
        <v>8</v>
      </c>
      <c r="K131">
        <v>5</v>
      </c>
      <c r="L131">
        <v>0</v>
      </c>
      <c r="M131">
        <v>0</v>
      </c>
      <c r="N131">
        <v>0</v>
      </c>
    </row>
    <row r="132" spans="1:14" x14ac:dyDescent="0.45">
      <c r="A132" t="s">
        <v>34</v>
      </c>
      <c r="B132" t="s">
        <v>634</v>
      </c>
      <c r="C132" t="s">
        <v>20</v>
      </c>
      <c r="D132" t="s">
        <v>382</v>
      </c>
      <c r="E132">
        <v>4</v>
      </c>
      <c r="F132">
        <v>0</v>
      </c>
      <c r="G132">
        <v>27</v>
      </c>
      <c r="H132">
        <v>0</v>
      </c>
      <c r="I132">
        <v>6.75</v>
      </c>
      <c r="J132">
        <v>13</v>
      </c>
      <c r="K132">
        <v>4</v>
      </c>
      <c r="L132">
        <v>0</v>
      </c>
      <c r="M132">
        <v>2</v>
      </c>
      <c r="N132">
        <v>0</v>
      </c>
    </row>
    <row r="133" spans="1:14" x14ac:dyDescent="0.45">
      <c r="A133" t="s">
        <v>34</v>
      </c>
      <c r="B133" t="s">
        <v>634</v>
      </c>
      <c r="C133" t="s">
        <v>20</v>
      </c>
      <c r="D133" t="s">
        <v>379</v>
      </c>
      <c r="E133">
        <v>4</v>
      </c>
      <c r="F133">
        <v>0</v>
      </c>
      <c r="G133">
        <v>23</v>
      </c>
      <c r="H133">
        <v>1</v>
      </c>
      <c r="I133">
        <v>5.75</v>
      </c>
      <c r="J133">
        <v>13</v>
      </c>
      <c r="K133">
        <v>3</v>
      </c>
      <c r="L133">
        <v>0</v>
      </c>
      <c r="M133">
        <v>0</v>
      </c>
      <c r="N133">
        <v>0</v>
      </c>
    </row>
    <row r="134" spans="1:14" x14ac:dyDescent="0.45">
      <c r="A134" t="s">
        <v>34</v>
      </c>
      <c r="B134" t="s">
        <v>634</v>
      </c>
      <c r="C134" t="s">
        <v>20</v>
      </c>
      <c r="D134" t="s">
        <v>381</v>
      </c>
      <c r="E134">
        <v>3.4</v>
      </c>
      <c r="F134">
        <v>0</v>
      </c>
      <c r="G134">
        <v>17</v>
      </c>
      <c r="H134">
        <v>1</v>
      </c>
      <c r="I134">
        <v>4.63</v>
      </c>
      <c r="J134">
        <v>11</v>
      </c>
      <c r="K134">
        <v>2</v>
      </c>
      <c r="L134">
        <v>0</v>
      </c>
      <c r="M134">
        <v>0</v>
      </c>
      <c r="N134">
        <v>0</v>
      </c>
    </row>
    <row r="135" spans="1:14" x14ac:dyDescent="0.45">
      <c r="A135" t="s">
        <v>36</v>
      </c>
      <c r="B135" t="s">
        <v>635</v>
      </c>
      <c r="C135" t="s">
        <v>26</v>
      </c>
      <c r="D135" t="s">
        <v>401</v>
      </c>
      <c r="E135">
        <v>1</v>
      </c>
      <c r="F135">
        <v>0</v>
      </c>
      <c r="G135">
        <v>5</v>
      </c>
      <c r="H135">
        <v>0</v>
      </c>
      <c r="I135">
        <v>5</v>
      </c>
      <c r="J135">
        <v>4</v>
      </c>
      <c r="K135">
        <v>1</v>
      </c>
      <c r="L135">
        <v>0</v>
      </c>
      <c r="M135">
        <v>0</v>
      </c>
      <c r="N135">
        <v>0</v>
      </c>
    </row>
    <row r="136" spans="1:14" x14ac:dyDescent="0.45">
      <c r="A136" t="s">
        <v>36</v>
      </c>
      <c r="B136" t="s">
        <v>635</v>
      </c>
      <c r="C136" t="s">
        <v>26</v>
      </c>
      <c r="D136" t="s">
        <v>403</v>
      </c>
      <c r="E136">
        <v>4</v>
      </c>
      <c r="F136">
        <v>0</v>
      </c>
      <c r="G136">
        <v>39</v>
      </c>
      <c r="H136">
        <v>3</v>
      </c>
      <c r="I136">
        <v>9.75</v>
      </c>
      <c r="J136">
        <v>6</v>
      </c>
      <c r="K136">
        <v>3</v>
      </c>
      <c r="L136">
        <v>2</v>
      </c>
      <c r="M136">
        <v>0</v>
      </c>
      <c r="N136">
        <v>0</v>
      </c>
    </row>
    <row r="137" spans="1:14" x14ac:dyDescent="0.45">
      <c r="A137" t="s">
        <v>36</v>
      </c>
      <c r="B137" t="s">
        <v>635</v>
      </c>
      <c r="C137" t="s">
        <v>26</v>
      </c>
      <c r="D137" t="s">
        <v>405</v>
      </c>
      <c r="E137">
        <v>3</v>
      </c>
      <c r="F137">
        <v>0</v>
      </c>
      <c r="G137">
        <v>42</v>
      </c>
      <c r="H137">
        <v>0</v>
      </c>
      <c r="I137">
        <v>14</v>
      </c>
      <c r="J137">
        <v>6</v>
      </c>
      <c r="K137">
        <v>3</v>
      </c>
      <c r="L137">
        <v>3</v>
      </c>
      <c r="M137">
        <v>4</v>
      </c>
      <c r="N137">
        <v>0</v>
      </c>
    </row>
    <row r="138" spans="1:14" x14ac:dyDescent="0.45">
      <c r="A138" t="s">
        <v>36</v>
      </c>
      <c r="B138" t="s">
        <v>635</v>
      </c>
      <c r="C138" t="s">
        <v>26</v>
      </c>
      <c r="D138" t="s">
        <v>407</v>
      </c>
      <c r="E138">
        <v>4</v>
      </c>
      <c r="F138">
        <v>0</v>
      </c>
      <c r="G138">
        <v>35</v>
      </c>
      <c r="H138">
        <v>0</v>
      </c>
      <c r="I138">
        <v>8.75</v>
      </c>
      <c r="J138">
        <v>11</v>
      </c>
      <c r="K138">
        <v>3</v>
      </c>
      <c r="L138">
        <v>2</v>
      </c>
      <c r="M138">
        <v>1</v>
      </c>
      <c r="N138">
        <v>0</v>
      </c>
    </row>
    <row r="139" spans="1:14" x14ac:dyDescent="0.45">
      <c r="A139" t="s">
        <v>36</v>
      </c>
      <c r="B139" t="s">
        <v>635</v>
      </c>
      <c r="C139" t="s">
        <v>26</v>
      </c>
      <c r="D139" t="s">
        <v>404</v>
      </c>
      <c r="E139">
        <v>4</v>
      </c>
      <c r="F139">
        <v>0</v>
      </c>
      <c r="G139">
        <v>26</v>
      </c>
      <c r="H139">
        <v>0</v>
      </c>
      <c r="I139">
        <v>6.5</v>
      </c>
      <c r="J139">
        <v>14</v>
      </c>
      <c r="K139">
        <v>0</v>
      </c>
      <c r="L139">
        <v>3</v>
      </c>
      <c r="M139">
        <v>0</v>
      </c>
      <c r="N139">
        <v>0</v>
      </c>
    </row>
    <row r="140" spans="1:14" x14ac:dyDescent="0.45">
      <c r="A140" t="s">
        <v>36</v>
      </c>
      <c r="B140" t="s">
        <v>635</v>
      </c>
      <c r="C140" t="s">
        <v>26</v>
      </c>
      <c r="D140" t="s">
        <v>402</v>
      </c>
      <c r="E140">
        <v>4</v>
      </c>
      <c r="F140">
        <v>0</v>
      </c>
      <c r="G140">
        <v>12</v>
      </c>
      <c r="H140">
        <v>3</v>
      </c>
      <c r="I140">
        <v>3</v>
      </c>
      <c r="J140">
        <v>13</v>
      </c>
      <c r="K140">
        <v>0</v>
      </c>
      <c r="L140">
        <v>0</v>
      </c>
      <c r="M140">
        <v>0</v>
      </c>
      <c r="N140">
        <v>0</v>
      </c>
    </row>
    <row r="141" spans="1:14" x14ac:dyDescent="0.45">
      <c r="A141" t="s">
        <v>36</v>
      </c>
      <c r="B141" t="s">
        <v>635</v>
      </c>
      <c r="C141" t="s">
        <v>13</v>
      </c>
      <c r="D141" t="s">
        <v>352</v>
      </c>
      <c r="E141">
        <v>4</v>
      </c>
      <c r="F141">
        <v>0</v>
      </c>
      <c r="G141">
        <v>33</v>
      </c>
      <c r="H141">
        <v>0</v>
      </c>
      <c r="I141">
        <v>8.25</v>
      </c>
      <c r="J141">
        <v>9</v>
      </c>
      <c r="K141">
        <v>4</v>
      </c>
      <c r="L141">
        <v>1</v>
      </c>
      <c r="M141">
        <v>1</v>
      </c>
      <c r="N141">
        <v>0</v>
      </c>
    </row>
    <row r="142" spans="1:14" x14ac:dyDescent="0.45">
      <c r="A142" t="s">
        <v>36</v>
      </c>
      <c r="B142" t="s">
        <v>635</v>
      </c>
      <c r="C142" t="s">
        <v>13</v>
      </c>
      <c r="D142" t="s">
        <v>350</v>
      </c>
      <c r="E142">
        <v>4</v>
      </c>
      <c r="F142">
        <v>0</v>
      </c>
      <c r="G142">
        <v>27</v>
      </c>
      <c r="H142">
        <v>1</v>
      </c>
      <c r="I142">
        <v>6.75</v>
      </c>
      <c r="J142">
        <v>10</v>
      </c>
      <c r="K142">
        <v>1</v>
      </c>
      <c r="L142">
        <v>1</v>
      </c>
      <c r="M142">
        <v>2</v>
      </c>
      <c r="N142">
        <v>1</v>
      </c>
    </row>
    <row r="143" spans="1:14" x14ac:dyDescent="0.45">
      <c r="A143" t="s">
        <v>36</v>
      </c>
      <c r="B143" t="s">
        <v>635</v>
      </c>
      <c r="C143" t="s">
        <v>13</v>
      </c>
      <c r="D143" t="s">
        <v>347</v>
      </c>
      <c r="E143">
        <v>3</v>
      </c>
      <c r="F143">
        <v>0</v>
      </c>
      <c r="G143">
        <v>29</v>
      </c>
      <c r="H143">
        <v>1</v>
      </c>
      <c r="I143">
        <v>9.66</v>
      </c>
      <c r="J143">
        <v>4</v>
      </c>
      <c r="K143">
        <v>1</v>
      </c>
      <c r="L143">
        <v>2</v>
      </c>
      <c r="M143">
        <v>0</v>
      </c>
      <c r="N143">
        <v>0</v>
      </c>
    </row>
    <row r="144" spans="1:14" x14ac:dyDescent="0.45">
      <c r="A144" t="s">
        <v>36</v>
      </c>
      <c r="B144" t="s">
        <v>635</v>
      </c>
      <c r="C144" t="s">
        <v>13</v>
      </c>
      <c r="D144" t="s">
        <v>349</v>
      </c>
      <c r="E144">
        <v>4</v>
      </c>
      <c r="F144">
        <v>0</v>
      </c>
      <c r="G144">
        <v>27</v>
      </c>
      <c r="H144">
        <v>0</v>
      </c>
      <c r="I144">
        <v>6.75</v>
      </c>
      <c r="J144">
        <v>10</v>
      </c>
      <c r="K144">
        <v>0</v>
      </c>
      <c r="L144">
        <v>2</v>
      </c>
      <c r="M144">
        <v>0</v>
      </c>
      <c r="N144">
        <v>0</v>
      </c>
    </row>
    <row r="145" spans="1:14" x14ac:dyDescent="0.45">
      <c r="A145" t="s">
        <v>36</v>
      </c>
      <c r="B145" t="s">
        <v>635</v>
      </c>
      <c r="C145" t="s">
        <v>13</v>
      </c>
      <c r="D145" t="s">
        <v>353</v>
      </c>
      <c r="E145">
        <v>4</v>
      </c>
      <c r="F145">
        <v>0</v>
      </c>
      <c r="G145">
        <v>29</v>
      </c>
      <c r="H145">
        <v>3</v>
      </c>
      <c r="I145">
        <v>7.25</v>
      </c>
      <c r="J145">
        <v>9</v>
      </c>
      <c r="K145">
        <v>2</v>
      </c>
      <c r="L145">
        <v>1</v>
      </c>
      <c r="M145">
        <v>2</v>
      </c>
      <c r="N145">
        <v>0</v>
      </c>
    </row>
    <row r="146" spans="1:14" x14ac:dyDescent="0.45">
      <c r="A146" t="s">
        <v>36</v>
      </c>
      <c r="B146" t="s">
        <v>635</v>
      </c>
      <c r="C146" t="s">
        <v>13</v>
      </c>
      <c r="D146" t="s">
        <v>348</v>
      </c>
      <c r="E146">
        <v>1</v>
      </c>
      <c r="F146">
        <v>0</v>
      </c>
      <c r="G146">
        <v>11</v>
      </c>
      <c r="H146">
        <v>0</v>
      </c>
      <c r="I146">
        <v>11</v>
      </c>
      <c r="J146">
        <v>1</v>
      </c>
      <c r="K146">
        <v>2</v>
      </c>
      <c r="L146">
        <v>0</v>
      </c>
      <c r="M146">
        <v>0</v>
      </c>
      <c r="N146">
        <v>0</v>
      </c>
    </row>
    <row r="147" spans="1:14" x14ac:dyDescent="0.45">
      <c r="A147" t="s">
        <v>37</v>
      </c>
      <c r="B147" t="s">
        <v>636</v>
      </c>
      <c r="C147" t="s">
        <v>23</v>
      </c>
      <c r="D147" t="s">
        <v>418</v>
      </c>
      <c r="E147">
        <v>4</v>
      </c>
      <c r="F147">
        <v>0</v>
      </c>
      <c r="G147">
        <v>39</v>
      </c>
      <c r="H147">
        <v>0</v>
      </c>
      <c r="I147">
        <v>9.75</v>
      </c>
      <c r="J147">
        <v>7</v>
      </c>
      <c r="K147">
        <v>5</v>
      </c>
      <c r="L147">
        <v>1</v>
      </c>
      <c r="M147">
        <v>0</v>
      </c>
      <c r="N147">
        <v>0</v>
      </c>
    </row>
    <row r="148" spans="1:14" x14ac:dyDescent="0.45">
      <c r="A148" t="s">
        <v>37</v>
      </c>
      <c r="B148" t="s">
        <v>636</v>
      </c>
      <c r="C148" t="s">
        <v>23</v>
      </c>
      <c r="D148" t="s">
        <v>394</v>
      </c>
      <c r="E148">
        <v>4</v>
      </c>
      <c r="F148">
        <v>0</v>
      </c>
      <c r="G148">
        <v>31</v>
      </c>
      <c r="H148">
        <v>1</v>
      </c>
      <c r="I148">
        <v>7.75</v>
      </c>
      <c r="J148">
        <v>10</v>
      </c>
      <c r="K148">
        <v>4</v>
      </c>
      <c r="L148">
        <v>0</v>
      </c>
      <c r="M148">
        <v>2</v>
      </c>
      <c r="N148">
        <v>0</v>
      </c>
    </row>
    <row r="149" spans="1:14" x14ac:dyDescent="0.45">
      <c r="A149" t="s">
        <v>37</v>
      </c>
      <c r="B149" t="s">
        <v>636</v>
      </c>
      <c r="C149" t="s">
        <v>23</v>
      </c>
      <c r="D149" t="s">
        <v>396</v>
      </c>
      <c r="E149">
        <v>4</v>
      </c>
      <c r="F149">
        <v>0</v>
      </c>
      <c r="G149">
        <v>51</v>
      </c>
      <c r="H149">
        <v>0</v>
      </c>
      <c r="I149">
        <v>12.75</v>
      </c>
      <c r="J149">
        <v>4</v>
      </c>
      <c r="K149">
        <v>3</v>
      </c>
      <c r="L149">
        <v>4</v>
      </c>
      <c r="M149">
        <v>1</v>
      </c>
      <c r="N149">
        <v>0</v>
      </c>
    </row>
    <row r="150" spans="1:14" x14ac:dyDescent="0.45">
      <c r="A150" t="s">
        <v>37</v>
      </c>
      <c r="B150" t="s">
        <v>636</v>
      </c>
      <c r="C150" t="s">
        <v>23</v>
      </c>
      <c r="D150" t="s">
        <v>390</v>
      </c>
      <c r="E150">
        <v>4</v>
      </c>
      <c r="F150">
        <v>0</v>
      </c>
      <c r="G150">
        <v>39</v>
      </c>
      <c r="H150">
        <v>3</v>
      </c>
      <c r="I150">
        <v>9.75</v>
      </c>
      <c r="J150">
        <v>5</v>
      </c>
      <c r="K150">
        <v>2</v>
      </c>
      <c r="L150">
        <v>2</v>
      </c>
      <c r="M150">
        <v>2</v>
      </c>
      <c r="N150">
        <v>0</v>
      </c>
    </row>
    <row r="151" spans="1:14" x14ac:dyDescent="0.45">
      <c r="A151" t="s">
        <v>37</v>
      </c>
      <c r="B151" t="s">
        <v>636</v>
      </c>
      <c r="C151" t="s">
        <v>23</v>
      </c>
      <c r="D151" t="s">
        <v>419</v>
      </c>
      <c r="E151">
        <v>3</v>
      </c>
      <c r="F151">
        <v>0</v>
      </c>
      <c r="G151">
        <v>26</v>
      </c>
      <c r="H151">
        <v>0</v>
      </c>
      <c r="I151">
        <v>8.66</v>
      </c>
      <c r="J151">
        <v>4</v>
      </c>
      <c r="K151">
        <v>2</v>
      </c>
      <c r="L151">
        <v>1</v>
      </c>
      <c r="M151">
        <v>0</v>
      </c>
      <c r="N151">
        <v>0</v>
      </c>
    </row>
    <row r="152" spans="1:14" x14ac:dyDescent="0.45">
      <c r="A152" t="s">
        <v>37</v>
      </c>
      <c r="B152" t="s">
        <v>636</v>
      </c>
      <c r="C152" t="s">
        <v>23</v>
      </c>
      <c r="D152" t="s">
        <v>389</v>
      </c>
      <c r="E152">
        <v>1</v>
      </c>
      <c r="F152">
        <v>0</v>
      </c>
      <c r="G152">
        <v>3</v>
      </c>
      <c r="H152">
        <v>0</v>
      </c>
      <c r="I152">
        <v>3</v>
      </c>
      <c r="J152">
        <v>3</v>
      </c>
      <c r="K152">
        <v>0</v>
      </c>
      <c r="L152">
        <v>0</v>
      </c>
      <c r="M152">
        <v>0</v>
      </c>
      <c r="N152">
        <v>0</v>
      </c>
    </row>
    <row r="153" spans="1:14" x14ac:dyDescent="0.45">
      <c r="A153" t="s">
        <v>37</v>
      </c>
      <c r="B153" t="s">
        <v>636</v>
      </c>
      <c r="C153" t="s">
        <v>6</v>
      </c>
      <c r="D153" t="s">
        <v>420</v>
      </c>
      <c r="E153">
        <v>4</v>
      </c>
      <c r="F153">
        <v>0</v>
      </c>
      <c r="G153">
        <v>55</v>
      </c>
      <c r="H153">
        <v>0</v>
      </c>
      <c r="I153">
        <v>13.75</v>
      </c>
      <c r="J153">
        <v>4</v>
      </c>
      <c r="K153">
        <v>5</v>
      </c>
      <c r="L153">
        <v>3</v>
      </c>
      <c r="M153">
        <v>2</v>
      </c>
      <c r="N153">
        <v>1</v>
      </c>
    </row>
    <row r="154" spans="1:14" x14ac:dyDescent="0.45">
      <c r="A154" t="s">
        <v>37</v>
      </c>
      <c r="B154" t="s">
        <v>636</v>
      </c>
      <c r="C154" t="s">
        <v>6</v>
      </c>
      <c r="D154" t="s">
        <v>325</v>
      </c>
      <c r="E154">
        <v>4</v>
      </c>
      <c r="F154">
        <v>0</v>
      </c>
      <c r="G154">
        <v>54</v>
      </c>
      <c r="H154">
        <v>0</v>
      </c>
      <c r="I154">
        <v>13.5</v>
      </c>
      <c r="J154">
        <v>8</v>
      </c>
      <c r="K154">
        <v>7</v>
      </c>
      <c r="L154">
        <v>3</v>
      </c>
      <c r="M154">
        <v>0</v>
      </c>
      <c r="N154">
        <v>0</v>
      </c>
    </row>
    <row r="155" spans="1:14" x14ac:dyDescent="0.45">
      <c r="A155" t="s">
        <v>37</v>
      </c>
      <c r="B155" t="s">
        <v>636</v>
      </c>
      <c r="C155" t="s">
        <v>6</v>
      </c>
      <c r="D155" t="s">
        <v>326</v>
      </c>
      <c r="E155">
        <v>4</v>
      </c>
      <c r="F155">
        <v>0</v>
      </c>
      <c r="G155">
        <v>30</v>
      </c>
      <c r="H155">
        <v>2</v>
      </c>
      <c r="I155">
        <v>7.5</v>
      </c>
      <c r="J155">
        <v>11</v>
      </c>
      <c r="K155">
        <v>3</v>
      </c>
      <c r="L155">
        <v>1</v>
      </c>
      <c r="M155">
        <v>2</v>
      </c>
      <c r="N155">
        <v>0</v>
      </c>
    </row>
    <row r="156" spans="1:14" x14ac:dyDescent="0.45">
      <c r="A156" t="s">
        <v>37</v>
      </c>
      <c r="B156" t="s">
        <v>636</v>
      </c>
      <c r="C156" t="s">
        <v>6</v>
      </c>
      <c r="D156" t="s">
        <v>421</v>
      </c>
      <c r="E156">
        <v>2.1</v>
      </c>
      <c r="F156">
        <v>0</v>
      </c>
      <c r="G156">
        <v>18</v>
      </c>
      <c r="H156">
        <v>1</v>
      </c>
      <c r="I156">
        <v>8.3000000000000007</v>
      </c>
      <c r="J156">
        <v>2</v>
      </c>
      <c r="K156">
        <v>1</v>
      </c>
      <c r="L156">
        <v>0</v>
      </c>
      <c r="M156">
        <v>0</v>
      </c>
      <c r="N156">
        <v>1</v>
      </c>
    </row>
    <row r="157" spans="1:14" x14ac:dyDescent="0.45">
      <c r="A157" t="s">
        <v>37</v>
      </c>
      <c r="B157" t="s">
        <v>636</v>
      </c>
      <c r="C157" t="s">
        <v>6</v>
      </c>
      <c r="D157" t="s">
        <v>299</v>
      </c>
      <c r="E157">
        <v>2.2000000000000002</v>
      </c>
      <c r="F157">
        <v>0</v>
      </c>
      <c r="G157">
        <v>23</v>
      </c>
      <c r="H157">
        <v>0</v>
      </c>
      <c r="I157">
        <v>9.85</v>
      </c>
      <c r="J157">
        <v>4</v>
      </c>
      <c r="K157">
        <v>1</v>
      </c>
      <c r="L157">
        <v>2</v>
      </c>
      <c r="M157">
        <v>0</v>
      </c>
      <c r="N157">
        <v>0</v>
      </c>
    </row>
    <row r="158" spans="1:14" x14ac:dyDescent="0.45">
      <c r="A158" t="s">
        <v>37</v>
      </c>
      <c r="B158" t="s">
        <v>636</v>
      </c>
      <c r="C158" t="s">
        <v>6</v>
      </c>
      <c r="D158" t="s">
        <v>328</v>
      </c>
      <c r="E158">
        <v>1</v>
      </c>
      <c r="F158">
        <v>0</v>
      </c>
      <c r="G158">
        <v>9</v>
      </c>
      <c r="H158">
        <v>0</v>
      </c>
      <c r="I158">
        <v>9</v>
      </c>
      <c r="J158">
        <v>3</v>
      </c>
      <c r="K158">
        <v>0</v>
      </c>
      <c r="L158">
        <v>1</v>
      </c>
      <c r="M158">
        <v>0</v>
      </c>
      <c r="N158">
        <v>0</v>
      </c>
    </row>
    <row r="159" spans="1:14" x14ac:dyDescent="0.45">
      <c r="A159" t="s">
        <v>38</v>
      </c>
      <c r="B159" t="s">
        <v>637</v>
      </c>
      <c r="C159" t="s">
        <v>10</v>
      </c>
      <c r="D159" t="s">
        <v>338</v>
      </c>
      <c r="E159">
        <v>4</v>
      </c>
      <c r="F159">
        <v>1</v>
      </c>
      <c r="G159">
        <v>19</v>
      </c>
      <c r="H159">
        <v>1</v>
      </c>
      <c r="I159">
        <v>4.75</v>
      </c>
      <c r="J159">
        <v>15</v>
      </c>
      <c r="K159">
        <v>3</v>
      </c>
      <c r="L159">
        <v>0</v>
      </c>
      <c r="M159">
        <v>0</v>
      </c>
      <c r="N159">
        <v>0</v>
      </c>
    </row>
    <row r="160" spans="1:14" x14ac:dyDescent="0.45">
      <c r="A160" t="s">
        <v>38</v>
      </c>
      <c r="B160" t="s">
        <v>637</v>
      </c>
      <c r="C160" t="s">
        <v>10</v>
      </c>
      <c r="D160" t="s">
        <v>340</v>
      </c>
      <c r="E160">
        <v>4</v>
      </c>
      <c r="F160">
        <v>0</v>
      </c>
      <c r="G160">
        <v>15</v>
      </c>
      <c r="H160">
        <v>3</v>
      </c>
      <c r="I160">
        <v>3.75</v>
      </c>
      <c r="J160">
        <v>16</v>
      </c>
      <c r="K160">
        <v>2</v>
      </c>
      <c r="L160">
        <v>0</v>
      </c>
      <c r="M160">
        <v>1</v>
      </c>
      <c r="N160">
        <v>0</v>
      </c>
    </row>
    <row r="161" spans="1:14" x14ac:dyDescent="0.45">
      <c r="A161" t="s">
        <v>38</v>
      </c>
      <c r="B161" t="s">
        <v>637</v>
      </c>
      <c r="C161" t="s">
        <v>10</v>
      </c>
      <c r="D161" t="s">
        <v>339</v>
      </c>
      <c r="E161">
        <v>4</v>
      </c>
      <c r="F161">
        <v>0</v>
      </c>
      <c r="G161">
        <v>41</v>
      </c>
      <c r="H161">
        <v>1</v>
      </c>
      <c r="I161">
        <v>10.25</v>
      </c>
      <c r="J161">
        <v>6</v>
      </c>
      <c r="K161">
        <v>2</v>
      </c>
      <c r="L161">
        <v>3</v>
      </c>
      <c r="M161">
        <v>2</v>
      </c>
      <c r="N161">
        <v>0</v>
      </c>
    </row>
    <row r="162" spans="1:14" x14ac:dyDescent="0.45">
      <c r="A162" t="s">
        <v>38</v>
      </c>
      <c r="B162" t="s">
        <v>637</v>
      </c>
      <c r="C162" t="s">
        <v>10</v>
      </c>
      <c r="D162" t="s">
        <v>341</v>
      </c>
      <c r="E162">
        <v>4</v>
      </c>
      <c r="F162">
        <v>0</v>
      </c>
      <c r="G162">
        <v>33</v>
      </c>
      <c r="H162">
        <v>0</v>
      </c>
      <c r="I162">
        <v>8.25</v>
      </c>
      <c r="J162">
        <v>9</v>
      </c>
      <c r="K162">
        <v>1</v>
      </c>
      <c r="L162">
        <v>2</v>
      </c>
      <c r="M162">
        <v>1</v>
      </c>
      <c r="N162">
        <v>1</v>
      </c>
    </row>
    <row r="163" spans="1:14" x14ac:dyDescent="0.45">
      <c r="A163" t="s">
        <v>38</v>
      </c>
      <c r="B163" t="s">
        <v>637</v>
      </c>
      <c r="C163" t="s">
        <v>10</v>
      </c>
      <c r="D163" t="s">
        <v>337</v>
      </c>
      <c r="E163">
        <v>4</v>
      </c>
      <c r="F163">
        <v>0</v>
      </c>
      <c r="G163">
        <v>21</v>
      </c>
      <c r="H163">
        <v>3</v>
      </c>
      <c r="I163">
        <v>5.25</v>
      </c>
      <c r="J163">
        <v>8</v>
      </c>
      <c r="K163">
        <v>1</v>
      </c>
      <c r="L163">
        <v>0</v>
      </c>
      <c r="M163">
        <v>1</v>
      </c>
      <c r="N163">
        <v>0</v>
      </c>
    </row>
    <row r="164" spans="1:14" x14ac:dyDescent="0.45">
      <c r="A164" t="s">
        <v>38</v>
      </c>
      <c r="B164" t="s">
        <v>637</v>
      </c>
      <c r="C164" t="s">
        <v>19</v>
      </c>
      <c r="D164" t="s">
        <v>370</v>
      </c>
      <c r="E164">
        <v>4</v>
      </c>
      <c r="F164">
        <v>0</v>
      </c>
      <c r="G164">
        <v>24</v>
      </c>
      <c r="H164">
        <v>1</v>
      </c>
      <c r="I164">
        <v>6</v>
      </c>
      <c r="J164">
        <v>7</v>
      </c>
      <c r="K164">
        <v>1</v>
      </c>
      <c r="L164">
        <v>0</v>
      </c>
      <c r="M164">
        <v>1</v>
      </c>
      <c r="N164">
        <v>0</v>
      </c>
    </row>
    <row r="165" spans="1:14" x14ac:dyDescent="0.45">
      <c r="A165" t="s">
        <v>38</v>
      </c>
      <c r="B165" t="s">
        <v>637</v>
      </c>
      <c r="C165" t="s">
        <v>19</v>
      </c>
      <c r="D165" t="s">
        <v>414</v>
      </c>
      <c r="E165">
        <v>4</v>
      </c>
      <c r="F165">
        <v>0</v>
      </c>
      <c r="G165">
        <v>31</v>
      </c>
      <c r="H165">
        <v>1</v>
      </c>
      <c r="I165">
        <v>7.75</v>
      </c>
      <c r="J165">
        <v>9</v>
      </c>
      <c r="K165">
        <v>2</v>
      </c>
      <c r="L165">
        <v>1</v>
      </c>
      <c r="M165">
        <v>1</v>
      </c>
      <c r="N165">
        <v>0</v>
      </c>
    </row>
    <row r="166" spans="1:14" x14ac:dyDescent="0.45">
      <c r="A166" t="s">
        <v>38</v>
      </c>
      <c r="B166" t="s">
        <v>637</v>
      </c>
      <c r="C166" t="s">
        <v>19</v>
      </c>
      <c r="D166" t="s">
        <v>366</v>
      </c>
      <c r="E166">
        <v>2.1</v>
      </c>
      <c r="F166">
        <v>0</v>
      </c>
      <c r="G166">
        <v>18</v>
      </c>
      <c r="H166">
        <v>1</v>
      </c>
      <c r="I166">
        <v>8.3000000000000007</v>
      </c>
      <c r="J166">
        <v>5</v>
      </c>
      <c r="K166">
        <v>0</v>
      </c>
      <c r="L166">
        <v>2</v>
      </c>
      <c r="M166">
        <v>0</v>
      </c>
      <c r="N166">
        <v>0</v>
      </c>
    </row>
    <row r="167" spans="1:14" x14ac:dyDescent="0.45">
      <c r="A167" t="s">
        <v>38</v>
      </c>
      <c r="B167" t="s">
        <v>637</v>
      </c>
      <c r="C167" t="s">
        <v>19</v>
      </c>
      <c r="D167" t="s">
        <v>369</v>
      </c>
      <c r="E167">
        <v>4</v>
      </c>
      <c r="F167">
        <v>0</v>
      </c>
      <c r="G167">
        <v>29</v>
      </c>
      <c r="H167">
        <v>1</v>
      </c>
      <c r="I167">
        <v>7.25</v>
      </c>
      <c r="J167">
        <v>10</v>
      </c>
      <c r="K167">
        <v>3</v>
      </c>
      <c r="L167">
        <v>1</v>
      </c>
      <c r="M167">
        <v>0</v>
      </c>
      <c r="N167">
        <v>0</v>
      </c>
    </row>
    <row r="168" spans="1:14" x14ac:dyDescent="0.45">
      <c r="A168" t="s">
        <v>38</v>
      </c>
      <c r="B168" t="s">
        <v>637</v>
      </c>
      <c r="C168" t="s">
        <v>19</v>
      </c>
      <c r="D168" t="s">
        <v>367</v>
      </c>
      <c r="E168">
        <v>4</v>
      </c>
      <c r="F168">
        <v>0</v>
      </c>
      <c r="G168">
        <v>19</v>
      </c>
      <c r="H168">
        <v>1</v>
      </c>
      <c r="I168">
        <v>4.75</v>
      </c>
      <c r="J168">
        <v>12</v>
      </c>
      <c r="K168">
        <v>2</v>
      </c>
      <c r="L168">
        <v>0</v>
      </c>
      <c r="M168">
        <v>0</v>
      </c>
      <c r="N168">
        <v>0</v>
      </c>
    </row>
    <row r="169" spans="1:14" x14ac:dyDescent="0.45">
      <c r="A169" t="s">
        <v>38</v>
      </c>
      <c r="B169" t="s">
        <v>637</v>
      </c>
      <c r="C169" t="s">
        <v>19</v>
      </c>
      <c r="D169" t="s">
        <v>362</v>
      </c>
      <c r="E169">
        <v>1</v>
      </c>
      <c r="F169">
        <v>0</v>
      </c>
      <c r="G169">
        <v>9</v>
      </c>
      <c r="H169">
        <v>0</v>
      </c>
      <c r="I169">
        <v>9</v>
      </c>
      <c r="J169">
        <v>2</v>
      </c>
      <c r="K169">
        <v>1</v>
      </c>
      <c r="L169">
        <v>0</v>
      </c>
      <c r="M169">
        <v>2</v>
      </c>
      <c r="N169">
        <v>0</v>
      </c>
    </row>
    <row r="170" spans="1:14" x14ac:dyDescent="0.45">
      <c r="A170" t="s">
        <v>40</v>
      </c>
      <c r="B170" t="s">
        <v>638</v>
      </c>
      <c r="C170" t="s">
        <v>26</v>
      </c>
      <c r="D170" t="s">
        <v>427</v>
      </c>
      <c r="E170">
        <v>4</v>
      </c>
      <c r="F170">
        <v>0</v>
      </c>
      <c r="G170">
        <v>38</v>
      </c>
      <c r="H170">
        <v>0</v>
      </c>
      <c r="I170">
        <v>9.5</v>
      </c>
      <c r="J170">
        <v>5</v>
      </c>
      <c r="K170">
        <v>3</v>
      </c>
      <c r="L170">
        <v>2</v>
      </c>
      <c r="M170">
        <v>0</v>
      </c>
      <c r="N170">
        <v>0</v>
      </c>
    </row>
    <row r="171" spans="1:14" x14ac:dyDescent="0.45">
      <c r="A171" t="s">
        <v>40</v>
      </c>
      <c r="B171" t="s">
        <v>638</v>
      </c>
      <c r="C171" t="s">
        <v>26</v>
      </c>
      <c r="D171" t="s">
        <v>403</v>
      </c>
      <c r="E171">
        <v>4</v>
      </c>
      <c r="F171">
        <v>0</v>
      </c>
      <c r="G171">
        <v>23</v>
      </c>
      <c r="H171">
        <v>1</v>
      </c>
      <c r="I171">
        <v>5.75</v>
      </c>
      <c r="J171">
        <v>10</v>
      </c>
      <c r="K171">
        <v>2</v>
      </c>
      <c r="L171">
        <v>0</v>
      </c>
      <c r="M171">
        <v>1</v>
      </c>
      <c r="N171">
        <v>0</v>
      </c>
    </row>
    <row r="172" spans="1:14" x14ac:dyDescent="0.45">
      <c r="A172" t="s">
        <v>40</v>
      </c>
      <c r="B172" t="s">
        <v>638</v>
      </c>
      <c r="C172" t="s">
        <v>26</v>
      </c>
      <c r="D172" t="s">
        <v>405</v>
      </c>
      <c r="E172">
        <v>4</v>
      </c>
      <c r="F172">
        <v>0</v>
      </c>
      <c r="G172">
        <v>32</v>
      </c>
      <c r="H172">
        <v>3</v>
      </c>
      <c r="I172">
        <v>8</v>
      </c>
      <c r="J172">
        <v>10</v>
      </c>
      <c r="K172">
        <v>2</v>
      </c>
      <c r="L172">
        <v>1</v>
      </c>
      <c r="M172">
        <v>2</v>
      </c>
      <c r="N172">
        <v>0</v>
      </c>
    </row>
    <row r="173" spans="1:14" x14ac:dyDescent="0.45">
      <c r="A173" t="s">
        <v>40</v>
      </c>
      <c r="B173" t="s">
        <v>638</v>
      </c>
      <c r="C173" t="s">
        <v>26</v>
      </c>
      <c r="D173" t="s">
        <v>428</v>
      </c>
      <c r="E173">
        <v>4</v>
      </c>
      <c r="F173">
        <v>0</v>
      </c>
      <c r="G173">
        <v>46</v>
      </c>
      <c r="H173">
        <v>0</v>
      </c>
      <c r="I173">
        <v>11.5</v>
      </c>
      <c r="J173">
        <v>4</v>
      </c>
      <c r="K173">
        <v>6</v>
      </c>
      <c r="L173">
        <v>1</v>
      </c>
      <c r="M173">
        <v>1</v>
      </c>
      <c r="N173">
        <v>0</v>
      </c>
    </row>
    <row r="174" spans="1:14" x14ac:dyDescent="0.45">
      <c r="A174" t="s">
        <v>40</v>
      </c>
      <c r="B174" t="s">
        <v>638</v>
      </c>
      <c r="C174" t="s">
        <v>26</v>
      </c>
      <c r="D174" t="s">
        <v>407</v>
      </c>
      <c r="E174">
        <v>4</v>
      </c>
      <c r="F174">
        <v>0</v>
      </c>
      <c r="G174">
        <v>22</v>
      </c>
      <c r="H174">
        <v>2</v>
      </c>
      <c r="I174">
        <v>5.5</v>
      </c>
      <c r="J174">
        <v>9</v>
      </c>
      <c r="K174">
        <v>2</v>
      </c>
      <c r="L174">
        <v>0</v>
      </c>
      <c r="M174">
        <v>0</v>
      </c>
      <c r="N174">
        <v>0</v>
      </c>
    </row>
    <row r="175" spans="1:14" x14ac:dyDescent="0.45">
      <c r="A175" t="s">
        <v>40</v>
      </c>
      <c r="B175" t="s">
        <v>638</v>
      </c>
      <c r="C175" t="s">
        <v>7</v>
      </c>
      <c r="D175" t="s">
        <v>415</v>
      </c>
      <c r="E175">
        <v>4</v>
      </c>
      <c r="F175">
        <v>0</v>
      </c>
      <c r="G175">
        <v>40</v>
      </c>
      <c r="H175">
        <v>0</v>
      </c>
      <c r="I175">
        <v>10</v>
      </c>
      <c r="J175">
        <v>5</v>
      </c>
      <c r="K175">
        <v>3</v>
      </c>
      <c r="L175">
        <v>2</v>
      </c>
      <c r="M175">
        <v>1</v>
      </c>
      <c r="N175">
        <v>0</v>
      </c>
    </row>
    <row r="176" spans="1:14" x14ac:dyDescent="0.45">
      <c r="A176" t="s">
        <v>40</v>
      </c>
      <c r="B176" t="s">
        <v>638</v>
      </c>
      <c r="C176" t="s">
        <v>7</v>
      </c>
      <c r="D176" t="s">
        <v>320</v>
      </c>
      <c r="E176">
        <v>4</v>
      </c>
      <c r="F176">
        <v>0</v>
      </c>
      <c r="G176">
        <v>31</v>
      </c>
      <c r="H176">
        <v>1</v>
      </c>
      <c r="I176">
        <v>7.75</v>
      </c>
      <c r="J176">
        <v>12</v>
      </c>
      <c r="K176">
        <v>4</v>
      </c>
      <c r="L176">
        <v>1</v>
      </c>
      <c r="M176">
        <v>0</v>
      </c>
      <c r="N176">
        <v>0</v>
      </c>
    </row>
    <row r="177" spans="1:14" x14ac:dyDescent="0.45">
      <c r="A177" t="s">
        <v>40</v>
      </c>
      <c r="B177" t="s">
        <v>638</v>
      </c>
      <c r="C177" t="s">
        <v>7</v>
      </c>
      <c r="D177" t="s">
        <v>322</v>
      </c>
      <c r="E177">
        <v>4</v>
      </c>
      <c r="F177">
        <v>0</v>
      </c>
      <c r="G177">
        <v>24</v>
      </c>
      <c r="H177">
        <v>2</v>
      </c>
      <c r="I177">
        <v>6</v>
      </c>
      <c r="J177">
        <v>8</v>
      </c>
      <c r="K177">
        <v>1</v>
      </c>
      <c r="L177">
        <v>1</v>
      </c>
      <c r="M177">
        <v>0</v>
      </c>
      <c r="N177">
        <v>0</v>
      </c>
    </row>
    <row r="178" spans="1:14" x14ac:dyDescent="0.45">
      <c r="A178" t="s">
        <v>40</v>
      </c>
      <c r="B178" t="s">
        <v>638</v>
      </c>
      <c r="C178" t="s">
        <v>7</v>
      </c>
      <c r="D178" t="s">
        <v>308</v>
      </c>
      <c r="E178">
        <v>4</v>
      </c>
      <c r="F178">
        <v>0</v>
      </c>
      <c r="G178">
        <v>34</v>
      </c>
      <c r="H178">
        <v>1</v>
      </c>
      <c r="I178">
        <v>8.5</v>
      </c>
      <c r="J178">
        <v>5</v>
      </c>
      <c r="K178">
        <v>0</v>
      </c>
      <c r="L178">
        <v>2</v>
      </c>
      <c r="M178">
        <v>2</v>
      </c>
      <c r="N178">
        <v>0</v>
      </c>
    </row>
    <row r="179" spans="1:14" x14ac:dyDescent="0.45">
      <c r="A179" t="s">
        <v>40</v>
      </c>
      <c r="B179" t="s">
        <v>638</v>
      </c>
      <c r="C179" t="s">
        <v>7</v>
      </c>
      <c r="D179" t="s">
        <v>304</v>
      </c>
      <c r="E179">
        <v>2.2999999999999998</v>
      </c>
      <c r="F179">
        <v>0</v>
      </c>
      <c r="G179">
        <v>30</v>
      </c>
      <c r="H179">
        <v>1</v>
      </c>
      <c r="I179">
        <v>12</v>
      </c>
      <c r="J179">
        <v>2</v>
      </c>
      <c r="K179">
        <v>0</v>
      </c>
      <c r="L179">
        <v>3</v>
      </c>
      <c r="M179">
        <v>0</v>
      </c>
      <c r="N179">
        <v>1</v>
      </c>
    </row>
    <row r="180" spans="1:14" x14ac:dyDescent="0.45">
      <c r="A180" t="s">
        <v>40</v>
      </c>
      <c r="B180" t="s">
        <v>638</v>
      </c>
      <c r="C180" t="s">
        <v>7</v>
      </c>
      <c r="D180" t="s">
        <v>306</v>
      </c>
      <c r="E180">
        <v>1</v>
      </c>
      <c r="F180">
        <v>0</v>
      </c>
      <c r="G180">
        <v>7</v>
      </c>
      <c r="H180">
        <v>0</v>
      </c>
      <c r="I180">
        <v>7</v>
      </c>
      <c r="J180">
        <v>1</v>
      </c>
      <c r="K180">
        <v>0</v>
      </c>
      <c r="L180">
        <v>0</v>
      </c>
      <c r="M180">
        <v>0</v>
      </c>
      <c r="N180">
        <v>0</v>
      </c>
    </row>
    <row r="181" spans="1:14" x14ac:dyDescent="0.45">
      <c r="A181" t="s">
        <v>41</v>
      </c>
      <c r="B181" t="s">
        <v>639</v>
      </c>
      <c r="C181" t="s">
        <v>6</v>
      </c>
      <c r="D181" t="s">
        <v>324</v>
      </c>
      <c r="E181">
        <v>4</v>
      </c>
      <c r="F181">
        <v>0</v>
      </c>
      <c r="G181">
        <v>32</v>
      </c>
      <c r="H181">
        <v>0</v>
      </c>
      <c r="I181">
        <v>8</v>
      </c>
      <c r="J181">
        <v>9</v>
      </c>
      <c r="K181">
        <v>2</v>
      </c>
      <c r="L181">
        <v>2</v>
      </c>
      <c r="M181">
        <v>0</v>
      </c>
      <c r="N181">
        <v>0</v>
      </c>
    </row>
    <row r="182" spans="1:14" x14ac:dyDescent="0.45">
      <c r="A182" t="s">
        <v>41</v>
      </c>
      <c r="B182" t="s">
        <v>639</v>
      </c>
      <c r="C182" t="s">
        <v>6</v>
      </c>
      <c r="D182" t="s">
        <v>325</v>
      </c>
      <c r="E182">
        <v>4</v>
      </c>
      <c r="F182">
        <v>0</v>
      </c>
      <c r="G182">
        <v>24</v>
      </c>
      <c r="H182">
        <v>3</v>
      </c>
      <c r="I182">
        <v>6</v>
      </c>
      <c r="J182">
        <v>13</v>
      </c>
      <c r="K182">
        <v>1</v>
      </c>
      <c r="L182">
        <v>2</v>
      </c>
      <c r="M182">
        <v>0</v>
      </c>
      <c r="N182">
        <v>0</v>
      </c>
    </row>
    <row r="183" spans="1:14" x14ac:dyDescent="0.45">
      <c r="A183" t="s">
        <v>41</v>
      </c>
      <c r="B183" t="s">
        <v>639</v>
      </c>
      <c r="C183" t="s">
        <v>6</v>
      </c>
      <c r="D183" t="s">
        <v>326</v>
      </c>
      <c r="E183">
        <v>4</v>
      </c>
      <c r="F183">
        <v>0</v>
      </c>
      <c r="G183">
        <v>37</v>
      </c>
      <c r="H183">
        <v>1</v>
      </c>
      <c r="I183">
        <v>9.25</v>
      </c>
      <c r="J183">
        <v>7</v>
      </c>
      <c r="K183">
        <v>4</v>
      </c>
      <c r="L183">
        <v>0</v>
      </c>
      <c r="M183">
        <v>1</v>
      </c>
      <c r="N183">
        <v>1</v>
      </c>
    </row>
    <row r="184" spans="1:14" x14ac:dyDescent="0.45">
      <c r="A184" t="s">
        <v>41</v>
      </c>
      <c r="B184" t="s">
        <v>639</v>
      </c>
      <c r="C184" t="s">
        <v>6</v>
      </c>
      <c r="D184" t="s">
        <v>327</v>
      </c>
      <c r="E184">
        <v>4</v>
      </c>
      <c r="F184">
        <v>0</v>
      </c>
      <c r="G184">
        <v>17</v>
      </c>
      <c r="H184">
        <v>2</v>
      </c>
      <c r="I184">
        <v>4.25</v>
      </c>
      <c r="J184">
        <v>10</v>
      </c>
      <c r="K184">
        <v>0</v>
      </c>
      <c r="L184">
        <v>0</v>
      </c>
      <c r="M184">
        <v>3</v>
      </c>
      <c r="N184">
        <v>0</v>
      </c>
    </row>
    <row r="185" spans="1:14" x14ac:dyDescent="0.45">
      <c r="A185" t="s">
        <v>41</v>
      </c>
      <c r="B185" t="s">
        <v>639</v>
      </c>
      <c r="C185" t="s">
        <v>6</v>
      </c>
      <c r="D185" t="s">
        <v>328</v>
      </c>
      <c r="E185">
        <v>3</v>
      </c>
      <c r="F185">
        <v>0</v>
      </c>
      <c r="G185">
        <v>14</v>
      </c>
      <c r="H185">
        <v>1</v>
      </c>
      <c r="I185">
        <v>4.66</v>
      </c>
      <c r="J185">
        <v>5</v>
      </c>
      <c r="K185">
        <v>0</v>
      </c>
      <c r="L185">
        <v>0</v>
      </c>
      <c r="M185">
        <v>0</v>
      </c>
      <c r="N185">
        <v>0</v>
      </c>
    </row>
    <row r="186" spans="1:14" x14ac:dyDescent="0.45">
      <c r="A186" t="s">
        <v>41</v>
      </c>
      <c r="B186" t="s">
        <v>639</v>
      </c>
      <c r="C186" t="s">
        <v>6</v>
      </c>
      <c r="D186" t="s">
        <v>299</v>
      </c>
      <c r="E186">
        <v>1</v>
      </c>
      <c r="F186">
        <v>0</v>
      </c>
      <c r="G186">
        <v>5</v>
      </c>
      <c r="H186">
        <v>0</v>
      </c>
      <c r="I186">
        <v>5</v>
      </c>
      <c r="J186">
        <v>2</v>
      </c>
      <c r="K186">
        <v>0</v>
      </c>
      <c r="L186">
        <v>0</v>
      </c>
      <c r="M186">
        <v>0</v>
      </c>
      <c r="N186">
        <v>0</v>
      </c>
    </row>
    <row r="187" spans="1:14" x14ac:dyDescent="0.45">
      <c r="A187" t="s">
        <v>41</v>
      </c>
      <c r="B187" t="s">
        <v>639</v>
      </c>
      <c r="C187" t="s">
        <v>20</v>
      </c>
      <c r="D187" t="s">
        <v>429</v>
      </c>
      <c r="E187">
        <v>3</v>
      </c>
      <c r="F187">
        <v>0</v>
      </c>
      <c r="G187">
        <v>18</v>
      </c>
      <c r="H187">
        <v>0</v>
      </c>
      <c r="I187">
        <v>6</v>
      </c>
      <c r="J187">
        <v>7</v>
      </c>
      <c r="K187">
        <v>1</v>
      </c>
      <c r="L187">
        <v>0</v>
      </c>
      <c r="M187">
        <v>0</v>
      </c>
      <c r="N187">
        <v>0</v>
      </c>
    </row>
    <row r="188" spans="1:14" x14ac:dyDescent="0.45">
      <c r="A188" t="s">
        <v>41</v>
      </c>
      <c r="B188" t="s">
        <v>639</v>
      </c>
      <c r="C188" t="s">
        <v>20</v>
      </c>
      <c r="D188" t="s">
        <v>409</v>
      </c>
      <c r="E188">
        <v>4</v>
      </c>
      <c r="F188">
        <v>0</v>
      </c>
      <c r="G188">
        <v>34</v>
      </c>
      <c r="H188">
        <v>0</v>
      </c>
      <c r="I188">
        <v>8.5</v>
      </c>
      <c r="J188">
        <v>12</v>
      </c>
      <c r="K188">
        <v>1</v>
      </c>
      <c r="L188">
        <v>3</v>
      </c>
      <c r="M188">
        <v>2</v>
      </c>
      <c r="N188">
        <v>0</v>
      </c>
    </row>
    <row r="189" spans="1:14" x14ac:dyDescent="0.45">
      <c r="A189" t="s">
        <v>41</v>
      </c>
      <c r="B189" t="s">
        <v>639</v>
      </c>
      <c r="C189" t="s">
        <v>20</v>
      </c>
      <c r="D189" t="s">
        <v>378</v>
      </c>
      <c r="E189">
        <v>4</v>
      </c>
      <c r="F189">
        <v>0</v>
      </c>
      <c r="G189">
        <v>27</v>
      </c>
      <c r="H189">
        <v>3</v>
      </c>
      <c r="I189">
        <v>6.75</v>
      </c>
      <c r="J189">
        <v>9</v>
      </c>
      <c r="K189">
        <v>3</v>
      </c>
      <c r="L189">
        <v>0</v>
      </c>
      <c r="M189">
        <v>0</v>
      </c>
      <c r="N189">
        <v>0</v>
      </c>
    </row>
    <row r="190" spans="1:14" x14ac:dyDescent="0.45">
      <c r="A190" t="s">
        <v>41</v>
      </c>
      <c r="B190" t="s">
        <v>639</v>
      </c>
      <c r="C190" t="s">
        <v>20</v>
      </c>
      <c r="D190" t="s">
        <v>379</v>
      </c>
      <c r="E190">
        <v>4</v>
      </c>
      <c r="F190">
        <v>0</v>
      </c>
      <c r="G190">
        <v>27</v>
      </c>
      <c r="H190">
        <v>1</v>
      </c>
      <c r="I190">
        <v>6.75</v>
      </c>
      <c r="J190">
        <v>12</v>
      </c>
      <c r="K190">
        <v>3</v>
      </c>
      <c r="L190">
        <v>1</v>
      </c>
      <c r="M190">
        <v>1</v>
      </c>
      <c r="N190">
        <v>0</v>
      </c>
    </row>
    <row r="191" spans="1:14" x14ac:dyDescent="0.45">
      <c r="A191" t="s">
        <v>41</v>
      </c>
      <c r="B191" t="s">
        <v>639</v>
      </c>
      <c r="C191" t="s">
        <v>20</v>
      </c>
      <c r="D191" t="s">
        <v>381</v>
      </c>
      <c r="E191">
        <v>2.4</v>
      </c>
      <c r="F191">
        <v>0</v>
      </c>
      <c r="G191">
        <v>24</v>
      </c>
      <c r="H191">
        <v>0</v>
      </c>
      <c r="I191">
        <v>9</v>
      </c>
      <c r="J191">
        <v>8</v>
      </c>
      <c r="K191">
        <v>2</v>
      </c>
      <c r="L191">
        <v>2</v>
      </c>
      <c r="M191">
        <v>0</v>
      </c>
      <c r="N191">
        <v>0</v>
      </c>
    </row>
    <row r="192" spans="1:14" x14ac:dyDescent="0.45">
      <c r="A192" t="s">
        <v>41</v>
      </c>
      <c r="B192" t="s">
        <v>639</v>
      </c>
      <c r="C192" t="s">
        <v>20</v>
      </c>
      <c r="D192" t="s">
        <v>373</v>
      </c>
      <c r="E192">
        <v>2</v>
      </c>
      <c r="F192">
        <v>0</v>
      </c>
      <c r="G192">
        <v>9</v>
      </c>
      <c r="H192">
        <v>0</v>
      </c>
      <c r="I192">
        <v>4.5</v>
      </c>
      <c r="J192">
        <v>6</v>
      </c>
      <c r="K192">
        <v>1</v>
      </c>
      <c r="L192">
        <v>0</v>
      </c>
      <c r="M192">
        <v>0</v>
      </c>
      <c r="N192">
        <v>0</v>
      </c>
    </row>
    <row r="193" spans="1:14" x14ac:dyDescent="0.45">
      <c r="A193" t="s">
        <v>42</v>
      </c>
      <c r="B193" t="s">
        <v>640</v>
      </c>
      <c r="C193" t="s">
        <v>13</v>
      </c>
      <c r="D193" t="s">
        <v>350</v>
      </c>
      <c r="E193">
        <v>3</v>
      </c>
      <c r="F193">
        <v>0</v>
      </c>
      <c r="G193">
        <v>30</v>
      </c>
      <c r="H193">
        <v>1</v>
      </c>
      <c r="I193">
        <v>10</v>
      </c>
      <c r="J193">
        <v>9</v>
      </c>
      <c r="K193">
        <v>1</v>
      </c>
      <c r="L193">
        <v>3</v>
      </c>
      <c r="M193">
        <v>1</v>
      </c>
      <c r="N193">
        <v>0</v>
      </c>
    </row>
    <row r="194" spans="1:14" x14ac:dyDescent="0.45">
      <c r="A194" t="s">
        <v>42</v>
      </c>
      <c r="B194" t="s">
        <v>640</v>
      </c>
      <c r="C194" t="s">
        <v>13</v>
      </c>
      <c r="D194" t="s">
        <v>352</v>
      </c>
      <c r="E194">
        <v>3</v>
      </c>
      <c r="F194">
        <v>0</v>
      </c>
      <c r="G194">
        <v>18</v>
      </c>
      <c r="H194">
        <v>0</v>
      </c>
      <c r="I194">
        <v>6</v>
      </c>
      <c r="J194">
        <v>7</v>
      </c>
      <c r="K194">
        <v>2</v>
      </c>
      <c r="L194">
        <v>0</v>
      </c>
      <c r="M194">
        <v>1</v>
      </c>
      <c r="N194">
        <v>0</v>
      </c>
    </row>
    <row r="195" spans="1:14" x14ac:dyDescent="0.45">
      <c r="A195" t="s">
        <v>42</v>
      </c>
      <c r="B195" t="s">
        <v>640</v>
      </c>
      <c r="C195" t="s">
        <v>13</v>
      </c>
      <c r="D195" t="s">
        <v>345</v>
      </c>
      <c r="E195">
        <v>2</v>
      </c>
      <c r="F195">
        <v>0</v>
      </c>
      <c r="G195">
        <v>17</v>
      </c>
      <c r="H195">
        <v>0</v>
      </c>
      <c r="I195">
        <v>8.5</v>
      </c>
      <c r="J195">
        <v>4</v>
      </c>
      <c r="K195">
        <v>1</v>
      </c>
      <c r="L195">
        <v>1</v>
      </c>
      <c r="M195">
        <v>0</v>
      </c>
      <c r="N195">
        <v>0</v>
      </c>
    </row>
    <row r="196" spans="1:14" x14ac:dyDescent="0.45">
      <c r="A196" t="s">
        <v>42</v>
      </c>
      <c r="B196" t="s">
        <v>640</v>
      </c>
      <c r="C196" t="s">
        <v>13</v>
      </c>
      <c r="D196" t="s">
        <v>349</v>
      </c>
      <c r="E196">
        <v>4</v>
      </c>
      <c r="F196">
        <v>0</v>
      </c>
      <c r="G196">
        <v>34</v>
      </c>
      <c r="H196">
        <v>3</v>
      </c>
      <c r="I196">
        <v>8.5</v>
      </c>
      <c r="J196">
        <v>10</v>
      </c>
      <c r="K196">
        <v>4</v>
      </c>
      <c r="L196">
        <v>1</v>
      </c>
      <c r="M196">
        <v>1</v>
      </c>
      <c r="N196">
        <v>0</v>
      </c>
    </row>
    <row r="197" spans="1:14" x14ac:dyDescent="0.45">
      <c r="A197" t="s">
        <v>42</v>
      </c>
      <c r="B197" t="s">
        <v>640</v>
      </c>
      <c r="C197" t="s">
        <v>13</v>
      </c>
      <c r="D197" t="s">
        <v>348</v>
      </c>
      <c r="E197">
        <v>2</v>
      </c>
      <c r="F197">
        <v>0</v>
      </c>
      <c r="G197">
        <v>21</v>
      </c>
      <c r="H197">
        <v>1</v>
      </c>
      <c r="I197">
        <v>10.5</v>
      </c>
      <c r="J197">
        <v>3</v>
      </c>
      <c r="K197">
        <v>2</v>
      </c>
      <c r="L197">
        <v>1</v>
      </c>
      <c r="M197">
        <v>0</v>
      </c>
      <c r="N197">
        <v>0</v>
      </c>
    </row>
    <row r="198" spans="1:14" x14ac:dyDescent="0.45">
      <c r="A198" t="s">
        <v>42</v>
      </c>
      <c r="B198" t="s">
        <v>640</v>
      </c>
      <c r="C198" t="s">
        <v>13</v>
      </c>
      <c r="D198" t="s">
        <v>353</v>
      </c>
      <c r="E198">
        <v>4</v>
      </c>
      <c r="F198">
        <v>0</v>
      </c>
      <c r="G198">
        <v>18</v>
      </c>
      <c r="H198">
        <v>2</v>
      </c>
      <c r="I198">
        <v>4.5</v>
      </c>
      <c r="J198">
        <v>11</v>
      </c>
      <c r="K198">
        <v>0</v>
      </c>
      <c r="L198">
        <v>1</v>
      </c>
      <c r="M198">
        <v>0</v>
      </c>
      <c r="N198">
        <v>0</v>
      </c>
    </row>
    <row r="199" spans="1:14" x14ac:dyDescent="0.45">
      <c r="A199" t="s">
        <v>42</v>
      </c>
      <c r="B199" t="s">
        <v>640</v>
      </c>
      <c r="C199" t="s">
        <v>13</v>
      </c>
      <c r="D199" t="s">
        <v>347</v>
      </c>
      <c r="E199">
        <v>2</v>
      </c>
      <c r="F199">
        <v>0</v>
      </c>
      <c r="G199">
        <v>10</v>
      </c>
      <c r="H199">
        <v>2</v>
      </c>
      <c r="I199">
        <v>5</v>
      </c>
      <c r="J199">
        <v>2</v>
      </c>
      <c r="K199">
        <v>0</v>
      </c>
      <c r="L199">
        <v>0</v>
      </c>
      <c r="M199">
        <v>0</v>
      </c>
      <c r="N199">
        <v>0</v>
      </c>
    </row>
    <row r="200" spans="1:14" x14ac:dyDescent="0.45">
      <c r="A200" t="s">
        <v>42</v>
      </c>
      <c r="B200" t="s">
        <v>640</v>
      </c>
      <c r="C200" t="s">
        <v>23</v>
      </c>
      <c r="D200" t="s">
        <v>391</v>
      </c>
      <c r="E200">
        <v>4</v>
      </c>
      <c r="F200">
        <v>0</v>
      </c>
      <c r="G200">
        <v>50</v>
      </c>
      <c r="H200">
        <v>0</v>
      </c>
      <c r="I200">
        <v>12.5</v>
      </c>
      <c r="J200">
        <v>5</v>
      </c>
      <c r="K200">
        <v>6</v>
      </c>
      <c r="L200">
        <v>2</v>
      </c>
      <c r="M200">
        <v>0</v>
      </c>
      <c r="N200">
        <v>0</v>
      </c>
    </row>
    <row r="201" spans="1:14" x14ac:dyDescent="0.45">
      <c r="A201" t="s">
        <v>42</v>
      </c>
      <c r="B201" t="s">
        <v>640</v>
      </c>
      <c r="C201" t="s">
        <v>23</v>
      </c>
      <c r="D201" t="s">
        <v>432</v>
      </c>
      <c r="E201">
        <v>2</v>
      </c>
      <c r="F201">
        <v>0</v>
      </c>
      <c r="G201">
        <v>23</v>
      </c>
      <c r="H201">
        <v>0</v>
      </c>
      <c r="I201">
        <v>11.5</v>
      </c>
      <c r="J201">
        <v>3</v>
      </c>
      <c r="K201">
        <v>3</v>
      </c>
      <c r="L201">
        <v>0</v>
      </c>
      <c r="M201">
        <v>2</v>
      </c>
      <c r="N201">
        <v>0</v>
      </c>
    </row>
    <row r="202" spans="1:14" x14ac:dyDescent="0.45">
      <c r="A202" t="s">
        <v>42</v>
      </c>
      <c r="B202" t="s">
        <v>640</v>
      </c>
      <c r="C202" t="s">
        <v>23</v>
      </c>
      <c r="D202" t="s">
        <v>394</v>
      </c>
      <c r="E202">
        <v>3</v>
      </c>
      <c r="F202">
        <v>0</v>
      </c>
      <c r="G202">
        <v>18</v>
      </c>
      <c r="H202">
        <v>0</v>
      </c>
      <c r="I202">
        <v>6</v>
      </c>
      <c r="J202">
        <v>8</v>
      </c>
      <c r="K202">
        <v>2</v>
      </c>
      <c r="L202">
        <v>0</v>
      </c>
      <c r="M202">
        <v>1</v>
      </c>
      <c r="N202">
        <v>0</v>
      </c>
    </row>
    <row r="203" spans="1:14" x14ac:dyDescent="0.45">
      <c r="A203" t="s">
        <v>42</v>
      </c>
      <c r="B203" t="s">
        <v>640</v>
      </c>
      <c r="C203" t="s">
        <v>23</v>
      </c>
      <c r="D203" t="s">
        <v>396</v>
      </c>
      <c r="E203">
        <v>3</v>
      </c>
      <c r="F203">
        <v>0</v>
      </c>
      <c r="G203">
        <v>20</v>
      </c>
      <c r="H203">
        <v>2</v>
      </c>
      <c r="I203">
        <v>6.66</v>
      </c>
      <c r="J203">
        <v>8</v>
      </c>
      <c r="K203">
        <v>2</v>
      </c>
      <c r="L203">
        <v>0</v>
      </c>
      <c r="M203">
        <v>0</v>
      </c>
      <c r="N203">
        <v>0</v>
      </c>
    </row>
    <row r="204" spans="1:14" x14ac:dyDescent="0.45">
      <c r="A204" t="s">
        <v>42</v>
      </c>
      <c r="B204" t="s">
        <v>640</v>
      </c>
      <c r="C204" t="s">
        <v>23</v>
      </c>
      <c r="D204" t="s">
        <v>390</v>
      </c>
      <c r="E204">
        <v>3</v>
      </c>
      <c r="F204">
        <v>0</v>
      </c>
      <c r="G204">
        <v>23</v>
      </c>
      <c r="H204">
        <v>0</v>
      </c>
      <c r="I204">
        <v>7.66</v>
      </c>
      <c r="J204">
        <v>4</v>
      </c>
      <c r="K204">
        <v>3</v>
      </c>
      <c r="L204">
        <v>0</v>
      </c>
      <c r="M204">
        <v>0</v>
      </c>
      <c r="N204">
        <v>0</v>
      </c>
    </row>
    <row r="205" spans="1:14" x14ac:dyDescent="0.45">
      <c r="A205" t="s">
        <v>42</v>
      </c>
      <c r="B205" t="s">
        <v>640</v>
      </c>
      <c r="C205" t="s">
        <v>23</v>
      </c>
      <c r="D205" t="s">
        <v>430</v>
      </c>
      <c r="E205">
        <v>2</v>
      </c>
      <c r="F205">
        <v>0</v>
      </c>
      <c r="G205">
        <v>13</v>
      </c>
      <c r="H205">
        <v>0</v>
      </c>
      <c r="I205">
        <v>6.5</v>
      </c>
      <c r="J205">
        <v>3</v>
      </c>
      <c r="K205">
        <v>1</v>
      </c>
      <c r="L205">
        <v>0</v>
      </c>
      <c r="M205">
        <v>1</v>
      </c>
      <c r="N205">
        <v>0</v>
      </c>
    </row>
    <row r="206" spans="1:14" x14ac:dyDescent="0.45">
      <c r="A206" t="s">
        <v>42</v>
      </c>
      <c r="B206" t="s">
        <v>640</v>
      </c>
      <c r="C206" t="s">
        <v>23</v>
      </c>
      <c r="D206" t="s">
        <v>431</v>
      </c>
      <c r="E206">
        <v>0.1</v>
      </c>
      <c r="F206">
        <v>0</v>
      </c>
      <c r="G206">
        <v>4</v>
      </c>
      <c r="H206">
        <v>0</v>
      </c>
      <c r="I206">
        <v>24</v>
      </c>
      <c r="J206">
        <v>0</v>
      </c>
      <c r="K206">
        <v>1</v>
      </c>
      <c r="L206">
        <v>0</v>
      </c>
      <c r="M206">
        <v>0</v>
      </c>
      <c r="N206">
        <v>0</v>
      </c>
    </row>
    <row r="207" spans="1:14" x14ac:dyDescent="0.45">
      <c r="A207" t="s">
        <v>43</v>
      </c>
      <c r="B207" t="s">
        <v>641</v>
      </c>
      <c r="C207" t="s">
        <v>19</v>
      </c>
      <c r="D207" t="s">
        <v>366</v>
      </c>
      <c r="E207">
        <v>4</v>
      </c>
      <c r="F207">
        <v>0</v>
      </c>
      <c r="G207">
        <v>24</v>
      </c>
      <c r="H207">
        <v>1</v>
      </c>
      <c r="I207">
        <v>6</v>
      </c>
      <c r="J207">
        <v>6</v>
      </c>
      <c r="K207">
        <v>1</v>
      </c>
      <c r="L207">
        <v>0</v>
      </c>
      <c r="M207">
        <v>0</v>
      </c>
      <c r="N207">
        <v>1</v>
      </c>
    </row>
    <row r="208" spans="1:14" x14ac:dyDescent="0.45">
      <c r="A208" t="s">
        <v>43</v>
      </c>
      <c r="B208" t="s">
        <v>641</v>
      </c>
      <c r="C208" t="s">
        <v>19</v>
      </c>
      <c r="D208" t="s">
        <v>370</v>
      </c>
      <c r="E208">
        <v>3</v>
      </c>
      <c r="F208">
        <v>0</v>
      </c>
      <c r="G208">
        <v>30</v>
      </c>
      <c r="H208">
        <v>0</v>
      </c>
      <c r="I208">
        <v>10</v>
      </c>
      <c r="J208">
        <v>7</v>
      </c>
      <c r="K208">
        <v>4</v>
      </c>
      <c r="L208">
        <v>1</v>
      </c>
      <c r="M208">
        <v>1</v>
      </c>
      <c r="N208">
        <v>0</v>
      </c>
    </row>
    <row r="209" spans="1:14" x14ac:dyDescent="0.45">
      <c r="A209" t="s">
        <v>43</v>
      </c>
      <c r="B209" t="s">
        <v>641</v>
      </c>
      <c r="C209" t="s">
        <v>19</v>
      </c>
      <c r="D209" t="s">
        <v>369</v>
      </c>
      <c r="E209">
        <v>4</v>
      </c>
      <c r="F209">
        <v>0</v>
      </c>
      <c r="G209">
        <v>24</v>
      </c>
      <c r="H209">
        <v>2</v>
      </c>
      <c r="I209">
        <v>6</v>
      </c>
      <c r="J209">
        <v>11</v>
      </c>
      <c r="K209">
        <v>2</v>
      </c>
      <c r="L209">
        <v>0</v>
      </c>
      <c r="M209">
        <v>0</v>
      </c>
      <c r="N209">
        <v>0</v>
      </c>
    </row>
    <row r="210" spans="1:14" x14ac:dyDescent="0.45">
      <c r="A210" t="s">
        <v>43</v>
      </c>
      <c r="B210" t="s">
        <v>641</v>
      </c>
      <c r="C210" t="s">
        <v>19</v>
      </c>
      <c r="D210" t="s">
        <v>367</v>
      </c>
      <c r="E210">
        <v>4</v>
      </c>
      <c r="F210">
        <v>0</v>
      </c>
      <c r="G210">
        <v>19</v>
      </c>
      <c r="H210">
        <v>0</v>
      </c>
      <c r="I210">
        <v>4.75</v>
      </c>
      <c r="J210">
        <v>10</v>
      </c>
      <c r="K210">
        <v>1</v>
      </c>
      <c r="L210">
        <v>0</v>
      </c>
      <c r="M210">
        <v>0</v>
      </c>
      <c r="N210">
        <v>0</v>
      </c>
    </row>
    <row r="211" spans="1:14" x14ac:dyDescent="0.45">
      <c r="A211" t="s">
        <v>43</v>
      </c>
      <c r="B211" t="s">
        <v>641</v>
      </c>
      <c r="C211" t="s">
        <v>19</v>
      </c>
      <c r="D211" t="s">
        <v>362</v>
      </c>
      <c r="E211">
        <v>1</v>
      </c>
      <c r="F211">
        <v>0</v>
      </c>
      <c r="G211">
        <v>8</v>
      </c>
      <c r="H211">
        <v>2</v>
      </c>
      <c r="I211">
        <v>8</v>
      </c>
      <c r="J211">
        <v>2</v>
      </c>
      <c r="K211">
        <v>1</v>
      </c>
      <c r="L211">
        <v>0</v>
      </c>
      <c r="M211">
        <v>1</v>
      </c>
      <c r="N211">
        <v>0</v>
      </c>
    </row>
    <row r="212" spans="1:14" x14ac:dyDescent="0.45">
      <c r="A212" t="s">
        <v>43</v>
      </c>
      <c r="B212" t="s">
        <v>641</v>
      </c>
      <c r="C212" t="s">
        <v>19</v>
      </c>
      <c r="D212" t="s">
        <v>435</v>
      </c>
      <c r="E212">
        <v>4</v>
      </c>
      <c r="F212">
        <v>0</v>
      </c>
      <c r="G212">
        <v>27</v>
      </c>
      <c r="H212">
        <v>1</v>
      </c>
      <c r="I212">
        <v>6.75</v>
      </c>
      <c r="J212">
        <v>6</v>
      </c>
      <c r="K212">
        <v>2</v>
      </c>
      <c r="L212">
        <v>0</v>
      </c>
      <c r="M212">
        <v>0</v>
      </c>
      <c r="N212">
        <v>0</v>
      </c>
    </row>
    <row r="213" spans="1:14" x14ac:dyDescent="0.45">
      <c r="A213" t="s">
        <v>43</v>
      </c>
      <c r="B213" t="s">
        <v>641</v>
      </c>
      <c r="C213" t="s">
        <v>26</v>
      </c>
      <c r="D213" t="s">
        <v>401</v>
      </c>
      <c r="E213">
        <v>3</v>
      </c>
      <c r="F213">
        <v>0</v>
      </c>
      <c r="G213">
        <v>18</v>
      </c>
      <c r="H213">
        <v>0</v>
      </c>
      <c r="I213">
        <v>6</v>
      </c>
      <c r="J213">
        <v>5</v>
      </c>
      <c r="K213">
        <v>1</v>
      </c>
      <c r="L213">
        <v>0</v>
      </c>
      <c r="M213">
        <v>1</v>
      </c>
      <c r="N213">
        <v>0</v>
      </c>
    </row>
    <row r="214" spans="1:14" x14ac:dyDescent="0.45">
      <c r="A214" t="s">
        <v>43</v>
      </c>
      <c r="B214" t="s">
        <v>641</v>
      </c>
      <c r="C214" t="s">
        <v>26</v>
      </c>
      <c r="D214" t="s">
        <v>403</v>
      </c>
      <c r="E214">
        <v>4</v>
      </c>
      <c r="F214">
        <v>0</v>
      </c>
      <c r="G214">
        <v>42</v>
      </c>
      <c r="H214">
        <v>1</v>
      </c>
      <c r="I214">
        <v>10.5</v>
      </c>
      <c r="J214">
        <v>9</v>
      </c>
      <c r="K214">
        <v>5</v>
      </c>
      <c r="L214">
        <v>2</v>
      </c>
      <c r="M214">
        <v>0</v>
      </c>
      <c r="N214">
        <v>0</v>
      </c>
    </row>
    <row r="215" spans="1:14" x14ac:dyDescent="0.45">
      <c r="A215" t="s">
        <v>43</v>
      </c>
      <c r="B215" t="s">
        <v>641</v>
      </c>
      <c r="C215" t="s">
        <v>26</v>
      </c>
      <c r="D215" t="s">
        <v>405</v>
      </c>
      <c r="E215">
        <v>4</v>
      </c>
      <c r="F215">
        <v>0</v>
      </c>
      <c r="G215">
        <v>29</v>
      </c>
      <c r="H215">
        <v>0</v>
      </c>
      <c r="I215">
        <v>7.25</v>
      </c>
      <c r="J215">
        <v>9</v>
      </c>
      <c r="K215">
        <v>2</v>
      </c>
      <c r="L215">
        <v>1</v>
      </c>
      <c r="M215">
        <v>1</v>
      </c>
      <c r="N215">
        <v>0</v>
      </c>
    </row>
    <row r="216" spans="1:14" x14ac:dyDescent="0.45">
      <c r="A216" t="s">
        <v>43</v>
      </c>
      <c r="B216" t="s">
        <v>641</v>
      </c>
      <c r="C216" t="s">
        <v>26</v>
      </c>
      <c r="D216" t="s">
        <v>407</v>
      </c>
      <c r="E216">
        <v>4</v>
      </c>
      <c r="F216">
        <v>0</v>
      </c>
      <c r="G216">
        <v>25</v>
      </c>
      <c r="H216">
        <v>2</v>
      </c>
      <c r="I216">
        <v>6.25</v>
      </c>
      <c r="J216">
        <v>11</v>
      </c>
      <c r="K216">
        <v>2</v>
      </c>
      <c r="L216">
        <v>1</v>
      </c>
      <c r="M216">
        <v>0</v>
      </c>
      <c r="N216">
        <v>0</v>
      </c>
    </row>
    <row r="217" spans="1:14" x14ac:dyDescent="0.45">
      <c r="A217" t="s">
        <v>43</v>
      </c>
      <c r="B217" t="s">
        <v>641</v>
      </c>
      <c r="C217" t="s">
        <v>26</v>
      </c>
      <c r="D217" t="s">
        <v>428</v>
      </c>
      <c r="E217">
        <v>3</v>
      </c>
      <c r="F217">
        <v>0</v>
      </c>
      <c r="G217">
        <v>12</v>
      </c>
      <c r="H217">
        <v>1</v>
      </c>
      <c r="I217">
        <v>4</v>
      </c>
      <c r="J217">
        <v>10</v>
      </c>
      <c r="K217">
        <v>1</v>
      </c>
      <c r="L217">
        <v>0</v>
      </c>
      <c r="M217">
        <v>0</v>
      </c>
      <c r="N217">
        <v>0</v>
      </c>
    </row>
    <row r="218" spans="1:14" x14ac:dyDescent="0.45">
      <c r="A218" t="s">
        <v>43</v>
      </c>
      <c r="B218" t="s">
        <v>641</v>
      </c>
      <c r="C218" t="s">
        <v>26</v>
      </c>
      <c r="D218" t="s">
        <v>404</v>
      </c>
      <c r="E218">
        <v>1</v>
      </c>
      <c r="F218">
        <v>0</v>
      </c>
      <c r="G218">
        <v>11</v>
      </c>
      <c r="H218">
        <v>0</v>
      </c>
      <c r="I218">
        <v>11</v>
      </c>
      <c r="J218">
        <v>1</v>
      </c>
      <c r="K218">
        <v>0</v>
      </c>
      <c r="L218">
        <v>1</v>
      </c>
      <c r="M218">
        <v>0</v>
      </c>
      <c r="N218">
        <v>0</v>
      </c>
    </row>
    <row r="219" spans="1:14" x14ac:dyDescent="0.45">
      <c r="A219" t="s">
        <v>44</v>
      </c>
      <c r="B219" t="s">
        <v>624</v>
      </c>
      <c r="C219" t="s">
        <v>7</v>
      </c>
      <c r="D219" t="s">
        <v>437</v>
      </c>
      <c r="E219">
        <v>2</v>
      </c>
      <c r="F219">
        <v>0</v>
      </c>
      <c r="G219">
        <v>15</v>
      </c>
      <c r="H219">
        <v>0</v>
      </c>
      <c r="I219">
        <v>7.5</v>
      </c>
      <c r="J219">
        <v>6</v>
      </c>
      <c r="K219">
        <v>3</v>
      </c>
      <c r="L219">
        <v>0</v>
      </c>
      <c r="M219">
        <v>0</v>
      </c>
      <c r="N219">
        <v>0</v>
      </c>
    </row>
    <row r="220" spans="1:14" x14ac:dyDescent="0.45">
      <c r="A220" t="s">
        <v>44</v>
      </c>
      <c r="B220" t="s">
        <v>624</v>
      </c>
      <c r="C220" t="s">
        <v>7</v>
      </c>
      <c r="D220" t="s">
        <v>415</v>
      </c>
      <c r="E220">
        <v>4</v>
      </c>
      <c r="F220">
        <v>0</v>
      </c>
      <c r="G220">
        <v>29</v>
      </c>
      <c r="H220">
        <v>1</v>
      </c>
      <c r="I220">
        <v>7.25</v>
      </c>
      <c r="J220">
        <v>9</v>
      </c>
      <c r="K220">
        <v>4</v>
      </c>
      <c r="L220">
        <v>0</v>
      </c>
      <c r="M220">
        <v>1</v>
      </c>
      <c r="N220">
        <v>0</v>
      </c>
    </row>
    <row r="221" spans="1:14" x14ac:dyDescent="0.45">
      <c r="A221" t="s">
        <v>44</v>
      </c>
      <c r="B221" t="s">
        <v>624</v>
      </c>
      <c r="C221" t="s">
        <v>7</v>
      </c>
      <c r="D221" t="s">
        <v>317</v>
      </c>
      <c r="E221">
        <v>2</v>
      </c>
      <c r="F221">
        <v>0</v>
      </c>
      <c r="G221">
        <v>10</v>
      </c>
      <c r="H221">
        <v>2</v>
      </c>
      <c r="I221">
        <v>5</v>
      </c>
      <c r="J221">
        <v>6</v>
      </c>
      <c r="K221">
        <v>1</v>
      </c>
      <c r="L221">
        <v>0</v>
      </c>
      <c r="M221">
        <v>0</v>
      </c>
      <c r="N221">
        <v>0</v>
      </c>
    </row>
    <row r="222" spans="1:14" x14ac:dyDescent="0.45">
      <c r="A222" t="s">
        <v>44</v>
      </c>
      <c r="B222" t="s">
        <v>624</v>
      </c>
      <c r="C222" t="s">
        <v>7</v>
      </c>
      <c r="D222" t="s">
        <v>322</v>
      </c>
      <c r="E222">
        <v>4</v>
      </c>
      <c r="F222">
        <v>0</v>
      </c>
      <c r="G222">
        <v>24</v>
      </c>
      <c r="H222">
        <v>0</v>
      </c>
      <c r="I222">
        <v>6</v>
      </c>
      <c r="J222">
        <v>8</v>
      </c>
      <c r="K222">
        <v>2</v>
      </c>
      <c r="L222">
        <v>0</v>
      </c>
      <c r="M222">
        <v>1</v>
      </c>
      <c r="N222">
        <v>0</v>
      </c>
    </row>
    <row r="223" spans="1:14" x14ac:dyDescent="0.45">
      <c r="A223" t="s">
        <v>44</v>
      </c>
      <c r="B223" t="s">
        <v>624</v>
      </c>
      <c r="C223" t="s">
        <v>7</v>
      </c>
      <c r="D223" t="s">
        <v>308</v>
      </c>
      <c r="E223">
        <v>4</v>
      </c>
      <c r="F223">
        <v>0</v>
      </c>
      <c r="G223">
        <v>18</v>
      </c>
      <c r="H223">
        <v>2</v>
      </c>
      <c r="I223">
        <v>4.5</v>
      </c>
      <c r="J223">
        <v>10</v>
      </c>
      <c r="K223">
        <v>1</v>
      </c>
      <c r="L223">
        <v>0</v>
      </c>
      <c r="M223">
        <v>0</v>
      </c>
      <c r="N223">
        <v>0</v>
      </c>
    </row>
    <row r="224" spans="1:14" x14ac:dyDescent="0.45">
      <c r="A224" t="s">
        <v>44</v>
      </c>
      <c r="B224" t="s">
        <v>624</v>
      </c>
      <c r="C224" t="s">
        <v>7</v>
      </c>
      <c r="D224" t="s">
        <v>304</v>
      </c>
      <c r="E224">
        <v>4</v>
      </c>
      <c r="F224">
        <v>0</v>
      </c>
      <c r="G224">
        <v>29</v>
      </c>
      <c r="H224">
        <v>2</v>
      </c>
      <c r="I224">
        <v>7.25</v>
      </c>
      <c r="J224">
        <v>8</v>
      </c>
      <c r="K224">
        <v>3</v>
      </c>
      <c r="L224">
        <v>0</v>
      </c>
      <c r="M224">
        <v>2</v>
      </c>
      <c r="N224">
        <v>0</v>
      </c>
    </row>
    <row r="225" spans="1:14" x14ac:dyDescent="0.45">
      <c r="A225" t="s">
        <v>44</v>
      </c>
      <c r="B225" t="s">
        <v>624</v>
      </c>
      <c r="C225" t="s">
        <v>10</v>
      </c>
      <c r="D225" t="s">
        <v>338</v>
      </c>
      <c r="E225">
        <v>2.2000000000000002</v>
      </c>
      <c r="F225">
        <v>0</v>
      </c>
      <c r="G225">
        <v>15</v>
      </c>
      <c r="H225">
        <v>1</v>
      </c>
      <c r="I225">
        <v>6.42</v>
      </c>
      <c r="J225">
        <v>9</v>
      </c>
      <c r="K225">
        <v>3</v>
      </c>
      <c r="L225">
        <v>0</v>
      </c>
      <c r="M225">
        <v>1</v>
      </c>
      <c r="N225">
        <v>0</v>
      </c>
    </row>
    <row r="226" spans="1:14" x14ac:dyDescent="0.45">
      <c r="A226" t="s">
        <v>44</v>
      </c>
      <c r="B226" t="s">
        <v>624</v>
      </c>
      <c r="C226" t="s">
        <v>10</v>
      </c>
      <c r="D226" t="s">
        <v>337</v>
      </c>
      <c r="E226">
        <v>3</v>
      </c>
      <c r="F226">
        <v>0</v>
      </c>
      <c r="G226">
        <v>13</v>
      </c>
      <c r="H226">
        <v>0</v>
      </c>
      <c r="I226">
        <v>4.33</v>
      </c>
      <c r="J226">
        <v>10</v>
      </c>
      <c r="K226">
        <v>0</v>
      </c>
      <c r="L226">
        <v>1</v>
      </c>
      <c r="M226">
        <v>0</v>
      </c>
      <c r="N226">
        <v>0</v>
      </c>
    </row>
    <row r="227" spans="1:14" x14ac:dyDescent="0.45">
      <c r="A227" t="s">
        <v>44</v>
      </c>
      <c r="B227" t="s">
        <v>624</v>
      </c>
      <c r="C227" t="s">
        <v>10</v>
      </c>
      <c r="D227" t="s">
        <v>339</v>
      </c>
      <c r="E227">
        <v>4</v>
      </c>
      <c r="F227">
        <v>0</v>
      </c>
      <c r="G227">
        <v>24</v>
      </c>
      <c r="H227">
        <v>1</v>
      </c>
      <c r="I227">
        <v>6</v>
      </c>
      <c r="J227">
        <v>10</v>
      </c>
      <c r="K227">
        <v>1</v>
      </c>
      <c r="L227">
        <v>1</v>
      </c>
      <c r="M227">
        <v>1</v>
      </c>
      <c r="N227">
        <v>0</v>
      </c>
    </row>
    <row r="228" spans="1:14" x14ac:dyDescent="0.45">
      <c r="A228" t="s">
        <v>44</v>
      </c>
      <c r="B228" t="s">
        <v>624</v>
      </c>
      <c r="C228" t="s">
        <v>10</v>
      </c>
      <c r="D228" t="s">
        <v>436</v>
      </c>
      <c r="E228">
        <v>3</v>
      </c>
      <c r="F228">
        <v>0</v>
      </c>
      <c r="G228">
        <v>35</v>
      </c>
      <c r="H228">
        <v>1</v>
      </c>
      <c r="I228">
        <v>11.66</v>
      </c>
      <c r="J228">
        <v>5</v>
      </c>
      <c r="K228">
        <v>1</v>
      </c>
      <c r="L228">
        <v>3</v>
      </c>
      <c r="M228">
        <v>0</v>
      </c>
      <c r="N228">
        <v>0</v>
      </c>
    </row>
    <row r="229" spans="1:14" x14ac:dyDescent="0.45">
      <c r="A229" t="s">
        <v>44</v>
      </c>
      <c r="B229" t="s">
        <v>624</v>
      </c>
      <c r="C229" t="s">
        <v>10</v>
      </c>
      <c r="D229" t="s">
        <v>340</v>
      </c>
      <c r="E229">
        <v>3</v>
      </c>
      <c r="F229">
        <v>0</v>
      </c>
      <c r="G229">
        <v>13</v>
      </c>
      <c r="H229">
        <v>3</v>
      </c>
      <c r="I229">
        <v>4.33</v>
      </c>
      <c r="J229">
        <v>9</v>
      </c>
      <c r="K229">
        <v>1</v>
      </c>
      <c r="L229">
        <v>0</v>
      </c>
      <c r="M229">
        <v>0</v>
      </c>
      <c r="N229">
        <v>0</v>
      </c>
    </row>
    <row r="230" spans="1:14" x14ac:dyDescent="0.45">
      <c r="A230" t="s">
        <v>44</v>
      </c>
      <c r="B230" t="s">
        <v>624</v>
      </c>
      <c r="C230" t="s">
        <v>10</v>
      </c>
      <c r="D230" t="s">
        <v>341</v>
      </c>
      <c r="E230">
        <v>3</v>
      </c>
      <c r="F230">
        <v>1</v>
      </c>
      <c r="G230">
        <v>28</v>
      </c>
      <c r="H230">
        <v>1</v>
      </c>
      <c r="I230">
        <v>9.33</v>
      </c>
      <c r="J230">
        <v>10</v>
      </c>
      <c r="K230">
        <v>2</v>
      </c>
      <c r="L230">
        <v>2</v>
      </c>
      <c r="M230">
        <v>0</v>
      </c>
      <c r="N230">
        <v>1</v>
      </c>
    </row>
    <row r="231" spans="1:14" x14ac:dyDescent="0.45">
      <c r="A231" t="s">
        <v>45</v>
      </c>
      <c r="B231" t="s">
        <v>642</v>
      </c>
      <c r="C231" t="s">
        <v>20</v>
      </c>
      <c r="D231" t="s">
        <v>429</v>
      </c>
      <c r="E231">
        <v>3</v>
      </c>
      <c r="F231">
        <v>0</v>
      </c>
      <c r="G231">
        <v>30</v>
      </c>
      <c r="H231">
        <v>1</v>
      </c>
      <c r="I231">
        <v>10</v>
      </c>
      <c r="J231">
        <v>5</v>
      </c>
      <c r="K231">
        <v>4</v>
      </c>
      <c r="L231">
        <v>1</v>
      </c>
      <c r="M231">
        <v>0</v>
      </c>
      <c r="N231">
        <v>0</v>
      </c>
    </row>
    <row r="232" spans="1:14" x14ac:dyDescent="0.45">
      <c r="A232" t="s">
        <v>45</v>
      </c>
      <c r="B232" t="s">
        <v>642</v>
      </c>
      <c r="C232" t="s">
        <v>20</v>
      </c>
      <c r="D232" t="s">
        <v>409</v>
      </c>
      <c r="E232">
        <v>4</v>
      </c>
      <c r="F232">
        <v>1</v>
      </c>
      <c r="G232">
        <v>28</v>
      </c>
      <c r="H232">
        <v>1</v>
      </c>
      <c r="I232">
        <v>7</v>
      </c>
      <c r="J232">
        <v>8</v>
      </c>
      <c r="K232">
        <v>3</v>
      </c>
      <c r="L232">
        <v>0</v>
      </c>
      <c r="M232">
        <v>1</v>
      </c>
      <c r="N232">
        <v>0</v>
      </c>
    </row>
    <row r="233" spans="1:14" x14ac:dyDescent="0.45">
      <c r="A233" t="s">
        <v>45</v>
      </c>
      <c r="B233" t="s">
        <v>642</v>
      </c>
      <c r="C233" t="s">
        <v>20</v>
      </c>
      <c r="D233" t="s">
        <v>378</v>
      </c>
      <c r="E233">
        <v>4</v>
      </c>
      <c r="F233">
        <v>0</v>
      </c>
      <c r="G233">
        <v>27</v>
      </c>
      <c r="H233">
        <v>0</v>
      </c>
      <c r="I233">
        <v>6.75</v>
      </c>
      <c r="J233">
        <v>7</v>
      </c>
      <c r="K233">
        <v>1</v>
      </c>
      <c r="L233">
        <v>1</v>
      </c>
      <c r="M233">
        <v>1</v>
      </c>
      <c r="N233">
        <v>0</v>
      </c>
    </row>
    <row r="234" spans="1:14" x14ac:dyDescent="0.45">
      <c r="A234" t="s">
        <v>45</v>
      </c>
      <c r="B234" t="s">
        <v>642</v>
      </c>
      <c r="C234" t="s">
        <v>20</v>
      </c>
      <c r="D234" t="s">
        <v>381</v>
      </c>
      <c r="E234">
        <v>4</v>
      </c>
      <c r="F234">
        <v>0</v>
      </c>
      <c r="G234">
        <v>36</v>
      </c>
      <c r="H234">
        <v>2</v>
      </c>
      <c r="I234">
        <v>9</v>
      </c>
      <c r="J234">
        <v>10</v>
      </c>
      <c r="K234">
        <v>3</v>
      </c>
      <c r="L234">
        <v>2</v>
      </c>
      <c r="M234">
        <v>0</v>
      </c>
      <c r="N234">
        <v>0</v>
      </c>
    </row>
    <row r="235" spans="1:14" x14ac:dyDescent="0.45">
      <c r="A235" t="s">
        <v>45</v>
      </c>
      <c r="B235" t="s">
        <v>642</v>
      </c>
      <c r="C235" t="s">
        <v>20</v>
      </c>
      <c r="D235" t="s">
        <v>379</v>
      </c>
      <c r="E235">
        <v>4</v>
      </c>
      <c r="F235">
        <v>0</v>
      </c>
      <c r="G235">
        <v>31</v>
      </c>
      <c r="H235">
        <v>1</v>
      </c>
      <c r="I235">
        <v>7.75</v>
      </c>
      <c r="J235">
        <v>7</v>
      </c>
      <c r="K235">
        <v>2</v>
      </c>
      <c r="L235">
        <v>1</v>
      </c>
      <c r="M235">
        <v>1</v>
      </c>
      <c r="N235">
        <v>0</v>
      </c>
    </row>
    <row r="236" spans="1:14" x14ac:dyDescent="0.45">
      <c r="A236" t="s">
        <v>45</v>
      </c>
      <c r="B236" t="s">
        <v>642</v>
      </c>
      <c r="C236" t="s">
        <v>20</v>
      </c>
      <c r="D236" t="s">
        <v>373</v>
      </c>
      <c r="E236">
        <v>1</v>
      </c>
      <c r="F236">
        <v>0</v>
      </c>
      <c r="G236">
        <v>8</v>
      </c>
      <c r="H236">
        <v>0</v>
      </c>
      <c r="I236">
        <v>8</v>
      </c>
      <c r="J236">
        <v>1</v>
      </c>
      <c r="K236">
        <v>1</v>
      </c>
      <c r="L236">
        <v>0</v>
      </c>
      <c r="M236">
        <v>0</v>
      </c>
      <c r="N236">
        <v>0</v>
      </c>
    </row>
    <row r="237" spans="1:14" x14ac:dyDescent="0.45">
      <c r="A237" t="s">
        <v>45</v>
      </c>
      <c r="B237" t="s">
        <v>642</v>
      </c>
      <c r="C237" t="s">
        <v>23</v>
      </c>
      <c r="D237" t="s">
        <v>392</v>
      </c>
      <c r="E237">
        <v>2</v>
      </c>
      <c r="F237">
        <v>0</v>
      </c>
      <c r="G237">
        <v>20</v>
      </c>
      <c r="H237">
        <v>0</v>
      </c>
      <c r="I237">
        <v>10</v>
      </c>
      <c r="J237">
        <v>4</v>
      </c>
      <c r="K237">
        <v>2</v>
      </c>
      <c r="L237">
        <v>1</v>
      </c>
      <c r="M237">
        <v>1</v>
      </c>
      <c r="N237">
        <v>0</v>
      </c>
    </row>
    <row r="238" spans="1:14" x14ac:dyDescent="0.45">
      <c r="A238" t="s">
        <v>45</v>
      </c>
      <c r="B238" t="s">
        <v>642</v>
      </c>
      <c r="C238" t="s">
        <v>23</v>
      </c>
      <c r="D238" t="s">
        <v>391</v>
      </c>
      <c r="E238">
        <v>3</v>
      </c>
      <c r="F238">
        <v>0</v>
      </c>
      <c r="G238">
        <v>27</v>
      </c>
      <c r="H238">
        <v>0</v>
      </c>
      <c r="I238">
        <v>9</v>
      </c>
      <c r="J238">
        <v>6</v>
      </c>
      <c r="K238">
        <v>4</v>
      </c>
      <c r="L238">
        <v>0</v>
      </c>
      <c r="M238">
        <v>0</v>
      </c>
      <c r="N238">
        <v>0</v>
      </c>
    </row>
    <row r="239" spans="1:14" x14ac:dyDescent="0.45">
      <c r="A239" t="s">
        <v>45</v>
      </c>
      <c r="B239" t="s">
        <v>642</v>
      </c>
      <c r="C239" t="s">
        <v>23</v>
      </c>
      <c r="D239" t="s">
        <v>396</v>
      </c>
      <c r="E239">
        <v>3.3</v>
      </c>
      <c r="F239">
        <v>0</v>
      </c>
      <c r="G239">
        <v>26</v>
      </c>
      <c r="H239">
        <v>1</v>
      </c>
      <c r="I239">
        <v>7.42</v>
      </c>
      <c r="J239">
        <v>11</v>
      </c>
      <c r="K239">
        <v>5</v>
      </c>
      <c r="L239">
        <v>0</v>
      </c>
      <c r="M239">
        <v>1</v>
      </c>
      <c r="N239">
        <v>0</v>
      </c>
    </row>
    <row r="240" spans="1:14" x14ac:dyDescent="0.45">
      <c r="A240" t="s">
        <v>45</v>
      </c>
      <c r="B240" t="s">
        <v>642</v>
      </c>
      <c r="C240" t="s">
        <v>23</v>
      </c>
      <c r="D240" t="s">
        <v>430</v>
      </c>
      <c r="E240">
        <v>3</v>
      </c>
      <c r="F240">
        <v>0</v>
      </c>
      <c r="G240">
        <v>22</v>
      </c>
      <c r="H240">
        <v>1</v>
      </c>
      <c r="I240">
        <v>7.33</v>
      </c>
      <c r="J240">
        <v>6</v>
      </c>
      <c r="K240">
        <v>1</v>
      </c>
      <c r="L240">
        <v>1</v>
      </c>
      <c r="M240">
        <v>0</v>
      </c>
      <c r="N240">
        <v>0</v>
      </c>
    </row>
    <row r="241" spans="1:14" x14ac:dyDescent="0.45">
      <c r="A241" t="s">
        <v>45</v>
      </c>
      <c r="B241" t="s">
        <v>642</v>
      </c>
      <c r="C241" t="s">
        <v>23</v>
      </c>
      <c r="D241" t="s">
        <v>390</v>
      </c>
      <c r="E241">
        <v>3</v>
      </c>
      <c r="F241">
        <v>0</v>
      </c>
      <c r="G241">
        <v>32</v>
      </c>
      <c r="H241">
        <v>0</v>
      </c>
      <c r="I241">
        <v>10.66</v>
      </c>
      <c r="J241">
        <v>3</v>
      </c>
      <c r="K241">
        <v>3</v>
      </c>
      <c r="L241">
        <v>1</v>
      </c>
      <c r="M241">
        <v>2</v>
      </c>
      <c r="N241">
        <v>0</v>
      </c>
    </row>
    <row r="242" spans="1:14" x14ac:dyDescent="0.45">
      <c r="A242" t="s">
        <v>45</v>
      </c>
      <c r="B242" t="s">
        <v>642</v>
      </c>
      <c r="C242" t="s">
        <v>23</v>
      </c>
      <c r="D242" t="s">
        <v>394</v>
      </c>
      <c r="E242">
        <v>4</v>
      </c>
      <c r="F242">
        <v>0</v>
      </c>
      <c r="G242">
        <v>32</v>
      </c>
      <c r="H242">
        <v>1</v>
      </c>
      <c r="I242">
        <v>8</v>
      </c>
      <c r="J242">
        <v>7</v>
      </c>
      <c r="K242">
        <v>1</v>
      </c>
      <c r="L242">
        <v>1</v>
      </c>
      <c r="M242">
        <v>4</v>
      </c>
      <c r="N242">
        <v>0</v>
      </c>
    </row>
    <row r="243" spans="1:14" x14ac:dyDescent="0.45">
      <c r="A243" t="s">
        <v>47</v>
      </c>
      <c r="B243" t="s">
        <v>643</v>
      </c>
      <c r="C243" t="s">
        <v>19</v>
      </c>
      <c r="D243" t="s">
        <v>370</v>
      </c>
      <c r="E243">
        <v>4</v>
      </c>
      <c r="F243">
        <v>0</v>
      </c>
      <c r="G243">
        <v>17</v>
      </c>
      <c r="H243">
        <v>1</v>
      </c>
      <c r="I243">
        <v>4.25</v>
      </c>
      <c r="J243">
        <v>16</v>
      </c>
      <c r="K243">
        <v>1</v>
      </c>
      <c r="L243">
        <v>1</v>
      </c>
      <c r="M243">
        <v>1</v>
      </c>
      <c r="N243">
        <v>0</v>
      </c>
    </row>
    <row r="244" spans="1:14" x14ac:dyDescent="0.45">
      <c r="A244" t="s">
        <v>47</v>
      </c>
      <c r="B244" t="s">
        <v>643</v>
      </c>
      <c r="C244" t="s">
        <v>19</v>
      </c>
      <c r="D244" t="s">
        <v>369</v>
      </c>
      <c r="E244">
        <v>4</v>
      </c>
      <c r="F244">
        <v>0</v>
      </c>
      <c r="G244">
        <v>36</v>
      </c>
      <c r="H244">
        <v>3</v>
      </c>
      <c r="I244">
        <v>9</v>
      </c>
      <c r="J244">
        <v>12</v>
      </c>
      <c r="K244">
        <v>4</v>
      </c>
      <c r="L244">
        <v>2</v>
      </c>
      <c r="M244">
        <v>2</v>
      </c>
      <c r="N244">
        <v>0</v>
      </c>
    </row>
    <row r="245" spans="1:14" x14ac:dyDescent="0.45">
      <c r="A245" t="s">
        <v>47</v>
      </c>
      <c r="B245" t="s">
        <v>643</v>
      </c>
      <c r="C245" t="s">
        <v>19</v>
      </c>
      <c r="D245" t="s">
        <v>439</v>
      </c>
      <c r="E245">
        <v>4</v>
      </c>
      <c r="F245">
        <v>0</v>
      </c>
      <c r="G245">
        <v>48</v>
      </c>
      <c r="H245">
        <v>1</v>
      </c>
      <c r="I245">
        <v>12</v>
      </c>
      <c r="J245">
        <v>7</v>
      </c>
      <c r="K245">
        <v>6</v>
      </c>
      <c r="L245">
        <v>2</v>
      </c>
      <c r="M245">
        <v>0</v>
      </c>
      <c r="N245">
        <v>1</v>
      </c>
    </row>
    <row r="246" spans="1:14" x14ac:dyDescent="0.45">
      <c r="A246" t="s">
        <v>47</v>
      </c>
      <c r="B246" t="s">
        <v>643</v>
      </c>
      <c r="C246" t="s">
        <v>19</v>
      </c>
      <c r="D246" t="s">
        <v>366</v>
      </c>
      <c r="E246">
        <v>4</v>
      </c>
      <c r="F246">
        <v>0</v>
      </c>
      <c r="G246">
        <v>27</v>
      </c>
      <c r="H246">
        <v>0</v>
      </c>
      <c r="I246">
        <v>6.75</v>
      </c>
      <c r="J246">
        <v>8</v>
      </c>
      <c r="K246">
        <v>0</v>
      </c>
      <c r="L246">
        <v>1</v>
      </c>
      <c r="M246">
        <v>3</v>
      </c>
      <c r="N246">
        <v>0</v>
      </c>
    </row>
    <row r="247" spans="1:14" x14ac:dyDescent="0.45">
      <c r="A247" t="s">
        <v>47</v>
      </c>
      <c r="B247" t="s">
        <v>643</v>
      </c>
      <c r="C247" t="s">
        <v>19</v>
      </c>
      <c r="D247" t="s">
        <v>435</v>
      </c>
      <c r="E247">
        <v>4</v>
      </c>
      <c r="F247">
        <v>0</v>
      </c>
      <c r="G247">
        <v>33</v>
      </c>
      <c r="H247">
        <v>1</v>
      </c>
      <c r="I247">
        <v>8.25</v>
      </c>
      <c r="J247">
        <v>11</v>
      </c>
      <c r="K247">
        <v>1</v>
      </c>
      <c r="L247">
        <v>3</v>
      </c>
      <c r="M247">
        <v>0</v>
      </c>
      <c r="N247">
        <v>0</v>
      </c>
    </row>
    <row r="248" spans="1:14" x14ac:dyDescent="0.45">
      <c r="A248" t="s">
        <v>47</v>
      </c>
      <c r="B248" t="s">
        <v>643</v>
      </c>
      <c r="C248" t="s">
        <v>13</v>
      </c>
      <c r="D248" t="s">
        <v>438</v>
      </c>
      <c r="E248">
        <v>2</v>
      </c>
      <c r="F248">
        <v>0</v>
      </c>
      <c r="G248">
        <v>22</v>
      </c>
      <c r="H248">
        <v>0</v>
      </c>
      <c r="I248">
        <v>11</v>
      </c>
      <c r="J248">
        <v>3</v>
      </c>
      <c r="K248">
        <v>3</v>
      </c>
      <c r="L248">
        <v>0</v>
      </c>
      <c r="M248">
        <v>0</v>
      </c>
      <c r="N248">
        <v>1</v>
      </c>
    </row>
    <row r="249" spans="1:14" x14ac:dyDescent="0.45">
      <c r="A249" t="s">
        <v>47</v>
      </c>
      <c r="B249" t="s">
        <v>643</v>
      </c>
      <c r="C249" t="s">
        <v>13</v>
      </c>
      <c r="D249" t="s">
        <v>352</v>
      </c>
      <c r="E249">
        <v>3</v>
      </c>
      <c r="F249">
        <v>0</v>
      </c>
      <c r="G249">
        <v>15</v>
      </c>
      <c r="H249">
        <v>1</v>
      </c>
      <c r="I249">
        <v>5</v>
      </c>
      <c r="J249">
        <v>12</v>
      </c>
      <c r="K249">
        <v>3</v>
      </c>
      <c r="L249">
        <v>0</v>
      </c>
      <c r="M249">
        <v>0</v>
      </c>
      <c r="N249">
        <v>0</v>
      </c>
    </row>
    <row r="250" spans="1:14" x14ac:dyDescent="0.45">
      <c r="A250" t="s">
        <v>47</v>
      </c>
      <c r="B250" t="s">
        <v>643</v>
      </c>
      <c r="C250" t="s">
        <v>13</v>
      </c>
      <c r="D250" t="s">
        <v>348</v>
      </c>
      <c r="E250">
        <v>2</v>
      </c>
      <c r="F250">
        <v>0</v>
      </c>
      <c r="G250">
        <v>21</v>
      </c>
      <c r="H250">
        <v>0</v>
      </c>
      <c r="I250">
        <v>10.5</v>
      </c>
      <c r="J250">
        <v>2</v>
      </c>
      <c r="K250">
        <v>3</v>
      </c>
      <c r="L250">
        <v>0</v>
      </c>
      <c r="M250">
        <v>0</v>
      </c>
      <c r="N250">
        <v>0</v>
      </c>
    </row>
    <row r="251" spans="1:14" x14ac:dyDescent="0.45">
      <c r="A251" t="s">
        <v>47</v>
      </c>
      <c r="B251" t="s">
        <v>643</v>
      </c>
      <c r="C251" t="s">
        <v>13</v>
      </c>
      <c r="D251" t="s">
        <v>349</v>
      </c>
      <c r="E251">
        <v>3.1</v>
      </c>
      <c r="F251">
        <v>0</v>
      </c>
      <c r="G251">
        <v>17</v>
      </c>
      <c r="H251">
        <v>4</v>
      </c>
      <c r="I251">
        <v>5.36</v>
      </c>
      <c r="J251">
        <v>10</v>
      </c>
      <c r="K251">
        <v>1</v>
      </c>
      <c r="L251">
        <v>0</v>
      </c>
      <c r="M251">
        <v>3</v>
      </c>
      <c r="N251">
        <v>0</v>
      </c>
    </row>
    <row r="252" spans="1:14" x14ac:dyDescent="0.45">
      <c r="A252" t="s">
        <v>47</v>
      </c>
      <c r="B252" t="s">
        <v>643</v>
      </c>
      <c r="C252" t="s">
        <v>13</v>
      </c>
      <c r="D252" t="s">
        <v>353</v>
      </c>
      <c r="E252">
        <v>4</v>
      </c>
      <c r="F252">
        <v>1</v>
      </c>
      <c r="G252">
        <v>11</v>
      </c>
      <c r="H252">
        <v>3</v>
      </c>
      <c r="I252">
        <v>2.75</v>
      </c>
      <c r="J252">
        <v>16</v>
      </c>
      <c r="K252">
        <v>1</v>
      </c>
      <c r="L252">
        <v>0</v>
      </c>
      <c r="M252">
        <v>0</v>
      </c>
      <c r="N252">
        <v>0</v>
      </c>
    </row>
    <row r="253" spans="1:14" x14ac:dyDescent="0.45">
      <c r="A253" t="s">
        <v>47</v>
      </c>
      <c r="B253" t="s">
        <v>643</v>
      </c>
      <c r="C253" t="s">
        <v>13</v>
      </c>
      <c r="D253" t="s">
        <v>345</v>
      </c>
      <c r="E253">
        <v>4</v>
      </c>
      <c r="F253">
        <v>0</v>
      </c>
      <c r="G253">
        <v>23</v>
      </c>
      <c r="H253">
        <v>2</v>
      </c>
      <c r="I253">
        <v>5.75</v>
      </c>
      <c r="J253">
        <v>8</v>
      </c>
      <c r="K253">
        <v>0</v>
      </c>
      <c r="L253">
        <v>1</v>
      </c>
      <c r="M253">
        <v>1</v>
      </c>
      <c r="N253">
        <v>0</v>
      </c>
    </row>
    <row r="254" spans="1:14" x14ac:dyDescent="0.45">
      <c r="A254" t="s">
        <v>49</v>
      </c>
      <c r="B254" t="s">
        <v>644</v>
      </c>
      <c r="C254" t="s">
        <v>6</v>
      </c>
      <c r="D254" t="s">
        <v>324</v>
      </c>
      <c r="E254">
        <v>4</v>
      </c>
      <c r="F254">
        <v>0</v>
      </c>
      <c r="G254">
        <v>32</v>
      </c>
      <c r="H254">
        <v>0</v>
      </c>
      <c r="I254">
        <v>8</v>
      </c>
      <c r="J254">
        <v>8</v>
      </c>
      <c r="K254">
        <v>5</v>
      </c>
      <c r="L254">
        <v>0</v>
      </c>
      <c r="M254">
        <v>1</v>
      </c>
      <c r="N254">
        <v>0</v>
      </c>
    </row>
    <row r="255" spans="1:14" x14ac:dyDescent="0.45">
      <c r="A255" t="s">
        <v>49</v>
      </c>
      <c r="B255" t="s">
        <v>644</v>
      </c>
      <c r="C255" t="s">
        <v>6</v>
      </c>
      <c r="D255" t="s">
        <v>420</v>
      </c>
      <c r="E255">
        <v>4</v>
      </c>
      <c r="F255">
        <v>0</v>
      </c>
      <c r="G255">
        <v>56</v>
      </c>
      <c r="H255">
        <v>0</v>
      </c>
      <c r="I255">
        <v>14</v>
      </c>
      <c r="J255">
        <v>5</v>
      </c>
      <c r="K255">
        <v>6</v>
      </c>
      <c r="L255">
        <v>3</v>
      </c>
      <c r="M255">
        <v>2</v>
      </c>
      <c r="N255">
        <v>1</v>
      </c>
    </row>
    <row r="256" spans="1:14" x14ac:dyDescent="0.45">
      <c r="A256" t="s">
        <v>49</v>
      </c>
      <c r="B256" t="s">
        <v>644</v>
      </c>
      <c r="C256" t="s">
        <v>6</v>
      </c>
      <c r="D256" t="s">
        <v>325</v>
      </c>
      <c r="E256">
        <v>4</v>
      </c>
      <c r="F256">
        <v>0</v>
      </c>
      <c r="G256">
        <v>40</v>
      </c>
      <c r="H256">
        <v>2</v>
      </c>
      <c r="I256">
        <v>10</v>
      </c>
      <c r="J256">
        <v>8</v>
      </c>
      <c r="K256">
        <v>5</v>
      </c>
      <c r="L256">
        <v>1</v>
      </c>
      <c r="M256">
        <v>2</v>
      </c>
      <c r="N256">
        <v>0</v>
      </c>
    </row>
    <row r="257" spans="1:14" x14ac:dyDescent="0.45">
      <c r="A257" t="s">
        <v>49</v>
      </c>
      <c r="B257" t="s">
        <v>644</v>
      </c>
      <c r="C257" t="s">
        <v>6</v>
      </c>
      <c r="D257" t="s">
        <v>326</v>
      </c>
      <c r="E257">
        <v>4</v>
      </c>
      <c r="F257">
        <v>1</v>
      </c>
      <c r="G257">
        <v>20</v>
      </c>
      <c r="H257">
        <v>2</v>
      </c>
      <c r="I257">
        <v>5</v>
      </c>
      <c r="J257">
        <v>10</v>
      </c>
      <c r="K257">
        <v>1</v>
      </c>
      <c r="L257">
        <v>0</v>
      </c>
      <c r="M257">
        <v>0</v>
      </c>
      <c r="N257">
        <v>0</v>
      </c>
    </row>
    <row r="258" spans="1:14" x14ac:dyDescent="0.45">
      <c r="A258" t="s">
        <v>49</v>
      </c>
      <c r="B258" t="s">
        <v>644</v>
      </c>
      <c r="C258" t="s">
        <v>6</v>
      </c>
      <c r="D258" t="s">
        <v>328</v>
      </c>
      <c r="E258">
        <v>4</v>
      </c>
      <c r="F258">
        <v>0</v>
      </c>
      <c r="G258">
        <v>21</v>
      </c>
      <c r="H258">
        <v>1</v>
      </c>
      <c r="I258">
        <v>5.25</v>
      </c>
      <c r="J258">
        <v>5</v>
      </c>
      <c r="K258">
        <v>0</v>
      </c>
      <c r="L258">
        <v>0</v>
      </c>
      <c r="M258">
        <v>0</v>
      </c>
      <c r="N258">
        <v>0</v>
      </c>
    </row>
    <row r="259" spans="1:14" x14ac:dyDescent="0.45">
      <c r="A259" t="s">
        <v>49</v>
      </c>
      <c r="B259" t="s">
        <v>644</v>
      </c>
      <c r="C259" t="s">
        <v>7</v>
      </c>
      <c r="D259" t="s">
        <v>441</v>
      </c>
      <c r="E259">
        <v>4</v>
      </c>
      <c r="F259">
        <v>0</v>
      </c>
      <c r="G259">
        <v>41</v>
      </c>
      <c r="H259">
        <v>1</v>
      </c>
      <c r="I259">
        <v>10.25</v>
      </c>
      <c r="J259">
        <v>9</v>
      </c>
      <c r="K259">
        <v>5</v>
      </c>
      <c r="L259">
        <v>2</v>
      </c>
      <c r="M259">
        <v>0</v>
      </c>
      <c r="N259">
        <v>0</v>
      </c>
    </row>
    <row r="260" spans="1:14" x14ac:dyDescent="0.45">
      <c r="A260" t="s">
        <v>49</v>
      </c>
      <c r="B260" t="s">
        <v>644</v>
      </c>
      <c r="C260" t="s">
        <v>7</v>
      </c>
      <c r="D260" t="s">
        <v>317</v>
      </c>
      <c r="E260">
        <v>4</v>
      </c>
      <c r="F260">
        <v>0</v>
      </c>
      <c r="G260">
        <v>33</v>
      </c>
      <c r="H260">
        <v>1</v>
      </c>
      <c r="I260">
        <v>8.25</v>
      </c>
      <c r="J260">
        <v>10</v>
      </c>
      <c r="K260">
        <v>3</v>
      </c>
      <c r="L260">
        <v>1</v>
      </c>
      <c r="M260">
        <v>1</v>
      </c>
      <c r="N260">
        <v>1</v>
      </c>
    </row>
    <row r="261" spans="1:14" x14ac:dyDescent="0.45">
      <c r="A261" t="s">
        <v>49</v>
      </c>
      <c r="B261" t="s">
        <v>644</v>
      </c>
      <c r="C261" t="s">
        <v>7</v>
      </c>
      <c r="D261" t="s">
        <v>322</v>
      </c>
      <c r="E261">
        <v>4</v>
      </c>
      <c r="F261">
        <v>0</v>
      </c>
      <c r="G261">
        <v>22</v>
      </c>
      <c r="H261">
        <v>1</v>
      </c>
      <c r="I261">
        <v>5.5</v>
      </c>
      <c r="J261">
        <v>9</v>
      </c>
      <c r="K261">
        <v>2</v>
      </c>
      <c r="L261">
        <v>0</v>
      </c>
      <c r="M261">
        <v>0</v>
      </c>
      <c r="N261">
        <v>0</v>
      </c>
    </row>
    <row r="262" spans="1:14" x14ac:dyDescent="0.45">
      <c r="A262" t="s">
        <v>49</v>
      </c>
      <c r="B262" t="s">
        <v>644</v>
      </c>
      <c r="C262" t="s">
        <v>7</v>
      </c>
      <c r="D262" t="s">
        <v>308</v>
      </c>
      <c r="E262">
        <v>4</v>
      </c>
      <c r="F262">
        <v>0</v>
      </c>
      <c r="G262">
        <v>41</v>
      </c>
      <c r="H262">
        <v>3</v>
      </c>
      <c r="I262">
        <v>10.25</v>
      </c>
      <c r="J262">
        <v>7</v>
      </c>
      <c r="K262">
        <v>3</v>
      </c>
      <c r="L262">
        <v>2</v>
      </c>
      <c r="M262">
        <v>0</v>
      </c>
      <c r="N262">
        <v>0</v>
      </c>
    </row>
    <row r="263" spans="1:14" x14ac:dyDescent="0.45">
      <c r="A263" t="s">
        <v>49</v>
      </c>
      <c r="B263" t="s">
        <v>644</v>
      </c>
      <c r="C263" t="s">
        <v>7</v>
      </c>
      <c r="D263" t="s">
        <v>440</v>
      </c>
      <c r="E263">
        <v>3</v>
      </c>
      <c r="F263">
        <v>0</v>
      </c>
      <c r="G263">
        <v>28</v>
      </c>
      <c r="H263">
        <v>1</v>
      </c>
      <c r="I263">
        <v>9.33</v>
      </c>
      <c r="J263">
        <v>3</v>
      </c>
      <c r="K263">
        <v>2</v>
      </c>
      <c r="L263">
        <v>1</v>
      </c>
      <c r="M263">
        <v>1</v>
      </c>
      <c r="N263">
        <v>0</v>
      </c>
    </row>
    <row r="264" spans="1:14" x14ac:dyDescent="0.45">
      <c r="A264" t="s">
        <v>49</v>
      </c>
      <c r="B264" t="s">
        <v>644</v>
      </c>
      <c r="C264" t="s">
        <v>7</v>
      </c>
      <c r="D264" t="s">
        <v>304</v>
      </c>
      <c r="E264">
        <v>1</v>
      </c>
      <c r="F264">
        <v>0</v>
      </c>
      <c r="G264">
        <v>5</v>
      </c>
      <c r="H264">
        <v>0</v>
      </c>
      <c r="I264">
        <v>5</v>
      </c>
      <c r="J264">
        <v>2</v>
      </c>
      <c r="K264">
        <v>0</v>
      </c>
      <c r="L264">
        <v>0</v>
      </c>
      <c r="M264">
        <v>0</v>
      </c>
      <c r="N264">
        <v>0</v>
      </c>
    </row>
    <row r="265" spans="1:14" x14ac:dyDescent="0.45">
      <c r="A265" t="s">
        <v>51</v>
      </c>
      <c r="B265" t="s">
        <v>645</v>
      </c>
      <c r="C265" t="s">
        <v>20</v>
      </c>
      <c r="D265" t="s">
        <v>429</v>
      </c>
      <c r="E265">
        <v>4</v>
      </c>
      <c r="F265">
        <v>0</v>
      </c>
      <c r="G265">
        <v>20</v>
      </c>
      <c r="H265">
        <v>1</v>
      </c>
      <c r="I265">
        <v>5</v>
      </c>
      <c r="J265">
        <v>12</v>
      </c>
      <c r="K265">
        <v>1</v>
      </c>
      <c r="L265">
        <v>1</v>
      </c>
      <c r="M265">
        <v>0</v>
      </c>
      <c r="N265">
        <v>0</v>
      </c>
    </row>
    <row r="266" spans="1:14" x14ac:dyDescent="0.45">
      <c r="A266" t="s">
        <v>51</v>
      </c>
      <c r="B266" t="s">
        <v>645</v>
      </c>
      <c r="C266" t="s">
        <v>20</v>
      </c>
      <c r="D266" t="s">
        <v>409</v>
      </c>
      <c r="E266">
        <v>4</v>
      </c>
      <c r="F266">
        <v>0</v>
      </c>
      <c r="G266">
        <v>34</v>
      </c>
      <c r="H266">
        <v>1</v>
      </c>
      <c r="I266">
        <v>8.5</v>
      </c>
      <c r="J266">
        <v>10</v>
      </c>
      <c r="K266">
        <v>3</v>
      </c>
      <c r="L266">
        <v>1</v>
      </c>
      <c r="M266">
        <v>1</v>
      </c>
      <c r="N266">
        <v>0</v>
      </c>
    </row>
    <row r="267" spans="1:14" x14ac:dyDescent="0.45">
      <c r="A267" t="s">
        <v>51</v>
      </c>
      <c r="B267" t="s">
        <v>645</v>
      </c>
      <c r="C267" t="s">
        <v>20</v>
      </c>
      <c r="D267" t="s">
        <v>378</v>
      </c>
      <c r="E267">
        <v>4</v>
      </c>
      <c r="F267">
        <v>0</v>
      </c>
      <c r="G267">
        <v>19</v>
      </c>
      <c r="H267">
        <v>3</v>
      </c>
      <c r="I267">
        <v>4.75</v>
      </c>
      <c r="J267">
        <v>9</v>
      </c>
      <c r="K267">
        <v>0</v>
      </c>
      <c r="L267">
        <v>0</v>
      </c>
      <c r="M267">
        <v>1</v>
      </c>
      <c r="N267">
        <v>0</v>
      </c>
    </row>
    <row r="268" spans="1:14" x14ac:dyDescent="0.45">
      <c r="A268" t="s">
        <v>51</v>
      </c>
      <c r="B268" t="s">
        <v>645</v>
      </c>
      <c r="C268" t="s">
        <v>20</v>
      </c>
      <c r="D268" t="s">
        <v>444</v>
      </c>
      <c r="E268">
        <v>3</v>
      </c>
      <c r="F268">
        <v>0</v>
      </c>
      <c r="G268">
        <v>22</v>
      </c>
      <c r="H268">
        <v>0</v>
      </c>
      <c r="I268">
        <v>7.33</v>
      </c>
      <c r="J268">
        <v>5</v>
      </c>
      <c r="K268">
        <v>2</v>
      </c>
      <c r="L268">
        <v>0</v>
      </c>
      <c r="M268">
        <v>1</v>
      </c>
      <c r="N268">
        <v>0</v>
      </c>
    </row>
    <row r="269" spans="1:14" x14ac:dyDescent="0.45">
      <c r="A269" t="s">
        <v>51</v>
      </c>
      <c r="B269" t="s">
        <v>645</v>
      </c>
      <c r="C269" t="s">
        <v>20</v>
      </c>
      <c r="D269" t="s">
        <v>379</v>
      </c>
      <c r="E269">
        <v>4</v>
      </c>
      <c r="F269">
        <v>0</v>
      </c>
      <c r="G269">
        <v>17</v>
      </c>
      <c r="H269">
        <v>1</v>
      </c>
      <c r="I269">
        <v>4.25</v>
      </c>
      <c r="J269">
        <v>11</v>
      </c>
      <c r="K269">
        <v>1</v>
      </c>
      <c r="L269">
        <v>0</v>
      </c>
      <c r="M269">
        <v>0</v>
      </c>
      <c r="N269">
        <v>0</v>
      </c>
    </row>
    <row r="270" spans="1:14" x14ac:dyDescent="0.45">
      <c r="A270" t="s">
        <v>51</v>
      </c>
      <c r="B270" t="s">
        <v>645</v>
      </c>
      <c r="C270" t="s">
        <v>20</v>
      </c>
      <c r="D270" t="s">
        <v>376</v>
      </c>
      <c r="E270">
        <v>1</v>
      </c>
      <c r="F270">
        <v>0</v>
      </c>
      <c r="G270">
        <v>9</v>
      </c>
      <c r="H270">
        <v>1</v>
      </c>
      <c r="I270">
        <v>9</v>
      </c>
      <c r="J270">
        <v>1</v>
      </c>
      <c r="K270">
        <v>1</v>
      </c>
      <c r="L270">
        <v>0</v>
      </c>
      <c r="M270">
        <v>0</v>
      </c>
      <c r="N270">
        <v>0</v>
      </c>
    </row>
    <row r="271" spans="1:14" x14ac:dyDescent="0.45">
      <c r="A271" t="s">
        <v>51</v>
      </c>
      <c r="B271" t="s">
        <v>645</v>
      </c>
      <c r="C271" t="s">
        <v>26</v>
      </c>
      <c r="D271" t="s">
        <v>403</v>
      </c>
      <c r="E271">
        <v>4</v>
      </c>
      <c r="F271">
        <v>1</v>
      </c>
      <c r="G271">
        <v>14</v>
      </c>
      <c r="H271">
        <v>2</v>
      </c>
      <c r="I271">
        <v>3.5</v>
      </c>
      <c r="J271">
        <v>17</v>
      </c>
      <c r="K271">
        <v>0</v>
      </c>
      <c r="L271">
        <v>1</v>
      </c>
      <c r="M271">
        <v>0</v>
      </c>
      <c r="N271">
        <v>0</v>
      </c>
    </row>
    <row r="272" spans="1:14" x14ac:dyDescent="0.45">
      <c r="A272" t="s">
        <v>51</v>
      </c>
      <c r="B272" t="s">
        <v>645</v>
      </c>
      <c r="C272" t="s">
        <v>26</v>
      </c>
      <c r="D272" t="s">
        <v>405</v>
      </c>
      <c r="E272">
        <v>4</v>
      </c>
      <c r="F272">
        <v>0</v>
      </c>
      <c r="G272">
        <v>22</v>
      </c>
      <c r="H272">
        <v>1</v>
      </c>
      <c r="I272">
        <v>5.5</v>
      </c>
      <c r="J272">
        <v>9</v>
      </c>
      <c r="K272">
        <v>1</v>
      </c>
      <c r="L272">
        <v>0</v>
      </c>
      <c r="M272">
        <v>0</v>
      </c>
      <c r="N272">
        <v>0</v>
      </c>
    </row>
    <row r="273" spans="1:14" x14ac:dyDescent="0.45">
      <c r="A273" t="s">
        <v>51</v>
      </c>
      <c r="B273" t="s">
        <v>645</v>
      </c>
      <c r="C273" t="s">
        <v>26</v>
      </c>
      <c r="D273" t="s">
        <v>428</v>
      </c>
      <c r="E273">
        <v>4</v>
      </c>
      <c r="F273">
        <v>0</v>
      </c>
      <c r="G273">
        <v>32</v>
      </c>
      <c r="H273">
        <v>0</v>
      </c>
      <c r="I273">
        <v>8</v>
      </c>
      <c r="J273">
        <v>10</v>
      </c>
      <c r="K273">
        <v>0</v>
      </c>
      <c r="L273">
        <v>3</v>
      </c>
      <c r="M273">
        <v>1</v>
      </c>
      <c r="N273">
        <v>0</v>
      </c>
    </row>
    <row r="274" spans="1:14" x14ac:dyDescent="0.45">
      <c r="A274" t="s">
        <v>51</v>
      </c>
      <c r="B274" t="s">
        <v>645</v>
      </c>
      <c r="C274" t="s">
        <v>26</v>
      </c>
      <c r="D274" t="s">
        <v>404</v>
      </c>
      <c r="E274">
        <v>4</v>
      </c>
      <c r="F274">
        <v>0</v>
      </c>
      <c r="G274">
        <v>25</v>
      </c>
      <c r="H274">
        <v>0</v>
      </c>
      <c r="I274">
        <v>6.25</v>
      </c>
      <c r="J274">
        <v>6</v>
      </c>
      <c r="K274">
        <v>0</v>
      </c>
      <c r="L274">
        <v>0</v>
      </c>
      <c r="M274">
        <v>1</v>
      </c>
      <c r="N274">
        <v>0</v>
      </c>
    </row>
    <row r="275" spans="1:14" x14ac:dyDescent="0.45">
      <c r="A275" t="s">
        <v>51</v>
      </c>
      <c r="B275" t="s">
        <v>645</v>
      </c>
      <c r="C275" t="s">
        <v>26</v>
      </c>
      <c r="D275" t="s">
        <v>407</v>
      </c>
      <c r="E275">
        <v>4</v>
      </c>
      <c r="F275">
        <v>0</v>
      </c>
      <c r="G275">
        <v>24</v>
      </c>
      <c r="H275">
        <v>3</v>
      </c>
      <c r="I275">
        <v>6</v>
      </c>
      <c r="J275">
        <v>10</v>
      </c>
      <c r="K275">
        <v>1</v>
      </c>
      <c r="L275">
        <v>1</v>
      </c>
      <c r="M275">
        <v>1</v>
      </c>
      <c r="N275">
        <v>0</v>
      </c>
    </row>
    <row r="276" spans="1:14" x14ac:dyDescent="0.45">
      <c r="A276" t="s">
        <v>53</v>
      </c>
      <c r="B276" t="s">
        <v>646</v>
      </c>
      <c r="C276" t="s">
        <v>23</v>
      </c>
      <c r="D276" t="s">
        <v>396</v>
      </c>
      <c r="E276">
        <v>4</v>
      </c>
      <c r="F276">
        <v>0</v>
      </c>
      <c r="G276">
        <v>22</v>
      </c>
      <c r="H276">
        <v>2</v>
      </c>
      <c r="I276">
        <v>5.5</v>
      </c>
      <c r="J276">
        <v>6</v>
      </c>
      <c r="K276">
        <v>0</v>
      </c>
      <c r="L276">
        <v>0</v>
      </c>
      <c r="M276">
        <v>0</v>
      </c>
      <c r="N276">
        <v>0</v>
      </c>
    </row>
    <row r="277" spans="1:14" x14ac:dyDescent="0.45">
      <c r="A277" t="s">
        <v>53</v>
      </c>
      <c r="B277" t="s">
        <v>646</v>
      </c>
      <c r="C277" t="s">
        <v>23</v>
      </c>
      <c r="D277" t="s">
        <v>430</v>
      </c>
      <c r="E277">
        <v>1</v>
      </c>
      <c r="F277">
        <v>0</v>
      </c>
      <c r="G277">
        <v>5</v>
      </c>
      <c r="H277">
        <v>0</v>
      </c>
      <c r="I277">
        <v>5</v>
      </c>
      <c r="J277">
        <v>4</v>
      </c>
      <c r="K277">
        <v>1</v>
      </c>
      <c r="L277">
        <v>0</v>
      </c>
      <c r="M277">
        <v>0</v>
      </c>
      <c r="N277">
        <v>0</v>
      </c>
    </row>
    <row r="278" spans="1:14" x14ac:dyDescent="0.45">
      <c r="A278" t="s">
        <v>53</v>
      </c>
      <c r="B278" t="s">
        <v>646</v>
      </c>
      <c r="C278" t="s">
        <v>23</v>
      </c>
      <c r="D278" t="s">
        <v>394</v>
      </c>
      <c r="E278">
        <v>4</v>
      </c>
      <c r="F278">
        <v>0</v>
      </c>
      <c r="G278">
        <v>33</v>
      </c>
      <c r="H278">
        <v>2</v>
      </c>
      <c r="I278">
        <v>8.25</v>
      </c>
      <c r="J278">
        <v>7</v>
      </c>
      <c r="K278">
        <v>2</v>
      </c>
      <c r="L278">
        <v>1</v>
      </c>
      <c r="M278">
        <v>1</v>
      </c>
      <c r="N278">
        <v>0</v>
      </c>
    </row>
    <row r="279" spans="1:14" x14ac:dyDescent="0.45">
      <c r="A279" t="s">
        <v>53</v>
      </c>
      <c r="B279" t="s">
        <v>646</v>
      </c>
      <c r="C279" t="s">
        <v>23</v>
      </c>
      <c r="D279" t="s">
        <v>432</v>
      </c>
      <c r="E279">
        <v>4</v>
      </c>
      <c r="F279">
        <v>0</v>
      </c>
      <c r="G279">
        <v>40</v>
      </c>
      <c r="H279">
        <v>1</v>
      </c>
      <c r="I279">
        <v>10</v>
      </c>
      <c r="J279">
        <v>9</v>
      </c>
      <c r="K279">
        <v>6</v>
      </c>
      <c r="L279">
        <v>0</v>
      </c>
      <c r="M279">
        <v>5</v>
      </c>
      <c r="N279">
        <v>0</v>
      </c>
    </row>
    <row r="280" spans="1:14" x14ac:dyDescent="0.45">
      <c r="A280" t="s">
        <v>53</v>
      </c>
      <c r="B280" t="s">
        <v>646</v>
      </c>
      <c r="C280" t="s">
        <v>23</v>
      </c>
      <c r="D280" t="s">
        <v>445</v>
      </c>
      <c r="E280">
        <v>4</v>
      </c>
      <c r="F280">
        <v>0</v>
      </c>
      <c r="G280">
        <v>34</v>
      </c>
      <c r="H280">
        <v>0</v>
      </c>
      <c r="I280">
        <v>8.5</v>
      </c>
      <c r="J280">
        <v>2</v>
      </c>
      <c r="K280">
        <v>1</v>
      </c>
      <c r="L280">
        <v>1</v>
      </c>
      <c r="M280">
        <v>0</v>
      </c>
      <c r="N280">
        <v>0</v>
      </c>
    </row>
    <row r="281" spans="1:14" x14ac:dyDescent="0.45">
      <c r="A281" t="s">
        <v>53</v>
      </c>
      <c r="B281" t="s">
        <v>646</v>
      </c>
      <c r="C281" t="s">
        <v>23</v>
      </c>
      <c r="D281" t="s">
        <v>390</v>
      </c>
      <c r="E281">
        <v>3</v>
      </c>
      <c r="F281">
        <v>0</v>
      </c>
      <c r="G281">
        <v>17</v>
      </c>
      <c r="H281">
        <v>1</v>
      </c>
      <c r="I281">
        <v>5.66</v>
      </c>
      <c r="J281">
        <v>6</v>
      </c>
      <c r="K281">
        <v>0</v>
      </c>
      <c r="L281">
        <v>1</v>
      </c>
      <c r="M281">
        <v>0</v>
      </c>
      <c r="N281">
        <v>0</v>
      </c>
    </row>
    <row r="282" spans="1:14" x14ac:dyDescent="0.45">
      <c r="A282" t="s">
        <v>53</v>
      </c>
      <c r="B282" t="s">
        <v>646</v>
      </c>
      <c r="C282" t="s">
        <v>10</v>
      </c>
      <c r="D282" t="s">
        <v>340</v>
      </c>
      <c r="E282">
        <v>4</v>
      </c>
      <c r="F282">
        <v>0</v>
      </c>
      <c r="G282">
        <v>29</v>
      </c>
      <c r="H282">
        <v>1</v>
      </c>
      <c r="I282">
        <v>7.25</v>
      </c>
      <c r="J282">
        <v>6</v>
      </c>
      <c r="K282">
        <v>0</v>
      </c>
      <c r="L282">
        <v>1</v>
      </c>
      <c r="M282">
        <v>1</v>
      </c>
      <c r="N282">
        <v>0</v>
      </c>
    </row>
    <row r="283" spans="1:14" x14ac:dyDescent="0.45">
      <c r="A283" t="s">
        <v>53</v>
      </c>
      <c r="B283" t="s">
        <v>646</v>
      </c>
      <c r="C283" t="s">
        <v>10</v>
      </c>
      <c r="D283" t="s">
        <v>338</v>
      </c>
      <c r="E283">
        <v>4</v>
      </c>
      <c r="F283">
        <v>0</v>
      </c>
      <c r="G283">
        <v>18</v>
      </c>
      <c r="H283">
        <v>2</v>
      </c>
      <c r="I283">
        <v>4.5</v>
      </c>
      <c r="J283">
        <v>12</v>
      </c>
      <c r="K283">
        <v>1</v>
      </c>
      <c r="L283">
        <v>0</v>
      </c>
      <c r="M283">
        <v>0</v>
      </c>
      <c r="N283">
        <v>0</v>
      </c>
    </row>
    <row r="284" spans="1:14" x14ac:dyDescent="0.45">
      <c r="A284" t="s">
        <v>53</v>
      </c>
      <c r="B284" t="s">
        <v>646</v>
      </c>
      <c r="C284" t="s">
        <v>10</v>
      </c>
      <c r="D284" t="s">
        <v>339</v>
      </c>
      <c r="E284">
        <v>4</v>
      </c>
      <c r="F284">
        <v>0</v>
      </c>
      <c r="G284">
        <v>20</v>
      </c>
      <c r="H284">
        <v>1</v>
      </c>
      <c r="I284">
        <v>5</v>
      </c>
      <c r="J284">
        <v>14</v>
      </c>
      <c r="K284">
        <v>1</v>
      </c>
      <c r="L284">
        <v>1</v>
      </c>
      <c r="M284">
        <v>1</v>
      </c>
      <c r="N284">
        <v>0</v>
      </c>
    </row>
    <row r="285" spans="1:14" x14ac:dyDescent="0.45">
      <c r="A285" t="s">
        <v>53</v>
      </c>
      <c r="B285" t="s">
        <v>646</v>
      </c>
      <c r="C285" t="s">
        <v>10</v>
      </c>
      <c r="D285" t="s">
        <v>341</v>
      </c>
      <c r="E285">
        <v>4</v>
      </c>
      <c r="F285">
        <v>0</v>
      </c>
      <c r="G285">
        <v>26</v>
      </c>
      <c r="H285">
        <v>1</v>
      </c>
      <c r="I285">
        <v>6.5</v>
      </c>
      <c r="J285">
        <v>13</v>
      </c>
      <c r="K285">
        <v>4</v>
      </c>
      <c r="L285">
        <v>0</v>
      </c>
      <c r="M285">
        <v>2</v>
      </c>
      <c r="N285">
        <v>0</v>
      </c>
    </row>
    <row r="286" spans="1:14" x14ac:dyDescent="0.45">
      <c r="A286" t="s">
        <v>53</v>
      </c>
      <c r="B286" t="s">
        <v>646</v>
      </c>
      <c r="C286" t="s">
        <v>10</v>
      </c>
      <c r="D286" t="s">
        <v>337</v>
      </c>
      <c r="E286">
        <v>4</v>
      </c>
      <c r="F286">
        <v>0</v>
      </c>
      <c r="G286">
        <v>27</v>
      </c>
      <c r="H286">
        <v>1</v>
      </c>
      <c r="I286">
        <v>6.75</v>
      </c>
      <c r="J286">
        <v>5</v>
      </c>
      <c r="K286">
        <v>2</v>
      </c>
      <c r="L286">
        <v>0</v>
      </c>
      <c r="M286">
        <v>1</v>
      </c>
      <c r="N286">
        <v>0</v>
      </c>
    </row>
    <row r="287" spans="1:14" x14ac:dyDescent="0.45">
      <c r="A287" t="s">
        <v>54</v>
      </c>
      <c r="B287" t="s">
        <v>647</v>
      </c>
      <c r="C287" t="s">
        <v>6</v>
      </c>
      <c r="D287" t="s">
        <v>324</v>
      </c>
      <c r="E287">
        <v>4</v>
      </c>
      <c r="F287">
        <v>0</v>
      </c>
      <c r="G287">
        <v>35</v>
      </c>
      <c r="H287">
        <v>1</v>
      </c>
      <c r="I287">
        <v>8.75</v>
      </c>
      <c r="J287">
        <v>7</v>
      </c>
      <c r="K287">
        <v>6</v>
      </c>
      <c r="L287">
        <v>0</v>
      </c>
      <c r="M287">
        <v>0</v>
      </c>
      <c r="N287">
        <v>0</v>
      </c>
    </row>
    <row r="288" spans="1:14" x14ac:dyDescent="0.45">
      <c r="A288" t="s">
        <v>54</v>
      </c>
      <c r="B288" t="s">
        <v>647</v>
      </c>
      <c r="C288" t="s">
        <v>6</v>
      </c>
      <c r="D288" t="s">
        <v>325</v>
      </c>
      <c r="E288">
        <v>4</v>
      </c>
      <c r="F288">
        <v>0</v>
      </c>
      <c r="G288">
        <v>34</v>
      </c>
      <c r="H288">
        <v>0</v>
      </c>
      <c r="I288">
        <v>8.5</v>
      </c>
      <c r="J288">
        <v>7</v>
      </c>
      <c r="K288">
        <v>1</v>
      </c>
      <c r="L288">
        <v>2</v>
      </c>
      <c r="M288">
        <v>1</v>
      </c>
      <c r="N288">
        <v>0</v>
      </c>
    </row>
    <row r="289" spans="1:14" x14ac:dyDescent="0.45">
      <c r="A289" t="s">
        <v>54</v>
      </c>
      <c r="B289" t="s">
        <v>647</v>
      </c>
      <c r="C289" t="s">
        <v>6</v>
      </c>
      <c r="D289" t="s">
        <v>326</v>
      </c>
      <c r="E289">
        <v>4</v>
      </c>
      <c r="F289">
        <v>0</v>
      </c>
      <c r="G289">
        <v>29</v>
      </c>
      <c r="H289">
        <v>2</v>
      </c>
      <c r="I289">
        <v>7.25</v>
      </c>
      <c r="J289">
        <v>9</v>
      </c>
      <c r="K289">
        <v>1</v>
      </c>
      <c r="L289">
        <v>2</v>
      </c>
      <c r="M289">
        <v>0</v>
      </c>
      <c r="N289">
        <v>0</v>
      </c>
    </row>
    <row r="290" spans="1:14" x14ac:dyDescent="0.45">
      <c r="A290" t="s">
        <v>54</v>
      </c>
      <c r="B290" t="s">
        <v>647</v>
      </c>
      <c r="C290" t="s">
        <v>6</v>
      </c>
      <c r="D290" t="s">
        <v>328</v>
      </c>
      <c r="E290">
        <v>4</v>
      </c>
      <c r="F290">
        <v>0</v>
      </c>
      <c r="G290">
        <v>31</v>
      </c>
      <c r="H290">
        <v>0</v>
      </c>
      <c r="I290">
        <v>7.75</v>
      </c>
      <c r="J290">
        <v>7</v>
      </c>
      <c r="K290">
        <v>2</v>
      </c>
      <c r="L290">
        <v>1</v>
      </c>
      <c r="M290">
        <v>0</v>
      </c>
      <c r="N290">
        <v>0</v>
      </c>
    </row>
    <row r="291" spans="1:14" x14ac:dyDescent="0.45">
      <c r="A291" t="s">
        <v>54</v>
      </c>
      <c r="B291" t="s">
        <v>647</v>
      </c>
      <c r="C291" t="s">
        <v>6</v>
      </c>
      <c r="D291" t="s">
        <v>327</v>
      </c>
      <c r="E291">
        <v>4</v>
      </c>
      <c r="F291">
        <v>0</v>
      </c>
      <c r="G291">
        <v>24</v>
      </c>
      <c r="H291">
        <v>3</v>
      </c>
      <c r="I291">
        <v>6</v>
      </c>
      <c r="J291">
        <v>10</v>
      </c>
      <c r="K291">
        <v>1</v>
      </c>
      <c r="L291">
        <v>1</v>
      </c>
      <c r="M291">
        <v>1</v>
      </c>
      <c r="N291">
        <v>0</v>
      </c>
    </row>
    <row r="292" spans="1:14" x14ac:dyDescent="0.45">
      <c r="A292" t="s">
        <v>54</v>
      </c>
      <c r="B292" t="s">
        <v>647</v>
      </c>
      <c r="C292" t="s">
        <v>13</v>
      </c>
      <c r="D292" t="s">
        <v>352</v>
      </c>
      <c r="E292">
        <v>3</v>
      </c>
      <c r="F292">
        <v>0</v>
      </c>
      <c r="G292">
        <v>23</v>
      </c>
      <c r="H292">
        <v>0</v>
      </c>
      <c r="I292">
        <v>7.66</v>
      </c>
      <c r="J292">
        <v>5</v>
      </c>
      <c r="K292">
        <v>3</v>
      </c>
      <c r="L292">
        <v>0</v>
      </c>
      <c r="M292">
        <v>0</v>
      </c>
      <c r="N292">
        <v>0</v>
      </c>
    </row>
    <row r="293" spans="1:14" x14ac:dyDescent="0.45">
      <c r="A293" t="s">
        <v>54</v>
      </c>
      <c r="B293" t="s">
        <v>647</v>
      </c>
      <c r="C293" t="s">
        <v>13</v>
      </c>
      <c r="D293" t="s">
        <v>449</v>
      </c>
      <c r="E293">
        <v>2</v>
      </c>
      <c r="F293">
        <v>0</v>
      </c>
      <c r="G293">
        <v>25</v>
      </c>
      <c r="H293">
        <v>0</v>
      </c>
      <c r="I293">
        <v>12.5</v>
      </c>
      <c r="J293">
        <v>4</v>
      </c>
      <c r="K293">
        <v>2</v>
      </c>
      <c r="L293">
        <v>2</v>
      </c>
      <c r="M293">
        <v>0</v>
      </c>
      <c r="N293">
        <v>0</v>
      </c>
    </row>
    <row r="294" spans="1:14" x14ac:dyDescent="0.45">
      <c r="A294" t="s">
        <v>54</v>
      </c>
      <c r="B294" t="s">
        <v>647</v>
      </c>
      <c r="C294" t="s">
        <v>13</v>
      </c>
      <c r="D294" t="s">
        <v>448</v>
      </c>
      <c r="E294">
        <v>4</v>
      </c>
      <c r="F294">
        <v>0</v>
      </c>
      <c r="G294">
        <v>40</v>
      </c>
      <c r="H294">
        <v>0</v>
      </c>
      <c r="I294">
        <v>10</v>
      </c>
      <c r="J294">
        <v>7</v>
      </c>
      <c r="K294">
        <v>2</v>
      </c>
      <c r="L294">
        <v>3</v>
      </c>
      <c r="M294">
        <v>0</v>
      </c>
      <c r="N294">
        <v>0</v>
      </c>
    </row>
    <row r="295" spans="1:14" x14ac:dyDescent="0.45">
      <c r="A295" t="s">
        <v>54</v>
      </c>
      <c r="B295" t="s">
        <v>647</v>
      </c>
      <c r="C295" t="s">
        <v>13</v>
      </c>
      <c r="D295" t="s">
        <v>349</v>
      </c>
      <c r="E295">
        <v>3.1</v>
      </c>
      <c r="F295">
        <v>0</v>
      </c>
      <c r="G295">
        <v>25</v>
      </c>
      <c r="H295">
        <v>2</v>
      </c>
      <c r="I295">
        <v>7.89</v>
      </c>
      <c r="J295">
        <v>7</v>
      </c>
      <c r="K295">
        <v>3</v>
      </c>
      <c r="L295">
        <v>0</v>
      </c>
      <c r="M295">
        <v>1</v>
      </c>
      <c r="N295">
        <v>2</v>
      </c>
    </row>
    <row r="296" spans="1:14" x14ac:dyDescent="0.45">
      <c r="A296" t="s">
        <v>54</v>
      </c>
      <c r="B296" t="s">
        <v>647</v>
      </c>
      <c r="C296" t="s">
        <v>13</v>
      </c>
      <c r="D296" t="s">
        <v>353</v>
      </c>
      <c r="E296">
        <v>4</v>
      </c>
      <c r="F296">
        <v>0</v>
      </c>
      <c r="G296">
        <v>26</v>
      </c>
      <c r="H296">
        <v>1</v>
      </c>
      <c r="I296">
        <v>6.5</v>
      </c>
      <c r="J296">
        <v>10</v>
      </c>
      <c r="K296">
        <v>2</v>
      </c>
      <c r="L296">
        <v>1</v>
      </c>
      <c r="M296">
        <v>1</v>
      </c>
      <c r="N296">
        <v>0</v>
      </c>
    </row>
    <row r="297" spans="1:14" x14ac:dyDescent="0.45">
      <c r="A297" t="s">
        <v>54</v>
      </c>
      <c r="B297" t="s">
        <v>647</v>
      </c>
      <c r="C297" t="s">
        <v>13</v>
      </c>
      <c r="D297" t="s">
        <v>345</v>
      </c>
      <c r="E297">
        <v>2</v>
      </c>
      <c r="F297">
        <v>0</v>
      </c>
      <c r="G297">
        <v>17</v>
      </c>
      <c r="H297">
        <v>1</v>
      </c>
      <c r="I297">
        <v>8.5</v>
      </c>
      <c r="J297">
        <v>3</v>
      </c>
      <c r="K297">
        <v>1</v>
      </c>
      <c r="L297">
        <v>1</v>
      </c>
      <c r="M297">
        <v>0</v>
      </c>
      <c r="N297">
        <v>0</v>
      </c>
    </row>
    <row r="298" spans="1:14" x14ac:dyDescent="0.45">
      <c r="A298" t="s">
        <v>55</v>
      </c>
      <c r="B298" t="s">
        <v>648</v>
      </c>
      <c r="C298" t="s">
        <v>7</v>
      </c>
      <c r="D298" t="s">
        <v>306</v>
      </c>
      <c r="E298">
        <v>1</v>
      </c>
      <c r="F298">
        <v>0</v>
      </c>
      <c r="G298">
        <v>5</v>
      </c>
      <c r="H298">
        <v>0</v>
      </c>
      <c r="I298">
        <v>5</v>
      </c>
      <c r="J298">
        <v>4</v>
      </c>
      <c r="K298">
        <v>1</v>
      </c>
      <c r="L298">
        <v>0</v>
      </c>
      <c r="M298">
        <v>0</v>
      </c>
      <c r="N298">
        <v>0</v>
      </c>
    </row>
    <row r="299" spans="1:14" x14ac:dyDescent="0.45">
      <c r="A299" t="s">
        <v>55</v>
      </c>
      <c r="B299" t="s">
        <v>648</v>
      </c>
      <c r="C299" t="s">
        <v>7</v>
      </c>
      <c r="D299" t="s">
        <v>322</v>
      </c>
      <c r="E299">
        <v>4</v>
      </c>
      <c r="F299">
        <v>0</v>
      </c>
      <c r="G299">
        <v>22</v>
      </c>
      <c r="H299">
        <v>0</v>
      </c>
      <c r="I299">
        <v>5.5</v>
      </c>
      <c r="J299">
        <v>9</v>
      </c>
      <c r="K299">
        <v>2</v>
      </c>
      <c r="L299">
        <v>0</v>
      </c>
      <c r="M299">
        <v>1</v>
      </c>
      <c r="N299">
        <v>0</v>
      </c>
    </row>
    <row r="300" spans="1:14" x14ac:dyDescent="0.45">
      <c r="A300" t="s">
        <v>55</v>
      </c>
      <c r="B300" t="s">
        <v>648</v>
      </c>
      <c r="C300" t="s">
        <v>7</v>
      </c>
      <c r="D300" t="s">
        <v>308</v>
      </c>
      <c r="E300">
        <v>4</v>
      </c>
      <c r="F300">
        <v>0</v>
      </c>
      <c r="G300">
        <v>20</v>
      </c>
      <c r="H300">
        <v>1</v>
      </c>
      <c r="I300">
        <v>5</v>
      </c>
      <c r="J300">
        <v>10</v>
      </c>
      <c r="K300">
        <v>2</v>
      </c>
      <c r="L300">
        <v>0</v>
      </c>
      <c r="M300">
        <v>0</v>
      </c>
      <c r="N300">
        <v>0</v>
      </c>
    </row>
    <row r="301" spans="1:14" x14ac:dyDescent="0.45">
      <c r="A301" t="s">
        <v>55</v>
      </c>
      <c r="B301" t="s">
        <v>648</v>
      </c>
      <c r="C301" t="s">
        <v>7</v>
      </c>
      <c r="D301" t="s">
        <v>317</v>
      </c>
      <c r="E301">
        <v>4</v>
      </c>
      <c r="F301">
        <v>0</v>
      </c>
      <c r="G301">
        <v>27</v>
      </c>
      <c r="H301">
        <v>2</v>
      </c>
      <c r="I301">
        <v>6.75</v>
      </c>
      <c r="J301">
        <v>9</v>
      </c>
      <c r="K301">
        <v>2</v>
      </c>
      <c r="L301">
        <v>1</v>
      </c>
      <c r="M301">
        <v>0</v>
      </c>
      <c r="N301">
        <v>0</v>
      </c>
    </row>
    <row r="302" spans="1:14" x14ac:dyDescent="0.45">
      <c r="A302" t="s">
        <v>55</v>
      </c>
      <c r="B302" t="s">
        <v>648</v>
      </c>
      <c r="C302" t="s">
        <v>7</v>
      </c>
      <c r="D302" t="s">
        <v>441</v>
      </c>
      <c r="E302">
        <v>4</v>
      </c>
      <c r="F302">
        <v>0</v>
      </c>
      <c r="G302">
        <v>43</v>
      </c>
      <c r="H302">
        <v>2</v>
      </c>
      <c r="I302">
        <v>10.75</v>
      </c>
      <c r="J302">
        <v>10</v>
      </c>
      <c r="K302">
        <v>1</v>
      </c>
      <c r="L302">
        <v>3</v>
      </c>
      <c r="M302">
        <v>4</v>
      </c>
      <c r="N302">
        <v>2</v>
      </c>
    </row>
    <row r="303" spans="1:14" x14ac:dyDescent="0.45">
      <c r="A303" t="s">
        <v>55</v>
      </c>
      <c r="B303" t="s">
        <v>648</v>
      </c>
      <c r="C303" t="s">
        <v>7</v>
      </c>
      <c r="D303" t="s">
        <v>440</v>
      </c>
      <c r="E303">
        <v>3</v>
      </c>
      <c r="F303">
        <v>0</v>
      </c>
      <c r="G303">
        <v>37</v>
      </c>
      <c r="H303">
        <v>0</v>
      </c>
      <c r="I303">
        <v>12.33</v>
      </c>
      <c r="J303">
        <v>4</v>
      </c>
      <c r="K303">
        <v>3</v>
      </c>
      <c r="L303">
        <v>2</v>
      </c>
      <c r="M303">
        <v>1</v>
      </c>
      <c r="N303">
        <v>0</v>
      </c>
    </row>
    <row r="304" spans="1:14" x14ac:dyDescent="0.45">
      <c r="A304" t="s">
        <v>55</v>
      </c>
      <c r="B304" t="s">
        <v>648</v>
      </c>
      <c r="C304" t="s">
        <v>19</v>
      </c>
      <c r="D304" t="s">
        <v>370</v>
      </c>
      <c r="E304">
        <v>2</v>
      </c>
      <c r="F304">
        <v>0</v>
      </c>
      <c r="G304">
        <v>23</v>
      </c>
      <c r="H304">
        <v>0</v>
      </c>
      <c r="I304">
        <v>11.5</v>
      </c>
      <c r="J304">
        <v>4</v>
      </c>
      <c r="K304">
        <v>1</v>
      </c>
      <c r="L304">
        <v>2</v>
      </c>
      <c r="M304">
        <v>0</v>
      </c>
      <c r="N304">
        <v>0</v>
      </c>
    </row>
    <row r="305" spans="1:14" x14ac:dyDescent="0.45">
      <c r="A305" t="s">
        <v>55</v>
      </c>
      <c r="B305" t="s">
        <v>648</v>
      </c>
      <c r="C305" t="s">
        <v>19</v>
      </c>
      <c r="D305" t="s">
        <v>439</v>
      </c>
      <c r="E305">
        <v>3</v>
      </c>
      <c r="F305">
        <v>0</v>
      </c>
      <c r="G305">
        <v>29</v>
      </c>
      <c r="H305">
        <v>0</v>
      </c>
      <c r="I305">
        <v>9.66</v>
      </c>
      <c r="J305">
        <v>6</v>
      </c>
      <c r="K305">
        <v>3</v>
      </c>
      <c r="L305">
        <v>1</v>
      </c>
      <c r="M305">
        <v>1</v>
      </c>
      <c r="N305">
        <v>0</v>
      </c>
    </row>
    <row r="306" spans="1:14" x14ac:dyDescent="0.45">
      <c r="A306" t="s">
        <v>55</v>
      </c>
      <c r="B306" t="s">
        <v>648</v>
      </c>
      <c r="C306" t="s">
        <v>19</v>
      </c>
      <c r="D306" t="s">
        <v>369</v>
      </c>
      <c r="E306">
        <v>4</v>
      </c>
      <c r="F306">
        <v>0</v>
      </c>
      <c r="G306">
        <v>43</v>
      </c>
      <c r="H306">
        <v>3</v>
      </c>
      <c r="I306">
        <v>10.75</v>
      </c>
      <c r="J306">
        <v>8</v>
      </c>
      <c r="K306">
        <v>5</v>
      </c>
      <c r="L306">
        <v>1</v>
      </c>
      <c r="M306">
        <v>1</v>
      </c>
      <c r="N306">
        <v>0</v>
      </c>
    </row>
    <row r="307" spans="1:14" x14ac:dyDescent="0.45">
      <c r="A307" t="s">
        <v>55</v>
      </c>
      <c r="B307" t="s">
        <v>648</v>
      </c>
      <c r="C307" t="s">
        <v>19</v>
      </c>
      <c r="D307" t="s">
        <v>366</v>
      </c>
      <c r="E307">
        <v>3</v>
      </c>
      <c r="F307">
        <v>0</v>
      </c>
      <c r="G307">
        <v>25</v>
      </c>
      <c r="H307">
        <v>0</v>
      </c>
      <c r="I307">
        <v>8.33</v>
      </c>
      <c r="J307">
        <v>7</v>
      </c>
      <c r="K307">
        <v>1</v>
      </c>
      <c r="L307">
        <v>2</v>
      </c>
      <c r="M307">
        <v>0</v>
      </c>
      <c r="N307">
        <v>0</v>
      </c>
    </row>
    <row r="308" spans="1:14" x14ac:dyDescent="0.45">
      <c r="A308" t="s">
        <v>55</v>
      </c>
      <c r="B308" t="s">
        <v>648</v>
      </c>
      <c r="C308" t="s">
        <v>19</v>
      </c>
      <c r="D308" t="s">
        <v>435</v>
      </c>
      <c r="E308">
        <v>3</v>
      </c>
      <c r="F308">
        <v>0</v>
      </c>
      <c r="G308">
        <v>34</v>
      </c>
      <c r="H308">
        <v>0</v>
      </c>
      <c r="I308">
        <v>11.33</v>
      </c>
      <c r="J308">
        <v>6</v>
      </c>
      <c r="K308">
        <v>3</v>
      </c>
      <c r="L308">
        <v>2</v>
      </c>
      <c r="M308">
        <v>0</v>
      </c>
      <c r="N308">
        <v>0</v>
      </c>
    </row>
    <row r="309" spans="1:14" x14ac:dyDescent="0.45">
      <c r="A309" t="s">
        <v>55</v>
      </c>
      <c r="B309" t="s">
        <v>648</v>
      </c>
      <c r="C309" t="s">
        <v>19</v>
      </c>
      <c r="D309" t="s">
        <v>359</v>
      </c>
      <c r="E309">
        <v>0.1</v>
      </c>
      <c r="F309">
        <v>0</v>
      </c>
      <c r="G309">
        <v>4</v>
      </c>
      <c r="H309">
        <v>0</v>
      </c>
      <c r="I309">
        <v>24</v>
      </c>
      <c r="J309">
        <v>0</v>
      </c>
      <c r="K309">
        <v>1</v>
      </c>
      <c r="L309">
        <v>0</v>
      </c>
      <c r="M309">
        <v>0</v>
      </c>
      <c r="N309">
        <v>0</v>
      </c>
    </row>
    <row r="310" spans="1:14" x14ac:dyDescent="0.45">
      <c r="A310" t="s">
        <v>56</v>
      </c>
      <c r="B310" t="s">
        <v>649</v>
      </c>
      <c r="C310" t="s">
        <v>10</v>
      </c>
      <c r="D310" t="s">
        <v>338</v>
      </c>
      <c r="E310">
        <v>4</v>
      </c>
      <c r="F310">
        <v>0</v>
      </c>
      <c r="G310">
        <v>12</v>
      </c>
      <c r="H310">
        <v>2</v>
      </c>
      <c r="I310">
        <v>3</v>
      </c>
      <c r="J310">
        <v>14</v>
      </c>
      <c r="K310">
        <v>0</v>
      </c>
      <c r="L310">
        <v>0</v>
      </c>
      <c r="M310">
        <v>0</v>
      </c>
      <c r="N310">
        <v>0</v>
      </c>
    </row>
    <row r="311" spans="1:14" x14ac:dyDescent="0.45">
      <c r="A311" t="s">
        <v>56</v>
      </c>
      <c r="B311" t="s">
        <v>649</v>
      </c>
      <c r="C311" t="s">
        <v>10</v>
      </c>
      <c r="D311" t="s">
        <v>340</v>
      </c>
      <c r="E311">
        <v>4</v>
      </c>
      <c r="F311">
        <v>0</v>
      </c>
      <c r="G311">
        <v>27</v>
      </c>
      <c r="H311">
        <v>0</v>
      </c>
      <c r="I311">
        <v>6.75</v>
      </c>
      <c r="J311">
        <v>13</v>
      </c>
      <c r="K311">
        <v>2</v>
      </c>
      <c r="L311">
        <v>1</v>
      </c>
      <c r="M311">
        <v>2</v>
      </c>
      <c r="N311">
        <v>1</v>
      </c>
    </row>
    <row r="312" spans="1:14" x14ac:dyDescent="0.45">
      <c r="A312" t="s">
        <v>56</v>
      </c>
      <c r="B312" t="s">
        <v>649</v>
      </c>
      <c r="C312" t="s">
        <v>10</v>
      </c>
      <c r="D312" t="s">
        <v>337</v>
      </c>
      <c r="E312">
        <v>4</v>
      </c>
      <c r="F312">
        <v>0</v>
      </c>
      <c r="G312">
        <v>21</v>
      </c>
      <c r="H312">
        <v>2</v>
      </c>
      <c r="I312">
        <v>5.25</v>
      </c>
      <c r="J312">
        <v>9</v>
      </c>
      <c r="K312">
        <v>2</v>
      </c>
      <c r="L312">
        <v>0</v>
      </c>
      <c r="M312">
        <v>0</v>
      </c>
      <c r="N312">
        <v>0</v>
      </c>
    </row>
    <row r="313" spans="1:14" x14ac:dyDescent="0.45">
      <c r="A313" t="s">
        <v>56</v>
      </c>
      <c r="B313" t="s">
        <v>649</v>
      </c>
      <c r="C313" t="s">
        <v>10</v>
      </c>
      <c r="D313" t="s">
        <v>341</v>
      </c>
      <c r="E313">
        <v>4</v>
      </c>
      <c r="F313">
        <v>0</v>
      </c>
      <c r="G313">
        <v>37</v>
      </c>
      <c r="H313">
        <v>3</v>
      </c>
      <c r="I313">
        <v>9.25</v>
      </c>
      <c r="J313">
        <v>13</v>
      </c>
      <c r="K313">
        <v>3</v>
      </c>
      <c r="L313">
        <v>3</v>
      </c>
      <c r="M313">
        <v>0</v>
      </c>
      <c r="N313">
        <v>1</v>
      </c>
    </row>
    <row r="314" spans="1:14" x14ac:dyDescent="0.45">
      <c r="A314" t="s">
        <v>56</v>
      </c>
      <c r="B314" t="s">
        <v>649</v>
      </c>
      <c r="C314" t="s">
        <v>10</v>
      </c>
      <c r="D314" t="s">
        <v>331</v>
      </c>
      <c r="E314">
        <v>1.1000000000000001</v>
      </c>
      <c r="F314">
        <v>0</v>
      </c>
      <c r="G314">
        <v>8</v>
      </c>
      <c r="H314">
        <v>0</v>
      </c>
      <c r="I314">
        <v>6.85</v>
      </c>
      <c r="J314">
        <v>1</v>
      </c>
      <c r="K314">
        <v>0</v>
      </c>
      <c r="L314">
        <v>0</v>
      </c>
      <c r="M314">
        <v>0</v>
      </c>
      <c r="N314">
        <v>0</v>
      </c>
    </row>
    <row r="315" spans="1:14" x14ac:dyDescent="0.45">
      <c r="A315" t="s">
        <v>56</v>
      </c>
      <c r="B315" t="s">
        <v>649</v>
      </c>
      <c r="C315" t="s">
        <v>10</v>
      </c>
      <c r="D315" t="s">
        <v>339</v>
      </c>
      <c r="E315">
        <v>2.5</v>
      </c>
      <c r="F315">
        <v>0</v>
      </c>
      <c r="G315">
        <v>22</v>
      </c>
      <c r="H315">
        <v>0</v>
      </c>
      <c r="I315">
        <v>7.76</v>
      </c>
      <c r="J315">
        <v>4</v>
      </c>
      <c r="K315">
        <v>2</v>
      </c>
      <c r="L315">
        <v>0</v>
      </c>
      <c r="M315">
        <v>1</v>
      </c>
      <c r="N315">
        <v>1</v>
      </c>
    </row>
    <row r="316" spans="1:14" x14ac:dyDescent="0.45">
      <c r="A316" t="s">
        <v>56</v>
      </c>
      <c r="B316" t="s">
        <v>649</v>
      </c>
      <c r="C316" t="s">
        <v>20</v>
      </c>
      <c r="D316" t="s">
        <v>444</v>
      </c>
      <c r="E316">
        <v>4</v>
      </c>
      <c r="F316">
        <v>0</v>
      </c>
      <c r="G316">
        <v>33</v>
      </c>
      <c r="H316">
        <v>1</v>
      </c>
      <c r="I316">
        <v>8.25</v>
      </c>
      <c r="J316">
        <v>9</v>
      </c>
      <c r="K316">
        <v>3</v>
      </c>
      <c r="L316">
        <v>1</v>
      </c>
      <c r="M316">
        <v>2</v>
      </c>
      <c r="N316">
        <v>0</v>
      </c>
    </row>
    <row r="317" spans="1:14" x14ac:dyDescent="0.45">
      <c r="A317" t="s">
        <v>56</v>
      </c>
      <c r="B317" t="s">
        <v>649</v>
      </c>
      <c r="C317" t="s">
        <v>20</v>
      </c>
      <c r="D317" t="s">
        <v>409</v>
      </c>
      <c r="E317">
        <v>3</v>
      </c>
      <c r="F317">
        <v>0</v>
      </c>
      <c r="G317">
        <v>21</v>
      </c>
      <c r="H317">
        <v>0</v>
      </c>
      <c r="I317">
        <v>7</v>
      </c>
      <c r="J317">
        <v>8</v>
      </c>
      <c r="K317">
        <v>2</v>
      </c>
      <c r="L317">
        <v>1</v>
      </c>
      <c r="M317">
        <v>0</v>
      </c>
      <c r="N317">
        <v>0</v>
      </c>
    </row>
    <row r="318" spans="1:14" x14ac:dyDescent="0.45">
      <c r="A318" t="s">
        <v>56</v>
      </c>
      <c r="B318" t="s">
        <v>649</v>
      </c>
      <c r="C318" t="s">
        <v>20</v>
      </c>
      <c r="D318" t="s">
        <v>378</v>
      </c>
      <c r="E318">
        <v>3.5</v>
      </c>
      <c r="F318">
        <v>0</v>
      </c>
      <c r="G318">
        <v>33</v>
      </c>
      <c r="H318">
        <v>0</v>
      </c>
      <c r="I318">
        <v>8.6</v>
      </c>
      <c r="J318">
        <v>9</v>
      </c>
      <c r="K318">
        <v>4</v>
      </c>
      <c r="L318">
        <v>1</v>
      </c>
      <c r="M318">
        <v>1</v>
      </c>
      <c r="N318">
        <v>0</v>
      </c>
    </row>
    <row r="319" spans="1:14" x14ac:dyDescent="0.45">
      <c r="A319" t="s">
        <v>56</v>
      </c>
      <c r="B319" t="s">
        <v>649</v>
      </c>
      <c r="C319" t="s">
        <v>20</v>
      </c>
      <c r="D319" t="s">
        <v>379</v>
      </c>
      <c r="E319">
        <v>4</v>
      </c>
      <c r="F319">
        <v>0</v>
      </c>
      <c r="G319">
        <v>26</v>
      </c>
      <c r="H319">
        <v>1</v>
      </c>
      <c r="I319">
        <v>6.5</v>
      </c>
      <c r="J319">
        <v>9</v>
      </c>
      <c r="K319">
        <v>0</v>
      </c>
      <c r="L319">
        <v>2</v>
      </c>
      <c r="M319">
        <v>1</v>
      </c>
      <c r="N319">
        <v>0</v>
      </c>
    </row>
    <row r="320" spans="1:14" x14ac:dyDescent="0.45">
      <c r="A320" t="s">
        <v>56</v>
      </c>
      <c r="B320" t="s">
        <v>649</v>
      </c>
      <c r="C320" t="s">
        <v>20</v>
      </c>
      <c r="D320" t="s">
        <v>429</v>
      </c>
      <c r="E320">
        <v>3</v>
      </c>
      <c r="F320">
        <v>0</v>
      </c>
      <c r="G320">
        <v>26</v>
      </c>
      <c r="H320">
        <v>0</v>
      </c>
      <c r="I320">
        <v>8.66</v>
      </c>
      <c r="J320">
        <v>8</v>
      </c>
      <c r="K320">
        <v>4</v>
      </c>
      <c r="L320">
        <v>0</v>
      </c>
      <c r="M320">
        <v>0</v>
      </c>
      <c r="N320">
        <v>0</v>
      </c>
    </row>
    <row r="321" spans="1:14" x14ac:dyDescent="0.45">
      <c r="A321" t="s">
        <v>58</v>
      </c>
      <c r="B321" t="s">
        <v>650</v>
      </c>
      <c r="C321" t="s">
        <v>26</v>
      </c>
      <c r="D321" t="s">
        <v>403</v>
      </c>
      <c r="E321">
        <v>4</v>
      </c>
      <c r="F321">
        <v>0</v>
      </c>
      <c r="G321">
        <v>21</v>
      </c>
      <c r="H321">
        <v>3</v>
      </c>
      <c r="I321">
        <v>5.25</v>
      </c>
      <c r="J321">
        <v>13</v>
      </c>
      <c r="K321">
        <v>3</v>
      </c>
      <c r="L321">
        <v>0</v>
      </c>
      <c r="M321">
        <v>0</v>
      </c>
      <c r="N321">
        <v>0</v>
      </c>
    </row>
    <row r="322" spans="1:14" x14ac:dyDescent="0.45">
      <c r="A322" t="s">
        <v>58</v>
      </c>
      <c r="B322" t="s">
        <v>650</v>
      </c>
      <c r="C322" t="s">
        <v>26</v>
      </c>
      <c r="D322" t="s">
        <v>450</v>
      </c>
      <c r="E322">
        <v>4</v>
      </c>
      <c r="F322">
        <v>0</v>
      </c>
      <c r="G322">
        <v>39</v>
      </c>
      <c r="H322">
        <v>1</v>
      </c>
      <c r="I322">
        <v>9.75</v>
      </c>
      <c r="J322">
        <v>10</v>
      </c>
      <c r="K322">
        <v>6</v>
      </c>
      <c r="L322">
        <v>1</v>
      </c>
      <c r="M322">
        <v>2</v>
      </c>
      <c r="N322">
        <v>0</v>
      </c>
    </row>
    <row r="323" spans="1:14" x14ac:dyDescent="0.45">
      <c r="A323" t="s">
        <v>58</v>
      </c>
      <c r="B323" t="s">
        <v>650</v>
      </c>
      <c r="C323" t="s">
        <v>26</v>
      </c>
      <c r="D323" t="s">
        <v>426</v>
      </c>
      <c r="E323">
        <v>2</v>
      </c>
      <c r="F323">
        <v>0</v>
      </c>
      <c r="G323">
        <v>37</v>
      </c>
      <c r="H323">
        <v>0</v>
      </c>
      <c r="I323">
        <v>18.5</v>
      </c>
      <c r="J323">
        <v>2</v>
      </c>
      <c r="K323">
        <v>5</v>
      </c>
      <c r="L323">
        <v>2</v>
      </c>
      <c r="M323">
        <v>0</v>
      </c>
      <c r="N323">
        <v>0</v>
      </c>
    </row>
    <row r="324" spans="1:14" x14ac:dyDescent="0.45">
      <c r="A324" t="s">
        <v>58</v>
      </c>
      <c r="B324" t="s">
        <v>650</v>
      </c>
      <c r="C324" t="s">
        <v>26</v>
      </c>
      <c r="D324" t="s">
        <v>405</v>
      </c>
      <c r="E324">
        <v>4</v>
      </c>
      <c r="F324">
        <v>0</v>
      </c>
      <c r="G324">
        <v>32</v>
      </c>
      <c r="H324">
        <v>5</v>
      </c>
      <c r="I324">
        <v>8</v>
      </c>
      <c r="J324">
        <v>11</v>
      </c>
      <c r="K324">
        <v>2</v>
      </c>
      <c r="L324">
        <v>1</v>
      </c>
      <c r="M324">
        <v>3</v>
      </c>
      <c r="N324">
        <v>0</v>
      </c>
    </row>
    <row r="325" spans="1:14" x14ac:dyDescent="0.45">
      <c r="A325" t="s">
        <v>58</v>
      </c>
      <c r="B325" t="s">
        <v>650</v>
      </c>
      <c r="C325" t="s">
        <v>26</v>
      </c>
      <c r="D325" t="s">
        <v>451</v>
      </c>
      <c r="E325">
        <v>3</v>
      </c>
      <c r="F325">
        <v>0</v>
      </c>
      <c r="G325">
        <v>35</v>
      </c>
      <c r="H325">
        <v>0</v>
      </c>
      <c r="I325">
        <v>11.66</v>
      </c>
      <c r="J325">
        <v>6</v>
      </c>
      <c r="K325">
        <v>1</v>
      </c>
      <c r="L325">
        <v>4</v>
      </c>
      <c r="M325">
        <v>0</v>
      </c>
      <c r="N325">
        <v>0</v>
      </c>
    </row>
    <row r="326" spans="1:14" x14ac:dyDescent="0.45">
      <c r="A326" t="s">
        <v>58</v>
      </c>
      <c r="B326" t="s">
        <v>650</v>
      </c>
      <c r="C326" t="s">
        <v>26</v>
      </c>
      <c r="D326" t="s">
        <v>404</v>
      </c>
      <c r="E326">
        <v>3</v>
      </c>
      <c r="F326">
        <v>0</v>
      </c>
      <c r="G326">
        <v>17</v>
      </c>
      <c r="H326">
        <v>1</v>
      </c>
      <c r="I326">
        <v>5.66</v>
      </c>
      <c r="J326">
        <v>4</v>
      </c>
      <c r="K326">
        <v>1</v>
      </c>
      <c r="L326">
        <v>0</v>
      </c>
      <c r="M326">
        <v>0</v>
      </c>
      <c r="N326">
        <v>0</v>
      </c>
    </row>
    <row r="327" spans="1:14" x14ac:dyDescent="0.45">
      <c r="A327" t="s">
        <v>58</v>
      </c>
      <c r="B327" t="s">
        <v>650</v>
      </c>
      <c r="C327" t="s">
        <v>23</v>
      </c>
      <c r="D327" t="s">
        <v>396</v>
      </c>
      <c r="E327">
        <v>4</v>
      </c>
      <c r="F327">
        <v>0</v>
      </c>
      <c r="G327">
        <v>30</v>
      </c>
      <c r="H327">
        <v>0</v>
      </c>
      <c r="I327">
        <v>7.5</v>
      </c>
      <c r="J327">
        <v>7</v>
      </c>
      <c r="K327">
        <v>2</v>
      </c>
      <c r="L327">
        <v>1</v>
      </c>
      <c r="M327">
        <v>0</v>
      </c>
      <c r="N327">
        <v>0</v>
      </c>
    </row>
    <row r="328" spans="1:14" x14ac:dyDescent="0.45">
      <c r="A328" t="s">
        <v>58</v>
      </c>
      <c r="B328" t="s">
        <v>650</v>
      </c>
      <c r="C328" t="s">
        <v>23</v>
      </c>
      <c r="D328" t="s">
        <v>394</v>
      </c>
      <c r="E328">
        <v>3</v>
      </c>
      <c r="F328">
        <v>0</v>
      </c>
      <c r="G328">
        <v>31</v>
      </c>
      <c r="H328">
        <v>1</v>
      </c>
      <c r="I328">
        <v>10.33</v>
      </c>
      <c r="J328">
        <v>5</v>
      </c>
      <c r="K328">
        <v>2</v>
      </c>
      <c r="L328">
        <v>2</v>
      </c>
      <c r="M328">
        <v>1</v>
      </c>
      <c r="N328">
        <v>0</v>
      </c>
    </row>
    <row r="329" spans="1:14" x14ac:dyDescent="0.45">
      <c r="A329" t="s">
        <v>58</v>
      </c>
      <c r="B329" t="s">
        <v>650</v>
      </c>
      <c r="C329" t="s">
        <v>23</v>
      </c>
      <c r="D329" t="s">
        <v>432</v>
      </c>
      <c r="E329">
        <v>4</v>
      </c>
      <c r="F329">
        <v>0</v>
      </c>
      <c r="G329">
        <v>29</v>
      </c>
      <c r="H329">
        <v>2</v>
      </c>
      <c r="I329">
        <v>7.25</v>
      </c>
      <c r="J329">
        <v>12</v>
      </c>
      <c r="K329">
        <v>5</v>
      </c>
      <c r="L329">
        <v>0</v>
      </c>
      <c r="M329">
        <v>0</v>
      </c>
      <c r="N329">
        <v>1</v>
      </c>
    </row>
    <row r="330" spans="1:14" x14ac:dyDescent="0.45">
      <c r="A330" t="s">
        <v>58</v>
      </c>
      <c r="B330" t="s">
        <v>650</v>
      </c>
      <c r="C330" t="s">
        <v>23</v>
      </c>
      <c r="D330" t="s">
        <v>391</v>
      </c>
      <c r="E330">
        <v>4</v>
      </c>
      <c r="F330">
        <v>0</v>
      </c>
      <c r="G330">
        <v>47</v>
      </c>
      <c r="H330">
        <v>0</v>
      </c>
      <c r="I330">
        <v>11.75</v>
      </c>
      <c r="J330">
        <v>5</v>
      </c>
      <c r="K330">
        <v>2</v>
      </c>
      <c r="L330">
        <v>3</v>
      </c>
      <c r="M330">
        <v>5</v>
      </c>
      <c r="N330">
        <v>0</v>
      </c>
    </row>
    <row r="331" spans="1:14" x14ac:dyDescent="0.45">
      <c r="A331" t="s">
        <v>58</v>
      </c>
      <c r="B331" t="s">
        <v>650</v>
      </c>
      <c r="C331" t="s">
        <v>23</v>
      </c>
      <c r="D331" t="s">
        <v>390</v>
      </c>
      <c r="E331">
        <v>3</v>
      </c>
      <c r="F331">
        <v>0</v>
      </c>
      <c r="G331">
        <v>23</v>
      </c>
      <c r="H331">
        <v>1</v>
      </c>
      <c r="I331">
        <v>7.66</v>
      </c>
      <c r="J331">
        <v>3</v>
      </c>
      <c r="K331">
        <v>2</v>
      </c>
      <c r="L331">
        <v>0</v>
      </c>
      <c r="M331">
        <v>1</v>
      </c>
      <c r="N331">
        <v>0</v>
      </c>
    </row>
    <row r="332" spans="1:14" x14ac:dyDescent="0.45">
      <c r="A332" t="s">
        <v>58</v>
      </c>
      <c r="B332" t="s">
        <v>650</v>
      </c>
      <c r="C332" t="s">
        <v>23</v>
      </c>
      <c r="D332" t="s">
        <v>430</v>
      </c>
      <c r="E332">
        <v>1</v>
      </c>
      <c r="F332">
        <v>0</v>
      </c>
      <c r="G332">
        <v>7</v>
      </c>
      <c r="H332">
        <v>0</v>
      </c>
      <c r="I332">
        <v>7</v>
      </c>
      <c r="J332">
        <v>0</v>
      </c>
      <c r="K332">
        <v>0</v>
      </c>
      <c r="L332">
        <v>0</v>
      </c>
      <c r="M332">
        <v>0</v>
      </c>
      <c r="N332">
        <v>0</v>
      </c>
    </row>
    <row r="333" spans="1:14" x14ac:dyDescent="0.45">
      <c r="A333" t="s">
        <v>58</v>
      </c>
      <c r="B333" t="s">
        <v>650</v>
      </c>
      <c r="C333" t="s">
        <v>23</v>
      </c>
      <c r="D333" t="s">
        <v>431</v>
      </c>
      <c r="E333">
        <v>1</v>
      </c>
      <c r="F333">
        <v>0</v>
      </c>
      <c r="G333">
        <v>16</v>
      </c>
      <c r="H333">
        <v>0</v>
      </c>
      <c r="I333">
        <v>16</v>
      </c>
      <c r="J333">
        <v>0</v>
      </c>
      <c r="K333">
        <v>1</v>
      </c>
      <c r="L333">
        <v>1</v>
      </c>
      <c r="M333">
        <v>0</v>
      </c>
      <c r="N333">
        <v>0</v>
      </c>
    </row>
    <row r="334" spans="1:14" x14ac:dyDescent="0.45">
      <c r="A334" t="s">
        <v>60</v>
      </c>
      <c r="B334" t="s">
        <v>625</v>
      </c>
      <c r="C334" t="s">
        <v>7</v>
      </c>
      <c r="D334" t="s">
        <v>322</v>
      </c>
      <c r="E334">
        <v>4</v>
      </c>
      <c r="F334">
        <v>0</v>
      </c>
      <c r="G334">
        <v>13</v>
      </c>
      <c r="H334">
        <v>3</v>
      </c>
      <c r="I334">
        <v>3.25</v>
      </c>
      <c r="J334">
        <v>15</v>
      </c>
      <c r="K334">
        <v>0</v>
      </c>
      <c r="L334">
        <v>0</v>
      </c>
      <c r="M334">
        <v>0</v>
      </c>
      <c r="N334">
        <v>0</v>
      </c>
    </row>
    <row r="335" spans="1:14" x14ac:dyDescent="0.45">
      <c r="A335" t="s">
        <v>60</v>
      </c>
      <c r="B335" t="s">
        <v>625</v>
      </c>
      <c r="C335" t="s">
        <v>7</v>
      </c>
      <c r="D335" t="s">
        <v>441</v>
      </c>
      <c r="E335">
        <v>4</v>
      </c>
      <c r="F335">
        <v>0</v>
      </c>
      <c r="G335">
        <v>24</v>
      </c>
      <c r="H335">
        <v>1</v>
      </c>
      <c r="I335">
        <v>6</v>
      </c>
      <c r="J335">
        <v>14</v>
      </c>
      <c r="K335">
        <v>3</v>
      </c>
      <c r="L335">
        <v>0</v>
      </c>
      <c r="M335">
        <v>1</v>
      </c>
      <c r="N335">
        <v>2</v>
      </c>
    </row>
    <row r="336" spans="1:14" x14ac:dyDescent="0.45">
      <c r="A336" t="s">
        <v>60</v>
      </c>
      <c r="B336" t="s">
        <v>625</v>
      </c>
      <c r="C336" t="s">
        <v>7</v>
      </c>
      <c r="D336" t="s">
        <v>317</v>
      </c>
      <c r="E336">
        <v>4</v>
      </c>
      <c r="F336">
        <v>0</v>
      </c>
      <c r="G336">
        <v>24</v>
      </c>
      <c r="H336">
        <v>2</v>
      </c>
      <c r="I336">
        <v>6</v>
      </c>
      <c r="J336">
        <v>11</v>
      </c>
      <c r="K336">
        <v>3</v>
      </c>
      <c r="L336">
        <v>0</v>
      </c>
      <c r="M336">
        <v>0</v>
      </c>
      <c r="N336">
        <v>1</v>
      </c>
    </row>
    <row r="337" spans="1:14" x14ac:dyDescent="0.45">
      <c r="A337" t="s">
        <v>60</v>
      </c>
      <c r="B337" t="s">
        <v>625</v>
      </c>
      <c r="C337" t="s">
        <v>7</v>
      </c>
      <c r="D337" t="s">
        <v>308</v>
      </c>
      <c r="E337">
        <v>4</v>
      </c>
      <c r="F337">
        <v>0</v>
      </c>
      <c r="G337">
        <v>20</v>
      </c>
      <c r="H337">
        <v>0</v>
      </c>
      <c r="I337">
        <v>5</v>
      </c>
      <c r="J337">
        <v>12</v>
      </c>
      <c r="K337">
        <v>2</v>
      </c>
      <c r="L337">
        <v>0</v>
      </c>
      <c r="M337">
        <v>0</v>
      </c>
      <c r="N337">
        <v>0</v>
      </c>
    </row>
    <row r="338" spans="1:14" x14ac:dyDescent="0.45">
      <c r="A338" t="s">
        <v>60</v>
      </c>
      <c r="B338" t="s">
        <v>625</v>
      </c>
      <c r="C338" t="s">
        <v>7</v>
      </c>
      <c r="D338" t="s">
        <v>440</v>
      </c>
      <c r="E338">
        <v>3</v>
      </c>
      <c r="F338">
        <v>0</v>
      </c>
      <c r="G338">
        <v>9</v>
      </c>
      <c r="H338">
        <v>3</v>
      </c>
      <c r="I338">
        <v>3</v>
      </c>
      <c r="J338">
        <v>10</v>
      </c>
      <c r="K338">
        <v>0</v>
      </c>
      <c r="L338">
        <v>0</v>
      </c>
      <c r="M338">
        <v>0</v>
      </c>
      <c r="N338">
        <v>0</v>
      </c>
    </row>
    <row r="339" spans="1:14" x14ac:dyDescent="0.45">
      <c r="A339" t="s">
        <v>60</v>
      </c>
      <c r="B339" t="s">
        <v>625</v>
      </c>
      <c r="C339" t="s">
        <v>13</v>
      </c>
      <c r="D339" t="s">
        <v>352</v>
      </c>
      <c r="E339">
        <v>2</v>
      </c>
      <c r="F339">
        <v>0</v>
      </c>
      <c r="G339">
        <v>12</v>
      </c>
      <c r="H339">
        <v>0</v>
      </c>
      <c r="I339">
        <v>6</v>
      </c>
      <c r="J339">
        <v>8</v>
      </c>
      <c r="K339">
        <v>2</v>
      </c>
      <c r="L339">
        <v>0</v>
      </c>
      <c r="M339">
        <v>1</v>
      </c>
      <c r="N339">
        <v>0</v>
      </c>
    </row>
    <row r="340" spans="1:14" x14ac:dyDescent="0.45">
      <c r="A340" t="s">
        <v>60</v>
      </c>
      <c r="B340" t="s">
        <v>625</v>
      </c>
      <c r="C340" t="s">
        <v>13</v>
      </c>
      <c r="D340" t="s">
        <v>438</v>
      </c>
      <c r="E340">
        <v>2</v>
      </c>
      <c r="F340">
        <v>0</v>
      </c>
      <c r="G340">
        <v>26</v>
      </c>
      <c r="H340">
        <v>0</v>
      </c>
      <c r="I340">
        <v>13</v>
      </c>
      <c r="J340">
        <v>4</v>
      </c>
      <c r="K340">
        <v>3</v>
      </c>
      <c r="L340">
        <v>1</v>
      </c>
      <c r="M340">
        <v>2</v>
      </c>
      <c r="N340">
        <v>1</v>
      </c>
    </row>
    <row r="341" spans="1:14" x14ac:dyDescent="0.45">
      <c r="A341" t="s">
        <v>60</v>
      </c>
      <c r="B341" t="s">
        <v>625</v>
      </c>
      <c r="C341" t="s">
        <v>13</v>
      </c>
      <c r="D341" t="s">
        <v>448</v>
      </c>
      <c r="E341">
        <v>2</v>
      </c>
      <c r="F341">
        <v>0</v>
      </c>
      <c r="G341">
        <v>20</v>
      </c>
      <c r="H341">
        <v>0</v>
      </c>
      <c r="I341">
        <v>10</v>
      </c>
      <c r="J341">
        <v>4</v>
      </c>
      <c r="K341">
        <v>2</v>
      </c>
      <c r="L341">
        <v>1</v>
      </c>
      <c r="M341">
        <v>0</v>
      </c>
      <c r="N341">
        <v>0</v>
      </c>
    </row>
    <row r="342" spans="1:14" x14ac:dyDescent="0.45">
      <c r="A342" t="s">
        <v>60</v>
      </c>
      <c r="B342" t="s">
        <v>625</v>
      </c>
      <c r="C342" t="s">
        <v>13</v>
      </c>
      <c r="D342" t="s">
        <v>353</v>
      </c>
      <c r="E342">
        <v>2</v>
      </c>
      <c r="F342">
        <v>0</v>
      </c>
      <c r="G342">
        <v>23</v>
      </c>
      <c r="H342">
        <v>1</v>
      </c>
      <c r="I342">
        <v>11.5</v>
      </c>
      <c r="J342">
        <v>5</v>
      </c>
      <c r="K342">
        <v>5</v>
      </c>
      <c r="L342">
        <v>0</v>
      </c>
      <c r="M342">
        <v>0</v>
      </c>
      <c r="N342">
        <v>0</v>
      </c>
    </row>
    <row r="343" spans="1:14" x14ac:dyDescent="0.45">
      <c r="A343" t="s">
        <v>60</v>
      </c>
      <c r="B343" t="s">
        <v>625</v>
      </c>
      <c r="C343" t="s">
        <v>13</v>
      </c>
      <c r="D343" t="s">
        <v>349</v>
      </c>
      <c r="E343">
        <v>2</v>
      </c>
      <c r="F343">
        <v>0</v>
      </c>
      <c r="G343">
        <v>13</v>
      </c>
      <c r="H343">
        <v>0</v>
      </c>
      <c r="I343">
        <v>6.5</v>
      </c>
      <c r="J343">
        <v>3</v>
      </c>
      <c r="K343">
        <v>1</v>
      </c>
      <c r="L343">
        <v>0</v>
      </c>
      <c r="M343">
        <v>1</v>
      </c>
      <c r="N343">
        <v>0</v>
      </c>
    </row>
    <row r="344" spans="1:14" x14ac:dyDescent="0.45">
      <c r="A344" t="s">
        <v>62</v>
      </c>
      <c r="B344" t="s">
        <v>651</v>
      </c>
      <c r="C344" t="s">
        <v>19</v>
      </c>
      <c r="D344" t="s">
        <v>370</v>
      </c>
      <c r="E344">
        <v>4</v>
      </c>
      <c r="F344">
        <v>1</v>
      </c>
      <c r="G344">
        <v>35</v>
      </c>
      <c r="H344">
        <v>2</v>
      </c>
      <c r="I344">
        <v>8.75</v>
      </c>
      <c r="J344">
        <v>13</v>
      </c>
      <c r="K344">
        <v>3</v>
      </c>
      <c r="L344">
        <v>3</v>
      </c>
      <c r="M344">
        <v>0</v>
      </c>
      <c r="N344">
        <v>0</v>
      </c>
    </row>
    <row r="345" spans="1:14" x14ac:dyDescent="0.45">
      <c r="A345" t="s">
        <v>62</v>
      </c>
      <c r="B345" t="s">
        <v>651</v>
      </c>
      <c r="C345" t="s">
        <v>19</v>
      </c>
      <c r="D345" t="s">
        <v>439</v>
      </c>
      <c r="E345">
        <v>4</v>
      </c>
      <c r="F345">
        <v>0</v>
      </c>
      <c r="G345">
        <v>21</v>
      </c>
      <c r="H345">
        <v>2</v>
      </c>
      <c r="I345">
        <v>5.25</v>
      </c>
      <c r="J345">
        <v>14</v>
      </c>
      <c r="K345">
        <v>2</v>
      </c>
      <c r="L345">
        <v>1</v>
      </c>
      <c r="M345">
        <v>0</v>
      </c>
      <c r="N345">
        <v>0</v>
      </c>
    </row>
    <row r="346" spans="1:14" x14ac:dyDescent="0.45">
      <c r="A346" t="s">
        <v>62</v>
      </c>
      <c r="B346" t="s">
        <v>651</v>
      </c>
      <c r="C346" t="s">
        <v>19</v>
      </c>
      <c r="D346" t="s">
        <v>369</v>
      </c>
      <c r="E346">
        <v>4</v>
      </c>
      <c r="F346">
        <v>0</v>
      </c>
      <c r="G346">
        <v>33</v>
      </c>
      <c r="H346">
        <v>2</v>
      </c>
      <c r="I346">
        <v>8.25</v>
      </c>
      <c r="J346">
        <v>11</v>
      </c>
      <c r="K346">
        <v>1</v>
      </c>
      <c r="L346">
        <v>2</v>
      </c>
      <c r="M346">
        <v>2</v>
      </c>
      <c r="N346">
        <v>0</v>
      </c>
    </row>
    <row r="347" spans="1:14" x14ac:dyDescent="0.45">
      <c r="A347" t="s">
        <v>62</v>
      </c>
      <c r="B347" t="s">
        <v>651</v>
      </c>
      <c r="C347" t="s">
        <v>19</v>
      </c>
      <c r="D347" t="s">
        <v>362</v>
      </c>
      <c r="E347">
        <v>2</v>
      </c>
      <c r="F347">
        <v>0</v>
      </c>
      <c r="G347">
        <v>15</v>
      </c>
      <c r="H347">
        <v>0</v>
      </c>
      <c r="I347">
        <v>7.5</v>
      </c>
      <c r="J347">
        <v>4</v>
      </c>
      <c r="K347">
        <v>2</v>
      </c>
      <c r="L347">
        <v>0</v>
      </c>
      <c r="M347">
        <v>1</v>
      </c>
      <c r="N347">
        <v>0</v>
      </c>
    </row>
    <row r="348" spans="1:14" x14ac:dyDescent="0.45">
      <c r="A348" t="s">
        <v>62</v>
      </c>
      <c r="B348" t="s">
        <v>651</v>
      </c>
      <c r="C348" t="s">
        <v>19</v>
      </c>
      <c r="D348" t="s">
        <v>435</v>
      </c>
      <c r="E348">
        <v>4</v>
      </c>
      <c r="F348">
        <v>0</v>
      </c>
      <c r="G348">
        <v>22</v>
      </c>
      <c r="H348">
        <v>0</v>
      </c>
      <c r="I348">
        <v>5.5</v>
      </c>
      <c r="J348">
        <v>10</v>
      </c>
      <c r="K348">
        <v>1</v>
      </c>
      <c r="L348">
        <v>0</v>
      </c>
      <c r="M348">
        <v>0</v>
      </c>
      <c r="N348">
        <v>0</v>
      </c>
    </row>
    <row r="349" spans="1:14" x14ac:dyDescent="0.45">
      <c r="A349" t="s">
        <v>62</v>
      </c>
      <c r="B349" t="s">
        <v>651</v>
      </c>
      <c r="C349" t="s">
        <v>19</v>
      </c>
      <c r="D349" t="s">
        <v>366</v>
      </c>
      <c r="E349">
        <v>2</v>
      </c>
      <c r="F349">
        <v>0</v>
      </c>
      <c r="G349">
        <v>27</v>
      </c>
      <c r="H349">
        <v>0</v>
      </c>
      <c r="I349">
        <v>13.5</v>
      </c>
      <c r="J349">
        <v>2</v>
      </c>
      <c r="K349">
        <v>2</v>
      </c>
      <c r="L349">
        <v>1</v>
      </c>
      <c r="M349">
        <v>2</v>
      </c>
      <c r="N349">
        <v>0</v>
      </c>
    </row>
    <row r="350" spans="1:14" x14ac:dyDescent="0.45">
      <c r="A350" t="s">
        <v>62</v>
      </c>
      <c r="B350" t="s">
        <v>651</v>
      </c>
      <c r="C350" t="s">
        <v>6</v>
      </c>
      <c r="D350" t="s">
        <v>324</v>
      </c>
      <c r="E350">
        <v>4</v>
      </c>
      <c r="F350">
        <v>0</v>
      </c>
      <c r="G350">
        <v>19</v>
      </c>
      <c r="H350">
        <v>2</v>
      </c>
      <c r="I350">
        <v>4.75</v>
      </c>
      <c r="J350">
        <v>13</v>
      </c>
      <c r="K350">
        <v>2</v>
      </c>
      <c r="L350">
        <v>0</v>
      </c>
      <c r="M350">
        <v>0</v>
      </c>
      <c r="N350">
        <v>0</v>
      </c>
    </row>
    <row r="351" spans="1:14" x14ac:dyDescent="0.45">
      <c r="A351" t="s">
        <v>62</v>
      </c>
      <c r="B351" t="s">
        <v>651</v>
      </c>
      <c r="C351" t="s">
        <v>6</v>
      </c>
      <c r="D351" t="s">
        <v>325</v>
      </c>
      <c r="E351">
        <v>4</v>
      </c>
      <c r="F351">
        <v>0</v>
      </c>
      <c r="G351">
        <v>34</v>
      </c>
      <c r="H351">
        <v>1</v>
      </c>
      <c r="I351">
        <v>8.5</v>
      </c>
      <c r="J351">
        <v>8</v>
      </c>
      <c r="K351">
        <v>4</v>
      </c>
      <c r="L351">
        <v>1</v>
      </c>
      <c r="M351">
        <v>0</v>
      </c>
      <c r="N351">
        <v>0</v>
      </c>
    </row>
    <row r="352" spans="1:14" x14ac:dyDescent="0.45">
      <c r="A352" t="s">
        <v>62</v>
      </c>
      <c r="B352" t="s">
        <v>651</v>
      </c>
      <c r="C352" t="s">
        <v>6</v>
      </c>
      <c r="D352" t="s">
        <v>326</v>
      </c>
      <c r="E352">
        <v>4</v>
      </c>
      <c r="F352">
        <v>0</v>
      </c>
      <c r="G352">
        <v>29</v>
      </c>
      <c r="H352">
        <v>1</v>
      </c>
      <c r="I352">
        <v>7.25</v>
      </c>
      <c r="J352">
        <v>9</v>
      </c>
      <c r="K352">
        <v>2</v>
      </c>
      <c r="L352">
        <v>1</v>
      </c>
      <c r="M352">
        <v>2</v>
      </c>
      <c r="N352">
        <v>0</v>
      </c>
    </row>
    <row r="353" spans="1:14" x14ac:dyDescent="0.45">
      <c r="A353" t="s">
        <v>62</v>
      </c>
      <c r="B353" t="s">
        <v>651</v>
      </c>
      <c r="C353" t="s">
        <v>6</v>
      </c>
      <c r="D353" t="s">
        <v>299</v>
      </c>
      <c r="E353">
        <v>3</v>
      </c>
      <c r="F353">
        <v>0</v>
      </c>
      <c r="G353">
        <v>16</v>
      </c>
      <c r="H353">
        <v>0</v>
      </c>
      <c r="I353">
        <v>5.33</v>
      </c>
      <c r="J353">
        <v>4</v>
      </c>
      <c r="K353">
        <v>0</v>
      </c>
      <c r="L353">
        <v>0</v>
      </c>
      <c r="M353">
        <v>0</v>
      </c>
      <c r="N353">
        <v>0</v>
      </c>
    </row>
    <row r="354" spans="1:14" x14ac:dyDescent="0.45">
      <c r="A354" t="s">
        <v>62</v>
      </c>
      <c r="B354" t="s">
        <v>651</v>
      </c>
      <c r="C354" t="s">
        <v>6</v>
      </c>
      <c r="D354" t="s">
        <v>327</v>
      </c>
      <c r="E354">
        <v>4</v>
      </c>
      <c r="F354">
        <v>0</v>
      </c>
      <c r="G354">
        <v>25</v>
      </c>
      <c r="H354">
        <v>3</v>
      </c>
      <c r="I354">
        <v>6.25</v>
      </c>
      <c r="J354">
        <v>11</v>
      </c>
      <c r="K354">
        <v>3</v>
      </c>
      <c r="L354">
        <v>0</v>
      </c>
      <c r="M354">
        <v>2</v>
      </c>
      <c r="N354">
        <v>0</v>
      </c>
    </row>
    <row r="355" spans="1:14" x14ac:dyDescent="0.45">
      <c r="A355" t="s">
        <v>62</v>
      </c>
      <c r="B355" t="s">
        <v>651</v>
      </c>
      <c r="C355" t="s">
        <v>6</v>
      </c>
      <c r="D355" t="s">
        <v>328</v>
      </c>
      <c r="E355">
        <v>1</v>
      </c>
      <c r="F355">
        <v>0</v>
      </c>
      <c r="G355">
        <v>13</v>
      </c>
      <c r="H355">
        <v>0</v>
      </c>
      <c r="I355">
        <v>13</v>
      </c>
      <c r="J355">
        <v>1</v>
      </c>
      <c r="K355">
        <v>1</v>
      </c>
      <c r="L355">
        <v>1</v>
      </c>
      <c r="M355">
        <v>0</v>
      </c>
      <c r="N355">
        <v>0</v>
      </c>
    </row>
    <row r="356" spans="1:14" x14ac:dyDescent="0.45">
      <c r="A356" t="s">
        <v>63</v>
      </c>
      <c r="B356" t="s">
        <v>652</v>
      </c>
      <c r="C356" t="s">
        <v>10</v>
      </c>
      <c r="D356" t="s">
        <v>456</v>
      </c>
      <c r="E356">
        <v>4</v>
      </c>
      <c r="F356">
        <v>1</v>
      </c>
      <c r="G356">
        <v>37</v>
      </c>
      <c r="H356">
        <v>0</v>
      </c>
      <c r="I356">
        <v>9.25</v>
      </c>
      <c r="J356">
        <v>9</v>
      </c>
      <c r="K356">
        <v>2</v>
      </c>
      <c r="L356">
        <v>3</v>
      </c>
      <c r="M356">
        <v>0</v>
      </c>
      <c r="N356">
        <v>0</v>
      </c>
    </row>
    <row r="357" spans="1:14" x14ac:dyDescent="0.45">
      <c r="A357" t="s">
        <v>63</v>
      </c>
      <c r="B357" t="s">
        <v>652</v>
      </c>
      <c r="C357" t="s">
        <v>10</v>
      </c>
      <c r="D357" t="s">
        <v>331</v>
      </c>
      <c r="E357">
        <v>1</v>
      </c>
      <c r="F357">
        <v>0</v>
      </c>
      <c r="G357">
        <v>6</v>
      </c>
      <c r="H357">
        <v>0</v>
      </c>
      <c r="I357">
        <v>6</v>
      </c>
      <c r="J357">
        <v>0</v>
      </c>
      <c r="K357">
        <v>0</v>
      </c>
      <c r="L357">
        <v>0</v>
      </c>
      <c r="M357">
        <v>0</v>
      </c>
      <c r="N357">
        <v>0</v>
      </c>
    </row>
    <row r="358" spans="1:14" x14ac:dyDescent="0.45">
      <c r="A358" t="s">
        <v>63</v>
      </c>
      <c r="B358" t="s">
        <v>652</v>
      </c>
      <c r="C358" t="s">
        <v>10</v>
      </c>
      <c r="D358" t="s">
        <v>341</v>
      </c>
      <c r="E358">
        <v>4</v>
      </c>
      <c r="F358">
        <v>0</v>
      </c>
      <c r="G358">
        <v>36</v>
      </c>
      <c r="H358">
        <v>3</v>
      </c>
      <c r="I358">
        <v>9</v>
      </c>
      <c r="J358">
        <v>6</v>
      </c>
      <c r="K358">
        <v>0</v>
      </c>
      <c r="L358">
        <v>3</v>
      </c>
      <c r="M358">
        <v>0</v>
      </c>
      <c r="N358">
        <v>0</v>
      </c>
    </row>
    <row r="359" spans="1:14" x14ac:dyDescent="0.45">
      <c r="A359" t="s">
        <v>63</v>
      </c>
      <c r="B359" t="s">
        <v>652</v>
      </c>
      <c r="C359" t="s">
        <v>10</v>
      </c>
      <c r="D359" t="s">
        <v>340</v>
      </c>
      <c r="E359">
        <v>4</v>
      </c>
      <c r="F359">
        <v>0</v>
      </c>
      <c r="G359">
        <v>39</v>
      </c>
      <c r="H359">
        <v>1</v>
      </c>
      <c r="I359">
        <v>9.75</v>
      </c>
      <c r="J359">
        <v>8</v>
      </c>
      <c r="K359">
        <v>5</v>
      </c>
      <c r="L359">
        <v>1</v>
      </c>
      <c r="M359">
        <v>2</v>
      </c>
      <c r="N359">
        <v>0</v>
      </c>
    </row>
    <row r="360" spans="1:14" x14ac:dyDescent="0.45">
      <c r="A360" t="s">
        <v>63</v>
      </c>
      <c r="B360" t="s">
        <v>652</v>
      </c>
      <c r="C360" t="s">
        <v>10</v>
      </c>
      <c r="D360" t="s">
        <v>436</v>
      </c>
      <c r="E360">
        <v>3</v>
      </c>
      <c r="F360">
        <v>0</v>
      </c>
      <c r="G360">
        <v>25</v>
      </c>
      <c r="H360">
        <v>0</v>
      </c>
      <c r="I360">
        <v>8.33</v>
      </c>
      <c r="J360">
        <v>2</v>
      </c>
      <c r="K360">
        <v>2</v>
      </c>
      <c r="L360">
        <v>0</v>
      </c>
      <c r="M360">
        <v>0</v>
      </c>
      <c r="N360">
        <v>0</v>
      </c>
    </row>
    <row r="361" spans="1:14" x14ac:dyDescent="0.45">
      <c r="A361" t="s">
        <v>63</v>
      </c>
      <c r="B361" t="s">
        <v>652</v>
      </c>
      <c r="C361" t="s">
        <v>10</v>
      </c>
      <c r="D361" t="s">
        <v>337</v>
      </c>
      <c r="E361">
        <v>4</v>
      </c>
      <c r="F361">
        <v>0</v>
      </c>
      <c r="G361">
        <v>21</v>
      </c>
      <c r="H361">
        <v>1</v>
      </c>
      <c r="I361">
        <v>5.25</v>
      </c>
      <c r="J361">
        <v>11</v>
      </c>
      <c r="K361">
        <v>2</v>
      </c>
      <c r="L361">
        <v>0</v>
      </c>
      <c r="M361">
        <v>0</v>
      </c>
      <c r="N361">
        <v>0</v>
      </c>
    </row>
    <row r="362" spans="1:14" x14ac:dyDescent="0.45">
      <c r="A362" t="s">
        <v>63</v>
      </c>
      <c r="B362" t="s">
        <v>652</v>
      </c>
      <c r="C362" t="s">
        <v>26</v>
      </c>
      <c r="D362" t="s">
        <v>457</v>
      </c>
      <c r="E362">
        <v>3.4</v>
      </c>
      <c r="F362">
        <v>0</v>
      </c>
      <c r="G362">
        <v>35</v>
      </c>
      <c r="H362">
        <v>1</v>
      </c>
      <c r="I362">
        <v>9.5399999999999991</v>
      </c>
      <c r="J362">
        <v>7</v>
      </c>
      <c r="K362">
        <v>2</v>
      </c>
      <c r="L362">
        <v>2</v>
      </c>
      <c r="M362">
        <v>3</v>
      </c>
      <c r="N362">
        <v>0</v>
      </c>
    </row>
    <row r="363" spans="1:14" x14ac:dyDescent="0.45">
      <c r="A363" t="s">
        <v>63</v>
      </c>
      <c r="B363" t="s">
        <v>652</v>
      </c>
      <c r="C363" t="s">
        <v>26</v>
      </c>
      <c r="D363" t="s">
        <v>403</v>
      </c>
      <c r="E363">
        <v>3</v>
      </c>
      <c r="F363">
        <v>0</v>
      </c>
      <c r="G363">
        <v>37</v>
      </c>
      <c r="H363">
        <v>0</v>
      </c>
      <c r="I363">
        <v>12.33</v>
      </c>
      <c r="J363">
        <v>6</v>
      </c>
      <c r="K363">
        <v>5</v>
      </c>
      <c r="L363">
        <v>2</v>
      </c>
      <c r="M363">
        <v>0</v>
      </c>
      <c r="N363">
        <v>0</v>
      </c>
    </row>
    <row r="364" spans="1:14" x14ac:dyDescent="0.45">
      <c r="A364" t="s">
        <v>63</v>
      </c>
      <c r="B364" t="s">
        <v>652</v>
      </c>
      <c r="C364" t="s">
        <v>26</v>
      </c>
      <c r="D364" t="s">
        <v>407</v>
      </c>
      <c r="E364">
        <v>4</v>
      </c>
      <c r="F364">
        <v>0</v>
      </c>
      <c r="G364">
        <v>42</v>
      </c>
      <c r="H364">
        <v>0</v>
      </c>
      <c r="I364">
        <v>10.5</v>
      </c>
      <c r="J364">
        <v>7</v>
      </c>
      <c r="K364">
        <v>3</v>
      </c>
      <c r="L364">
        <v>3</v>
      </c>
      <c r="M364">
        <v>0</v>
      </c>
      <c r="N364">
        <v>0</v>
      </c>
    </row>
    <row r="365" spans="1:14" x14ac:dyDescent="0.45">
      <c r="A365" t="s">
        <v>63</v>
      </c>
      <c r="B365" t="s">
        <v>652</v>
      </c>
      <c r="C365" t="s">
        <v>26</v>
      </c>
      <c r="D365" t="s">
        <v>406</v>
      </c>
      <c r="E365">
        <v>2</v>
      </c>
      <c r="F365">
        <v>0</v>
      </c>
      <c r="G365">
        <v>21</v>
      </c>
      <c r="H365">
        <v>1</v>
      </c>
      <c r="I365">
        <v>10.5</v>
      </c>
      <c r="J365">
        <v>4</v>
      </c>
      <c r="K365">
        <v>2</v>
      </c>
      <c r="L365">
        <v>1</v>
      </c>
      <c r="M365">
        <v>0</v>
      </c>
      <c r="N365">
        <v>0</v>
      </c>
    </row>
    <row r="366" spans="1:14" x14ac:dyDescent="0.45">
      <c r="A366" t="s">
        <v>63</v>
      </c>
      <c r="B366" t="s">
        <v>652</v>
      </c>
      <c r="C366" t="s">
        <v>26</v>
      </c>
      <c r="D366" t="s">
        <v>404</v>
      </c>
      <c r="E366">
        <v>3</v>
      </c>
      <c r="F366">
        <v>0</v>
      </c>
      <c r="G366">
        <v>19</v>
      </c>
      <c r="H366">
        <v>1</v>
      </c>
      <c r="I366">
        <v>6.33</v>
      </c>
      <c r="J366">
        <v>4</v>
      </c>
      <c r="K366">
        <v>0</v>
      </c>
      <c r="L366">
        <v>0</v>
      </c>
      <c r="M366">
        <v>0</v>
      </c>
      <c r="N366">
        <v>0</v>
      </c>
    </row>
    <row r="367" spans="1:14" x14ac:dyDescent="0.45">
      <c r="A367" t="s">
        <v>63</v>
      </c>
      <c r="B367" t="s">
        <v>652</v>
      </c>
      <c r="C367" t="s">
        <v>26</v>
      </c>
      <c r="D367" t="s">
        <v>426</v>
      </c>
      <c r="E367">
        <v>2</v>
      </c>
      <c r="F367">
        <v>0</v>
      </c>
      <c r="G367">
        <v>11</v>
      </c>
      <c r="H367">
        <v>0</v>
      </c>
      <c r="I367">
        <v>5.5</v>
      </c>
      <c r="J367">
        <v>3</v>
      </c>
      <c r="K367">
        <v>0</v>
      </c>
      <c r="L367">
        <v>0</v>
      </c>
      <c r="M367">
        <v>0</v>
      </c>
      <c r="N367">
        <v>0</v>
      </c>
    </row>
    <row r="368" spans="1:14" x14ac:dyDescent="0.45">
      <c r="A368" t="s">
        <v>65</v>
      </c>
      <c r="B368" t="s">
        <v>642</v>
      </c>
      <c r="C368" t="s">
        <v>20</v>
      </c>
      <c r="D368" t="s">
        <v>409</v>
      </c>
      <c r="E368">
        <v>4</v>
      </c>
      <c r="F368">
        <v>0</v>
      </c>
      <c r="G368">
        <v>37</v>
      </c>
      <c r="H368">
        <v>0</v>
      </c>
      <c r="I368">
        <v>9.25</v>
      </c>
      <c r="J368">
        <v>7</v>
      </c>
      <c r="K368">
        <v>4</v>
      </c>
      <c r="L368">
        <v>1</v>
      </c>
      <c r="M368">
        <v>1</v>
      </c>
      <c r="N368">
        <v>0</v>
      </c>
    </row>
    <row r="369" spans="1:14" x14ac:dyDescent="0.45">
      <c r="A369" t="s">
        <v>65</v>
      </c>
      <c r="B369" t="s">
        <v>642</v>
      </c>
      <c r="C369" t="s">
        <v>20</v>
      </c>
      <c r="D369" t="s">
        <v>429</v>
      </c>
      <c r="E369">
        <v>4</v>
      </c>
      <c r="F369">
        <v>0</v>
      </c>
      <c r="G369">
        <v>50</v>
      </c>
      <c r="H369">
        <v>1</v>
      </c>
      <c r="I369">
        <v>12.5</v>
      </c>
      <c r="J369">
        <v>7</v>
      </c>
      <c r="K369">
        <v>2</v>
      </c>
      <c r="L369">
        <v>4</v>
      </c>
      <c r="M369">
        <v>2</v>
      </c>
      <c r="N369">
        <v>1</v>
      </c>
    </row>
    <row r="370" spans="1:14" x14ac:dyDescent="0.45">
      <c r="A370" t="s">
        <v>65</v>
      </c>
      <c r="B370" t="s">
        <v>642</v>
      </c>
      <c r="C370" t="s">
        <v>20</v>
      </c>
      <c r="D370" t="s">
        <v>379</v>
      </c>
      <c r="E370">
        <v>4</v>
      </c>
      <c r="F370">
        <v>0</v>
      </c>
      <c r="G370">
        <v>24</v>
      </c>
      <c r="H370">
        <v>1</v>
      </c>
      <c r="I370">
        <v>6</v>
      </c>
      <c r="J370">
        <v>10</v>
      </c>
      <c r="K370">
        <v>3</v>
      </c>
      <c r="L370">
        <v>0</v>
      </c>
      <c r="M370">
        <v>0</v>
      </c>
      <c r="N370">
        <v>0</v>
      </c>
    </row>
    <row r="371" spans="1:14" x14ac:dyDescent="0.45">
      <c r="A371" t="s">
        <v>65</v>
      </c>
      <c r="B371" t="s">
        <v>642</v>
      </c>
      <c r="C371" t="s">
        <v>20</v>
      </c>
      <c r="D371" t="s">
        <v>444</v>
      </c>
      <c r="E371">
        <v>4</v>
      </c>
      <c r="F371">
        <v>0</v>
      </c>
      <c r="G371">
        <v>41</v>
      </c>
      <c r="H371">
        <v>0</v>
      </c>
      <c r="I371">
        <v>10.25</v>
      </c>
      <c r="J371">
        <v>8</v>
      </c>
      <c r="K371">
        <v>4</v>
      </c>
      <c r="L371">
        <v>2</v>
      </c>
      <c r="M371">
        <v>0</v>
      </c>
      <c r="N371">
        <v>0</v>
      </c>
    </row>
    <row r="372" spans="1:14" x14ac:dyDescent="0.45">
      <c r="A372" t="s">
        <v>65</v>
      </c>
      <c r="B372" t="s">
        <v>642</v>
      </c>
      <c r="C372" t="s">
        <v>20</v>
      </c>
      <c r="D372" t="s">
        <v>460</v>
      </c>
      <c r="E372">
        <v>3</v>
      </c>
      <c r="F372">
        <v>0</v>
      </c>
      <c r="G372">
        <v>42</v>
      </c>
      <c r="H372">
        <v>1</v>
      </c>
      <c r="I372">
        <v>14</v>
      </c>
      <c r="J372">
        <v>4</v>
      </c>
      <c r="K372">
        <v>2</v>
      </c>
      <c r="L372">
        <v>3</v>
      </c>
      <c r="M372">
        <v>4</v>
      </c>
      <c r="N372">
        <v>0</v>
      </c>
    </row>
    <row r="373" spans="1:14" x14ac:dyDescent="0.45">
      <c r="A373" t="s">
        <v>65</v>
      </c>
      <c r="B373" t="s">
        <v>642</v>
      </c>
      <c r="C373" t="s">
        <v>20</v>
      </c>
      <c r="D373" t="s">
        <v>375</v>
      </c>
      <c r="E373">
        <v>1</v>
      </c>
      <c r="F373">
        <v>0</v>
      </c>
      <c r="G373">
        <v>21</v>
      </c>
      <c r="H373">
        <v>0</v>
      </c>
      <c r="I373">
        <v>21</v>
      </c>
      <c r="J373">
        <v>1</v>
      </c>
      <c r="K373">
        <v>2</v>
      </c>
      <c r="L373">
        <v>2</v>
      </c>
      <c r="M373">
        <v>0</v>
      </c>
      <c r="N373">
        <v>0</v>
      </c>
    </row>
    <row r="374" spans="1:14" x14ac:dyDescent="0.45">
      <c r="A374" t="s">
        <v>65</v>
      </c>
      <c r="B374" t="s">
        <v>642</v>
      </c>
      <c r="C374" t="s">
        <v>23</v>
      </c>
      <c r="D374" t="s">
        <v>432</v>
      </c>
      <c r="E374">
        <v>4</v>
      </c>
      <c r="F374">
        <v>0</v>
      </c>
      <c r="G374">
        <v>32</v>
      </c>
      <c r="H374">
        <v>1</v>
      </c>
      <c r="I374">
        <v>8</v>
      </c>
      <c r="J374">
        <v>13</v>
      </c>
      <c r="K374">
        <v>3</v>
      </c>
      <c r="L374">
        <v>2</v>
      </c>
      <c r="M374">
        <v>1</v>
      </c>
      <c r="N374">
        <v>0</v>
      </c>
    </row>
    <row r="375" spans="1:14" x14ac:dyDescent="0.45">
      <c r="A375" t="s">
        <v>65</v>
      </c>
      <c r="B375" t="s">
        <v>642</v>
      </c>
      <c r="C375" t="s">
        <v>23</v>
      </c>
      <c r="D375" t="s">
        <v>396</v>
      </c>
      <c r="E375">
        <v>4</v>
      </c>
      <c r="F375">
        <v>0</v>
      </c>
      <c r="G375">
        <v>20</v>
      </c>
      <c r="H375">
        <v>3</v>
      </c>
      <c r="I375">
        <v>5</v>
      </c>
      <c r="J375">
        <v>12</v>
      </c>
      <c r="K375">
        <v>2</v>
      </c>
      <c r="L375">
        <v>0</v>
      </c>
      <c r="M375">
        <v>2</v>
      </c>
      <c r="N375">
        <v>0</v>
      </c>
    </row>
    <row r="376" spans="1:14" x14ac:dyDescent="0.45">
      <c r="A376" t="s">
        <v>65</v>
      </c>
      <c r="B376" t="s">
        <v>642</v>
      </c>
      <c r="C376" t="s">
        <v>23</v>
      </c>
      <c r="D376" t="s">
        <v>394</v>
      </c>
      <c r="E376">
        <v>4</v>
      </c>
      <c r="F376">
        <v>0</v>
      </c>
      <c r="G376">
        <v>38</v>
      </c>
      <c r="H376">
        <v>0</v>
      </c>
      <c r="I376">
        <v>9.5</v>
      </c>
      <c r="J376">
        <v>7</v>
      </c>
      <c r="K376">
        <v>3</v>
      </c>
      <c r="L376">
        <v>2</v>
      </c>
      <c r="M376">
        <v>1</v>
      </c>
      <c r="N376">
        <v>0</v>
      </c>
    </row>
    <row r="377" spans="1:14" x14ac:dyDescent="0.45">
      <c r="A377" t="s">
        <v>65</v>
      </c>
      <c r="B377" t="s">
        <v>642</v>
      </c>
      <c r="C377" t="s">
        <v>23</v>
      </c>
      <c r="D377" t="s">
        <v>391</v>
      </c>
      <c r="E377">
        <v>4</v>
      </c>
      <c r="F377">
        <v>0</v>
      </c>
      <c r="G377">
        <v>29</v>
      </c>
      <c r="H377">
        <v>3</v>
      </c>
      <c r="I377">
        <v>7.25</v>
      </c>
      <c r="J377">
        <v>8</v>
      </c>
      <c r="K377">
        <v>3</v>
      </c>
      <c r="L377">
        <v>0</v>
      </c>
      <c r="M377">
        <v>3</v>
      </c>
      <c r="N377">
        <v>0</v>
      </c>
    </row>
    <row r="378" spans="1:14" x14ac:dyDescent="0.45">
      <c r="A378" t="s">
        <v>65</v>
      </c>
      <c r="B378" t="s">
        <v>642</v>
      </c>
      <c r="C378" t="s">
        <v>23</v>
      </c>
      <c r="D378" t="s">
        <v>390</v>
      </c>
      <c r="E378">
        <v>4</v>
      </c>
      <c r="F378">
        <v>0</v>
      </c>
      <c r="G378">
        <v>45</v>
      </c>
      <c r="H378">
        <v>1</v>
      </c>
      <c r="I378">
        <v>11.25</v>
      </c>
      <c r="J378">
        <v>2</v>
      </c>
      <c r="K378">
        <v>2</v>
      </c>
      <c r="L378">
        <v>3</v>
      </c>
      <c r="M378">
        <v>0</v>
      </c>
      <c r="N378">
        <v>0</v>
      </c>
    </row>
    <row r="379" spans="1:14" x14ac:dyDescent="0.45">
      <c r="A379" t="s">
        <v>66</v>
      </c>
      <c r="B379" t="s">
        <v>651</v>
      </c>
      <c r="C379" t="s">
        <v>19</v>
      </c>
      <c r="D379" t="s">
        <v>370</v>
      </c>
      <c r="E379">
        <v>4</v>
      </c>
      <c r="F379">
        <v>0</v>
      </c>
      <c r="G379">
        <v>42</v>
      </c>
      <c r="H379">
        <v>1</v>
      </c>
      <c r="I379">
        <v>10.5</v>
      </c>
      <c r="J379">
        <v>10</v>
      </c>
      <c r="K379">
        <v>4</v>
      </c>
      <c r="L379">
        <v>3</v>
      </c>
      <c r="M379">
        <v>1</v>
      </c>
      <c r="N379">
        <v>0</v>
      </c>
    </row>
    <row r="380" spans="1:14" x14ac:dyDescent="0.45">
      <c r="A380" t="s">
        <v>66</v>
      </c>
      <c r="B380" t="s">
        <v>651</v>
      </c>
      <c r="C380" t="s">
        <v>19</v>
      </c>
      <c r="D380" t="s">
        <v>461</v>
      </c>
      <c r="E380">
        <v>4</v>
      </c>
      <c r="F380">
        <v>0</v>
      </c>
      <c r="G380">
        <v>48</v>
      </c>
      <c r="H380">
        <v>0</v>
      </c>
      <c r="I380">
        <v>12</v>
      </c>
      <c r="J380">
        <v>7</v>
      </c>
      <c r="K380">
        <v>3</v>
      </c>
      <c r="L380">
        <v>4</v>
      </c>
      <c r="M380">
        <v>2</v>
      </c>
      <c r="N380">
        <v>0</v>
      </c>
    </row>
    <row r="381" spans="1:14" x14ac:dyDescent="0.45">
      <c r="A381" t="s">
        <v>66</v>
      </c>
      <c r="B381" t="s">
        <v>651</v>
      </c>
      <c r="C381" t="s">
        <v>19</v>
      </c>
      <c r="D381" t="s">
        <v>369</v>
      </c>
      <c r="E381">
        <v>4</v>
      </c>
      <c r="F381">
        <v>0</v>
      </c>
      <c r="G381">
        <v>56</v>
      </c>
      <c r="H381">
        <v>1</v>
      </c>
      <c r="I381">
        <v>14</v>
      </c>
      <c r="J381">
        <v>5</v>
      </c>
      <c r="K381">
        <v>4</v>
      </c>
      <c r="L381">
        <v>4</v>
      </c>
      <c r="M381">
        <v>2</v>
      </c>
      <c r="N381">
        <v>1</v>
      </c>
    </row>
    <row r="382" spans="1:14" x14ac:dyDescent="0.45">
      <c r="A382" t="s">
        <v>66</v>
      </c>
      <c r="B382" t="s">
        <v>651</v>
      </c>
      <c r="C382" t="s">
        <v>19</v>
      </c>
      <c r="D382" t="s">
        <v>435</v>
      </c>
      <c r="E382">
        <v>4</v>
      </c>
      <c r="F382">
        <v>0</v>
      </c>
      <c r="G382">
        <v>32</v>
      </c>
      <c r="H382">
        <v>0</v>
      </c>
      <c r="I382">
        <v>8</v>
      </c>
      <c r="J382">
        <v>8</v>
      </c>
      <c r="K382">
        <v>0</v>
      </c>
      <c r="L382">
        <v>3</v>
      </c>
      <c r="M382">
        <v>1</v>
      </c>
      <c r="N382">
        <v>0</v>
      </c>
    </row>
    <row r="383" spans="1:14" x14ac:dyDescent="0.45">
      <c r="A383" t="s">
        <v>66</v>
      </c>
      <c r="B383" t="s">
        <v>651</v>
      </c>
      <c r="C383" t="s">
        <v>19</v>
      </c>
      <c r="D383" t="s">
        <v>365</v>
      </c>
      <c r="E383">
        <v>2</v>
      </c>
      <c r="F383">
        <v>0</v>
      </c>
      <c r="G383">
        <v>26</v>
      </c>
      <c r="H383">
        <v>0</v>
      </c>
      <c r="I383">
        <v>13</v>
      </c>
      <c r="J383">
        <v>3</v>
      </c>
      <c r="K383">
        <v>2</v>
      </c>
      <c r="L383">
        <v>2</v>
      </c>
      <c r="M383">
        <v>0</v>
      </c>
      <c r="N383">
        <v>0</v>
      </c>
    </row>
    <row r="384" spans="1:14" x14ac:dyDescent="0.45">
      <c r="A384" t="s">
        <v>66</v>
      </c>
      <c r="B384" t="s">
        <v>651</v>
      </c>
      <c r="C384" t="s">
        <v>19</v>
      </c>
      <c r="D384" t="s">
        <v>362</v>
      </c>
      <c r="E384">
        <v>2</v>
      </c>
      <c r="F384">
        <v>0</v>
      </c>
      <c r="G384">
        <v>12</v>
      </c>
      <c r="H384">
        <v>2</v>
      </c>
      <c r="I384">
        <v>6</v>
      </c>
      <c r="J384">
        <v>4</v>
      </c>
      <c r="K384">
        <v>1</v>
      </c>
      <c r="L384">
        <v>0</v>
      </c>
      <c r="M384">
        <v>1</v>
      </c>
      <c r="N384">
        <v>0</v>
      </c>
    </row>
    <row r="385" spans="1:14" x14ac:dyDescent="0.45">
      <c r="A385" t="s">
        <v>66</v>
      </c>
      <c r="B385" t="s">
        <v>651</v>
      </c>
      <c r="C385" t="s">
        <v>6</v>
      </c>
      <c r="D385" t="s">
        <v>324</v>
      </c>
      <c r="E385">
        <v>4</v>
      </c>
      <c r="F385">
        <v>0</v>
      </c>
      <c r="G385">
        <v>37</v>
      </c>
      <c r="H385">
        <v>0</v>
      </c>
      <c r="I385">
        <v>9.25</v>
      </c>
      <c r="J385">
        <v>8</v>
      </c>
      <c r="K385">
        <v>4</v>
      </c>
      <c r="L385">
        <v>1</v>
      </c>
      <c r="M385">
        <v>2</v>
      </c>
      <c r="N385">
        <v>0</v>
      </c>
    </row>
    <row r="386" spans="1:14" x14ac:dyDescent="0.45">
      <c r="A386" t="s">
        <v>66</v>
      </c>
      <c r="B386" t="s">
        <v>651</v>
      </c>
      <c r="C386" t="s">
        <v>6</v>
      </c>
      <c r="D386" t="s">
        <v>420</v>
      </c>
      <c r="E386">
        <v>4</v>
      </c>
      <c r="F386">
        <v>0</v>
      </c>
      <c r="G386">
        <v>34</v>
      </c>
      <c r="H386">
        <v>3</v>
      </c>
      <c r="I386">
        <v>8.5</v>
      </c>
      <c r="J386">
        <v>11</v>
      </c>
      <c r="K386">
        <v>3</v>
      </c>
      <c r="L386">
        <v>2</v>
      </c>
      <c r="M386">
        <v>1</v>
      </c>
      <c r="N386">
        <v>0</v>
      </c>
    </row>
    <row r="387" spans="1:14" x14ac:dyDescent="0.45">
      <c r="A387" t="s">
        <v>66</v>
      </c>
      <c r="B387" t="s">
        <v>651</v>
      </c>
      <c r="C387" t="s">
        <v>6</v>
      </c>
      <c r="D387" t="s">
        <v>462</v>
      </c>
      <c r="E387">
        <v>4</v>
      </c>
      <c r="F387">
        <v>0</v>
      </c>
      <c r="G387">
        <v>62</v>
      </c>
      <c r="H387">
        <v>0</v>
      </c>
      <c r="I387">
        <v>15.5</v>
      </c>
      <c r="J387">
        <v>3</v>
      </c>
      <c r="K387">
        <v>5</v>
      </c>
      <c r="L387">
        <v>5</v>
      </c>
      <c r="M387">
        <v>0</v>
      </c>
      <c r="N387">
        <v>0</v>
      </c>
    </row>
    <row r="388" spans="1:14" x14ac:dyDescent="0.45">
      <c r="A388" t="s">
        <v>66</v>
      </c>
      <c r="B388" t="s">
        <v>651</v>
      </c>
      <c r="C388" t="s">
        <v>6</v>
      </c>
      <c r="D388" t="s">
        <v>326</v>
      </c>
      <c r="E388">
        <v>4</v>
      </c>
      <c r="F388">
        <v>0</v>
      </c>
      <c r="G388">
        <v>56</v>
      </c>
      <c r="H388">
        <v>1</v>
      </c>
      <c r="I388">
        <v>14</v>
      </c>
      <c r="J388">
        <v>4</v>
      </c>
      <c r="K388">
        <v>4</v>
      </c>
      <c r="L388">
        <v>3</v>
      </c>
      <c r="M388">
        <v>5</v>
      </c>
      <c r="N388">
        <v>0</v>
      </c>
    </row>
    <row r="389" spans="1:14" x14ac:dyDescent="0.45">
      <c r="A389" t="s">
        <v>66</v>
      </c>
      <c r="B389" t="s">
        <v>651</v>
      </c>
      <c r="C389" t="s">
        <v>6</v>
      </c>
      <c r="D389" t="s">
        <v>328</v>
      </c>
      <c r="E389">
        <v>3</v>
      </c>
      <c r="F389">
        <v>0</v>
      </c>
      <c r="G389">
        <v>29</v>
      </c>
      <c r="H389">
        <v>1</v>
      </c>
      <c r="I389">
        <v>9.66</v>
      </c>
      <c r="J389">
        <v>5</v>
      </c>
      <c r="K389">
        <v>0</v>
      </c>
      <c r="L389">
        <v>3</v>
      </c>
      <c r="M389">
        <v>0</v>
      </c>
      <c r="N389">
        <v>0</v>
      </c>
    </row>
    <row r="390" spans="1:14" x14ac:dyDescent="0.45">
      <c r="A390" t="s">
        <v>66</v>
      </c>
      <c r="B390" t="s">
        <v>651</v>
      </c>
      <c r="C390" t="s">
        <v>6</v>
      </c>
      <c r="D390" t="s">
        <v>299</v>
      </c>
      <c r="E390">
        <v>1</v>
      </c>
      <c r="F390">
        <v>0</v>
      </c>
      <c r="G390">
        <v>1</v>
      </c>
      <c r="H390">
        <v>1</v>
      </c>
      <c r="I390">
        <v>1</v>
      </c>
      <c r="J390">
        <v>5</v>
      </c>
      <c r="K390">
        <v>0</v>
      </c>
      <c r="L390">
        <v>0</v>
      </c>
      <c r="M390">
        <v>0</v>
      </c>
      <c r="N390">
        <v>0</v>
      </c>
    </row>
    <row r="391" spans="1:14" x14ac:dyDescent="0.45">
      <c r="A391" t="s">
        <v>68</v>
      </c>
      <c r="B391" t="s">
        <v>653</v>
      </c>
      <c r="C391" t="s">
        <v>13</v>
      </c>
      <c r="D391" t="s">
        <v>464</v>
      </c>
      <c r="E391">
        <v>4</v>
      </c>
      <c r="F391">
        <v>0</v>
      </c>
      <c r="G391">
        <v>24</v>
      </c>
      <c r="H391">
        <v>1</v>
      </c>
      <c r="I391">
        <v>6</v>
      </c>
      <c r="J391">
        <v>11</v>
      </c>
      <c r="K391">
        <v>1</v>
      </c>
      <c r="L391">
        <v>1</v>
      </c>
      <c r="M391">
        <v>2</v>
      </c>
      <c r="N391">
        <v>0</v>
      </c>
    </row>
    <row r="392" spans="1:14" x14ac:dyDescent="0.45">
      <c r="A392" t="s">
        <v>68</v>
      </c>
      <c r="B392" t="s">
        <v>653</v>
      </c>
      <c r="C392" t="s">
        <v>13</v>
      </c>
      <c r="D392" t="s">
        <v>352</v>
      </c>
      <c r="E392">
        <v>3</v>
      </c>
      <c r="F392">
        <v>0</v>
      </c>
      <c r="G392">
        <v>24</v>
      </c>
      <c r="H392">
        <v>0</v>
      </c>
      <c r="I392">
        <v>8</v>
      </c>
      <c r="J392">
        <v>7</v>
      </c>
      <c r="K392">
        <v>2</v>
      </c>
      <c r="L392">
        <v>1</v>
      </c>
      <c r="M392">
        <v>1</v>
      </c>
      <c r="N392">
        <v>0</v>
      </c>
    </row>
    <row r="393" spans="1:14" x14ac:dyDescent="0.45">
      <c r="A393" t="s">
        <v>68</v>
      </c>
      <c r="B393" t="s">
        <v>653</v>
      </c>
      <c r="C393" t="s">
        <v>13</v>
      </c>
      <c r="D393" t="s">
        <v>438</v>
      </c>
      <c r="E393">
        <v>3</v>
      </c>
      <c r="F393">
        <v>0</v>
      </c>
      <c r="G393">
        <v>32</v>
      </c>
      <c r="H393">
        <v>2</v>
      </c>
      <c r="I393">
        <v>10.66</v>
      </c>
      <c r="J393">
        <v>7</v>
      </c>
      <c r="K393">
        <v>5</v>
      </c>
      <c r="L393">
        <v>1</v>
      </c>
      <c r="M393">
        <v>1</v>
      </c>
      <c r="N393">
        <v>0</v>
      </c>
    </row>
    <row r="394" spans="1:14" x14ac:dyDescent="0.45">
      <c r="A394" t="s">
        <v>68</v>
      </c>
      <c r="B394" t="s">
        <v>653</v>
      </c>
      <c r="C394" t="s">
        <v>13</v>
      </c>
      <c r="D394" t="s">
        <v>353</v>
      </c>
      <c r="E394">
        <v>4</v>
      </c>
      <c r="F394">
        <v>0</v>
      </c>
      <c r="G394">
        <v>34</v>
      </c>
      <c r="H394">
        <v>1</v>
      </c>
      <c r="I394">
        <v>8.5</v>
      </c>
      <c r="J394">
        <v>9</v>
      </c>
      <c r="K394">
        <v>1</v>
      </c>
      <c r="L394">
        <v>3</v>
      </c>
      <c r="M394">
        <v>0</v>
      </c>
      <c r="N394">
        <v>0</v>
      </c>
    </row>
    <row r="395" spans="1:14" x14ac:dyDescent="0.45">
      <c r="A395" t="s">
        <v>68</v>
      </c>
      <c r="B395" t="s">
        <v>653</v>
      </c>
      <c r="C395" t="s">
        <v>13</v>
      </c>
      <c r="D395" t="s">
        <v>349</v>
      </c>
      <c r="E395">
        <v>4</v>
      </c>
      <c r="F395">
        <v>0</v>
      </c>
      <c r="G395">
        <v>53</v>
      </c>
      <c r="H395">
        <v>0</v>
      </c>
      <c r="I395">
        <v>13.25</v>
      </c>
      <c r="J395">
        <v>5</v>
      </c>
      <c r="K395">
        <v>6</v>
      </c>
      <c r="L395">
        <v>3</v>
      </c>
      <c r="M395">
        <v>0</v>
      </c>
      <c r="N395">
        <v>0</v>
      </c>
    </row>
    <row r="396" spans="1:14" x14ac:dyDescent="0.45">
      <c r="A396" t="s">
        <v>68</v>
      </c>
      <c r="B396" t="s">
        <v>653</v>
      </c>
      <c r="C396" t="s">
        <v>13</v>
      </c>
      <c r="D396" t="s">
        <v>347</v>
      </c>
      <c r="E396">
        <v>2</v>
      </c>
      <c r="F396">
        <v>0</v>
      </c>
      <c r="G396">
        <v>11</v>
      </c>
      <c r="H396">
        <v>1</v>
      </c>
      <c r="I396">
        <v>5.5</v>
      </c>
      <c r="J396">
        <v>2</v>
      </c>
      <c r="K396">
        <v>0</v>
      </c>
      <c r="L396">
        <v>0</v>
      </c>
      <c r="M396">
        <v>0</v>
      </c>
      <c r="N396">
        <v>0</v>
      </c>
    </row>
    <row r="397" spans="1:14" x14ac:dyDescent="0.45">
      <c r="A397" t="s">
        <v>68</v>
      </c>
      <c r="B397" t="s">
        <v>653</v>
      </c>
      <c r="C397" t="s">
        <v>26</v>
      </c>
      <c r="D397" t="s">
        <v>457</v>
      </c>
      <c r="E397">
        <v>3.2</v>
      </c>
      <c r="F397">
        <v>0</v>
      </c>
      <c r="G397">
        <v>29</v>
      </c>
      <c r="H397">
        <v>1</v>
      </c>
      <c r="I397">
        <v>8.6999999999999993</v>
      </c>
      <c r="J397">
        <v>7</v>
      </c>
      <c r="K397">
        <v>2</v>
      </c>
      <c r="L397">
        <v>2</v>
      </c>
      <c r="M397">
        <v>0</v>
      </c>
      <c r="N397">
        <v>0</v>
      </c>
    </row>
    <row r="398" spans="1:14" x14ac:dyDescent="0.45">
      <c r="A398" t="s">
        <v>68</v>
      </c>
      <c r="B398" t="s">
        <v>653</v>
      </c>
      <c r="C398" t="s">
        <v>26</v>
      </c>
      <c r="D398" t="s">
        <v>403</v>
      </c>
      <c r="E398">
        <v>3.4</v>
      </c>
      <c r="F398">
        <v>0</v>
      </c>
      <c r="G398">
        <v>28</v>
      </c>
      <c r="H398">
        <v>1</v>
      </c>
      <c r="I398">
        <v>7.63</v>
      </c>
      <c r="J398">
        <v>9</v>
      </c>
      <c r="K398">
        <v>3</v>
      </c>
      <c r="L398">
        <v>1</v>
      </c>
      <c r="M398">
        <v>0</v>
      </c>
      <c r="N398">
        <v>0</v>
      </c>
    </row>
    <row r="399" spans="1:14" x14ac:dyDescent="0.45">
      <c r="A399" t="s">
        <v>68</v>
      </c>
      <c r="B399" t="s">
        <v>653</v>
      </c>
      <c r="C399" t="s">
        <v>26</v>
      </c>
      <c r="D399" t="s">
        <v>407</v>
      </c>
      <c r="E399">
        <v>4</v>
      </c>
      <c r="F399">
        <v>0</v>
      </c>
      <c r="G399">
        <v>17</v>
      </c>
      <c r="H399">
        <v>2</v>
      </c>
      <c r="I399">
        <v>4.25</v>
      </c>
      <c r="J399">
        <v>10</v>
      </c>
      <c r="K399">
        <v>0</v>
      </c>
      <c r="L399">
        <v>0</v>
      </c>
      <c r="M399">
        <v>1</v>
      </c>
      <c r="N399">
        <v>0</v>
      </c>
    </row>
    <row r="400" spans="1:14" x14ac:dyDescent="0.45">
      <c r="A400" t="s">
        <v>68</v>
      </c>
      <c r="B400" t="s">
        <v>653</v>
      </c>
      <c r="C400" t="s">
        <v>26</v>
      </c>
      <c r="D400" t="s">
        <v>404</v>
      </c>
      <c r="E400">
        <v>4</v>
      </c>
      <c r="F400">
        <v>1</v>
      </c>
      <c r="G400">
        <v>19</v>
      </c>
      <c r="H400">
        <v>3</v>
      </c>
      <c r="I400">
        <v>4.75</v>
      </c>
      <c r="J400">
        <v>15</v>
      </c>
      <c r="K400">
        <v>1</v>
      </c>
      <c r="L400">
        <v>1</v>
      </c>
      <c r="M400">
        <v>0</v>
      </c>
      <c r="N400">
        <v>0</v>
      </c>
    </row>
    <row r="401" spans="1:14" x14ac:dyDescent="0.45">
      <c r="A401" t="s">
        <v>68</v>
      </c>
      <c r="B401" t="s">
        <v>653</v>
      </c>
      <c r="C401" t="s">
        <v>26</v>
      </c>
      <c r="D401" t="s">
        <v>406</v>
      </c>
      <c r="E401">
        <v>4</v>
      </c>
      <c r="F401">
        <v>0</v>
      </c>
      <c r="G401">
        <v>31</v>
      </c>
      <c r="H401">
        <v>1</v>
      </c>
      <c r="I401">
        <v>7.75</v>
      </c>
      <c r="J401">
        <v>9</v>
      </c>
      <c r="K401">
        <v>3</v>
      </c>
      <c r="L401">
        <v>1</v>
      </c>
      <c r="M401">
        <v>1</v>
      </c>
      <c r="N401">
        <v>0</v>
      </c>
    </row>
    <row r="402" spans="1:14" x14ac:dyDescent="0.45">
      <c r="A402" t="s">
        <v>68</v>
      </c>
      <c r="B402" t="s">
        <v>653</v>
      </c>
      <c r="C402" t="s">
        <v>26</v>
      </c>
      <c r="D402" t="s">
        <v>426</v>
      </c>
      <c r="E402">
        <v>1</v>
      </c>
      <c r="F402">
        <v>0</v>
      </c>
      <c r="G402">
        <v>13</v>
      </c>
      <c r="H402">
        <v>0</v>
      </c>
      <c r="I402">
        <v>13</v>
      </c>
      <c r="J402">
        <v>1</v>
      </c>
      <c r="K402">
        <v>1</v>
      </c>
      <c r="L402">
        <v>1</v>
      </c>
      <c r="M402">
        <v>0</v>
      </c>
      <c r="N402">
        <v>0</v>
      </c>
    </row>
    <row r="403" spans="1:14" x14ac:dyDescent="0.45">
      <c r="A403" t="s">
        <v>69</v>
      </c>
      <c r="B403" t="s">
        <v>654</v>
      </c>
      <c r="C403" t="s">
        <v>10</v>
      </c>
      <c r="D403" t="s">
        <v>456</v>
      </c>
      <c r="E403">
        <v>4</v>
      </c>
      <c r="F403">
        <v>0</v>
      </c>
      <c r="G403">
        <v>34</v>
      </c>
      <c r="H403">
        <v>0</v>
      </c>
      <c r="I403">
        <v>8.5</v>
      </c>
      <c r="J403">
        <v>6</v>
      </c>
      <c r="K403">
        <v>3</v>
      </c>
      <c r="L403">
        <v>1</v>
      </c>
      <c r="M403">
        <v>0</v>
      </c>
      <c r="N403">
        <v>0</v>
      </c>
    </row>
    <row r="404" spans="1:14" x14ac:dyDescent="0.45">
      <c r="A404" t="s">
        <v>69</v>
      </c>
      <c r="B404" t="s">
        <v>654</v>
      </c>
      <c r="C404" t="s">
        <v>10</v>
      </c>
      <c r="D404" t="s">
        <v>341</v>
      </c>
      <c r="E404">
        <v>4</v>
      </c>
      <c r="F404">
        <v>0</v>
      </c>
      <c r="G404">
        <v>31</v>
      </c>
      <c r="H404">
        <v>0</v>
      </c>
      <c r="I404">
        <v>7.75</v>
      </c>
      <c r="J404">
        <v>10</v>
      </c>
      <c r="K404">
        <v>2</v>
      </c>
      <c r="L404">
        <v>2</v>
      </c>
      <c r="M404">
        <v>1</v>
      </c>
      <c r="N404">
        <v>0</v>
      </c>
    </row>
    <row r="405" spans="1:14" x14ac:dyDescent="0.45">
      <c r="A405" t="s">
        <v>69</v>
      </c>
      <c r="B405" t="s">
        <v>654</v>
      </c>
      <c r="C405" t="s">
        <v>10</v>
      </c>
      <c r="D405" t="s">
        <v>337</v>
      </c>
      <c r="E405">
        <v>4</v>
      </c>
      <c r="F405">
        <v>0</v>
      </c>
      <c r="G405">
        <v>32</v>
      </c>
      <c r="H405">
        <v>2</v>
      </c>
      <c r="I405">
        <v>8</v>
      </c>
      <c r="J405">
        <v>11</v>
      </c>
      <c r="K405">
        <v>1</v>
      </c>
      <c r="L405">
        <v>3</v>
      </c>
      <c r="M405">
        <v>0</v>
      </c>
      <c r="N405">
        <v>0</v>
      </c>
    </row>
    <row r="406" spans="1:14" x14ac:dyDescent="0.45">
      <c r="A406" t="s">
        <v>69</v>
      </c>
      <c r="B406" t="s">
        <v>654</v>
      </c>
      <c r="C406" t="s">
        <v>10</v>
      </c>
      <c r="D406" t="s">
        <v>340</v>
      </c>
      <c r="E406">
        <v>4</v>
      </c>
      <c r="F406">
        <v>0</v>
      </c>
      <c r="G406">
        <v>31</v>
      </c>
      <c r="H406">
        <v>1</v>
      </c>
      <c r="I406">
        <v>7.75</v>
      </c>
      <c r="J406">
        <v>8</v>
      </c>
      <c r="K406">
        <v>3</v>
      </c>
      <c r="L406">
        <v>1</v>
      </c>
      <c r="M406">
        <v>0</v>
      </c>
      <c r="N406">
        <v>0</v>
      </c>
    </row>
    <row r="407" spans="1:14" x14ac:dyDescent="0.45">
      <c r="A407" t="s">
        <v>69</v>
      </c>
      <c r="B407" t="s">
        <v>654</v>
      </c>
      <c r="C407" t="s">
        <v>10</v>
      </c>
      <c r="D407" t="s">
        <v>436</v>
      </c>
      <c r="E407">
        <v>3</v>
      </c>
      <c r="F407">
        <v>0</v>
      </c>
      <c r="G407">
        <v>13</v>
      </c>
      <c r="H407">
        <v>2</v>
      </c>
      <c r="I407">
        <v>4.33</v>
      </c>
      <c r="J407">
        <v>6</v>
      </c>
      <c r="K407">
        <v>0</v>
      </c>
      <c r="L407">
        <v>0</v>
      </c>
      <c r="M407">
        <v>0</v>
      </c>
      <c r="N407">
        <v>0</v>
      </c>
    </row>
    <row r="408" spans="1:14" x14ac:dyDescent="0.45">
      <c r="A408" t="s">
        <v>69</v>
      </c>
      <c r="B408" t="s">
        <v>654</v>
      </c>
      <c r="C408" t="s">
        <v>10</v>
      </c>
      <c r="D408" t="s">
        <v>331</v>
      </c>
      <c r="E408">
        <v>1</v>
      </c>
      <c r="F408">
        <v>0</v>
      </c>
      <c r="G408">
        <v>7</v>
      </c>
      <c r="H408">
        <v>1</v>
      </c>
      <c r="I408">
        <v>7</v>
      </c>
      <c r="J408">
        <v>3</v>
      </c>
      <c r="K408">
        <v>1</v>
      </c>
      <c r="L408">
        <v>0</v>
      </c>
      <c r="M408">
        <v>0</v>
      </c>
      <c r="N408">
        <v>0</v>
      </c>
    </row>
    <row r="409" spans="1:14" x14ac:dyDescent="0.45">
      <c r="A409" t="s">
        <v>69</v>
      </c>
      <c r="B409" t="s">
        <v>654</v>
      </c>
      <c r="C409" t="s">
        <v>7</v>
      </c>
      <c r="D409" t="s">
        <v>320</v>
      </c>
      <c r="E409">
        <v>1</v>
      </c>
      <c r="F409">
        <v>0</v>
      </c>
      <c r="G409">
        <v>25</v>
      </c>
      <c r="H409">
        <v>0</v>
      </c>
      <c r="I409">
        <v>25</v>
      </c>
      <c r="J409">
        <v>0</v>
      </c>
      <c r="K409">
        <v>6</v>
      </c>
      <c r="L409">
        <v>0</v>
      </c>
      <c r="M409">
        <v>1</v>
      </c>
      <c r="N409">
        <v>0</v>
      </c>
    </row>
    <row r="410" spans="1:14" x14ac:dyDescent="0.45">
      <c r="A410" t="s">
        <v>69</v>
      </c>
      <c r="B410" t="s">
        <v>654</v>
      </c>
      <c r="C410" t="s">
        <v>7</v>
      </c>
      <c r="D410" t="s">
        <v>322</v>
      </c>
      <c r="E410">
        <v>4</v>
      </c>
      <c r="F410">
        <v>0</v>
      </c>
      <c r="G410">
        <v>34</v>
      </c>
      <c r="H410">
        <v>0</v>
      </c>
      <c r="I410">
        <v>8.5</v>
      </c>
      <c r="J410">
        <v>5</v>
      </c>
      <c r="K410">
        <v>2</v>
      </c>
      <c r="L410">
        <v>1</v>
      </c>
      <c r="M410">
        <v>2</v>
      </c>
      <c r="N410">
        <v>0</v>
      </c>
    </row>
    <row r="411" spans="1:14" x14ac:dyDescent="0.45">
      <c r="A411" t="s">
        <v>69</v>
      </c>
      <c r="B411" t="s">
        <v>654</v>
      </c>
      <c r="C411" t="s">
        <v>7</v>
      </c>
      <c r="D411" t="s">
        <v>441</v>
      </c>
      <c r="E411">
        <v>3.3</v>
      </c>
      <c r="F411">
        <v>0</v>
      </c>
      <c r="G411">
        <v>36</v>
      </c>
      <c r="H411">
        <v>0</v>
      </c>
      <c r="I411">
        <v>10.28</v>
      </c>
      <c r="J411">
        <v>10</v>
      </c>
      <c r="K411">
        <v>5</v>
      </c>
      <c r="L411">
        <v>1</v>
      </c>
      <c r="M411">
        <v>0</v>
      </c>
      <c r="N411">
        <v>1</v>
      </c>
    </row>
    <row r="412" spans="1:14" x14ac:dyDescent="0.45">
      <c r="A412" t="s">
        <v>69</v>
      </c>
      <c r="B412" t="s">
        <v>654</v>
      </c>
      <c r="C412" t="s">
        <v>7</v>
      </c>
      <c r="D412" t="s">
        <v>308</v>
      </c>
      <c r="E412">
        <v>4</v>
      </c>
      <c r="F412">
        <v>0</v>
      </c>
      <c r="G412">
        <v>36</v>
      </c>
      <c r="H412">
        <v>0</v>
      </c>
      <c r="I412">
        <v>9</v>
      </c>
      <c r="J412">
        <v>6</v>
      </c>
      <c r="K412">
        <v>2</v>
      </c>
      <c r="L412">
        <v>2</v>
      </c>
      <c r="M412">
        <v>1</v>
      </c>
      <c r="N412">
        <v>0</v>
      </c>
    </row>
    <row r="413" spans="1:14" x14ac:dyDescent="0.45">
      <c r="A413" t="s">
        <v>69</v>
      </c>
      <c r="B413" t="s">
        <v>654</v>
      </c>
      <c r="C413" t="s">
        <v>7</v>
      </c>
      <c r="D413" t="s">
        <v>465</v>
      </c>
      <c r="E413">
        <v>4</v>
      </c>
      <c r="F413">
        <v>0</v>
      </c>
      <c r="G413">
        <v>24</v>
      </c>
      <c r="H413">
        <v>3</v>
      </c>
      <c r="I413">
        <v>6</v>
      </c>
      <c r="J413">
        <v>15</v>
      </c>
      <c r="K413">
        <v>3</v>
      </c>
      <c r="L413">
        <v>1</v>
      </c>
      <c r="M413">
        <v>0</v>
      </c>
      <c r="N413">
        <v>0</v>
      </c>
    </row>
    <row r="414" spans="1:14" x14ac:dyDescent="0.45">
      <c r="A414" t="s">
        <v>70</v>
      </c>
      <c r="B414" t="s">
        <v>632</v>
      </c>
      <c r="C414" t="s">
        <v>19</v>
      </c>
      <c r="D414" t="s">
        <v>370</v>
      </c>
      <c r="E414">
        <v>4</v>
      </c>
      <c r="F414">
        <v>0</v>
      </c>
      <c r="G414">
        <v>37</v>
      </c>
      <c r="H414">
        <v>1</v>
      </c>
      <c r="I414">
        <v>9.25</v>
      </c>
      <c r="J414">
        <v>7</v>
      </c>
      <c r="K414">
        <v>4</v>
      </c>
      <c r="L414">
        <v>1</v>
      </c>
      <c r="M414">
        <v>0</v>
      </c>
      <c r="N414">
        <v>0</v>
      </c>
    </row>
    <row r="415" spans="1:14" x14ac:dyDescent="0.45">
      <c r="A415" t="s">
        <v>70</v>
      </c>
      <c r="B415" t="s">
        <v>632</v>
      </c>
      <c r="C415" t="s">
        <v>19</v>
      </c>
      <c r="D415" t="s">
        <v>369</v>
      </c>
      <c r="E415">
        <v>4</v>
      </c>
      <c r="F415">
        <v>0</v>
      </c>
      <c r="G415">
        <v>15</v>
      </c>
      <c r="H415">
        <v>1</v>
      </c>
      <c r="I415">
        <v>3.75</v>
      </c>
      <c r="J415">
        <v>12</v>
      </c>
      <c r="K415">
        <v>1</v>
      </c>
      <c r="L415">
        <v>0</v>
      </c>
      <c r="M415">
        <v>0</v>
      </c>
      <c r="N415">
        <v>0</v>
      </c>
    </row>
    <row r="416" spans="1:14" x14ac:dyDescent="0.45">
      <c r="A416" t="s">
        <v>70</v>
      </c>
      <c r="B416" t="s">
        <v>632</v>
      </c>
      <c r="C416" t="s">
        <v>19</v>
      </c>
      <c r="D416" t="s">
        <v>414</v>
      </c>
      <c r="E416">
        <v>3</v>
      </c>
      <c r="F416">
        <v>0</v>
      </c>
      <c r="G416">
        <v>37</v>
      </c>
      <c r="H416">
        <v>0</v>
      </c>
      <c r="I416">
        <v>12.33</v>
      </c>
      <c r="J416">
        <v>3</v>
      </c>
      <c r="K416">
        <v>1</v>
      </c>
      <c r="L416">
        <v>3</v>
      </c>
      <c r="M416">
        <v>3</v>
      </c>
      <c r="N416">
        <v>0</v>
      </c>
    </row>
    <row r="417" spans="1:14" x14ac:dyDescent="0.45">
      <c r="A417" t="s">
        <v>70</v>
      </c>
      <c r="B417" t="s">
        <v>632</v>
      </c>
      <c r="C417" t="s">
        <v>19</v>
      </c>
      <c r="D417" t="s">
        <v>367</v>
      </c>
      <c r="E417">
        <v>4</v>
      </c>
      <c r="F417">
        <v>0</v>
      </c>
      <c r="G417">
        <v>35</v>
      </c>
      <c r="H417">
        <v>0</v>
      </c>
      <c r="I417">
        <v>8.75</v>
      </c>
      <c r="J417">
        <v>8</v>
      </c>
      <c r="K417">
        <v>4</v>
      </c>
      <c r="L417">
        <v>1</v>
      </c>
      <c r="M417">
        <v>0</v>
      </c>
      <c r="N417">
        <v>1</v>
      </c>
    </row>
    <row r="418" spans="1:14" x14ac:dyDescent="0.45">
      <c r="A418" t="s">
        <v>70</v>
      </c>
      <c r="B418" t="s">
        <v>632</v>
      </c>
      <c r="C418" t="s">
        <v>19</v>
      </c>
      <c r="D418" t="s">
        <v>435</v>
      </c>
      <c r="E418">
        <v>4</v>
      </c>
      <c r="F418">
        <v>0</v>
      </c>
      <c r="G418">
        <v>33</v>
      </c>
      <c r="H418">
        <v>2</v>
      </c>
      <c r="I418">
        <v>8.25</v>
      </c>
      <c r="J418">
        <v>7</v>
      </c>
      <c r="K418">
        <v>2</v>
      </c>
      <c r="L418">
        <v>2</v>
      </c>
      <c r="M418">
        <v>0</v>
      </c>
      <c r="N418">
        <v>0</v>
      </c>
    </row>
    <row r="419" spans="1:14" x14ac:dyDescent="0.45">
      <c r="A419" t="s">
        <v>70</v>
      </c>
      <c r="B419" t="s">
        <v>632</v>
      </c>
      <c r="C419" t="s">
        <v>19</v>
      </c>
      <c r="D419" t="s">
        <v>366</v>
      </c>
      <c r="E419">
        <v>1</v>
      </c>
      <c r="F419">
        <v>0</v>
      </c>
      <c r="G419">
        <v>12</v>
      </c>
      <c r="H419">
        <v>0</v>
      </c>
      <c r="I419">
        <v>12</v>
      </c>
      <c r="J419">
        <v>0</v>
      </c>
      <c r="K419">
        <v>2</v>
      </c>
      <c r="L419">
        <v>0</v>
      </c>
      <c r="M419">
        <v>0</v>
      </c>
      <c r="N419">
        <v>0</v>
      </c>
    </row>
    <row r="420" spans="1:14" x14ac:dyDescent="0.45">
      <c r="A420" t="s">
        <v>70</v>
      </c>
      <c r="B420" t="s">
        <v>632</v>
      </c>
      <c r="C420" t="s">
        <v>23</v>
      </c>
      <c r="D420" t="s">
        <v>394</v>
      </c>
      <c r="E420">
        <v>3</v>
      </c>
      <c r="F420">
        <v>0</v>
      </c>
      <c r="G420">
        <v>18</v>
      </c>
      <c r="H420">
        <v>0</v>
      </c>
      <c r="I420">
        <v>6</v>
      </c>
      <c r="J420">
        <v>6</v>
      </c>
      <c r="K420">
        <v>1</v>
      </c>
      <c r="L420">
        <v>0</v>
      </c>
      <c r="M420">
        <v>0</v>
      </c>
      <c r="N420">
        <v>0</v>
      </c>
    </row>
    <row r="421" spans="1:14" x14ac:dyDescent="0.45">
      <c r="A421" t="s">
        <v>70</v>
      </c>
      <c r="B421" t="s">
        <v>632</v>
      </c>
      <c r="C421" t="s">
        <v>23</v>
      </c>
      <c r="D421" t="s">
        <v>392</v>
      </c>
      <c r="E421">
        <v>4</v>
      </c>
      <c r="F421">
        <v>0</v>
      </c>
      <c r="G421">
        <v>33</v>
      </c>
      <c r="H421">
        <v>0</v>
      </c>
      <c r="I421">
        <v>8.25</v>
      </c>
      <c r="J421">
        <v>7</v>
      </c>
      <c r="K421">
        <v>3</v>
      </c>
      <c r="L421">
        <v>1</v>
      </c>
      <c r="M421">
        <v>0</v>
      </c>
      <c r="N421">
        <v>0</v>
      </c>
    </row>
    <row r="422" spans="1:14" x14ac:dyDescent="0.45">
      <c r="A422" t="s">
        <v>70</v>
      </c>
      <c r="B422" t="s">
        <v>632</v>
      </c>
      <c r="C422" t="s">
        <v>23</v>
      </c>
      <c r="D422" t="s">
        <v>396</v>
      </c>
      <c r="E422">
        <v>3.3</v>
      </c>
      <c r="F422">
        <v>0</v>
      </c>
      <c r="G422">
        <v>37</v>
      </c>
      <c r="H422">
        <v>1</v>
      </c>
      <c r="I422">
        <v>10.57</v>
      </c>
      <c r="J422">
        <v>6</v>
      </c>
      <c r="K422">
        <v>4</v>
      </c>
      <c r="L422">
        <v>2</v>
      </c>
      <c r="M422">
        <v>0</v>
      </c>
      <c r="N422">
        <v>0</v>
      </c>
    </row>
    <row r="423" spans="1:14" x14ac:dyDescent="0.45">
      <c r="A423" t="s">
        <v>70</v>
      </c>
      <c r="B423" t="s">
        <v>632</v>
      </c>
      <c r="C423" t="s">
        <v>23</v>
      </c>
      <c r="D423" t="s">
        <v>391</v>
      </c>
      <c r="E423">
        <v>4</v>
      </c>
      <c r="F423">
        <v>0</v>
      </c>
      <c r="G423">
        <v>33</v>
      </c>
      <c r="H423">
        <v>2</v>
      </c>
      <c r="I423">
        <v>8.25</v>
      </c>
      <c r="J423">
        <v>9</v>
      </c>
      <c r="K423">
        <v>2</v>
      </c>
      <c r="L423">
        <v>2</v>
      </c>
      <c r="M423">
        <v>0</v>
      </c>
      <c r="N423">
        <v>0</v>
      </c>
    </row>
    <row r="424" spans="1:14" x14ac:dyDescent="0.45">
      <c r="A424" t="s">
        <v>70</v>
      </c>
      <c r="B424" t="s">
        <v>632</v>
      </c>
      <c r="C424" t="s">
        <v>23</v>
      </c>
      <c r="D424" t="s">
        <v>390</v>
      </c>
      <c r="E424">
        <v>3</v>
      </c>
      <c r="F424">
        <v>0</v>
      </c>
      <c r="G424">
        <v>30</v>
      </c>
      <c r="H424">
        <v>0</v>
      </c>
      <c r="I424">
        <v>10</v>
      </c>
      <c r="J424">
        <v>4</v>
      </c>
      <c r="K424">
        <v>3</v>
      </c>
      <c r="L424">
        <v>1</v>
      </c>
      <c r="M424">
        <v>1</v>
      </c>
      <c r="N424">
        <v>0</v>
      </c>
    </row>
    <row r="425" spans="1:14" x14ac:dyDescent="0.45">
      <c r="A425" t="s">
        <v>70</v>
      </c>
      <c r="B425" t="s">
        <v>632</v>
      </c>
      <c r="C425" t="s">
        <v>23</v>
      </c>
      <c r="D425" t="s">
        <v>387</v>
      </c>
      <c r="E425">
        <v>1</v>
      </c>
      <c r="F425">
        <v>0</v>
      </c>
      <c r="G425">
        <v>6</v>
      </c>
      <c r="H425">
        <v>0</v>
      </c>
      <c r="I425">
        <v>6</v>
      </c>
      <c r="J425">
        <v>3</v>
      </c>
      <c r="K425">
        <v>0</v>
      </c>
      <c r="L425">
        <v>0</v>
      </c>
      <c r="M425">
        <v>1</v>
      </c>
      <c r="N425">
        <v>0</v>
      </c>
    </row>
    <row r="426" spans="1:14" x14ac:dyDescent="0.45">
      <c r="A426" t="s">
        <v>71</v>
      </c>
      <c r="B426" t="s">
        <v>639</v>
      </c>
      <c r="C426" t="s">
        <v>6</v>
      </c>
      <c r="D426" t="s">
        <v>324</v>
      </c>
      <c r="E426">
        <v>3</v>
      </c>
      <c r="F426">
        <v>0</v>
      </c>
      <c r="G426">
        <v>21</v>
      </c>
      <c r="H426">
        <v>0</v>
      </c>
      <c r="I426">
        <v>7</v>
      </c>
      <c r="J426">
        <v>7</v>
      </c>
      <c r="K426">
        <v>3</v>
      </c>
      <c r="L426">
        <v>0</v>
      </c>
      <c r="M426">
        <v>1</v>
      </c>
      <c r="N426">
        <v>0</v>
      </c>
    </row>
    <row r="427" spans="1:14" x14ac:dyDescent="0.45">
      <c r="A427" t="s">
        <v>71</v>
      </c>
      <c r="B427" t="s">
        <v>639</v>
      </c>
      <c r="C427" t="s">
        <v>6</v>
      </c>
      <c r="D427" t="s">
        <v>420</v>
      </c>
      <c r="E427">
        <v>4</v>
      </c>
      <c r="F427">
        <v>0</v>
      </c>
      <c r="G427">
        <v>30</v>
      </c>
      <c r="H427">
        <v>1</v>
      </c>
      <c r="I427">
        <v>7.5</v>
      </c>
      <c r="J427">
        <v>9</v>
      </c>
      <c r="K427">
        <v>2</v>
      </c>
      <c r="L427">
        <v>1</v>
      </c>
      <c r="M427">
        <v>1</v>
      </c>
      <c r="N427">
        <v>0</v>
      </c>
    </row>
    <row r="428" spans="1:14" x14ac:dyDescent="0.45">
      <c r="A428" t="s">
        <v>71</v>
      </c>
      <c r="B428" t="s">
        <v>639</v>
      </c>
      <c r="C428" t="s">
        <v>6</v>
      </c>
      <c r="D428" t="s">
        <v>326</v>
      </c>
      <c r="E428">
        <v>4</v>
      </c>
      <c r="F428">
        <v>0</v>
      </c>
      <c r="G428">
        <v>44</v>
      </c>
      <c r="H428">
        <v>0</v>
      </c>
      <c r="I428">
        <v>11</v>
      </c>
      <c r="J428">
        <v>4</v>
      </c>
      <c r="K428">
        <v>5</v>
      </c>
      <c r="L428">
        <v>1</v>
      </c>
      <c r="M428">
        <v>1</v>
      </c>
      <c r="N428">
        <v>0</v>
      </c>
    </row>
    <row r="429" spans="1:14" x14ac:dyDescent="0.45">
      <c r="A429" t="s">
        <v>71</v>
      </c>
      <c r="B429" t="s">
        <v>639</v>
      </c>
      <c r="C429" t="s">
        <v>6</v>
      </c>
      <c r="D429" t="s">
        <v>299</v>
      </c>
      <c r="E429">
        <v>2</v>
      </c>
      <c r="F429">
        <v>0</v>
      </c>
      <c r="G429">
        <v>16</v>
      </c>
      <c r="H429">
        <v>0</v>
      </c>
      <c r="I429">
        <v>8</v>
      </c>
      <c r="J429">
        <v>3</v>
      </c>
      <c r="K429">
        <v>0</v>
      </c>
      <c r="L429">
        <v>1</v>
      </c>
      <c r="M429">
        <v>0</v>
      </c>
      <c r="N429">
        <v>0</v>
      </c>
    </row>
    <row r="430" spans="1:14" x14ac:dyDescent="0.45">
      <c r="A430" t="s">
        <v>71</v>
      </c>
      <c r="B430" t="s">
        <v>639</v>
      </c>
      <c r="C430" t="s">
        <v>6</v>
      </c>
      <c r="D430" t="s">
        <v>462</v>
      </c>
      <c r="E430">
        <v>4</v>
      </c>
      <c r="F430">
        <v>0</v>
      </c>
      <c r="G430">
        <v>35</v>
      </c>
      <c r="H430">
        <v>2</v>
      </c>
      <c r="I430">
        <v>8.75</v>
      </c>
      <c r="J430">
        <v>7</v>
      </c>
      <c r="K430">
        <v>3</v>
      </c>
      <c r="L430">
        <v>1</v>
      </c>
      <c r="M430">
        <v>2</v>
      </c>
      <c r="N430">
        <v>0</v>
      </c>
    </row>
    <row r="431" spans="1:14" x14ac:dyDescent="0.45">
      <c r="A431" t="s">
        <v>71</v>
      </c>
      <c r="B431" t="s">
        <v>639</v>
      </c>
      <c r="C431" t="s">
        <v>6</v>
      </c>
      <c r="D431" t="s">
        <v>328</v>
      </c>
      <c r="E431">
        <v>3</v>
      </c>
      <c r="F431">
        <v>0</v>
      </c>
      <c r="G431">
        <v>23</v>
      </c>
      <c r="H431">
        <v>0</v>
      </c>
      <c r="I431">
        <v>7.66</v>
      </c>
      <c r="J431">
        <v>6</v>
      </c>
      <c r="K431">
        <v>1</v>
      </c>
      <c r="L431">
        <v>1</v>
      </c>
      <c r="M431">
        <v>1</v>
      </c>
      <c r="N431">
        <v>0</v>
      </c>
    </row>
    <row r="432" spans="1:14" x14ac:dyDescent="0.45">
      <c r="A432" t="s">
        <v>71</v>
      </c>
      <c r="B432" t="s">
        <v>639</v>
      </c>
      <c r="C432" t="s">
        <v>20</v>
      </c>
      <c r="D432" t="s">
        <v>429</v>
      </c>
      <c r="E432">
        <v>3.3</v>
      </c>
      <c r="F432">
        <v>0</v>
      </c>
      <c r="G432">
        <v>24</v>
      </c>
      <c r="H432">
        <v>0</v>
      </c>
      <c r="I432">
        <v>6.85</v>
      </c>
      <c r="J432">
        <v>8</v>
      </c>
      <c r="K432">
        <v>3</v>
      </c>
      <c r="L432">
        <v>0</v>
      </c>
      <c r="M432">
        <v>1</v>
      </c>
      <c r="N432">
        <v>0</v>
      </c>
    </row>
    <row r="433" spans="1:14" x14ac:dyDescent="0.45">
      <c r="A433" t="s">
        <v>71</v>
      </c>
      <c r="B433" t="s">
        <v>639</v>
      </c>
      <c r="C433" t="s">
        <v>20</v>
      </c>
      <c r="D433" t="s">
        <v>444</v>
      </c>
      <c r="E433">
        <v>4</v>
      </c>
      <c r="F433">
        <v>0</v>
      </c>
      <c r="G433">
        <v>36</v>
      </c>
      <c r="H433">
        <v>0</v>
      </c>
      <c r="I433">
        <v>9</v>
      </c>
      <c r="J433">
        <v>7</v>
      </c>
      <c r="K433">
        <v>5</v>
      </c>
      <c r="L433">
        <v>0</v>
      </c>
      <c r="M433">
        <v>1</v>
      </c>
      <c r="N433">
        <v>0</v>
      </c>
    </row>
    <row r="434" spans="1:14" x14ac:dyDescent="0.45">
      <c r="A434" t="s">
        <v>71</v>
      </c>
      <c r="B434" t="s">
        <v>639</v>
      </c>
      <c r="C434" t="s">
        <v>20</v>
      </c>
      <c r="D434" t="s">
        <v>381</v>
      </c>
      <c r="E434">
        <v>4</v>
      </c>
      <c r="F434">
        <v>0</v>
      </c>
      <c r="G434">
        <v>32</v>
      </c>
      <c r="H434">
        <v>0</v>
      </c>
      <c r="I434">
        <v>8</v>
      </c>
      <c r="J434">
        <v>8</v>
      </c>
      <c r="K434">
        <v>4</v>
      </c>
      <c r="L434">
        <v>0</v>
      </c>
      <c r="M434">
        <v>0</v>
      </c>
      <c r="N434">
        <v>0</v>
      </c>
    </row>
    <row r="435" spans="1:14" x14ac:dyDescent="0.45">
      <c r="A435" t="s">
        <v>71</v>
      </c>
      <c r="B435" t="s">
        <v>639</v>
      </c>
      <c r="C435" t="s">
        <v>20</v>
      </c>
      <c r="D435" t="s">
        <v>466</v>
      </c>
      <c r="E435">
        <v>3</v>
      </c>
      <c r="F435">
        <v>0</v>
      </c>
      <c r="G435">
        <v>45</v>
      </c>
      <c r="H435">
        <v>0</v>
      </c>
      <c r="I435">
        <v>15</v>
      </c>
      <c r="J435">
        <v>2</v>
      </c>
      <c r="K435">
        <v>7</v>
      </c>
      <c r="L435">
        <v>1</v>
      </c>
      <c r="M435">
        <v>0</v>
      </c>
      <c r="N435">
        <v>0</v>
      </c>
    </row>
    <row r="436" spans="1:14" x14ac:dyDescent="0.45">
      <c r="A436" t="s">
        <v>71</v>
      </c>
      <c r="B436" t="s">
        <v>639</v>
      </c>
      <c r="C436" t="s">
        <v>20</v>
      </c>
      <c r="D436" t="s">
        <v>379</v>
      </c>
      <c r="E436">
        <v>4</v>
      </c>
      <c r="F436">
        <v>0</v>
      </c>
      <c r="G436">
        <v>36</v>
      </c>
      <c r="H436">
        <v>3</v>
      </c>
      <c r="I436">
        <v>9</v>
      </c>
      <c r="J436">
        <v>7</v>
      </c>
      <c r="K436">
        <v>6</v>
      </c>
      <c r="L436">
        <v>0</v>
      </c>
      <c r="M436">
        <v>1</v>
      </c>
      <c r="N436">
        <v>0</v>
      </c>
    </row>
    <row r="437" spans="1:14" x14ac:dyDescent="0.45">
      <c r="A437" t="s">
        <v>73</v>
      </c>
      <c r="B437" t="s">
        <v>655</v>
      </c>
      <c r="C437" t="s">
        <v>10</v>
      </c>
      <c r="D437" t="s">
        <v>456</v>
      </c>
      <c r="E437">
        <v>4</v>
      </c>
      <c r="F437">
        <v>1</v>
      </c>
      <c r="G437">
        <v>26</v>
      </c>
      <c r="H437">
        <v>1</v>
      </c>
      <c r="I437">
        <v>6.5</v>
      </c>
      <c r="J437">
        <v>11</v>
      </c>
      <c r="K437">
        <v>2</v>
      </c>
      <c r="L437">
        <v>1</v>
      </c>
      <c r="M437">
        <v>0</v>
      </c>
      <c r="N437">
        <v>0</v>
      </c>
    </row>
    <row r="438" spans="1:14" x14ac:dyDescent="0.45">
      <c r="A438" t="s">
        <v>73</v>
      </c>
      <c r="B438" t="s">
        <v>655</v>
      </c>
      <c r="C438" t="s">
        <v>10</v>
      </c>
      <c r="D438" t="s">
        <v>341</v>
      </c>
      <c r="E438">
        <v>4</v>
      </c>
      <c r="F438">
        <v>0</v>
      </c>
      <c r="G438">
        <v>38</v>
      </c>
      <c r="H438">
        <v>1</v>
      </c>
      <c r="I438">
        <v>9.5</v>
      </c>
      <c r="J438">
        <v>6</v>
      </c>
      <c r="K438">
        <v>4</v>
      </c>
      <c r="L438">
        <v>1</v>
      </c>
      <c r="M438">
        <v>0</v>
      </c>
      <c r="N438">
        <v>0</v>
      </c>
    </row>
    <row r="439" spans="1:14" x14ac:dyDescent="0.45">
      <c r="A439" t="s">
        <v>73</v>
      </c>
      <c r="B439" t="s">
        <v>655</v>
      </c>
      <c r="C439" t="s">
        <v>10</v>
      </c>
      <c r="D439" t="s">
        <v>340</v>
      </c>
      <c r="E439">
        <v>4</v>
      </c>
      <c r="F439">
        <v>0</v>
      </c>
      <c r="G439">
        <v>24</v>
      </c>
      <c r="H439">
        <v>1</v>
      </c>
      <c r="I439">
        <v>6</v>
      </c>
      <c r="J439">
        <v>11</v>
      </c>
      <c r="K439">
        <v>3</v>
      </c>
      <c r="L439">
        <v>0</v>
      </c>
      <c r="M439">
        <v>1</v>
      </c>
      <c r="N439">
        <v>0</v>
      </c>
    </row>
    <row r="440" spans="1:14" x14ac:dyDescent="0.45">
      <c r="A440" t="s">
        <v>73</v>
      </c>
      <c r="B440" t="s">
        <v>655</v>
      </c>
      <c r="C440" t="s">
        <v>10</v>
      </c>
      <c r="D440" t="s">
        <v>468</v>
      </c>
      <c r="E440">
        <v>3</v>
      </c>
      <c r="F440">
        <v>0</v>
      </c>
      <c r="G440">
        <v>27</v>
      </c>
      <c r="H440">
        <v>1</v>
      </c>
      <c r="I440">
        <v>9</v>
      </c>
      <c r="J440">
        <v>2</v>
      </c>
      <c r="K440">
        <v>0</v>
      </c>
      <c r="L440">
        <v>2</v>
      </c>
      <c r="M440">
        <v>0</v>
      </c>
      <c r="N440">
        <v>0</v>
      </c>
    </row>
    <row r="441" spans="1:14" x14ac:dyDescent="0.45">
      <c r="A441" t="s">
        <v>73</v>
      </c>
      <c r="B441" t="s">
        <v>655</v>
      </c>
      <c r="C441" t="s">
        <v>10</v>
      </c>
      <c r="D441" t="s">
        <v>337</v>
      </c>
      <c r="E441">
        <v>4</v>
      </c>
      <c r="F441">
        <v>0</v>
      </c>
      <c r="G441">
        <v>33</v>
      </c>
      <c r="H441">
        <v>1</v>
      </c>
      <c r="I441">
        <v>8.25</v>
      </c>
      <c r="J441">
        <v>5</v>
      </c>
      <c r="K441">
        <v>0</v>
      </c>
      <c r="L441">
        <v>2</v>
      </c>
      <c r="M441">
        <v>0</v>
      </c>
      <c r="N441">
        <v>0</v>
      </c>
    </row>
    <row r="442" spans="1:14" x14ac:dyDescent="0.45">
      <c r="A442" t="s">
        <v>73</v>
      </c>
      <c r="B442" t="s">
        <v>655</v>
      </c>
      <c r="C442" t="s">
        <v>10</v>
      </c>
      <c r="D442" t="s">
        <v>331</v>
      </c>
      <c r="E442">
        <v>1</v>
      </c>
      <c r="F442">
        <v>0</v>
      </c>
      <c r="G442">
        <v>23</v>
      </c>
      <c r="H442">
        <v>0</v>
      </c>
      <c r="I442">
        <v>23</v>
      </c>
      <c r="J442">
        <v>1</v>
      </c>
      <c r="K442">
        <v>0</v>
      </c>
      <c r="L442">
        <v>3</v>
      </c>
      <c r="M442">
        <v>1</v>
      </c>
      <c r="N442">
        <v>0</v>
      </c>
    </row>
    <row r="443" spans="1:14" x14ac:dyDescent="0.45">
      <c r="A443" t="s">
        <v>73</v>
      </c>
      <c r="B443" t="s">
        <v>655</v>
      </c>
      <c r="C443" t="s">
        <v>13</v>
      </c>
      <c r="D443" t="s">
        <v>464</v>
      </c>
      <c r="E443">
        <v>2</v>
      </c>
      <c r="F443">
        <v>0</v>
      </c>
      <c r="G443">
        <v>15</v>
      </c>
      <c r="H443">
        <v>0</v>
      </c>
      <c r="I443">
        <v>7.5</v>
      </c>
      <c r="J443">
        <v>4</v>
      </c>
      <c r="K443">
        <v>2</v>
      </c>
      <c r="L443">
        <v>0</v>
      </c>
      <c r="M443">
        <v>0</v>
      </c>
      <c r="N443">
        <v>0</v>
      </c>
    </row>
    <row r="444" spans="1:14" x14ac:dyDescent="0.45">
      <c r="A444" t="s">
        <v>73</v>
      </c>
      <c r="B444" t="s">
        <v>655</v>
      </c>
      <c r="C444" t="s">
        <v>13</v>
      </c>
      <c r="D444" t="s">
        <v>352</v>
      </c>
      <c r="E444">
        <v>4</v>
      </c>
      <c r="F444">
        <v>0</v>
      </c>
      <c r="G444">
        <v>44</v>
      </c>
      <c r="H444">
        <v>1</v>
      </c>
      <c r="I444">
        <v>11</v>
      </c>
      <c r="J444">
        <v>5</v>
      </c>
      <c r="K444">
        <v>6</v>
      </c>
      <c r="L444">
        <v>1</v>
      </c>
      <c r="M444">
        <v>0</v>
      </c>
      <c r="N444">
        <v>0</v>
      </c>
    </row>
    <row r="445" spans="1:14" x14ac:dyDescent="0.45">
      <c r="A445" t="s">
        <v>73</v>
      </c>
      <c r="B445" t="s">
        <v>655</v>
      </c>
      <c r="C445" t="s">
        <v>13</v>
      </c>
      <c r="D445" t="s">
        <v>438</v>
      </c>
      <c r="E445">
        <v>4</v>
      </c>
      <c r="F445">
        <v>0</v>
      </c>
      <c r="G445">
        <v>32</v>
      </c>
      <c r="H445">
        <v>1</v>
      </c>
      <c r="I445">
        <v>8</v>
      </c>
      <c r="J445">
        <v>11</v>
      </c>
      <c r="K445">
        <v>1</v>
      </c>
      <c r="L445">
        <v>3</v>
      </c>
      <c r="M445">
        <v>0</v>
      </c>
      <c r="N445">
        <v>0</v>
      </c>
    </row>
    <row r="446" spans="1:14" x14ac:dyDescent="0.45">
      <c r="A446" t="s">
        <v>73</v>
      </c>
      <c r="B446" t="s">
        <v>655</v>
      </c>
      <c r="C446" t="s">
        <v>13</v>
      </c>
      <c r="D446" t="s">
        <v>467</v>
      </c>
      <c r="E446">
        <v>4</v>
      </c>
      <c r="F446">
        <v>0</v>
      </c>
      <c r="G446">
        <v>28</v>
      </c>
      <c r="H446">
        <v>0</v>
      </c>
      <c r="I446">
        <v>7</v>
      </c>
      <c r="J446">
        <v>5</v>
      </c>
      <c r="K446">
        <v>2</v>
      </c>
      <c r="L446">
        <v>0</v>
      </c>
      <c r="M446">
        <v>0</v>
      </c>
      <c r="N446">
        <v>0</v>
      </c>
    </row>
    <row r="447" spans="1:14" x14ac:dyDescent="0.45">
      <c r="A447" t="s">
        <v>73</v>
      </c>
      <c r="B447" t="s">
        <v>655</v>
      </c>
      <c r="C447" t="s">
        <v>13</v>
      </c>
      <c r="D447" t="s">
        <v>349</v>
      </c>
      <c r="E447">
        <v>4</v>
      </c>
      <c r="F447">
        <v>0</v>
      </c>
      <c r="G447">
        <v>37</v>
      </c>
      <c r="H447">
        <v>2</v>
      </c>
      <c r="I447">
        <v>9.25</v>
      </c>
      <c r="J447">
        <v>5</v>
      </c>
      <c r="K447">
        <v>4</v>
      </c>
      <c r="L447">
        <v>0</v>
      </c>
      <c r="M447">
        <v>2</v>
      </c>
      <c r="N447">
        <v>0</v>
      </c>
    </row>
    <row r="448" spans="1:14" x14ac:dyDescent="0.45">
      <c r="A448" t="s">
        <v>73</v>
      </c>
      <c r="B448" t="s">
        <v>655</v>
      </c>
      <c r="C448" t="s">
        <v>13</v>
      </c>
      <c r="D448" t="s">
        <v>353</v>
      </c>
      <c r="E448">
        <v>2</v>
      </c>
      <c r="F448">
        <v>0</v>
      </c>
      <c r="G448">
        <v>10</v>
      </c>
      <c r="H448">
        <v>0</v>
      </c>
      <c r="I448">
        <v>5</v>
      </c>
      <c r="J448">
        <v>5</v>
      </c>
      <c r="K448">
        <v>1</v>
      </c>
      <c r="L448">
        <v>0</v>
      </c>
      <c r="M448">
        <v>0</v>
      </c>
      <c r="N448">
        <v>0</v>
      </c>
    </row>
    <row r="449" spans="1:14" x14ac:dyDescent="0.45">
      <c r="A449" t="s">
        <v>74</v>
      </c>
      <c r="B449" t="s">
        <v>656</v>
      </c>
      <c r="C449" t="s">
        <v>7</v>
      </c>
      <c r="D449" t="s">
        <v>320</v>
      </c>
      <c r="E449">
        <v>4</v>
      </c>
      <c r="F449">
        <v>0</v>
      </c>
      <c r="G449">
        <v>13</v>
      </c>
      <c r="H449">
        <v>1</v>
      </c>
      <c r="I449">
        <v>3.25</v>
      </c>
      <c r="J449">
        <v>15</v>
      </c>
      <c r="K449">
        <v>1</v>
      </c>
      <c r="L449">
        <v>0</v>
      </c>
      <c r="M449">
        <v>1</v>
      </c>
      <c r="N449">
        <v>0</v>
      </c>
    </row>
    <row r="450" spans="1:14" x14ac:dyDescent="0.45">
      <c r="A450" t="s">
        <v>74</v>
      </c>
      <c r="B450" t="s">
        <v>656</v>
      </c>
      <c r="C450" t="s">
        <v>7</v>
      </c>
      <c r="D450" t="s">
        <v>465</v>
      </c>
      <c r="E450">
        <v>3</v>
      </c>
      <c r="F450">
        <v>0</v>
      </c>
      <c r="G450">
        <v>31</v>
      </c>
      <c r="H450">
        <v>2</v>
      </c>
      <c r="I450">
        <v>10.33</v>
      </c>
      <c r="J450">
        <v>9</v>
      </c>
      <c r="K450">
        <v>2</v>
      </c>
      <c r="L450">
        <v>3</v>
      </c>
      <c r="M450">
        <v>1</v>
      </c>
      <c r="N450">
        <v>0</v>
      </c>
    </row>
    <row r="451" spans="1:14" x14ac:dyDescent="0.45">
      <c r="A451" t="s">
        <v>74</v>
      </c>
      <c r="B451" t="s">
        <v>656</v>
      </c>
      <c r="C451" t="s">
        <v>7</v>
      </c>
      <c r="D451" t="s">
        <v>308</v>
      </c>
      <c r="E451">
        <v>4</v>
      </c>
      <c r="F451">
        <v>0</v>
      </c>
      <c r="G451">
        <v>22</v>
      </c>
      <c r="H451">
        <v>2</v>
      </c>
      <c r="I451">
        <v>5.5</v>
      </c>
      <c r="J451">
        <v>10</v>
      </c>
      <c r="K451">
        <v>1</v>
      </c>
      <c r="L451">
        <v>1</v>
      </c>
      <c r="M451">
        <v>0</v>
      </c>
      <c r="N451">
        <v>0</v>
      </c>
    </row>
    <row r="452" spans="1:14" x14ac:dyDescent="0.45">
      <c r="A452" t="s">
        <v>74</v>
      </c>
      <c r="B452" t="s">
        <v>656</v>
      </c>
      <c r="C452" t="s">
        <v>7</v>
      </c>
      <c r="D452" t="s">
        <v>441</v>
      </c>
      <c r="E452">
        <v>4</v>
      </c>
      <c r="F452">
        <v>0</v>
      </c>
      <c r="G452">
        <v>30</v>
      </c>
      <c r="H452">
        <v>3</v>
      </c>
      <c r="I452">
        <v>7.5</v>
      </c>
      <c r="J452">
        <v>12</v>
      </c>
      <c r="K452">
        <v>0</v>
      </c>
      <c r="L452">
        <v>3</v>
      </c>
      <c r="M452">
        <v>2</v>
      </c>
      <c r="N452">
        <v>0</v>
      </c>
    </row>
    <row r="453" spans="1:14" x14ac:dyDescent="0.45">
      <c r="A453" t="s">
        <v>74</v>
      </c>
      <c r="B453" t="s">
        <v>656</v>
      </c>
      <c r="C453" t="s">
        <v>7</v>
      </c>
      <c r="D453" t="s">
        <v>440</v>
      </c>
      <c r="E453">
        <v>1</v>
      </c>
      <c r="F453">
        <v>0</v>
      </c>
      <c r="G453">
        <v>2</v>
      </c>
      <c r="H453">
        <v>0</v>
      </c>
      <c r="I453">
        <v>2</v>
      </c>
      <c r="J453">
        <v>4</v>
      </c>
      <c r="K453">
        <v>0</v>
      </c>
      <c r="L453">
        <v>0</v>
      </c>
      <c r="M453">
        <v>0</v>
      </c>
      <c r="N453">
        <v>0</v>
      </c>
    </row>
    <row r="454" spans="1:14" x14ac:dyDescent="0.45">
      <c r="A454" t="s">
        <v>74</v>
      </c>
      <c r="B454" t="s">
        <v>656</v>
      </c>
      <c r="C454" t="s">
        <v>7</v>
      </c>
      <c r="D454" t="s">
        <v>322</v>
      </c>
      <c r="E454">
        <v>4</v>
      </c>
      <c r="F454">
        <v>0</v>
      </c>
      <c r="G454">
        <v>24</v>
      </c>
      <c r="H454">
        <v>1</v>
      </c>
      <c r="I454">
        <v>6</v>
      </c>
      <c r="J454">
        <v>10</v>
      </c>
      <c r="K454">
        <v>1</v>
      </c>
      <c r="L454">
        <v>1</v>
      </c>
      <c r="M454">
        <v>0</v>
      </c>
      <c r="N454">
        <v>0</v>
      </c>
    </row>
    <row r="455" spans="1:14" x14ac:dyDescent="0.45">
      <c r="A455" t="s">
        <v>74</v>
      </c>
      <c r="B455" t="s">
        <v>656</v>
      </c>
      <c r="C455" t="s">
        <v>26</v>
      </c>
      <c r="D455" t="s">
        <v>402</v>
      </c>
      <c r="E455">
        <v>1</v>
      </c>
      <c r="F455">
        <v>0</v>
      </c>
      <c r="G455">
        <v>5</v>
      </c>
      <c r="H455">
        <v>1</v>
      </c>
      <c r="I455">
        <v>5</v>
      </c>
      <c r="J455">
        <v>4</v>
      </c>
      <c r="K455">
        <v>1</v>
      </c>
      <c r="L455">
        <v>0</v>
      </c>
      <c r="M455">
        <v>0</v>
      </c>
      <c r="N455">
        <v>0</v>
      </c>
    </row>
    <row r="456" spans="1:14" x14ac:dyDescent="0.45">
      <c r="A456" t="s">
        <v>74</v>
      </c>
      <c r="B456" t="s">
        <v>656</v>
      </c>
      <c r="C456" t="s">
        <v>26</v>
      </c>
      <c r="D456" t="s">
        <v>403</v>
      </c>
      <c r="E456">
        <v>4</v>
      </c>
      <c r="F456">
        <v>0</v>
      </c>
      <c r="G456">
        <v>25</v>
      </c>
      <c r="H456">
        <v>1</v>
      </c>
      <c r="I456">
        <v>6.25</v>
      </c>
      <c r="J456">
        <v>17</v>
      </c>
      <c r="K456">
        <v>4</v>
      </c>
      <c r="L456">
        <v>1</v>
      </c>
      <c r="M456">
        <v>1</v>
      </c>
      <c r="N456">
        <v>0</v>
      </c>
    </row>
    <row r="457" spans="1:14" x14ac:dyDescent="0.45">
      <c r="A457" t="s">
        <v>74</v>
      </c>
      <c r="B457" t="s">
        <v>656</v>
      </c>
      <c r="C457" t="s">
        <v>26</v>
      </c>
      <c r="D457" t="s">
        <v>405</v>
      </c>
      <c r="E457">
        <v>2.4</v>
      </c>
      <c r="F457">
        <v>0</v>
      </c>
      <c r="G457">
        <v>27</v>
      </c>
      <c r="H457">
        <v>1</v>
      </c>
      <c r="I457">
        <v>10.119999999999999</v>
      </c>
      <c r="J457">
        <v>5</v>
      </c>
      <c r="K457">
        <v>5</v>
      </c>
      <c r="L457">
        <v>0</v>
      </c>
      <c r="M457">
        <v>0</v>
      </c>
      <c r="N457">
        <v>0</v>
      </c>
    </row>
    <row r="458" spans="1:14" x14ac:dyDescent="0.45">
      <c r="A458" t="s">
        <v>74</v>
      </c>
      <c r="B458" t="s">
        <v>656</v>
      </c>
      <c r="C458" t="s">
        <v>26</v>
      </c>
      <c r="D458" t="s">
        <v>407</v>
      </c>
      <c r="E458">
        <v>4</v>
      </c>
      <c r="F458">
        <v>0</v>
      </c>
      <c r="G458">
        <v>19</v>
      </c>
      <c r="H458">
        <v>0</v>
      </c>
      <c r="I458">
        <v>4.75</v>
      </c>
      <c r="J458">
        <v>9</v>
      </c>
      <c r="K458">
        <v>1</v>
      </c>
      <c r="L458">
        <v>0</v>
      </c>
      <c r="M458">
        <v>0</v>
      </c>
      <c r="N458">
        <v>0</v>
      </c>
    </row>
    <row r="459" spans="1:14" x14ac:dyDescent="0.45">
      <c r="A459" t="s">
        <v>74</v>
      </c>
      <c r="B459" t="s">
        <v>656</v>
      </c>
      <c r="C459" t="s">
        <v>26</v>
      </c>
      <c r="D459" t="s">
        <v>406</v>
      </c>
      <c r="E459">
        <v>3</v>
      </c>
      <c r="F459">
        <v>0</v>
      </c>
      <c r="G459">
        <v>24</v>
      </c>
      <c r="H459">
        <v>0</v>
      </c>
      <c r="I459">
        <v>8</v>
      </c>
      <c r="J459">
        <v>8</v>
      </c>
      <c r="K459">
        <v>4</v>
      </c>
      <c r="L459">
        <v>0</v>
      </c>
      <c r="M459">
        <v>0</v>
      </c>
      <c r="N459">
        <v>0</v>
      </c>
    </row>
    <row r="460" spans="1:14" x14ac:dyDescent="0.45">
      <c r="A460" t="s">
        <v>74</v>
      </c>
      <c r="B460" t="s">
        <v>656</v>
      </c>
      <c r="C460" t="s">
        <v>26</v>
      </c>
      <c r="D460" t="s">
        <v>426</v>
      </c>
      <c r="E460">
        <v>2</v>
      </c>
      <c r="F460">
        <v>0</v>
      </c>
      <c r="G460">
        <v>20</v>
      </c>
      <c r="H460">
        <v>1</v>
      </c>
      <c r="I460">
        <v>10</v>
      </c>
      <c r="J460">
        <v>3</v>
      </c>
      <c r="K460">
        <v>2</v>
      </c>
      <c r="L460">
        <v>1</v>
      </c>
      <c r="M460">
        <v>0</v>
      </c>
      <c r="N460">
        <v>0</v>
      </c>
    </row>
    <row r="461" spans="1:14" x14ac:dyDescent="0.45">
      <c r="A461" t="s">
        <v>76</v>
      </c>
      <c r="B461" t="s">
        <v>657</v>
      </c>
      <c r="C461" t="s">
        <v>13</v>
      </c>
      <c r="D461" t="s">
        <v>352</v>
      </c>
      <c r="E461">
        <v>4</v>
      </c>
      <c r="F461">
        <v>0</v>
      </c>
      <c r="G461">
        <v>32</v>
      </c>
      <c r="H461">
        <v>0</v>
      </c>
      <c r="I461">
        <v>8</v>
      </c>
      <c r="J461">
        <v>9</v>
      </c>
      <c r="K461">
        <v>3</v>
      </c>
      <c r="L461">
        <v>1</v>
      </c>
      <c r="M461">
        <v>0</v>
      </c>
      <c r="N461">
        <v>0</v>
      </c>
    </row>
    <row r="462" spans="1:14" x14ac:dyDescent="0.45">
      <c r="A462" t="s">
        <v>76</v>
      </c>
      <c r="B462" t="s">
        <v>657</v>
      </c>
      <c r="C462" t="s">
        <v>13</v>
      </c>
      <c r="D462" t="s">
        <v>438</v>
      </c>
      <c r="E462">
        <v>3</v>
      </c>
      <c r="F462">
        <v>0</v>
      </c>
      <c r="G462">
        <v>31</v>
      </c>
      <c r="H462">
        <v>0</v>
      </c>
      <c r="I462">
        <v>10.33</v>
      </c>
      <c r="J462">
        <v>5</v>
      </c>
      <c r="K462">
        <v>4</v>
      </c>
      <c r="L462">
        <v>1</v>
      </c>
      <c r="M462">
        <v>1</v>
      </c>
      <c r="N462">
        <v>0</v>
      </c>
    </row>
    <row r="463" spans="1:14" x14ac:dyDescent="0.45">
      <c r="A463" t="s">
        <v>76</v>
      </c>
      <c r="B463" t="s">
        <v>657</v>
      </c>
      <c r="C463" t="s">
        <v>13</v>
      </c>
      <c r="D463" t="s">
        <v>353</v>
      </c>
      <c r="E463">
        <v>3</v>
      </c>
      <c r="F463">
        <v>0</v>
      </c>
      <c r="G463">
        <v>24</v>
      </c>
      <c r="H463">
        <v>1</v>
      </c>
      <c r="I463">
        <v>8</v>
      </c>
      <c r="J463">
        <v>8</v>
      </c>
      <c r="K463">
        <v>1</v>
      </c>
      <c r="L463">
        <v>2</v>
      </c>
      <c r="M463">
        <v>0</v>
      </c>
      <c r="N463">
        <v>0</v>
      </c>
    </row>
    <row r="464" spans="1:14" x14ac:dyDescent="0.45">
      <c r="A464" t="s">
        <v>76</v>
      </c>
      <c r="B464" t="s">
        <v>657</v>
      </c>
      <c r="C464" t="s">
        <v>13</v>
      </c>
      <c r="D464" t="s">
        <v>449</v>
      </c>
      <c r="E464">
        <v>2</v>
      </c>
      <c r="F464">
        <v>0</v>
      </c>
      <c r="G464">
        <v>27</v>
      </c>
      <c r="H464">
        <v>0</v>
      </c>
      <c r="I464">
        <v>13.5</v>
      </c>
      <c r="J464">
        <v>1</v>
      </c>
      <c r="K464">
        <v>3</v>
      </c>
      <c r="L464">
        <v>1</v>
      </c>
      <c r="M464">
        <v>0</v>
      </c>
      <c r="N464">
        <v>1</v>
      </c>
    </row>
    <row r="465" spans="1:14" x14ac:dyDescent="0.45">
      <c r="A465" t="s">
        <v>76</v>
      </c>
      <c r="B465" t="s">
        <v>657</v>
      </c>
      <c r="C465" t="s">
        <v>13</v>
      </c>
      <c r="D465" t="s">
        <v>349</v>
      </c>
      <c r="E465">
        <v>4</v>
      </c>
      <c r="F465">
        <v>0</v>
      </c>
      <c r="G465">
        <v>51</v>
      </c>
      <c r="H465">
        <v>3</v>
      </c>
      <c r="I465">
        <v>12.75</v>
      </c>
      <c r="J465">
        <v>9</v>
      </c>
      <c r="K465">
        <v>2</v>
      </c>
      <c r="L465">
        <v>5</v>
      </c>
      <c r="M465">
        <v>1</v>
      </c>
      <c r="N465">
        <v>1</v>
      </c>
    </row>
    <row r="466" spans="1:14" x14ac:dyDescent="0.45">
      <c r="A466" t="s">
        <v>76</v>
      </c>
      <c r="B466" t="s">
        <v>657</v>
      </c>
      <c r="C466" t="s">
        <v>13</v>
      </c>
      <c r="D466" t="s">
        <v>348</v>
      </c>
      <c r="E466">
        <v>2</v>
      </c>
      <c r="F466">
        <v>0</v>
      </c>
      <c r="G466">
        <v>12</v>
      </c>
      <c r="H466">
        <v>0</v>
      </c>
      <c r="I466">
        <v>6</v>
      </c>
      <c r="J466">
        <v>5</v>
      </c>
      <c r="K466">
        <v>1</v>
      </c>
      <c r="L466">
        <v>0</v>
      </c>
      <c r="M466">
        <v>1</v>
      </c>
      <c r="N466">
        <v>0</v>
      </c>
    </row>
    <row r="467" spans="1:14" x14ac:dyDescent="0.45">
      <c r="A467" t="s">
        <v>76</v>
      </c>
      <c r="B467" t="s">
        <v>657</v>
      </c>
      <c r="C467" t="s">
        <v>13</v>
      </c>
      <c r="D467" t="s">
        <v>467</v>
      </c>
      <c r="E467">
        <v>2</v>
      </c>
      <c r="F467">
        <v>0</v>
      </c>
      <c r="G467">
        <v>13</v>
      </c>
      <c r="H467">
        <v>0</v>
      </c>
      <c r="I467">
        <v>6.5</v>
      </c>
      <c r="J467">
        <v>7</v>
      </c>
      <c r="K467">
        <v>1</v>
      </c>
      <c r="L467">
        <v>1</v>
      </c>
      <c r="M467">
        <v>0</v>
      </c>
      <c r="N467">
        <v>0</v>
      </c>
    </row>
    <row r="468" spans="1:14" x14ac:dyDescent="0.45">
      <c r="A468" t="s">
        <v>76</v>
      </c>
      <c r="B468" t="s">
        <v>657</v>
      </c>
      <c r="C468" t="s">
        <v>6</v>
      </c>
      <c r="D468" t="s">
        <v>324</v>
      </c>
      <c r="E468">
        <v>2</v>
      </c>
      <c r="F468">
        <v>0</v>
      </c>
      <c r="G468">
        <v>25</v>
      </c>
      <c r="H468">
        <v>0</v>
      </c>
      <c r="I468">
        <v>12.5</v>
      </c>
      <c r="J468">
        <v>4</v>
      </c>
      <c r="K468">
        <v>5</v>
      </c>
      <c r="L468">
        <v>0</v>
      </c>
      <c r="M468">
        <v>2</v>
      </c>
      <c r="N468">
        <v>0</v>
      </c>
    </row>
    <row r="469" spans="1:14" x14ac:dyDescent="0.45">
      <c r="A469" t="s">
        <v>76</v>
      </c>
      <c r="B469" t="s">
        <v>657</v>
      </c>
      <c r="C469" t="s">
        <v>6</v>
      </c>
      <c r="D469" t="s">
        <v>420</v>
      </c>
      <c r="E469">
        <v>4</v>
      </c>
      <c r="F469">
        <v>0</v>
      </c>
      <c r="G469">
        <v>35</v>
      </c>
      <c r="H469">
        <v>1</v>
      </c>
      <c r="I469">
        <v>8.75</v>
      </c>
      <c r="J469">
        <v>9</v>
      </c>
      <c r="K469">
        <v>2</v>
      </c>
      <c r="L469">
        <v>2</v>
      </c>
      <c r="M469">
        <v>1</v>
      </c>
      <c r="N469">
        <v>0</v>
      </c>
    </row>
    <row r="470" spans="1:14" x14ac:dyDescent="0.45">
      <c r="A470" t="s">
        <v>76</v>
      </c>
      <c r="B470" t="s">
        <v>657</v>
      </c>
      <c r="C470" t="s">
        <v>6</v>
      </c>
      <c r="D470" t="s">
        <v>326</v>
      </c>
      <c r="E470">
        <v>4</v>
      </c>
      <c r="F470">
        <v>0</v>
      </c>
      <c r="G470">
        <v>11</v>
      </c>
      <c r="H470">
        <v>1</v>
      </c>
      <c r="I470">
        <v>2.75</v>
      </c>
      <c r="J470">
        <v>17</v>
      </c>
      <c r="K470">
        <v>1</v>
      </c>
      <c r="L470">
        <v>0</v>
      </c>
      <c r="M470">
        <v>0</v>
      </c>
      <c r="N470">
        <v>0</v>
      </c>
    </row>
    <row r="471" spans="1:14" x14ac:dyDescent="0.45">
      <c r="A471" t="s">
        <v>76</v>
      </c>
      <c r="B471" t="s">
        <v>657</v>
      </c>
      <c r="C471" t="s">
        <v>6</v>
      </c>
      <c r="D471" t="s">
        <v>328</v>
      </c>
      <c r="E471">
        <v>4</v>
      </c>
      <c r="F471">
        <v>1</v>
      </c>
      <c r="G471">
        <v>13</v>
      </c>
      <c r="H471">
        <v>3</v>
      </c>
      <c r="I471">
        <v>3.25</v>
      </c>
      <c r="J471">
        <v>15</v>
      </c>
      <c r="K471">
        <v>1</v>
      </c>
      <c r="L471">
        <v>0</v>
      </c>
      <c r="M471">
        <v>0</v>
      </c>
      <c r="N471">
        <v>0</v>
      </c>
    </row>
    <row r="472" spans="1:14" x14ac:dyDescent="0.45">
      <c r="A472" t="s">
        <v>76</v>
      </c>
      <c r="B472" t="s">
        <v>657</v>
      </c>
      <c r="C472" t="s">
        <v>6</v>
      </c>
      <c r="D472" t="s">
        <v>469</v>
      </c>
      <c r="E472">
        <v>4</v>
      </c>
      <c r="F472">
        <v>0</v>
      </c>
      <c r="G472">
        <v>16</v>
      </c>
      <c r="H472">
        <v>2</v>
      </c>
      <c r="I472">
        <v>4</v>
      </c>
      <c r="J472">
        <v>14</v>
      </c>
      <c r="K472">
        <v>1</v>
      </c>
      <c r="L472">
        <v>0</v>
      </c>
      <c r="M472">
        <v>2</v>
      </c>
      <c r="N472">
        <v>0</v>
      </c>
    </row>
    <row r="473" spans="1:14" x14ac:dyDescent="0.45">
      <c r="A473" t="s">
        <v>76</v>
      </c>
      <c r="B473" t="s">
        <v>657</v>
      </c>
      <c r="C473" t="s">
        <v>6</v>
      </c>
      <c r="D473" t="s">
        <v>327</v>
      </c>
      <c r="E473">
        <v>2</v>
      </c>
      <c r="F473">
        <v>0</v>
      </c>
      <c r="G473">
        <v>19</v>
      </c>
      <c r="H473">
        <v>0</v>
      </c>
      <c r="I473">
        <v>9.5</v>
      </c>
      <c r="J473">
        <v>4</v>
      </c>
      <c r="K473">
        <v>0</v>
      </c>
      <c r="L473">
        <v>2</v>
      </c>
      <c r="M473">
        <v>0</v>
      </c>
      <c r="N473">
        <v>0</v>
      </c>
    </row>
    <row r="474" spans="1:14" x14ac:dyDescent="0.45">
      <c r="A474" t="s">
        <v>77</v>
      </c>
      <c r="B474" t="s">
        <v>629</v>
      </c>
      <c r="C474" t="s">
        <v>23</v>
      </c>
      <c r="D474" t="s">
        <v>392</v>
      </c>
      <c r="E474">
        <v>4</v>
      </c>
      <c r="F474">
        <v>0</v>
      </c>
      <c r="G474">
        <v>25</v>
      </c>
      <c r="H474">
        <v>1</v>
      </c>
      <c r="I474">
        <v>6.25</v>
      </c>
      <c r="J474">
        <v>11</v>
      </c>
      <c r="K474">
        <v>2</v>
      </c>
      <c r="L474">
        <v>1</v>
      </c>
      <c r="M474">
        <v>0</v>
      </c>
      <c r="N474">
        <v>0</v>
      </c>
    </row>
    <row r="475" spans="1:14" x14ac:dyDescent="0.45">
      <c r="A475" t="s">
        <v>77</v>
      </c>
      <c r="B475" t="s">
        <v>629</v>
      </c>
      <c r="C475" t="s">
        <v>23</v>
      </c>
      <c r="D475" t="s">
        <v>394</v>
      </c>
      <c r="E475">
        <v>4</v>
      </c>
      <c r="F475">
        <v>0</v>
      </c>
      <c r="G475">
        <v>31</v>
      </c>
      <c r="H475">
        <v>1</v>
      </c>
      <c r="I475">
        <v>7.75</v>
      </c>
      <c r="J475">
        <v>8</v>
      </c>
      <c r="K475">
        <v>3</v>
      </c>
      <c r="L475">
        <v>0</v>
      </c>
      <c r="M475">
        <v>4</v>
      </c>
      <c r="N475">
        <v>1</v>
      </c>
    </row>
    <row r="476" spans="1:14" x14ac:dyDescent="0.45">
      <c r="A476" t="s">
        <v>77</v>
      </c>
      <c r="B476" t="s">
        <v>629</v>
      </c>
      <c r="C476" t="s">
        <v>23</v>
      </c>
      <c r="D476" t="s">
        <v>396</v>
      </c>
      <c r="E476">
        <v>4</v>
      </c>
      <c r="F476">
        <v>0</v>
      </c>
      <c r="G476">
        <v>22</v>
      </c>
      <c r="H476">
        <v>1</v>
      </c>
      <c r="I476">
        <v>5.5</v>
      </c>
      <c r="J476">
        <v>13</v>
      </c>
      <c r="K476">
        <v>3</v>
      </c>
      <c r="L476">
        <v>0</v>
      </c>
      <c r="M476">
        <v>0</v>
      </c>
      <c r="N476">
        <v>0</v>
      </c>
    </row>
    <row r="477" spans="1:14" x14ac:dyDescent="0.45">
      <c r="A477" t="s">
        <v>77</v>
      </c>
      <c r="B477" t="s">
        <v>629</v>
      </c>
      <c r="C477" t="s">
        <v>23</v>
      </c>
      <c r="D477" t="s">
        <v>391</v>
      </c>
      <c r="E477">
        <v>4</v>
      </c>
      <c r="F477">
        <v>0</v>
      </c>
      <c r="G477">
        <v>23</v>
      </c>
      <c r="H477">
        <v>4</v>
      </c>
      <c r="I477">
        <v>5.75</v>
      </c>
      <c r="J477">
        <v>18</v>
      </c>
      <c r="K477">
        <v>0</v>
      </c>
      <c r="L477">
        <v>3</v>
      </c>
      <c r="M477">
        <v>1</v>
      </c>
      <c r="N477">
        <v>0</v>
      </c>
    </row>
    <row r="478" spans="1:14" x14ac:dyDescent="0.45">
      <c r="A478" t="s">
        <v>77</v>
      </c>
      <c r="B478" t="s">
        <v>629</v>
      </c>
      <c r="C478" t="s">
        <v>23</v>
      </c>
      <c r="D478" t="s">
        <v>390</v>
      </c>
      <c r="E478">
        <v>3</v>
      </c>
      <c r="F478">
        <v>0</v>
      </c>
      <c r="G478">
        <v>24</v>
      </c>
      <c r="H478">
        <v>0</v>
      </c>
      <c r="I478">
        <v>8</v>
      </c>
      <c r="J478">
        <v>4</v>
      </c>
      <c r="K478">
        <v>1</v>
      </c>
      <c r="L478">
        <v>1</v>
      </c>
      <c r="M478">
        <v>0</v>
      </c>
      <c r="N478">
        <v>0</v>
      </c>
    </row>
    <row r="479" spans="1:14" x14ac:dyDescent="0.45">
      <c r="A479" t="s">
        <v>77</v>
      </c>
      <c r="B479" t="s">
        <v>629</v>
      </c>
      <c r="C479" t="s">
        <v>23</v>
      </c>
      <c r="D479" t="s">
        <v>387</v>
      </c>
      <c r="E479">
        <v>1</v>
      </c>
      <c r="F479">
        <v>0</v>
      </c>
      <c r="G479">
        <v>5</v>
      </c>
      <c r="H479">
        <v>0</v>
      </c>
      <c r="I479">
        <v>5</v>
      </c>
      <c r="J479">
        <v>2</v>
      </c>
      <c r="K479">
        <v>0</v>
      </c>
      <c r="L479">
        <v>0</v>
      </c>
      <c r="M479">
        <v>0</v>
      </c>
      <c r="N479">
        <v>0</v>
      </c>
    </row>
    <row r="480" spans="1:14" x14ac:dyDescent="0.45">
      <c r="A480" t="s">
        <v>77</v>
      </c>
      <c r="B480" t="s">
        <v>629</v>
      </c>
      <c r="C480" t="s">
        <v>7</v>
      </c>
      <c r="D480" t="s">
        <v>320</v>
      </c>
      <c r="E480">
        <v>4</v>
      </c>
      <c r="F480">
        <v>0</v>
      </c>
      <c r="G480">
        <v>19</v>
      </c>
      <c r="H480">
        <v>1</v>
      </c>
      <c r="I480">
        <v>4.75</v>
      </c>
      <c r="J480">
        <v>17</v>
      </c>
      <c r="K480">
        <v>3</v>
      </c>
      <c r="L480">
        <v>0</v>
      </c>
      <c r="M480">
        <v>3</v>
      </c>
      <c r="N480">
        <v>0</v>
      </c>
    </row>
    <row r="481" spans="1:14" x14ac:dyDescent="0.45">
      <c r="A481" t="s">
        <v>77</v>
      </c>
      <c r="B481" t="s">
        <v>629</v>
      </c>
      <c r="C481" t="s">
        <v>7</v>
      </c>
      <c r="D481" t="s">
        <v>465</v>
      </c>
      <c r="E481">
        <v>3.5</v>
      </c>
      <c r="F481">
        <v>0</v>
      </c>
      <c r="G481">
        <v>36</v>
      </c>
      <c r="H481">
        <v>0</v>
      </c>
      <c r="I481">
        <v>9.39</v>
      </c>
      <c r="J481">
        <v>4</v>
      </c>
      <c r="K481">
        <v>3</v>
      </c>
      <c r="L481">
        <v>1</v>
      </c>
      <c r="M481">
        <v>1</v>
      </c>
      <c r="N481">
        <v>0</v>
      </c>
    </row>
    <row r="482" spans="1:14" x14ac:dyDescent="0.45">
      <c r="A482" t="s">
        <v>77</v>
      </c>
      <c r="B482" t="s">
        <v>629</v>
      </c>
      <c r="C482" t="s">
        <v>7</v>
      </c>
      <c r="D482" t="s">
        <v>322</v>
      </c>
      <c r="E482">
        <v>4</v>
      </c>
      <c r="F482">
        <v>0</v>
      </c>
      <c r="G482">
        <v>32</v>
      </c>
      <c r="H482">
        <v>2</v>
      </c>
      <c r="I482">
        <v>8</v>
      </c>
      <c r="J482">
        <v>8</v>
      </c>
      <c r="K482">
        <v>5</v>
      </c>
      <c r="L482">
        <v>0</v>
      </c>
      <c r="M482">
        <v>0</v>
      </c>
      <c r="N482">
        <v>0</v>
      </c>
    </row>
    <row r="483" spans="1:14" x14ac:dyDescent="0.45">
      <c r="A483" t="s">
        <v>77</v>
      </c>
      <c r="B483" t="s">
        <v>629</v>
      </c>
      <c r="C483" t="s">
        <v>7</v>
      </c>
      <c r="D483" t="s">
        <v>308</v>
      </c>
      <c r="E483">
        <v>4</v>
      </c>
      <c r="F483">
        <v>0</v>
      </c>
      <c r="G483">
        <v>20</v>
      </c>
      <c r="H483">
        <v>0</v>
      </c>
      <c r="I483">
        <v>5</v>
      </c>
      <c r="J483">
        <v>11</v>
      </c>
      <c r="K483">
        <v>0</v>
      </c>
      <c r="L483">
        <v>1</v>
      </c>
      <c r="M483">
        <v>0</v>
      </c>
      <c r="N483">
        <v>1</v>
      </c>
    </row>
    <row r="484" spans="1:14" x14ac:dyDescent="0.45">
      <c r="A484" t="s">
        <v>77</v>
      </c>
      <c r="B484" t="s">
        <v>629</v>
      </c>
      <c r="C484" t="s">
        <v>7</v>
      </c>
      <c r="D484" t="s">
        <v>441</v>
      </c>
      <c r="E484">
        <v>3</v>
      </c>
      <c r="F484">
        <v>0</v>
      </c>
      <c r="G484">
        <v>20</v>
      </c>
      <c r="H484">
        <v>1</v>
      </c>
      <c r="I484">
        <v>6.66</v>
      </c>
      <c r="J484">
        <v>8</v>
      </c>
      <c r="K484">
        <v>2</v>
      </c>
      <c r="L484">
        <v>0</v>
      </c>
      <c r="M484">
        <v>2</v>
      </c>
      <c r="N484">
        <v>0</v>
      </c>
    </row>
    <row r="485" spans="1:14" x14ac:dyDescent="0.45">
      <c r="A485" t="s">
        <v>78</v>
      </c>
      <c r="B485" t="s">
        <v>658</v>
      </c>
      <c r="C485" t="s">
        <v>26</v>
      </c>
      <c r="D485" t="s">
        <v>402</v>
      </c>
      <c r="E485">
        <v>3</v>
      </c>
      <c r="F485">
        <v>0</v>
      </c>
      <c r="G485">
        <v>12</v>
      </c>
      <c r="H485">
        <v>0</v>
      </c>
      <c r="I485">
        <v>4</v>
      </c>
      <c r="J485">
        <v>9</v>
      </c>
      <c r="K485">
        <v>1</v>
      </c>
      <c r="L485">
        <v>0</v>
      </c>
      <c r="M485">
        <v>0</v>
      </c>
      <c r="N485">
        <v>0</v>
      </c>
    </row>
    <row r="486" spans="1:14" x14ac:dyDescent="0.45">
      <c r="A486" t="s">
        <v>78</v>
      </c>
      <c r="B486" t="s">
        <v>658</v>
      </c>
      <c r="C486" t="s">
        <v>26</v>
      </c>
      <c r="D486" t="s">
        <v>426</v>
      </c>
      <c r="E486">
        <v>3</v>
      </c>
      <c r="F486">
        <v>0</v>
      </c>
      <c r="G486">
        <v>15</v>
      </c>
      <c r="H486">
        <v>1</v>
      </c>
      <c r="I486">
        <v>5</v>
      </c>
      <c r="J486">
        <v>9</v>
      </c>
      <c r="K486">
        <v>0</v>
      </c>
      <c r="L486">
        <v>1</v>
      </c>
      <c r="M486">
        <v>0</v>
      </c>
      <c r="N486">
        <v>0</v>
      </c>
    </row>
    <row r="487" spans="1:14" x14ac:dyDescent="0.45">
      <c r="A487" t="s">
        <v>78</v>
      </c>
      <c r="B487" t="s">
        <v>658</v>
      </c>
      <c r="C487" t="s">
        <v>26</v>
      </c>
      <c r="D487" t="s">
        <v>403</v>
      </c>
      <c r="E487">
        <v>4</v>
      </c>
      <c r="F487">
        <v>0</v>
      </c>
      <c r="G487">
        <v>21</v>
      </c>
      <c r="H487">
        <v>2</v>
      </c>
      <c r="I487">
        <v>5.25</v>
      </c>
      <c r="J487">
        <v>7</v>
      </c>
      <c r="K487">
        <v>1</v>
      </c>
      <c r="L487">
        <v>0</v>
      </c>
      <c r="M487">
        <v>0</v>
      </c>
      <c r="N487">
        <v>0</v>
      </c>
    </row>
    <row r="488" spans="1:14" x14ac:dyDescent="0.45">
      <c r="A488" t="s">
        <v>78</v>
      </c>
      <c r="B488" t="s">
        <v>658</v>
      </c>
      <c r="C488" t="s">
        <v>26</v>
      </c>
      <c r="D488" t="s">
        <v>407</v>
      </c>
      <c r="E488">
        <v>4</v>
      </c>
      <c r="F488">
        <v>0</v>
      </c>
      <c r="G488">
        <v>21</v>
      </c>
      <c r="H488">
        <v>2</v>
      </c>
      <c r="I488">
        <v>5.25</v>
      </c>
      <c r="J488">
        <v>10</v>
      </c>
      <c r="K488">
        <v>2</v>
      </c>
      <c r="L488">
        <v>0</v>
      </c>
      <c r="M488">
        <v>0</v>
      </c>
      <c r="N488">
        <v>0</v>
      </c>
    </row>
    <row r="489" spans="1:14" x14ac:dyDescent="0.45">
      <c r="A489" t="s">
        <v>78</v>
      </c>
      <c r="B489" t="s">
        <v>658</v>
      </c>
      <c r="C489" t="s">
        <v>26</v>
      </c>
      <c r="D489" t="s">
        <v>427</v>
      </c>
      <c r="E489">
        <v>3</v>
      </c>
      <c r="F489">
        <v>0</v>
      </c>
      <c r="G489">
        <v>30</v>
      </c>
      <c r="H489">
        <v>0</v>
      </c>
      <c r="I489">
        <v>10</v>
      </c>
      <c r="J489">
        <v>2</v>
      </c>
      <c r="K489">
        <v>3</v>
      </c>
      <c r="L489">
        <v>1</v>
      </c>
      <c r="M489">
        <v>0</v>
      </c>
      <c r="N489">
        <v>0</v>
      </c>
    </row>
    <row r="490" spans="1:14" x14ac:dyDescent="0.45">
      <c r="A490" t="s">
        <v>78</v>
      </c>
      <c r="B490" t="s">
        <v>658</v>
      </c>
      <c r="C490" t="s">
        <v>26</v>
      </c>
      <c r="D490" t="s">
        <v>405</v>
      </c>
      <c r="E490">
        <v>3</v>
      </c>
      <c r="F490">
        <v>0</v>
      </c>
      <c r="G490">
        <v>28</v>
      </c>
      <c r="H490">
        <v>1</v>
      </c>
      <c r="I490">
        <v>9.33</v>
      </c>
      <c r="J490">
        <v>7</v>
      </c>
      <c r="K490">
        <v>1</v>
      </c>
      <c r="L490">
        <v>2</v>
      </c>
      <c r="M490">
        <v>2</v>
      </c>
      <c r="N490">
        <v>0</v>
      </c>
    </row>
    <row r="491" spans="1:14" x14ac:dyDescent="0.45">
      <c r="A491" t="s">
        <v>78</v>
      </c>
      <c r="B491" t="s">
        <v>658</v>
      </c>
      <c r="C491" t="s">
        <v>19</v>
      </c>
      <c r="D491" t="s">
        <v>370</v>
      </c>
      <c r="E491">
        <v>2.4</v>
      </c>
      <c r="F491">
        <v>0</v>
      </c>
      <c r="G491">
        <v>30</v>
      </c>
      <c r="H491">
        <v>0</v>
      </c>
      <c r="I491">
        <v>11.25</v>
      </c>
      <c r="J491">
        <v>7</v>
      </c>
      <c r="K491">
        <v>3</v>
      </c>
      <c r="L491">
        <v>2</v>
      </c>
      <c r="M491">
        <v>0</v>
      </c>
      <c r="N491">
        <v>1</v>
      </c>
    </row>
    <row r="492" spans="1:14" x14ac:dyDescent="0.45">
      <c r="A492" t="s">
        <v>78</v>
      </c>
      <c r="B492" t="s">
        <v>658</v>
      </c>
      <c r="C492" t="s">
        <v>19</v>
      </c>
      <c r="D492" t="s">
        <v>366</v>
      </c>
      <c r="E492">
        <v>3</v>
      </c>
      <c r="F492">
        <v>0</v>
      </c>
      <c r="G492">
        <v>31</v>
      </c>
      <c r="H492">
        <v>0</v>
      </c>
      <c r="I492">
        <v>10.33</v>
      </c>
      <c r="J492">
        <v>7</v>
      </c>
      <c r="K492">
        <v>4</v>
      </c>
      <c r="L492">
        <v>1</v>
      </c>
      <c r="M492">
        <v>3</v>
      </c>
      <c r="N492">
        <v>0</v>
      </c>
    </row>
    <row r="493" spans="1:14" x14ac:dyDescent="0.45">
      <c r="A493" t="s">
        <v>78</v>
      </c>
      <c r="B493" t="s">
        <v>658</v>
      </c>
      <c r="C493" t="s">
        <v>19</v>
      </c>
      <c r="D493" t="s">
        <v>369</v>
      </c>
      <c r="E493">
        <v>3</v>
      </c>
      <c r="F493">
        <v>0</v>
      </c>
      <c r="G493">
        <v>21</v>
      </c>
      <c r="H493">
        <v>0</v>
      </c>
      <c r="I493">
        <v>7</v>
      </c>
      <c r="J493">
        <v>9</v>
      </c>
      <c r="K493">
        <v>2</v>
      </c>
      <c r="L493">
        <v>1</v>
      </c>
      <c r="M493">
        <v>0</v>
      </c>
      <c r="N493">
        <v>0</v>
      </c>
    </row>
    <row r="494" spans="1:14" x14ac:dyDescent="0.45">
      <c r="A494" t="s">
        <v>78</v>
      </c>
      <c r="B494" t="s">
        <v>658</v>
      </c>
      <c r="C494" t="s">
        <v>19</v>
      </c>
      <c r="D494" t="s">
        <v>435</v>
      </c>
      <c r="E494">
        <v>4</v>
      </c>
      <c r="F494">
        <v>0</v>
      </c>
      <c r="G494">
        <v>19</v>
      </c>
      <c r="H494">
        <v>1</v>
      </c>
      <c r="I494">
        <v>4.75</v>
      </c>
      <c r="J494">
        <v>8</v>
      </c>
      <c r="K494">
        <v>1</v>
      </c>
      <c r="L494">
        <v>0</v>
      </c>
      <c r="M494">
        <v>0</v>
      </c>
      <c r="N494">
        <v>0</v>
      </c>
    </row>
    <row r="495" spans="1:14" x14ac:dyDescent="0.45">
      <c r="A495" t="s">
        <v>78</v>
      </c>
      <c r="B495" t="s">
        <v>658</v>
      </c>
      <c r="C495" t="s">
        <v>19</v>
      </c>
      <c r="D495" t="s">
        <v>414</v>
      </c>
      <c r="E495">
        <v>4</v>
      </c>
      <c r="F495">
        <v>0</v>
      </c>
      <c r="G495">
        <v>20</v>
      </c>
      <c r="H495">
        <v>0</v>
      </c>
      <c r="I495">
        <v>5</v>
      </c>
      <c r="J495">
        <v>16</v>
      </c>
      <c r="K495">
        <v>2</v>
      </c>
      <c r="L495">
        <v>1</v>
      </c>
      <c r="M495">
        <v>0</v>
      </c>
      <c r="N495">
        <v>0</v>
      </c>
    </row>
    <row r="496" spans="1:14" x14ac:dyDescent="0.45">
      <c r="A496" t="s">
        <v>78</v>
      </c>
      <c r="B496" t="s">
        <v>658</v>
      </c>
      <c r="C496" t="s">
        <v>19</v>
      </c>
      <c r="D496" t="s">
        <v>362</v>
      </c>
      <c r="E496">
        <v>1</v>
      </c>
      <c r="F496">
        <v>0</v>
      </c>
      <c r="G496">
        <v>11</v>
      </c>
      <c r="H496">
        <v>0</v>
      </c>
      <c r="I496">
        <v>11</v>
      </c>
      <c r="J496">
        <v>1</v>
      </c>
      <c r="K496">
        <v>0</v>
      </c>
      <c r="L496">
        <v>1</v>
      </c>
      <c r="M496">
        <v>0</v>
      </c>
      <c r="N496">
        <v>0</v>
      </c>
    </row>
    <row r="497" spans="1:14" x14ac:dyDescent="0.45">
      <c r="A497" t="s">
        <v>80</v>
      </c>
      <c r="B497" t="s">
        <v>640</v>
      </c>
      <c r="C497" t="s">
        <v>13</v>
      </c>
      <c r="D497" t="s">
        <v>352</v>
      </c>
      <c r="E497">
        <v>4</v>
      </c>
      <c r="F497">
        <v>0</v>
      </c>
      <c r="G497">
        <v>27</v>
      </c>
      <c r="H497">
        <v>3</v>
      </c>
      <c r="I497">
        <v>6.75</v>
      </c>
      <c r="J497">
        <v>16</v>
      </c>
      <c r="K497">
        <v>4</v>
      </c>
      <c r="L497">
        <v>1</v>
      </c>
      <c r="M497">
        <v>1</v>
      </c>
      <c r="N497">
        <v>0</v>
      </c>
    </row>
    <row r="498" spans="1:14" x14ac:dyDescent="0.45">
      <c r="A498" t="s">
        <v>80</v>
      </c>
      <c r="B498" t="s">
        <v>640</v>
      </c>
      <c r="C498" t="s">
        <v>13</v>
      </c>
      <c r="D498" t="s">
        <v>438</v>
      </c>
      <c r="E498">
        <v>4</v>
      </c>
      <c r="F498">
        <v>0</v>
      </c>
      <c r="G498">
        <v>28</v>
      </c>
      <c r="H498">
        <v>1</v>
      </c>
      <c r="I498">
        <v>7</v>
      </c>
      <c r="J498">
        <v>11</v>
      </c>
      <c r="K498">
        <v>2</v>
      </c>
      <c r="L498">
        <v>1</v>
      </c>
      <c r="M498">
        <v>2</v>
      </c>
      <c r="N498">
        <v>0</v>
      </c>
    </row>
    <row r="499" spans="1:14" x14ac:dyDescent="0.45">
      <c r="A499" t="s">
        <v>80</v>
      </c>
      <c r="B499" t="s">
        <v>640</v>
      </c>
      <c r="C499" t="s">
        <v>13</v>
      </c>
      <c r="D499" t="s">
        <v>471</v>
      </c>
      <c r="E499">
        <v>3</v>
      </c>
      <c r="F499">
        <v>0</v>
      </c>
      <c r="G499">
        <v>29</v>
      </c>
      <c r="H499">
        <v>1</v>
      </c>
      <c r="I499">
        <v>9.66</v>
      </c>
      <c r="J499">
        <v>5</v>
      </c>
      <c r="K499">
        <v>5</v>
      </c>
      <c r="L499">
        <v>0</v>
      </c>
      <c r="M499">
        <v>1</v>
      </c>
      <c r="N499">
        <v>0</v>
      </c>
    </row>
    <row r="500" spans="1:14" x14ac:dyDescent="0.45">
      <c r="A500" t="s">
        <v>80</v>
      </c>
      <c r="B500" t="s">
        <v>640</v>
      </c>
      <c r="C500" t="s">
        <v>13</v>
      </c>
      <c r="D500" t="s">
        <v>353</v>
      </c>
      <c r="E500">
        <v>2</v>
      </c>
      <c r="F500">
        <v>0</v>
      </c>
      <c r="G500">
        <v>18</v>
      </c>
      <c r="H500">
        <v>0</v>
      </c>
      <c r="I500">
        <v>9</v>
      </c>
      <c r="J500">
        <v>5</v>
      </c>
      <c r="K500">
        <v>0</v>
      </c>
      <c r="L500">
        <v>2</v>
      </c>
      <c r="M500">
        <v>1</v>
      </c>
      <c r="N500">
        <v>0</v>
      </c>
    </row>
    <row r="501" spans="1:14" x14ac:dyDescent="0.45">
      <c r="A501" t="s">
        <v>80</v>
      </c>
      <c r="B501" t="s">
        <v>640</v>
      </c>
      <c r="C501" t="s">
        <v>13</v>
      </c>
      <c r="D501" t="s">
        <v>467</v>
      </c>
      <c r="E501">
        <v>3</v>
      </c>
      <c r="F501">
        <v>0</v>
      </c>
      <c r="G501">
        <v>23</v>
      </c>
      <c r="H501">
        <v>1</v>
      </c>
      <c r="I501">
        <v>7.66</v>
      </c>
      <c r="J501">
        <v>4</v>
      </c>
      <c r="K501">
        <v>1</v>
      </c>
      <c r="L501">
        <v>1</v>
      </c>
      <c r="M501">
        <v>0</v>
      </c>
      <c r="N501">
        <v>0</v>
      </c>
    </row>
    <row r="502" spans="1:14" x14ac:dyDescent="0.45">
      <c r="A502" t="s">
        <v>80</v>
      </c>
      <c r="B502" t="s">
        <v>640</v>
      </c>
      <c r="C502" t="s">
        <v>13</v>
      </c>
      <c r="D502" t="s">
        <v>349</v>
      </c>
      <c r="E502">
        <v>4</v>
      </c>
      <c r="F502">
        <v>0</v>
      </c>
      <c r="G502">
        <v>47</v>
      </c>
      <c r="H502">
        <v>3</v>
      </c>
      <c r="I502">
        <v>11.75</v>
      </c>
      <c r="J502">
        <v>8</v>
      </c>
      <c r="K502">
        <v>6</v>
      </c>
      <c r="L502">
        <v>2</v>
      </c>
      <c r="M502">
        <v>3</v>
      </c>
      <c r="N502">
        <v>0</v>
      </c>
    </row>
    <row r="503" spans="1:14" x14ac:dyDescent="0.45">
      <c r="A503" t="s">
        <v>80</v>
      </c>
      <c r="B503" t="s">
        <v>640</v>
      </c>
      <c r="C503" t="s">
        <v>23</v>
      </c>
      <c r="D503" t="s">
        <v>412</v>
      </c>
      <c r="E503">
        <v>3</v>
      </c>
      <c r="F503">
        <v>0</v>
      </c>
      <c r="G503">
        <v>35</v>
      </c>
      <c r="H503">
        <v>0</v>
      </c>
      <c r="I503">
        <v>11.66</v>
      </c>
      <c r="J503">
        <v>6</v>
      </c>
      <c r="K503">
        <v>4</v>
      </c>
      <c r="L503">
        <v>2</v>
      </c>
      <c r="M503">
        <v>0</v>
      </c>
      <c r="N503">
        <v>0</v>
      </c>
    </row>
    <row r="504" spans="1:14" x14ac:dyDescent="0.45">
      <c r="A504" t="s">
        <v>80</v>
      </c>
      <c r="B504" t="s">
        <v>640</v>
      </c>
      <c r="C504" t="s">
        <v>23</v>
      </c>
      <c r="D504" t="s">
        <v>394</v>
      </c>
      <c r="E504">
        <v>4</v>
      </c>
      <c r="F504">
        <v>0</v>
      </c>
      <c r="G504">
        <v>35</v>
      </c>
      <c r="H504">
        <v>0</v>
      </c>
      <c r="I504">
        <v>8.75</v>
      </c>
      <c r="J504">
        <v>7</v>
      </c>
      <c r="K504">
        <v>4</v>
      </c>
      <c r="L504">
        <v>1</v>
      </c>
      <c r="M504">
        <v>1</v>
      </c>
      <c r="N504">
        <v>0</v>
      </c>
    </row>
    <row r="505" spans="1:14" x14ac:dyDescent="0.45">
      <c r="A505" t="s">
        <v>80</v>
      </c>
      <c r="B505" t="s">
        <v>640</v>
      </c>
      <c r="C505" t="s">
        <v>23</v>
      </c>
      <c r="D505" t="s">
        <v>391</v>
      </c>
      <c r="E505">
        <v>3</v>
      </c>
      <c r="F505">
        <v>0</v>
      </c>
      <c r="G505">
        <v>38</v>
      </c>
      <c r="H505">
        <v>0</v>
      </c>
      <c r="I505">
        <v>12.66</v>
      </c>
      <c r="J505">
        <v>2</v>
      </c>
      <c r="K505">
        <v>5</v>
      </c>
      <c r="L505">
        <v>1</v>
      </c>
      <c r="M505">
        <v>0</v>
      </c>
      <c r="N505">
        <v>0</v>
      </c>
    </row>
    <row r="506" spans="1:14" x14ac:dyDescent="0.45">
      <c r="A506" t="s">
        <v>80</v>
      </c>
      <c r="B506" t="s">
        <v>640</v>
      </c>
      <c r="C506" t="s">
        <v>23</v>
      </c>
      <c r="D506" t="s">
        <v>396</v>
      </c>
      <c r="E506">
        <v>3.3</v>
      </c>
      <c r="F506">
        <v>0</v>
      </c>
      <c r="G506">
        <v>34</v>
      </c>
      <c r="H506">
        <v>0</v>
      </c>
      <c r="I506">
        <v>9.7100000000000009</v>
      </c>
      <c r="J506">
        <v>8</v>
      </c>
      <c r="K506">
        <v>2</v>
      </c>
      <c r="L506">
        <v>2</v>
      </c>
      <c r="M506">
        <v>1</v>
      </c>
      <c r="N506">
        <v>0</v>
      </c>
    </row>
    <row r="507" spans="1:14" x14ac:dyDescent="0.45">
      <c r="A507" t="s">
        <v>80</v>
      </c>
      <c r="B507" t="s">
        <v>640</v>
      </c>
      <c r="C507" t="s">
        <v>23</v>
      </c>
      <c r="D507" t="s">
        <v>390</v>
      </c>
      <c r="E507">
        <v>2</v>
      </c>
      <c r="F507">
        <v>0</v>
      </c>
      <c r="G507">
        <v>23</v>
      </c>
      <c r="H507">
        <v>0</v>
      </c>
      <c r="I507">
        <v>11.5</v>
      </c>
      <c r="J507">
        <v>2</v>
      </c>
      <c r="K507">
        <v>1</v>
      </c>
      <c r="L507">
        <v>2</v>
      </c>
      <c r="M507">
        <v>0</v>
      </c>
      <c r="N507">
        <v>0</v>
      </c>
    </row>
    <row r="508" spans="1:14" x14ac:dyDescent="0.45">
      <c r="A508" t="s">
        <v>80</v>
      </c>
      <c r="B508" t="s">
        <v>640</v>
      </c>
      <c r="C508" t="s">
        <v>23</v>
      </c>
      <c r="D508" t="s">
        <v>431</v>
      </c>
      <c r="E508">
        <v>1</v>
      </c>
      <c r="F508">
        <v>0</v>
      </c>
      <c r="G508">
        <v>14</v>
      </c>
      <c r="H508">
        <v>0</v>
      </c>
      <c r="I508">
        <v>14</v>
      </c>
      <c r="J508">
        <v>0</v>
      </c>
      <c r="K508">
        <v>1</v>
      </c>
      <c r="L508">
        <v>1</v>
      </c>
      <c r="M508">
        <v>0</v>
      </c>
      <c r="N508">
        <v>0</v>
      </c>
    </row>
    <row r="509" spans="1:14" x14ac:dyDescent="0.45">
      <c r="A509" t="s">
        <v>82</v>
      </c>
      <c r="B509" t="s">
        <v>621</v>
      </c>
      <c r="C509" t="s">
        <v>7</v>
      </c>
      <c r="D509" t="s">
        <v>322</v>
      </c>
      <c r="E509">
        <v>4</v>
      </c>
      <c r="F509">
        <v>0</v>
      </c>
      <c r="G509">
        <v>27</v>
      </c>
      <c r="H509">
        <v>1</v>
      </c>
      <c r="I509">
        <v>6.75</v>
      </c>
      <c r="J509">
        <v>8</v>
      </c>
      <c r="K509">
        <v>2</v>
      </c>
      <c r="L509">
        <v>1</v>
      </c>
      <c r="M509">
        <v>0</v>
      </c>
      <c r="N509">
        <v>0</v>
      </c>
    </row>
    <row r="510" spans="1:14" x14ac:dyDescent="0.45">
      <c r="A510" t="s">
        <v>82</v>
      </c>
      <c r="B510" t="s">
        <v>621</v>
      </c>
      <c r="C510" t="s">
        <v>7</v>
      </c>
      <c r="D510" t="s">
        <v>465</v>
      </c>
      <c r="E510">
        <v>4</v>
      </c>
      <c r="F510">
        <v>0</v>
      </c>
      <c r="G510">
        <v>58</v>
      </c>
      <c r="H510">
        <v>0</v>
      </c>
      <c r="I510">
        <v>14.5</v>
      </c>
      <c r="J510">
        <v>5</v>
      </c>
      <c r="K510">
        <v>4</v>
      </c>
      <c r="L510">
        <v>4</v>
      </c>
      <c r="M510">
        <v>3</v>
      </c>
      <c r="N510">
        <v>0</v>
      </c>
    </row>
    <row r="511" spans="1:14" x14ac:dyDescent="0.45">
      <c r="A511" t="s">
        <v>82</v>
      </c>
      <c r="B511" t="s">
        <v>621</v>
      </c>
      <c r="C511" t="s">
        <v>7</v>
      </c>
      <c r="D511" t="s">
        <v>308</v>
      </c>
      <c r="E511">
        <v>4</v>
      </c>
      <c r="F511">
        <v>0</v>
      </c>
      <c r="G511">
        <v>34</v>
      </c>
      <c r="H511">
        <v>1</v>
      </c>
      <c r="I511">
        <v>8.5</v>
      </c>
      <c r="J511">
        <v>10</v>
      </c>
      <c r="K511">
        <v>4</v>
      </c>
      <c r="L511">
        <v>1</v>
      </c>
      <c r="M511">
        <v>0</v>
      </c>
      <c r="N511">
        <v>1</v>
      </c>
    </row>
    <row r="512" spans="1:14" x14ac:dyDescent="0.45">
      <c r="A512" t="s">
        <v>82</v>
      </c>
      <c r="B512" t="s">
        <v>621</v>
      </c>
      <c r="C512" t="s">
        <v>7</v>
      </c>
      <c r="D512" t="s">
        <v>441</v>
      </c>
      <c r="E512">
        <v>4</v>
      </c>
      <c r="F512">
        <v>0</v>
      </c>
      <c r="G512">
        <v>49</v>
      </c>
      <c r="H512">
        <v>0</v>
      </c>
      <c r="I512">
        <v>12.25</v>
      </c>
      <c r="J512">
        <v>10</v>
      </c>
      <c r="K512">
        <v>4</v>
      </c>
      <c r="L512">
        <v>3</v>
      </c>
      <c r="M512">
        <v>1</v>
      </c>
      <c r="N512">
        <v>2</v>
      </c>
    </row>
    <row r="513" spans="1:14" x14ac:dyDescent="0.45">
      <c r="A513" t="s">
        <v>82</v>
      </c>
      <c r="B513" t="s">
        <v>621</v>
      </c>
      <c r="C513" t="s">
        <v>7</v>
      </c>
      <c r="D513" t="s">
        <v>440</v>
      </c>
      <c r="E513">
        <v>2</v>
      </c>
      <c r="F513">
        <v>0</v>
      </c>
      <c r="G513">
        <v>27</v>
      </c>
      <c r="H513">
        <v>1</v>
      </c>
      <c r="I513">
        <v>13.5</v>
      </c>
      <c r="J513">
        <v>4</v>
      </c>
      <c r="K513">
        <v>4</v>
      </c>
      <c r="L513">
        <v>1</v>
      </c>
      <c r="M513">
        <v>2</v>
      </c>
      <c r="N513">
        <v>0</v>
      </c>
    </row>
    <row r="514" spans="1:14" x14ac:dyDescent="0.45">
      <c r="A514" t="s">
        <v>82</v>
      </c>
      <c r="B514" t="s">
        <v>621</v>
      </c>
      <c r="C514" t="s">
        <v>7</v>
      </c>
      <c r="D514" t="s">
        <v>472</v>
      </c>
      <c r="E514">
        <v>2</v>
      </c>
      <c r="F514">
        <v>0</v>
      </c>
      <c r="G514">
        <v>25</v>
      </c>
      <c r="H514">
        <v>0</v>
      </c>
      <c r="I514">
        <v>12.5</v>
      </c>
      <c r="J514">
        <v>2</v>
      </c>
      <c r="K514">
        <v>1</v>
      </c>
      <c r="L514">
        <v>2</v>
      </c>
      <c r="M514">
        <v>0</v>
      </c>
      <c r="N514">
        <v>0</v>
      </c>
    </row>
    <row r="515" spans="1:14" x14ac:dyDescent="0.45">
      <c r="A515" t="s">
        <v>82</v>
      </c>
      <c r="B515" t="s">
        <v>621</v>
      </c>
      <c r="C515" t="s">
        <v>6</v>
      </c>
      <c r="D515" t="s">
        <v>324</v>
      </c>
      <c r="E515">
        <v>4</v>
      </c>
      <c r="F515">
        <v>0</v>
      </c>
      <c r="G515">
        <v>29</v>
      </c>
      <c r="H515">
        <v>4</v>
      </c>
      <c r="I515">
        <v>7.25</v>
      </c>
      <c r="J515">
        <v>14</v>
      </c>
      <c r="K515">
        <v>3</v>
      </c>
      <c r="L515">
        <v>2</v>
      </c>
      <c r="M515">
        <v>0</v>
      </c>
      <c r="N515">
        <v>0</v>
      </c>
    </row>
    <row r="516" spans="1:14" x14ac:dyDescent="0.45">
      <c r="A516" t="s">
        <v>82</v>
      </c>
      <c r="B516" t="s">
        <v>621</v>
      </c>
      <c r="C516" t="s">
        <v>6</v>
      </c>
      <c r="D516" t="s">
        <v>420</v>
      </c>
      <c r="E516">
        <v>4</v>
      </c>
      <c r="F516">
        <v>0</v>
      </c>
      <c r="G516">
        <v>58</v>
      </c>
      <c r="H516">
        <v>1</v>
      </c>
      <c r="I516">
        <v>14.5</v>
      </c>
      <c r="J516">
        <v>10</v>
      </c>
      <c r="K516">
        <v>4</v>
      </c>
      <c r="L516">
        <v>6</v>
      </c>
      <c r="M516">
        <v>1</v>
      </c>
      <c r="N516">
        <v>0</v>
      </c>
    </row>
    <row r="517" spans="1:14" x14ac:dyDescent="0.45">
      <c r="A517" t="s">
        <v>82</v>
      </c>
      <c r="B517" t="s">
        <v>621</v>
      </c>
      <c r="C517" t="s">
        <v>6</v>
      </c>
      <c r="D517" t="s">
        <v>462</v>
      </c>
      <c r="E517">
        <v>4</v>
      </c>
      <c r="F517">
        <v>0</v>
      </c>
      <c r="G517">
        <v>28</v>
      </c>
      <c r="H517">
        <v>3</v>
      </c>
      <c r="I517">
        <v>7</v>
      </c>
      <c r="J517">
        <v>15</v>
      </c>
      <c r="K517">
        <v>2</v>
      </c>
      <c r="L517">
        <v>2</v>
      </c>
      <c r="M517">
        <v>1</v>
      </c>
      <c r="N517">
        <v>0</v>
      </c>
    </row>
    <row r="518" spans="1:14" x14ac:dyDescent="0.45">
      <c r="A518" t="s">
        <v>82</v>
      </c>
      <c r="B518" t="s">
        <v>621</v>
      </c>
      <c r="C518" t="s">
        <v>6</v>
      </c>
      <c r="D518" t="s">
        <v>328</v>
      </c>
      <c r="E518">
        <v>4</v>
      </c>
      <c r="F518">
        <v>0</v>
      </c>
      <c r="G518">
        <v>33</v>
      </c>
      <c r="H518">
        <v>0</v>
      </c>
      <c r="I518">
        <v>8.25</v>
      </c>
      <c r="J518">
        <v>7</v>
      </c>
      <c r="K518">
        <v>3</v>
      </c>
      <c r="L518">
        <v>1</v>
      </c>
      <c r="M518">
        <v>0</v>
      </c>
      <c r="N518">
        <v>1</v>
      </c>
    </row>
    <row r="519" spans="1:14" x14ac:dyDescent="0.45">
      <c r="A519" t="s">
        <v>82</v>
      </c>
      <c r="B519" t="s">
        <v>621</v>
      </c>
      <c r="C519" t="s">
        <v>6</v>
      </c>
      <c r="D519" t="s">
        <v>326</v>
      </c>
      <c r="E519">
        <v>3.1</v>
      </c>
      <c r="F519">
        <v>0</v>
      </c>
      <c r="G519">
        <v>48</v>
      </c>
      <c r="H519">
        <v>0</v>
      </c>
      <c r="I519">
        <v>15.15</v>
      </c>
      <c r="J519">
        <v>5</v>
      </c>
      <c r="K519">
        <v>4</v>
      </c>
      <c r="L519">
        <v>3</v>
      </c>
      <c r="M519">
        <v>5</v>
      </c>
      <c r="N519">
        <v>0</v>
      </c>
    </row>
    <row r="520" spans="1:14" x14ac:dyDescent="0.45">
      <c r="A520" t="s">
        <v>83</v>
      </c>
      <c r="B520" t="s">
        <v>645</v>
      </c>
      <c r="C520" t="s">
        <v>20</v>
      </c>
      <c r="D520" t="s">
        <v>373</v>
      </c>
      <c r="E520">
        <v>4</v>
      </c>
      <c r="F520">
        <v>0</v>
      </c>
      <c r="G520">
        <v>24</v>
      </c>
      <c r="H520">
        <v>2</v>
      </c>
      <c r="I520">
        <v>6</v>
      </c>
      <c r="J520">
        <v>10</v>
      </c>
      <c r="K520">
        <v>0</v>
      </c>
      <c r="L520">
        <v>1</v>
      </c>
      <c r="M520">
        <v>1</v>
      </c>
      <c r="N520">
        <v>0</v>
      </c>
    </row>
    <row r="521" spans="1:14" x14ac:dyDescent="0.45">
      <c r="A521" t="s">
        <v>83</v>
      </c>
      <c r="B521" t="s">
        <v>645</v>
      </c>
      <c r="C521" t="s">
        <v>20</v>
      </c>
      <c r="D521" t="s">
        <v>409</v>
      </c>
      <c r="E521">
        <v>3</v>
      </c>
      <c r="F521">
        <v>0</v>
      </c>
      <c r="G521">
        <v>16</v>
      </c>
      <c r="H521">
        <v>1</v>
      </c>
      <c r="I521">
        <v>5.33</v>
      </c>
      <c r="J521">
        <v>7</v>
      </c>
      <c r="K521">
        <v>1</v>
      </c>
      <c r="L521">
        <v>0</v>
      </c>
      <c r="M521">
        <v>0</v>
      </c>
      <c r="N521">
        <v>0</v>
      </c>
    </row>
    <row r="522" spans="1:14" x14ac:dyDescent="0.45">
      <c r="A522" t="s">
        <v>83</v>
      </c>
      <c r="B522" t="s">
        <v>645</v>
      </c>
      <c r="C522" t="s">
        <v>20</v>
      </c>
      <c r="D522" t="s">
        <v>444</v>
      </c>
      <c r="E522">
        <v>4</v>
      </c>
      <c r="F522">
        <v>0</v>
      </c>
      <c r="G522">
        <v>21</v>
      </c>
      <c r="H522">
        <v>3</v>
      </c>
      <c r="I522">
        <v>5.25</v>
      </c>
      <c r="J522">
        <v>9</v>
      </c>
      <c r="K522">
        <v>2</v>
      </c>
      <c r="L522">
        <v>0</v>
      </c>
      <c r="M522">
        <v>0</v>
      </c>
      <c r="N522">
        <v>0</v>
      </c>
    </row>
    <row r="523" spans="1:14" x14ac:dyDescent="0.45">
      <c r="A523" t="s">
        <v>83</v>
      </c>
      <c r="B523" t="s">
        <v>645</v>
      </c>
      <c r="C523" t="s">
        <v>20</v>
      </c>
      <c r="D523" t="s">
        <v>381</v>
      </c>
      <c r="E523">
        <v>3.4</v>
      </c>
      <c r="F523">
        <v>0</v>
      </c>
      <c r="G523">
        <v>27</v>
      </c>
      <c r="H523">
        <v>1</v>
      </c>
      <c r="I523">
        <v>7.36</v>
      </c>
      <c r="J523">
        <v>8</v>
      </c>
      <c r="K523">
        <v>2</v>
      </c>
      <c r="L523">
        <v>1</v>
      </c>
      <c r="M523">
        <v>0</v>
      </c>
      <c r="N523">
        <v>1</v>
      </c>
    </row>
    <row r="524" spans="1:14" x14ac:dyDescent="0.45">
      <c r="A524" t="s">
        <v>83</v>
      </c>
      <c r="B524" t="s">
        <v>645</v>
      </c>
      <c r="C524" t="s">
        <v>20</v>
      </c>
      <c r="D524" t="s">
        <v>460</v>
      </c>
      <c r="E524">
        <v>1</v>
      </c>
      <c r="F524">
        <v>0</v>
      </c>
      <c r="G524">
        <v>6</v>
      </c>
      <c r="H524">
        <v>0</v>
      </c>
      <c r="I524">
        <v>6</v>
      </c>
      <c r="J524">
        <v>3</v>
      </c>
      <c r="K524">
        <v>1</v>
      </c>
      <c r="L524">
        <v>0</v>
      </c>
      <c r="M524">
        <v>0</v>
      </c>
      <c r="N524">
        <v>0</v>
      </c>
    </row>
    <row r="525" spans="1:14" x14ac:dyDescent="0.45">
      <c r="A525" t="s">
        <v>83</v>
      </c>
      <c r="B525" t="s">
        <v>645</v>
      </c>
      <c r="C525" t="s">
        <v>20</v>
      </c>
      <c r="D525" t="s">
        <v>379</v>
      </c>
      <c r="E525">
        <v>4</v>
      </c>
      <c r="F525">
        <v>0</v>
      </c>
      <c r="G525">
        <v>17</v>
      </c>
      <c r="H525">
        <v>1</v>
      </c>
      <c r="I525">
        <v>4.25</v>
      </c>
      <c r="J525">
        <v>11</v>
      </c>
      <c r="K525">
        <v>1</v>
      </c>
      <c r="L525">
        <v>0</v>
      </c>
      <c r="M525">
        <v>0</v>
      </c>
      <c r="N525">
        <v>0</v>
      </c>
    </row>
    <row r="526" spans="1:14" x14ac:dyDescent="0.45">
      <c r="A526" t="s">
        <v>83</v>
      </c>
      <c r="B526" t="s">
        <v>645</v>
      </c>
      <c r="C526" t="s">
        <v>26</v>
      </c>
      <c r="D526" t="s">
        <v>403</v>
      </c>
      <c r="E526">
        <v>2</v>
      </c>
      <c r="F526">
        <v>0</v>
      </c>
      <c r="G526">
        <v>16</v>
      </c>
      <c r="H526">
        <v>0</v>
      </c>
      <c r="I526">
        <v>8</v>
      </c>
      <c r="J526">
        <v>5</v>
      </c>
      <c r="K526">
        <v>3</v>
      </c>
      <c r="L526">
        <v>0</v>
      </c>
      <c r="M526">
        <v>0</v>
      </c>
      <c r="N526">
        <v>0</v>
      </c>
    </row>
    <row r="527" spans="1:14" x14ac:dyDescent="0.45">
      <c r="A527" t="s">
        <v>83</v>
      </c>
      <c r="B527" t="s">
        <v>645</v>
      </c>
      <c r="C527" t="s">
        <v>26</v>
      </c>
      <c r="D527" t="s">
        <v>427</v>
      </c>
      <c r="E527">
        <v>4</v>
      </c>
      <c r="F527">
        <v>1</v>
      </c>
      <c r="G527">
        <v>22</v>
      </c>
      <c r="H527">
        <v>1</v>
      </c>
      <c r="I527">
        <v>5.5</v>
      </c>
      <c r="J527">
        <v>13</v>
      </c>
      <c r="K527">
        <v>1</v>
      </c>
      <c r="L527">
        <v>1</v>
      </c>
      <c r="M527">
        <v>1</v>
      </c>
      <c r="N527">
        <v>0</v>
      </c>
    </row>
    <row r="528" spans="1:14" x14ac:dyDescent="0.45">
      <c r="A528" t="s">
        <v>83</v>
      </c>
      <c r="B528" t="s">
        <v>645</v>
      </c>
      <c r="C528" t="s">
        <v>26</v>
      </c>
      <c r="D528" t="s">
        <v>405</v>
      </c>
      <c r="E528">
        <v>3.4</v>
      </c>
      <c r="F528">
        <v>0</v>
      </c>
      <c r="G528">
        <v>31</v>
      </c>
      <c r="H528">
        <v>0</v>
      </c>
      <c r="I528">
        <v>8.4499999999999993</v>
      </c>
      <c r="J528">
        <v>5</v>
      </c>
      <c r="K528">
        <v>1</v>
      </c>
      <c r="L528">
        <v>1</v>
      </c>
      <c r="M528">
        <v>2</v>
      </c>
      <c r="N528">
        <v>0</v>
      </c>
    </row>
    <row r="529" spans="1:14" x14ac:dyDescent="0.45">
      <c r="A529" t="s">
        <v>83</v>
      </c>
      <c r="B529" t="s">
        <v>645</v>
      </c>
      <c r="C529" t="s">
        <v>26</v>
      </c>
      <c r="D529" t="s">
        <v>402</v>
      </c>
      <c r="E529">
        <v>1</v>
      </c>
      <c r="F529">
        <v>0</v>
      </c>
      <c r="G529">
        <v>7</v>
      </c>
      <c r="H529">
        <v>0</v>
      </c>
      <c r="I529">
        <v>7</v>
      </c>
      <c r="J529">
        <v>4</v>
      </c>
      <c r="K529">
        <v>0</v>
      </c>
      <c r="L529">
        <v>1</v>
      </c>
      <c r="M529">
        <v>0</v>
      </c>
      <c r="N529">
        <v>0</v>
      </c>
    </row>
    <row r="530" spans="1:14" x14ac:dyDescent="0.45">
      <c r="A530" t="s">
        <v>83</v>
      </c>
      <c r="B530" t="s">
        <v>645</v>
      </c>
      <c r="C530" t="s">
        <v>26</v>
      </c>
      <c r="D530" t="s">
        <v>473</v>
      </c>
      <c r="E530">
        <v>4</v>
      </c>
      <c r="F530">
        <v>0</v>
      </c>
      <c r="G530">
        <v>22</v>
      </c>
      <c r="H530">
        <v>0</v>
      </c>
      <c r="I530">
        <v>5.5</v>
      </c>
      <c r="J530">
        <v>7</v>
      </c>
      <c r="K530">
        <v>0</v>
      </c>
      <c r="L530">
        <v>0</v>
      </c>
      <c r="M530">
        <v>1</v>
      </c>
      <c r="N530">
        <v>0</v>
      </c>
    </row>
    <row r="531" spans="1:14" x14ac:dyDescent="0.45">
      <c r="A531" t="s">
        <v>83</v>
      </c>
      <c r="B531" t="s">
        <v>645</v>
      </c>
      <c r="C531" t="s">
        <v>26</v>
      </c>
      <c r="D531" t="s">
        <v>426</v>
      </c>
      <c r="E531">
        <v>4</v>
      </c>
      <c r="F531">
        <v>0</v>
      </c>
      <c r="G531">
        <v>22</v>
      </c>
      <c r="H531">
        <v>0</v>
      </c>
      <c r="I531">
        <v>5.5</v>
      </c>
      <c r="J531">
        <v>12</v>
      </c>
      <c r="K531">
        <v>1</v>
      </c>
      <c r="L531">
        <v>1</v>
      </c>
      <c r="M531">
        <v>0</v>
      </c>
      <c r="N531">
        <v>0</v>
      </c>
    </row>
    <row r="532" spans="1:14" x14ac:dyDescent="0.45">
      <c r="A532" t="s">
        <v>84</v>
      </c>
      <c r="B532" t="s">
        <v>637</v>
      </c>
      <c r="C532" t="s">
        <v>10</v>
      </c>
      <c r="D532" t="s">
        <v>331</v>
      </c>
      <c r="E532">
        <v>3</v>
      </c>
      <c r="F532">
        <v>0</v>
      </c>
      <c r="G532">
        <v>20</v>
      </c>
      <c r="H532">
        <v>1</v>
      </c>
      <c r="I532">
        <v>6.66</v>
      </c>
      <c r="J532">
        <v>6</v>
      </c>
      <c r="K532">
        <v>2</v>
      </c>
      <c r="L532">
        <v>0</v>
      </c>
      <c r="M532">
        <v>0</v>
      </c>
      <c r="N532">
        <v>0</v>
      </c>
    </row>
    <row r="533" spans="1:14" x14ac:dyDescent="0.45">
      <c r="A533" t="s">
        <v>84</v>
      </c>
      <c r="B533" t="s">
        <v>637</v>
      </c>
      <c r="C533" t="s">
        <v>10</v>
      </c>
      <c r="D533" t="s">
        <v>339</v>
      </c>
      <c r="E533">
        <v>4</v>
      </c>
      <c r="F533">
        <v>0</v>
      </c>
      <c r="G533">
        <v>31</v>
      </c>
      <c r="H533">
        <v>0</v>
      </c>
      <c r="I533">
        <v>7.75</v>
      </c>
      <c r="J533">
        <v>12</v>
      </c>
      <c r="K533">
        <v>2</v>
      </c>
      <c r="L533">
        <v>2</v>
      </c>
      <c r="M533">
        <v>0</v>
      </c>
      <c r="N533">
        <v>0</v>
      </c>
    </row>
    <row r="534" spans="1:14" x14ac:dyDescent="0.45">
      <c r="A534" t="s">
        <v>84</v>
      </c>
      <c r="B534" t="s">
        <v>637</v>
      </c>
      <c r="C534" t="s">
        <v>10</v>
      </c>
      <c r="D534" t="s">
        <v>341</v>
      </c>
      <c r="E534">
        <v>3</v>
      </c>
      <c r="F534">
        <v>0</v>
      </c>
      <c r="G534">
        <v>25</v>
      </c>
      <c r="H534">
        <v>1</v>
      </c>
      <c r="I534">
        <v>8.33</v>
      </c>
      <c r="J534">
        <v>7</v>
      </c>
      <c r="K534">
        <v>2</v>
      </c>
      <c r="L534">
        <v>1</v>
      </c>
      <c r="M534">
        <v>0</v>
      </c>
      <c r="N534">
        <v>0</v>
      </c>
    </row>
    <row r="535" spans="1:14" x14ac:dyDescent="0.45">
      <c r="A535" t="s">
        <v>84</v>
      </c>
      <c r="B535" t="s">
        <v>637</v>
      </c>
      <c r="C535" t="s">
        <v>10</v>
      </c>
      <c r="D535" t="s">
        <v>468</v>
      </c>
      <c r="E535">
        <v>4</v>
      </c>
      <c r="F535">
        <v>0</v>
      </c>
      <c r="G535">
        <v>24</v>
      </c>
      <c r="H535">
        <v>4</v>
      </c>
      <c r="I535">
        <v>6</v>
      </c>
      <c r="J535">
        <v>11</v>
      </c>
      <c r="K535">
        <v>3</v>
      </c>
      <c r="L535">
        <v>0</v>
      </c>
      <c r="M535">
        <v>0</v>
      </c>
      <c r="N535">
        <v>0</v>
      </c>
    </row>
    <row r="536" spans="1:14" x14ac:dyDescent="0.45">
      <c r="A536" t="s">
        <v>84</v>
      </c>
      <c r="B536" t="s">
        <v>637</v>
      </c>
      <c r="C536" t="s">
        <v>10</v>
      </c>
      <c r="D536" t="s">
        <v>340</v>
      </c>
      <c r="E536">
        <v>2</v>
      </c>
      <c r="F536">
        <v>0</v>
      </c>
      <c r="G536">
        <v>15</v>
      </c>
      <c r="H536">
        <v>2</v>
      </c>
      <c r="I536">
        <v>7.5</v>
      </c>
      <c r="J536">
        <v>5</v>
      </c>
      <c r="K536">
        <v>1</v>
      </c>
      <c r="L536">
        <v>1</v>
      </c>
      <c r="M536">
        <v>0</v>
      </c>
      <c r="N536">
        <v>0</v>
      </c>
    </row>
    <row r="537" spans="1:14" x14ac:dyDescent="0.45">
      <c r="A537" t="s">
        <v>84</v>
      </c>
      <c r="B537" t="s">
        <v>637</v>
      </c>
      <c r="C537" t="s">
        <v>10</v>
      </c>
      <c r="D537" t="s">
        <v>436</v>
      </c>
      <c r="E537">
        <v>4</v>
      </c>
      <c r="F537">
        <v>0</v>
      </c>
      <c r="G537">
        <v>17</v>
      </c>
      <c r="H537">
        <v>1</v>
      </c>
      <c r="I537">
        <v>4.25</v>
      </c>
      <c r="J537">
        <v>7</v>
      </c>
      <c r="K537">
        <v>0</v>
      </c>
      <c r="L537">
        <v>0</v>
      </c>
      <c r="M537">
        <v>0</v>
      </c>
      <c r="N537">
        <v>0</v>
      </c>
    </row>
    <row r="538" spans="1:14" x14ac:dyDescent="0.45">
      <c r="A538" t="s">
        <v>84</v>
      </c>
      <c r="B538" t="s">
        <v>637</v>
      </c>
      <c r="C538" t="s">
        <v>19</v>
      </c>
      <c r="D538" t="s">
        <v>370</v>
      </c>
      <c r="E538">
        <v>4</v>
      </c>
      <c r="F538">
        <v>0</v>
      </c>
      <c r="G538">
        <v>23</v>
      </c>
      <c r="H538">
        <v>0</v>
      </c>
      <c r="I538">
        <v>5.75</v>
      </c>
      <c r="J538">
        <v>13</v>
      </c>
      <c r="K538">
        <v>4</v>
      </c>
      <c r="L538">
        <v>0</v>
      </c>
      <c r="M538">
        <v>0</v>
      </c>
      <c r="N538">
        <v>0</v>
      </c>
    </row>
    <row r="539" spans="1:14" x14ac:dyDescent="0.45">
      <c r="A539" t="s">
        <v>84</v>
      </c>
      <c r="B539" t="s">
        <v>637</v>
      </c>
      <c r="C539" t="s">
        <v>19</v>
      </c>
      <c r="D539" t="s">
        <v>414</v>
      </c>
      <c r="E539">
        <v>4</v>
      </c>
      <c r="F539">
        <v>0</v>
      </c>
      <c r="G539">
        <v>25</v>
      </c>
      <c r="H539">
        <v>1</v>
      </c>
      <c r="I539">
        <v>6.25</v>
      </c>
      <c r="J539">
        <v>10</v>
      </c>
      <c r="K539">
        <v>3</v>
      </c>
      <c r="L539">
        <v>0</v>
      </c>
      <c r="M539">
        <v>0</v>
      </c>
      <c r="N539">
        <v>0</v>
      </c>
    </row>
    <row r="540" spans="1:14" x14ac:dyDescent="0.45">
      <c r="A540" t="s">
        <v>84</v>
      </c>
      <c r="B540" t="s">
        <v>637</v>
      </c>
      <c r="C540" t="s">
        <v>19</v>
      </c>
      <c r="D540" t="s">
        <v>369</v>
      </c>
      <c r="E540">
        <v>4</v>
      </c>
      <c r="F540">
        <v>0</v>
      </c>
      <c r="G540">
        <v>32</v>
      </c>
      <c r="H540">
        <v>1</v>
      </c>
      <c r="I540">
        <v>8</v>
      </c>
      <c r="J540">
        <v>7</v>
      </c>
      <c r="K540">
        <v>2</v>
      </c>
      <c r="L540">
        <v>0</v>
      </c>
      <c r="M540">
        <v>2</v>
      </c>
      <c r="N540">
        <v>2</v>
      </c>
    </row>
    <row r="541" spans="1:14" x14ac:dyDescent="0.45">
      <c r="A541" t="s">
        <v>84</v>
      </c>
      <c r="B541" t="s">
        <v>637</v>
      </c>
      <c r="C541" t="s">
        <v>19</v>
      </c>
      <c r="D541" t="s">
        <v>366</v>
      </c>
      <c r="E541">
        <v>2</v>
      </c>
      <c r="F541">
        <v>0</v>
      </c>
      <c r="G541">
        <v>17</v>
      </c>
      <c r="H541">
        <v>0</v>
      </c>
      <c r="I541">
        <v>8.5</v>
      </c>
      <c r="J541">
        <v>2</v>
      </c>
      <c r="K541">
        <v>2</v>
      </c>
      <c r="L541">
        <v>0</v>
      </c>
      <c r="M541">
        <v>0</v>
      </c>
      <c r="N541">
        <v>0</v>
      </c>
    </row>
    <row r="542" spans="1:14" x14ac:dyDescent="0.45">
      <c r="A542" t="s">
        <v>84</v>
      </c>
      <c r="B542" t="s">
        <v>637</v>
      </c>
      <c r="C542" t="s">
        <v>19</v>
      </c>
      <c r="D542" t="s">
        <v>435</v>
      </c>
      <c r="E542">
        <v>4</v>
      </c>
      <c r="F542">
        <v>0</v>
      </c>
      <c r="G542">
        <v>29</v>
      </c>
      <c r="H542">
        <v>1</v>
      </c>
      <c r="I542">
        <v>7.25</v>
      </c>
      <c r="J542">
        <v>9</v>
      </c>
      <c r="K542">
        <v>2</v>
      </c>
      <c r="L542">
        <v>1</v>
      </c>
      <c r="M542">
        <v>1</v>
      </c>
      <c r="N542">
        <v>0</v>
      </c>
    </row>
    <row r="543" spans="1:14" x14ac:dyDescent="0.45">
      <c r="A543" t="s">
        <v>84</v>
      </c>
      <c r="B543" t="s">
        <v>637</v>
      </c>
      <c r="C543" t="s">
        <v>19</v>
      </c>
      <c r="D543" t="s">
        <v>362</v>
      </c>
      <c r="E543">
        <v>1.1000000000000001</v>
      </c>
      <c r="F543">
        <v>0</v>
      </c>
      <c r="G543">
        <v>9</v>
      </c>
      <c r="H543">
        <v>1</v>
      </c>
      <c r="I543">
        <v>7.71</v>
      </c>
      <c r="J543">
        <v>3</v>
      </c>
      <c r="K543">
        <v>1</v>
      </c>
      <c r="L543">
        <v>0</v>
      </c>
      <c r="M543">
        <v>0</v>
      </c>
      <c r="N543">
        <v>1</v>
      </c>
    </row>
    <row r="544" spans="1:14" x14ac:dyDescent="0.45">
      <c r="A544" t="s">
        <v>86</v>
      </c>
      <c r="B544" t="s">
        <v>636</v>
      </c>
      <c r="C544" t="s">
        <v>23</v>
      </c>
      <c r="D544" t="s">
        <v>392</v>
      </c>
      <c r="E544">
        <v>4</v>
      </c>
      <c r="F544">
        <v>0</v>
      </c>
      <c r="G544">
        <v>40</v>
      </c>
      <c r="H544">
        <v>0</v>
      </c>
      <c r="I544">
        <v>10</v>
      </c>
      <c r="J544">
        <v>7</v>
      </c>
      <c r="K544">
        <v>6</v>
      </c>
      <c r="L544">
        <v>1</v>
      </c>
      <c r="M544">
        <v>0</v>
      </c>
      <c r="N544">
        <v>0</v>
      </c>
    </row>
    <row r="545" spans="1:14" x14ac:dyDescent="0.45">
      <c r="A545" t="s">
        <v>86</v>
      </c>
      <c r="B545" t="s">
        <v>636</v>
      </c>
      <c r="C545" t="s">
        <v>23</v>
      </c>
      <c r="D545" t="s">
        <v>394</v>
      </c>
      <c r="E545">
        <v>4</v>
      </c>
      <c r="F545">
        <v>0</v>
      </c>
      <c r="G545">
        <v>36</v>
      </c>
      <c r="H545">
        <v>3</v>
      </c>
      <c r="I545">
        <v>9</v>
      </c>
      <c r="J545">
        <v>9</v>
      </c>
      <c r="K545">
        <v>1</v>
      </c>
      <c r="L545">
        <v>2</v>
      </c>
      <c r="M545">
        <v>3</v>
      </c>
      <c r="N545">
        <v>0</v>
      </c>
    </row>
    <row r="546" spans="1:14" x14ac:dyDescent="0.45">
      <c r="A546" t="s">
        <v>86</v>
      </c>
      <c r="B546" t="s">
        <v>636</v>
      </c>
      <c r="C546" t="s">
        <v>23</v>
      </c>
      <c r="D546" t="s">
        <v>396</v>
      </c>
      <c r="E546">
        <v>4</v>
      </c>
      <c r="F546">
        <v>0</v>
      </c>
      <c r="G546">
        <v>37</v>
      </c>
      <c r="H546">
        <v>1</v>
      </c>
      <c r="I546">
        <v>9.25</v>
      </c>
      <c r="J546">
        <v>9</v>
      </c>
      <c r="K546">
        <v>1</v>
      </c>
      <c r="L546">
        <v>2</v>
      </c>
      <c r="M546">
        <v>2</v>
      </c>
      <c r="N546">
        <v>1</v>
      </c>
    </row>
    <row r="547" spans="1:14" x14ac:dyDescent="0.45">
      <c r="A547" t="s">
        <v>86</v>
      </c>
      <c r="B547" t="s">
        <v>636</v>
      </c>
      <c r="C547" t="s">
        <v>23</v>
      </c>
      <c r="D547" t="s">
        <v>391</v>
      </c>
      <c r="E547">
        <v>4</v>
      </c>
      <c r="F547">
        <v>0</v>
      </c>
      <c r="G547">
        <v>33</v>
      </c>
      <c r="H547">
        <v>2</v>
      </c>
      <c r="I547">
        <v>8.25</v>
      </c>
      <c r="J547">
        <v>11</v>
      </c>
      <c r="K547">
        <v>4</v>
      </c>
      <c r="L547">
        <v>1</v>
      </c>
      <c r="M547">
        <v>2</v>
      </c>
      <c r="N547">
        <v>0</v>
      </c>
    </row>
    <row r="548" spans="1:14" x14ac:dyDescent="0.45">
      <c r="A548" t="s">
        <v>86</v>
      </c>
      <c r="B548" t="s">
        <v>636</v>
      </c>
      <c r="C548" t="s">
        <v>23</v>
      </c>
      <c r="D548" t="s">
        <v>390</v>
      </c>
      <c r="E548">
        <v>3</v>
      </c>
      <c r="F548">
        <v>0</v>
      </c>
      <c r="G548">
        <v>21</v>
      </c>
      <c r="H548">
        <v>1</v>
      </c>
      <c r="I548">
        <v>7</v>
      </c>
      <c r="J548">
        <v>8</v>
      </c>
      <c r="K548">
        <v>0</v>
      </c>
      <c r="L548">
        <v>2</v>
      </c>
      <c r="M548">
        <v>0</v>
      </c>
      <c r="N548">
        <v>0</v>
      </c>
    </row>
    <row r="549" spans="1:14" x14ac:dyDescent="0.45">
      <c r="A549" t="s">
        <v>86</v>
      </c>
      <c r="B549" t="s">
        <v>636</v>
      </c>
      <c r="C549" t="s">
        <v>23</v>
      </c>
      <c r="D549" t="s">
        <v>431</v>
      </c>
      <c r="E549">
        <v>1</v>
      </c>
      <c r="F549">
        <v>0</v>
      </c>
      <c r="G549">
        <v>16</v>
      </c>
      <c r="H549">
        <v>0</v>
      </c>
      <c r="I549">
        <v>16</v>
      </c>
      <c r="J549">
        <v>2</v>
      </c>
      <c r="K549">
        <v>0</v>
      </c>
      <c r="L549">
        <v>2</v>
      </c>
      <c r="M549">
        <v>1</v>
      </c>
      <c r="N549">
        <v>0</v>
      </c>
    </row>
    <row r="550" spans="1:14" x14ac:dyDescent="0.45">
      <c r="A550" t="s">
        <v>86</v>
      </c>
      <c r="B550" t="s">
        <v>636</v>
      </c>
      <c r="C550" t="s">
        <v>6</v>
      </c>
      <c r="D550" t="s">
        <v>324</v>
      </c>
      <c r="E550">
        <v>3</v>
      </c>
      <c r="F550">
        <v>0</v>
      </c>
      <c r="G550">
        <v>32</v>
      </c>
      <c r="H550">
        <v>0</v>
      </c>
      <c r="I550">
        <v>10.66</v>
      </c>
      <c r="J550">
        <v>7</v>
      </c>
      <c r="K550">
        <v>4</v>
      </c>
      <c r="L550">
        <v>1</v>
      </c>
      <c r="M550">
        <v>1</v>
      </c>
      <c r="N550">
        <v>0</v>
      </c>
    </row>
    <row r="551" spans="1:14" x14ac:dyDescent="0.45">
      <c r="A551" t="s">
        <v>86</v>
      </c>
      <c r="B551" t="s">
        <v>636</v>
      </c>
      <c r="C551" t="s">
        <v>6</v>
      </c>
      <c r="D551" t="s">
        <v>420</v>
      </c>
      <c r="E551">
        <v>4</v>
      </c>
      <c r="F551">
        <v>0</v>
      </c>
      <c r="G551">
        <v>24</v>
      </c>
      <c r="H551">
        <v>2</v>
      </c>
      <c r="I551">
        <v>6</v>
      </c>
      <c r="J551">
        <v>14</v>
      </c>
      <c r="K551">
        <v>1</v>
      </c>
      <c r="L551">
        <v>2</v>
      </c>
      <c r="M551">
        <v>0</v>
      </c>
      <c r="N551">
        <v>0</v>
      </c>
    </row>
    <row r="552" spans="1:14" x14ac:dyDescent="0.45">
      <c r="A552" t="s">
        <v>86</v>
      </c>
      <c r="B552" t="s">
        <v>636</v>
      </c>
      <c r="C552" t="s">
        <v>6</v>
      </c>
      <c r="D552" t="s">
        <v>326</v>
      </c>
      <c r="E552">
        <v>3</v>
      </c>
      <c r="F552">
        <v>0</v>
      </c>
      <c r="G552">
        <v>20</v>
      </c>
      <c r="H552">
        <v>1</v>
      </c>
      <c r="I552">
        <v>6.66</v>
      </c>
      <c r="J552">
        <v>9</v>
      </c>
      <c r="K552">
        <v>3</v>
      </c>
      <c r="L552">
        <v>0</v>
      </c>
      <c r="M552">
        <v>2</v>
      </c>
      <c r="N552">
        <v>0</v>
      </c>
    </row>
    <row r="553" spans="1:14" x14ac:dyDescent="0.45">
      <c r="A553" t="s">
        <v>86</v>
      </c>
      <c r="B553" t="s">
        <v>636</v>
      </c>
      <c r="C553" t="s">
        <v>6</v>
      </c>
      <c r="D553" t="s">
        <v>328</v>
      </c>
      <c r="E553">
        <v>4</v>
      </c>
      <c r="F553">
        <v>0</v>
      </c>
      <c r="G553">
        <v>28</v>
      </c>
      <c r="H553">
        <v>2</v>
      </c>
      <c r="I553">
        <v>7</v>
      </c>
      <c r="J553">
        <v>9</v>
      </c>
      <c r="K553">
        <v>2</v>
      </c>
      <c r="L553">
        <v>1</v>
      </c>
      <c r="M553">
        <v>0</v>
      </c>
      <c r="N553">
        <v>1</v>
      </c>
    </row>
    <row r="554" spans="1:14" x14ac:dyDescent="0.45">
      <c r="A554" t="s">
        <v>86</v>
      </c>
      <c r="B554" t="s">
        <v>636</v>
      </c>
      <c r="C554" t="s">
        <v>6</v>
      </c>
      <c r="D554" t="s">
        <v>327</v>
      </c>
      <c r="E554">
        <v>3</v>
      </c>
      <c r="F554">
        <v>0</v>
      </c>
      <c r="G554">
        <v>28</v>
      </c>
      <c r="H554">
        <v>1</v>
      </c>
      <c r="I554">
        <v>9.33</v>
      </c>
      <c r="J554">
        <v>8</v>
      </c>
      <c r="K554">
        <v>0</v>
      </c>
      <c r="L554">
        <v>2</v>
      </c>
      <c r="M554">
        <v>5</v>
      </c>
      <c r="N554">
        <v>0</v>
      </c>
    </row>
    <row r="555" spans="1:14" x14ac:dyDescent="0.45">
      <c r="A555" t="s">
        <v>86</v>
      </c>
      <c r="B555" t="s">
        <v>636</v>
      </c>
      <c r="C555" t="s">
        <v>6</v>
      </c>
      <c r="D555" t="s">
        <v>299</v>
      </c>
      <c r="E555">
        <v>3</v>
      </c>
      <c r="F555">
        <v>0</v>
      </c>
      <c r="G555">
        <v>7</v>
      </c>
      <c r="H555">
        <v>3</v>
      </c>
      <c r="I555">
        <v>2.33</v>
      </c>
      <c r="J555">
        <v>11</v>
      </c>
      <c r="K555">
        <v>0</v>
      </c>
      <c r="L555">
        <v>0</v>
      </c>
      <c r="M555">
        <v>0</v>
      </c>
      <c r="N555">
        <v>0</v>
      </c>
    </row>
    <row r="556" spans="1:14" x14ac:dyDescent="0.45">
      <c r="A556" t="s">
        <v>87</v>
      </c>
      <c r="B556" t="s">
        <v>652</v>
      </c>
      <c r="C556" t="s">
        <v>10</v>
      </c>
      <c r="D556" t="s">
        <v>474</v>
      </c>
      <c r="E556">
        <v>4</v>
      </c>
      <c r="F556">
        <v>0</v>
      </c>
      <c r="G556">
        <v>42</v>
      </c>
      <c r="H556">
        <v>1</v>
      </c>
      <c r="I556">
        <v>10.5</v>
      </c>
      <c r="J556">
        <v>9</v>
      </c>
      <c r="K556">
        <v>5</v>
      </c>
      <c r="L556">
        <v>2</v>
      </c>
      <c r="M556">
        <v>0</v>
      </c>
      <c r="N556">
        <v>1</v>
      </c>
    </row>
    <row r="557" spans="1:14" x14ac:dyDescent="0.45">
      <c r="A557" t="s">
        <v>87</v>
      </c>
      <c r="B557" t="s">
        <v>652</v>
      </c>
      <c r="C557" t="s">
        <v>10</v>
      </c>
      <c r="D557" t="s">
        <v>475</v>
      </c>
      <c r="E557">
        <v>3</v>
      </c>
      <c r="F557">
        <v>0</v>
      </c>
      <c r="G557">
        <v>32</v>
      </c>
      <c r="H557">
        <v>1</v>
      </c>
      <c r="I557">
        <v>10.66</v>
      </c>
      <c r="J557">
        <v>6</v>
      </c>
      <c r="K557">
        <v>4</v>
      </c>
      <c r="L557">
        <v>1</v>
      </c>
      <c r="M557">
        <v>0</v>
      </c>
      <c r="N557">
        <v>1</v>
      </c>
    </row>
    <row r="558" spans="1:14" x14ac:dyDescent="0.45">
      <c r="A558" t="s">
        <v>87</v>
      </c>
      <c r="B558" t="s">
        <v>652</v>
      </c>
      <c r="C558" t="s">
        <v>10</v>
      </c>
      <c r="D558" t="s">
        <v>339</v>
      </c>
      <c r="E558">
        <v>4</v>
      </c>
      <c r="F558">
        <v>0</v>
      </c>
      <c r="G558">
        <v>28</v>
      </c>
      <c r="H558">
        <v>0</v>
      </c>
      <c r="I558">
        <v>7</v>
      </c>
      <c r="J558">
        <v>7</v>
      </c>
      <c r="K558">
        <v>2</v>
      </c>
      <c r="L558">
        <v>1</v>
      </c>
      <c r="M558">
        <v>0</v>
      </c>
      <c r="N558">
        <v>0</v>
      </c>
    </row>
    <row r="559" spans="1:14" x14ac:dyDescent="0.45">
      <c r="A559" t="s">
        <v>87</v>
      </c>
      <c r="B559" t="s">
        <v>652</v>
      </c>
      <c r="C559" t="s">
        <v>10</v>
      </c>
      <c r="D559" t="s">
        <v>341</v>
      </c>
      <c r="E559">
        <v>4</v>
      </c>
      <c r="F559">
        <v>0</v>
      </c>
      <c r="G559">
        <v>43</v>
      </c>
      <c r="H559">
        <v>1</v>
      </c>
      <c r="I559">
        <v>10.75</v>
      </c>
      <c r="J559">
        <v>8</v>
      </c>
      <c r="K559">
        <v>2</v>
      </c>
      <c r="L559">
        <v>4</v>
      </c>
      <c r="M559">
        <v>0</v>
      </c>
      <c r="N559">
        <v>0</v>
      </c>
    </row>
    <row r="560" spans="1:14" x14ac:dyDescent="0.45">
      <c r="A560" t="s">
        <v>87</v>
      </c>
      <c r="B560" t="s">
        <v>652</v>
      </c>
      <c r="C560" t="s">
        <v>10</v>
      </c>
      <c r="D560" t="s">
        <v>436</v>
      </c>
      <c r="E560">
        <v>1</v>
      </c>
      <c r="F560">
        <v>0</v>
      </c>
      <c r="G560">
        <v>11</v>
      </c>
      <c r="H560">
        <v>0</v>
      </c>
      <c r="I560">
        <v>11</v>
      </c>
      <c r="J560">
        <v>1</v>
      </c>
      <c r="K560">
        <v>2</v>
      </c>
      <c r="L560">
        <v>0</v>
      </c>
      <c r="M560">
        <v>0</v>
      </c>
      <c r="N560">
        <v>0</v>
      </c>
    </row>
    <row r="561" spans="1:14" x14ac:dyDescent="0.45">
      <c r="A561" t="s">
        <v>87</v>
      </c>
      <c r="B561" t="s">
        <v>652</v>
      </c>
      <c r="C561" t="s">
        <v>10</v>
      </c>
      <c r="D561" t="s">
        <v>340</v>
      </c>
      <c r="E561">
        <v>4</v>
      </c>
      <c r="F561">
        <v>0</v>
      </c>
      <c r="G561">
        <v>33</v>
      </c>
      <c r="H561">
        <v>1</v>
      </c>
      <c r="I561">
        <v>8.25</v>
      </c>
      <c r="J561">
        <v>9</v>
      </c>
      <c r="K561">
        <v>2</v>
      </c>
      <c r="L561">
        <v>2</v>
      </c>
      <c r="M561">
        <v>0</v>
      </c>
      <c r="N561">
        <v>0</v>
      </c>
    </row>
    <row r="562" spans="1:14" x14ac:dyDescent="0.45">
      <c r="A562" t="s">
        <v>87</v>
      </c>
      <c r="B562" t="s">
        <v>652</v>
      </c>
      <c r="C562" t="s">
        <v>26</v>
      </c>
      <c r="D562" t="s">
        <v>405</v>
      </c>
      <c r="E562">
        <v>3</v>
      </c>
      <c r="F562">
        <v>0</v>
      </c>
      <c r="G562">
        <v>22</v>
      </c>
      <c r="H562">
        <v>1</v>
      </c>
      <c r="I562">
        <v>7.33</v>
      </c>
      <c r="J562">
        <v>3</v>
      </c>
      <c r="K562">
        <v>1</v>
      </c>
      <c r="L562">
        <v>0</v>
      </c>
      <c r="M562">
        <v>0</v>
      </c>
      <c r="N562">
        <v>0</v>
      </c>
    </row>
    <row r="563" spans="1:14" x14ac:dyDescent="0.45">
      <c r="A563" t="s">
        <v>87</v>
      </c>
      <c r="B563" t="s">
        <v>652</v>
      </c>
      <c r="C563" t="s">
        <v>26</v>
      </c>
      <c r="D563" t="s">
        <v>403</v>
      </c>
      <c r="E563">
        <v>4</v>
      </c>
      <c r="F563">
        <v>0</v>
      </c>
      <c r="G563">
        <v>53</v>
      </c>
      <c r="H563">
        <v>0</v>
      </c>
      <c r="I563">
        <v>13.25</v>
      </c>
      <c r="J563">
        <v>8</v>
      </c>
      <c r="K563">
        <v>6</v>
      </c>
      <c r="L563">
        <v>3</v>
      </c>
      <c r="M563">
        <v>0</v>
      </c>
      <c r="N563">
        <v>2</v>
      </c>
    </row>
    <row r="564" spans="1:14" x14ac:dyDescent="0.45">
      <c r="A564" t="s">
        <v>87</v>
      </c>
      <c r="B564" t="s">
        <v>652</v>
      </c>
      <c r="C564" t="s">
        <v>26</v>
      </c>
      <c r="D564" t="s">
        <v>476</v>
      </c>
      <c r="E564">
        <v>3</v>
      </c>
      <c r="F564">
        <v>0</v>
      </c>
      <c r="G564">
        <v>27</v>
      </c>
      <c r="H564">
        <v>0</v>
      </c>
      <c r="I564">
        <v>9</v>
      </c>
      <c r="J564">
        <v>5</v>
      </c>
      <c r="K564">
        <v>4</v>
      </c>
      <c r="L564">
        <v>0</v>
      </c>
      <c r="M564">
        <v>0</v>
      </c>
      <c r="N564">
        <v>0</v>
      </c>
    </row>
    <row r="565" spans="1:14" x14ac:dyDescent="0.45">
      <c r="A565" t="s">
        <v>87</v>
      </c>
      <c r="B565" t="s">
        <v>652</v>
      </c>
      <c r="C565" t="s">
        <v>26</v>
      </c>
      <c r="D565" t="s">
        <v>477</v>
      </c>
      <c r="E565">
        <v>4</v>
      </c>
      <c r="F565">
        <v>0</v>
      </c>
      <c r="G565">
        <v>41</v>
      </c>
      <c r="H565">
        <v>2</v>
      </c>
      <c r="I565">
        <v>10.25</v>
      </c>
      <c r="J565">
        <v>8</v>
      </c>
      <c r="K565">
        <v>2</v>
      </c>
      <c r="L565">
        <v>3</v>
      </c>
      <c r="M565">
        <v>1</v>
      </c>
      <c r="N565">
        <v>0</v>
      </c>
    </row>
    <row r="566" spans="1:14" x14ac:dyDescent="0.45">
      <c r="A566" t="s">
        <v>87</v>
      </c>
      <c r="B566" t="s">
        <v>652</v>
      </c>
      <c r="C566" t="s">
        <v>26</v>
      </c>
      <c r="D566" t="s">
        <v>426</v>
      </c>
      <c r="E566">
        <v>2</v>
      </c>
      <c r="F566">
        <v>0</v>
      </c>
      <c r="G566">
        <v>18</v>
      </c>
      <c r="H566">
        <v>0</v>
      </c>
      <c r="I566">
        <v>9</v>
      </c>
      <c r="J566">
        <v>1</v>
      </c>
      <c r="K566">
        <v>2</v>
      </c>
      <c r="L566">
        <v>0</v>
      </c>
      <c r="M566">
        <v>0</v>
      </c>
      <c r="N566">
        <v>0</v>
      </c>
    </row>
    <row r="567" spans="1:14" x14ac:dyDescent="0.45">
      <c r="A567" t="s">
        <v>87</v>
      </c>
      <c r="B567" t="s">
        <v>652</v>
      </c>
      <c r="C567" t="s">
        <v>26</v>
      </c>
      <c r="D567" t="s">
        <v>457</v>
      </c>
      <c r="E567">
        <v>2.2000000000000002</v>
      </c>
      <c r="F567">
        <v>0</v>
      </c>
      <c r="G567">
        <v>35</v>
      </c>
      <c r="H567">
        <v>1</v>
      </c>
      <c r="I567">
        <v>15</v>
      </c>
      <c r="J567">
        <v>4</v>
      </c>
      <c r="K567">
        <v>6</v>
      </c>
      <c r="L567">
        <v>0</v>
      </c>
      <c r="M567">
        <v>1</v>
      </c>
      <c r="N567">
        <v>1</v>
      </c>
    </row>
    <row r="568" spans="1:14" x14ac:dyDescent="0.45">
      <c r="A568" t="s">
        <v>89</v>
      </c>
      <c r="B568" t="s">
        <v>625</v>
      </c>
      <c r="C568" t="s">
        <v>7</v>
      </c>
      <c r="D568" t="s">
        <v>478</v>
      </c>
      <c r="E568">
        <v>4</v>
      </c>
      <c r="F568">
        <v>0</v>
      </c>
      <c r="G568">
        <v>38</v>
      </c>
      <c r="H568">
        <v>0</v>
      </c>
      <c r="I568">
        <v>9.5</v>
      </c>
      <c r="J568">
        <v>10</v>
      </c>
      <c r="K568">
        <v>4</v>
      </c>
      <c r="L568">
        <v>2</v>
      </c>
      <c r="M568">
        <v>1</v>
      </c>
      <c r="N568">
        <v>1</v>
      </c>
    </row>
    <row r="569" spans="1:14" x14ac:dyDescent="0.45">
      <c r="A569" t="s">
        <v>89</v>
      </c>
      <c r="B569" t="s">
        <v>625</v>
      </c>
      <c r="C569" t="s">
        <v>7</v>
      </c>
      <c r="D569" t="s">
        <v>322</v>
      </c>
      <c r="E569">
        <v>4</v>
      </c>
      <c r="F569">
        <v>0</v>
      </c>
      <c r="G569">
        <v>39</v>
      </c>
      <c r="H569">
        <v>2</v>
      </c>
      <c r="I569">
        <v>9.75</v>
      </c>
      <c r="J569">
        <v>6</v>
      </c>
      <c r="K569">
        <v>3</v>
      </c>
      <c r="L569">
        <v>2</v>
      </c>
      <c r="M569">
        <v>0</v>
      </c>
      <c r="N569">
        <v>1</v>
      </c>
    </row>
    <row r="570" spans="1:14" x14ac:dyDescent="0.45">
      <c r="A570" t="s">
        <v>89</v>
      </c>
      <c r="B570" t="s">
        <v>625</v>
      </c>
      <c r="C570" t="s">
        <v>7</v>
      </c>
      <c r="D570" t="s">
        <v>313</v>
      </c>
      <c r="E570">
        <v>2</v>
      </c>
      <c r="F570">
        <v>0</v>
      </c>
      <c r="G570">
        <v>24</v>
      </c>
      <c r="H570">
        <v>0</v>
      </c>
      <c r="I570">
        <v>12</v>
      </c>
      <c r="J570">
        <v>2</v>
      </c>
      <c r="K570">
        <v>3</v>
      </c>
      <c r="L570">
        <v>1</v>
      </c>
      <c r="M570">
        <v>0</v>
      </c>
      <c r="N570">
        <v>0</v>
      </c>
    </row>
    <row r="571" spans="1:14" x14ac:dyDescent="0.45">
      <c r="A571" t="s">
        <v>89</v>
      </c>
      <c r="B571" t="s">
        <v>625</v>
      </c>
      <c r="C571" t="s">
        <v>7</v>
      </c>
      <c r="D571" t="s">
        <v>465</v>
      </c>
      <c r="E571">
        <v>4</v>
      </c>
      <c r="F571">
        <v>0</v>
      </c>
      <c r="G571">
        <v>34</v>
      </c>
      <c r="H571">
        <v>1</v>
      </c>
      <c r="I571">
        <v>8.5</v>
      </c>
      <c r="J571">
        <v>6</v>
      </c>
      <c r="K571">
        <v>3</v>
      </c>
      <c r="L571">
        <v>0</v>
      </c>
      <c r="M571">
        <v>2</v>
      </c>
      <c r="N571">
        <v>0</v>
      </c>
    </row>
    <row r="572" spans="1:14" x14ac:dyDescent="0.45">
      <c r="A572" t="s">
        <v>89</v>
      </c>
      <c r="B572" t="s">
        <v>625</v>
      </c>
      <c r="C572" t="s">
        <v>7</v>
      </c>
      <c r="D572" t="s">
        <v>441</v>
      </c>
      <c r="E572">
        <v>4</v>
      </c>
      <c r="F572">
        <v>0</v>
      </c>
      <c r="G572">
        <v>31</v>
      </c>
      <c r="H572">
        <v>1</v>
      </c>
      <c r="I572">
        <v>7.75</v>
      </c>
      <c r="J572">
        <v>10</v>
      </c>
      <c r="K572">
        <v>4</v>
      </c>
      <c r="L572">
        <v>0</v>
      </c>
      <c r="M572">
        <v>0</v>
      </c>
      <c r="N572">
        <v>1</v>
      </c>
    </row>
    <row r="573" spans="1:14" x14ac:dyDescent="0.45">
      <c r="A573" t="s">
        <v>89</v>
      </c>
      <c r="B573" t="s">
        <v>625</v>
      </c>
      <c r="C573" t="s">
        <v>7</v>
      </c>
      <c r="D573" t="s">
        <v>440</v>
      </c>
      <c r="E573">
        <v>2</v>
      </c>
      <c r="F573">
        <v>0</v>
      </c>
      <c r="G573">
        <v>38</v>
      </c>
      <c r="H573">
        <v>0</v>
      </c>
      <c r="I573">
        <v>19</v>
      </c>
      <c r="J573">
        <v>3</v>
      </c>
      <c r="K573">
        <v>5</v>
      </c>
      <c r="L573">
        <v>2</v>
      </c>
      <c r="M573">
        <v>2</v>
      </c>
      <c r="N573">
        <v>0</v>
      </c>
    </row>
    <row r="574" spans="1:14" x14ac:dyDescent="0.45">
      <c r="A574" t="s">
        <v>89</v>
      </c>
      <c r="B574" t="s">
        <v>625</v>
      </c>
      <c r="C574" t="s">
        <v>13</v>
      </c>
      <c r="D574" t="s">
        <v>352</v>
      </c>
      <c r="E574">
        <v>3</v>
      </c>
      <c r="F574">
        <v>0</v>
      </c>
      <c r="G574">
        <v>17</v>
      </c>
      <c r="H574">
        <v>0</v>
      </c>
      <c r="I574">
        <v>5.66</v>
      </c>
      <c r="J574">
        <v>11</v>
      </c>
      <c r="K574">
        <v>3</v>
      </c>
      <c r="L574">
        <v>0</v>
      </c>
      <c r="M574">
        <v>1</v>
      </c>
      <c r="N574">
        <v>0</v>
      </c>
    </row>
    <row r="575" spans="1:14" x14ac:dyDescent="0.45">
      <c r="A575" t="s">
        <v>89</v>
      </c>
      <c r="B575" t="s">
        <v>625</v>
      </c>
      <c r="C575" t="s">
        <v>13</v>
      </c>
      <c r="D575" t="s">
        <v>438</v>
      </c>
      <c r="E575">
        <v>3</v>
      </c>
      <c r="F575">
        <v>0</v>
      </c>
      <c r="G575">
        <v>41</v>
      </c>
      <c r="H575">
        <v>3</v>
      </c>
      <c r="I575">
        <v>13.66</v>
      </c>
      <c r="J575">
        <v>7</v>
      </c>
      <c r="K575">
        <v>3</v>
      </c>
      <c r="L575">
        <v>4</v>
      </c>
      <c r="M575">
        <v>1</v>
      </c>
      <c r="N575">
        <v>0</v>
      </c>
    </row>
    <row r="576" spans="1:14" x14ac:dyDescent="0.45">
      <c r="A576" t="s">
        <v>89</v>
      </c>
      <c r="B576" t="s">
        <v>625</v>
      </c>
      <c r="C576" t="s">
        <v>13</v>
      </c>
      <c r="D576" t="s">
        <v>353</v>
      </c>
      <c r="E576">
        <v>4</v>
      </c>
      <c r="F576">
        <v>0</v>
      </c>
      <c r="G576">
        <v>34</v>
      </c>
      <c r="H576">
        <v>2</v>
      </c>
      <c r="I576">
        <v>8.5</v>
      </c>
      <c r="J576">
        <v>10</v>
      </c>
      <c r="K576">
        <v>5</v>
      </c>
      <c r="L576">
        <v>1</v>
      </c>
      <c r="M576">
        <v>0</v>
      </c>
      <c r="N576">
        <v>0</v>
      </c>
    </row>
    <row r="577" spans="1:14" x14ac:dyDescent="0.45">
      <c r="A577" t="s">
        <v>89</v>
      </c>
      <c r="B577" t="s">
        <v>625</v>
      </c>
      <c r="C577" t="s">
        <v>13</v>
      </c>
      <c r="D577" t="s">
        <v>467</v>
      </c>
      <c r="E577">
        <v>4</v>
      </c>
      <c r="F577">
        <v>0</v>
      </c>
      <c r="G577">
        <v>33</v>
      </c>
      <c r="H577">
        <v>1</v>
      </c>
      <c r="I577">
        <v>8.25</v>
      </c>
      <c r="J577">
        <v>7</v>
      </c>
      <c r="K577">
        <v>3</v>
      </c>
      <c r="L577">
        <v>1</v>
      </c>
      <c r="M577">
        <v>1</v>
      </c>
      <c r="N577">
        <v>0</v>
      </c>
    </row>
    <row r="578" spans="1:14" x14ac:dyDescent="0.45">
      <c r="A578" t="s">
        <v>89</v>
      </c>
      <c r="B578" t="s">
        <v>625</v>
      </c>
      <c r="C578" t="s">
        <v>13</v>
      </c>
      <c r="D578" t="s">
        <v>345</v>
      </c>
      <c r="E578">
        <v>2</v>
      </c>
      <c r="F578">
        <v>0</v>
      </c>
      <c r="G578">
        <v>24</v>
      </c>
      <c r="H578">
        <v>0</v>
      </c>
      <c r="I578">
        <v>12</v>
      </c>
      <c r="J578">
        <v>3</v>
      </c>
      <c r="K578">
        <v>0</v>
      </c>
      <c r="L578">
        <v>3</v>
      </c>
      <c r="M578">
        <v>0</v>
      </c>
      <c r="N578">
        <v>0</v>
      </c>
    </row>
    <row r="579" spans="1:14" x14ac:dyDescent="0.45">
      <c r="A579" t="s">
        <v>89</v>
      </c>
      <c r="B579" t="s">
        <v>625</v>
      </c>
      <c r="C579" t="s">
        <v>13</v>
      </c>
      <c r="D579" t="s">
        <v>349</v>
      </c>
      <c r="E579">
        <v>4</v>
      </c>
      <c r="F579">
        <v>0</v>
      </c>
      <c r="G579">
        <v>17</v>
      </c>
      <c r="H579">
        <v>2</v>
      </c>
      <c r="I579">
        <v>4.25</v>
      </c>
      <c r="J579">
        <v>7</v>
      </c>
      <c r="K579">
        <v>0</v>
      </c>
      <c r="L579">
        <v>0</v>
      </c>
      <c r="M579">
        <v>0</v>
      </c>
      <c r="N579">
        <v>0</v>
      </c>
    </row>
    <row r="580" spans="1:14" x14ac:dyDescent="0.45">
      <c r="A580" t="s">
        <v>91</v>
      </c>
      <c r="B580" t="s">
        <v>628</v>
      </c>
      <c r="C580" t="s">
        <v>20</v>
      </c>
      <c r="D580" t="s">
        <v>409</v>
      </c>
      <c r="E580">
        <v>4</v>
      </c>
      <c r="F580">
        <v>0</v>
      </c>
      <c r="G580">
        <v>45</v>
      </c>
      <c r="H580">
        <v>0</v>
      </c>
      <c r="I580">
        <v>11.25</v>
      </c>
      <c r="J580">
        <v>6</v>
      </c>
      <c r="K580">
        <v>3</v>
      </c>
      <c r="L580">
        <v>3</v>
      </c>
      <c r="M580">
        <v>0</v>
      </c>
      <c r="N580">
        <v>0</v>
      </c>
    </row>
    <row r="581" spans="1:14" x14ac:dyDescent="0.45">
      <c r="A581" t="s">
        <v>91</v>
      </c>
      <c r="B581" t="s">
        <v>628</v>
      </c>
      <c r="C581" t="s">
        <v>20</v>
      </c>
      <c r="D581" t="s">
        <v>444</v>
      </c>
      <c r="E581">
        <v>4</v>
      </c>
      <c r="F581">
        <v>0</v>
      </c>
      <c r="G581">
        <v>24</v>
      </c>
      <c r="H581">
        <v>1</v>
      </c>
      <c r="I581">
        <v>6</v>
      </c>
      <c r="J581">
        <v>12</v>
      </c>
      <c r="K581">
        <v>3</v>
      </c>
      <c r="L581">
        <v>0</v>
      </c>
      <c r="M581">
        <v>1</v>
      </c>
      <c r="N581">
        <v>1</v>
      </c>
    </row>
    <row r="582" spans="1:14" x14ac:dyDescent="0.45">
      <c r="A582" t="s">
        <v>91</v>
      </c>
      <c r="B582" t="s">
        <v>628</v>
      </c>
      <c r="C582" t="s">
        <v>20</v>
      </c>
      <c r="D582" t="s">
        <v>480</v>
      </c>
      <c r="E582">
        <v>4</v>
      </c>
      <c r="F582">
        <v>0</v>
      </c>
      <c r="G582">
        <v>29</v>
      </c>
      <c r="H582">
        <v>2</v>
      </c>
      <c r="I582">
        <v>7.25</v>
      </c>
      <c r="J582">
        <v>10</v>
      </c>
      <c r="K582">
        <v>1</v>
      </c>
      <c r="L582">
        <v>2</v>
      </c>
      <c r="M582">
        <v>2</v>
      </c>
      <c r="N582">
        <v>0</v>
      </c>
    </row>
    <row r="583" spans="1:14" x14ac:dyDescent="0.45">
      <c r="A583" t="s">
        <v>91</v>
      </c>
      <c r="B583" t="s">
        <v>628</v>
      </c>
      <c r="C583" t="s">
        <v>20</v>
      </c>
      <c r="D583" t="s">
        <v>373</v>
      </c>
      <c r="E583">
        <v>1</v>
      </c>
      <c r="F583">
        <v>0</v>
      </c>
      <c r="G583">
        <v>5</v>
      </c>
      <c r="H583">
        <v>0</v>
      </c>
      <c r="I583">
        <v>5</v>
      </c>
      <c r="J583">
        <v>2</v>
      </c>
      <c r="K583">
        <v>0</v>
      </c>
      <c r="L583">
        <v>0</v>
      </c>
      <c r="M583">
        <v>0</v>
      </c>
      <c r="N583">
        <v>0</v>
      </c>
    </row>
    <row r="584" spans="1:14" x14ac:dyDescent="0.45">
      <c r="A584" t="s">
        <v>91</v>
      </c>
      <c r="B584" t="s">
        <v>628</v>
      </c>
      <c r="C584" t="s">
        <v>20</v>
      </c>
      <c r="D584" t="s">
        <v>460</v>
      </c>
      <c r="E584">
        <v>3</v>
      </c>
      <c r="F584">
        <v>0</v>
      </c>
      <c r="G584">
        <v>19</v>
      </c>
      <c r="H584">
        <v>2</v>
      </c>
      <c r="I584">
        <v>6.33</v>
      </c>
      <c r="J584">
        <v>8</v>
      </c>
      <c r="K584">
        <v>1</v>
      </c>
      <c r="L584">
        <v>1</v>
      </c>
      <c r="M584">
        <v>0</v>
      </c>
      <c r="N584">
        <v>0</v>
      </c>
    </row>
    <row r="585" spans="1:14" x14ac:dyDescent="0.45">
      <c r="A585" t="s">
        <v>91</v>
      </c>
      <c r="B585" t="s">
        <v>628</v>
      </c>
      <c r="C585" t="s">
        <v>20</v>
      </c>
      <c r="D585" t="s">
        <v>379</v>
      </c>
      <c r="E585">
        <v>4</v>
      </c>
      <c r="F585">
        <v>0</v>
      </c>
      <c r="G585">
        <v>22</v>
      </c>
      <c r="H585">
        <v>0</v>
      </c>
      <c r="I585">
        <v>5.5</v>
      </c>
      <c r="J585">
        <v>11</v>
      </c>
      <c r="K585">
        <v>2</v>
      </c>
      <c r="L585">
        <v>0</v>
      </c>
      <c r="M585">
        <v>1</v>
      </c>
      <c r="N585">
        <v>0</v>
      </c>
    </row>
    <row r="586" spans="1:14" x14ac:dyDescent="0.45">
      <c r="A586" t="s">
        <v>91</v>
      </c>
      <c r="B586" t="s">
        <v>628</v>
      </c>
      <c r="C586" t="s">
        <v>19</v>
      </c>
      <c r="D586" t="s">
        <v>370</v>
      </c>
      <c r="E586">
        <v>3.4</v>
      </c>
      <c r="F586">
        <v>0</v>
      </c>
      <c r="G586">
        <v>28</v>
      </c>
      <c r="H586">
        <v>3</v>
      </c>
      <c r="I586">
        <v>7.63</v>
      </c>
      <c r="J586">
        <v>12</v>
      </c>
      <c r="K586">
        <v>4</v>
      </c>
      <c r="L586">
        <v>1</v>
      </c>
      <c r="M586">
        <v>0</v>
      </c>
      <c r="N586">
        <v>0</v>
      </c>
    </row>
    <row r="587" spans="1:14" x14ac:dyDescent="0.45">
      <c r="A587" t="s">
        <v>91</v>
      </c>
      <c r="B587" t="s">
        <v>628</v>
      </c>
      <c r="C587" t="s">
        <v>19</v>
      </c>
      <c r="D587" t="s">
        <v>369</v>
      </c>
      <c r="E587">
        <v>4</v>
      </c>
      <c r="F587">
        <v>0</v>
      </c>
      <c r="G587">
        <v>14</v>
      </c>
      <c r="H587">
        <v>1</v>
      </c>
      <c r="I587">
        <v>3.5</v>
      </c>
      <c r="J587">
        <v>12</v>
      </c>
      <c r="K587">
        <v>0</v>
      </c>
      <c r="L587">
        <v>0</v>
      </c>
      <c r="M587">
        <v>0</v>
      </c>
      <c r="N587">
        <v>0</v>
      </c>
    </row>
    <row r="588" spans="1:14" x14ac:dyDescent="0.45">
      <c r="A588" t="s">
        <v>91</v>
      </c>
      <c r="B588" t="s">
        <v>628</v>
      </c>
      <c r="C588" t="s">
        <v>19</v>
      </c>
      <c r="D588" t="s">
        <v>439</v>
      </c>
      <c r="E588">
        <v>3</v>
      </c>
      <c r="F588">
        <v>0</v>
      </c>
      <c r="G588">
        <v>33</v>
      </c>
      <c r="H588">
        <v>0</v>
      </c>
      <c r="I588">
        <v>11</v>
      </c>
      <c r="J588">
        <v>4</v>
      </c>
      <c r="K588">
        <v>1</v>
      </c>
      <c r="L588">
        <v>3</v>
      </c>
      <c r="M588">
        <v>1</v>
      </c>
      <c r="N588">
        <v>0</v>
      </c>
    </row>
    <row r="589" spans="1:14" x14ac:dyDescent="0.45">
      <c r="A589" t="s">
        <v>91</v>
      </c>
      <c r="B589" t="s">
        <v>628</v>
      </c>
      <c r="C589" t="s">
        <v>19</v>
      </c>
      <c r="D589" t="s">
        <v>366</v>
      </c>
      <c r="E589">
        <v>3</v>
      </c>
      <c r="F589">
        <v>0</v>
      </c>
      <c r="G589">
        <v>30</v>
      </c>
      <c r="H589">
        <v>1</v>
      </c>
      <c r="I589">
        <v>10</v>
      </c>
      <c r="J589">
        <v>8</v>
      </c>
      <c r="K589">
        <v>1</v>
      </c>
      <c r="L589">
        <v>3</v>
      </c>
      <c r="M589">
        <v>0</v>
      </c>
      <c r="N589">
        <v>0</v>
      </c>
    </row>
    <row r="590" spans="1:14" x14ac:dyDescent="0.45">
      <c r="A590" t="s">
        <v>91</v>
      </c>
      <c r="B590" t="s">
        <v>628</v>
      </c>
      <c r="C590" t="s">
        <v>19</v>
      </c>
      <c r="D590" t="s">
        <v>435</v>
      </c>
      <c r="E590">
        <v>4</v>
      </c>
      <c r="F590">
        <v>0</v>
      </c>
      <c r="G590">
        <v>19</v>
      </c>
      <c r="H590">
        <v>3</v>
      </c>
      <c r="I590">
        <v>4.75</v>
      </c>
      <c r="J590">
        <v>13</v>
      </c>
      <c r="K590">
        <v>0</v>
      </c>
      <c r="L590">
        <v>1</v>
      </c>
      <c r="M590">
        <v>1</v>
      </c>
      <c r="N590">
        <v>0</v>
      </c>
    </row>
    <row r="591" spans="1:14" x14ac:dyDescent="0.45">
      <c r="A591" t="s">
        <v>91</v>
      </c>
      <c r="B591" t="s">
        <v>628</v>
      </c>
      <c r="C591" t="s">
        <v>19</v>
      </c>
      <c r="D591" t="s">
        <v>362</v>
      </c>
      <c r="E591">
        <v>2</v>
      </c>
      <c r="F591">
        <v>0</v>
      </c>
      <c r="G591">
        <v>10</v>
      </c>
      <c r="H591">
        <v>0</v>
      </c>
      <c r="I591">
        <v>5</v>
      </c>
      <c r="J591">
        <v>5</v>
      </c>
      <c r="K591">
        <v>1</v>
      </c>
      <c r="L591">
        <v>0</v>
      </c>
      <c r="M591">
        <v>0</v>
      </c>
      <c r="N591">
        <v>0</v>
      </c>
    </row>
    <row r="592" spans="1:14" x14ac:dyDescent="0.45">
      <c r="A592" t="s">
        <v>92</v>
      </c>
      <c r="B592" t="s">
        <v>659</v>
      </c>
      <c r="C592" t="s">
        <v>6</v>
      </c>
      <c r="D592" t="s">
        <v>324</v>
      </c>
      <c r="E592">
        <v>4</v>
      </c>
      <c r="F592">
        <v>1</v>
      </c>
      <c r="G592">
        <v>13</v>
      </c>
      <c r="H592">
        <v>4</v>
      </c>
      <c r="I592">
        <v>3.25</v>
      </c>
      <c r="J592">
        <v>18</v>
      </c>
      <c r="K592">
        <v>2</v>
      </c>
      <c r="L592">
        <v>0</v>
      </c>
      <c r="M592">
        <v>1</v>
      </c>
      <c r="N592">
        <v>0</v>
      </c>
    </row>
    <row r="593" spans="1:14" x14ac:dyDescent="0.45">
      <c r="A593" t="s">
        <v>92</v>
      </c>
      <c r="B593" t="s">
        <v>659</v>
      </c>
      <c r="C593" t="s">
        <v>6</v>
      </c>
      <c r="D593" t="s">
        <v>420</v>
      </c>
      <c r="E593">
        <v>3</v>
      </c>
      <c r="F593">
        <v>0</v>
      </c>
      <c r="G593">
        <v>12</v>
      </c>
      <c r="H593">
        <v>1</v>
      </c>
      <c r="I593">
        <v>4</v>
      </c>
      <c r="J593">
        <v>12</v>
      </c>
      <c r="K593">
        <v>1</v>
      </c>
      <c r="L593">
        <v>0</v>
      </c>
      <c r="M593">
        <v>1</v>
      </c>
      <c r="N593">
        <v>0</v>
      </c>
    </row>
    <row r="594" spans="1:14" x14ac:dyDescent="0.45">
      <c r="A594" t="s">
        <v>92</v>
      </c>
      <c r="B594" t="s">
        <v>659</v>
      </c>
      <c r="C594" t="s">
        <v>6</v>
      </c>
      <c r="D594" t="s">
        <v>326</v>
      </c>
      <c r="E594">
        <v>4</v>
      </c>
      <c r="F594">
        <v>0</v>
      </c>
      <c r="G594">
        <v>35</v>
      </c>
      <c r="H594">
        <v>0</v>
      </c>
      <c r="I594">
        <v>8.75</v>
      </c>
      <c r="J594">
        <v>8</v>
      </c>
      <c r="K594">
        <v>5</v>
      </c>
      <c r="L594">
        <v>0</v>
      </c>
      <c r="M594">
        <v>1</v>
      </c>
      <c r="N594">
        <v>0</v>
      </c>
    </row>
    <row r="595" spans="1:14" x14ac:dyDescent="0.45">
      <c r="A595" t="s">
        <v>92</v>
      </c>
      <c r="B595" t="s">
        <v>659</v>
      </c>
      <c r="C595" t="s">
        <v>6</v>
      </c>
      <c r="D595" t="s">
        <v>328</v>
      </c>
      <c r="E595">
        <v>4</v>
      </c>
      <c r="F595">
        <v>0</v>
      </c>
      <c r="G595">
        <v>19</v>
      </c>
      <c r="H595">
        <v>0</v>
      </c>
      <c r="I595">
        <v>4.75</v>
      </c>
      <c r="J595">
        <v>14</v>
      </c>
      <c r="K595">
        <v>1</v>
      </c>
      <c r="L595">
        <v>1</v>
      </c>
      <c r="M595">
        <v>1</v>
      </c>
      <c r="N595">
        <v>0</v>
      </c>
    </row>
    <row r="596" spans="1:14" x14ac:dyDescent="0.45">
      <c r="A596" t="s">
        <v>92</v>
      </c>
      <c r="B596" t="s">
        <v>659</v>
      </c>
      <c r="C596" t="s">
        <v>6</v>
      </c>
      <c r="D596" t="s">
        <v>299</v>
      </c>
      <c r="E596">
        <v>3</v>
      </c>
      <c r="F596">
        <v>0</v>
      </c>
      <c r="G596">
        <v>17</v>
      </c>
      <c r="H596">
        <v>1</v>
      </c>
      <c r="I596">
        <v>5.66</v>
      </c>
      <c r="J596">
        <v>6</v>
      </c>
      <c r="K596">
        <v>0</v>
      </c>
      <c r="L596">
        <v>1</v>
      </c>
      <c r="M596">
        <v>0</v>
      </c>
      <c r="N596">
        <v>0</v>
      </c>
    </row>
    <row r="597" spans="1:14" x14ac:dyDescent="0.45">
      <c r="A597" t="s">
        <v>92</v>
      </c>
      <c r="B597" t="s">
        <v>659</v>
      </c>
      <c r="C597" t="s">
        <v>6</v>
      </c>
      <c r="D597" t="s">
        <v>327</v>
      </c>
      <c r="E597">
        <v>2</v>
      </c>
      <c r="F597">
        <v>0</v>
      </c>
      <c r="G597">
        <v>10</v>
      </c>
      <c r="H597">
        <v>1</v>
      </c>
      <c r="I597">
        <v>5</v>
      </c>
      <c r="J597">
        <v>6</v>
      </c>
      <c r="K597">
        <v>1</v>
      </c>
      <c r="L597">
        <v>0</v>
      </c>
      <c r="M597">
        <v>0</v>
      </c>
      <c r="N597">
        <v>0</v>
      </c>
    </row>
    <row r="598" spans="1:14" x14ac:dyDescent="0.45">
      <c r="A598" t="s">
        <v>92</v>
      </c>
      <c r="B598" t="s">
        <v>659</v>
      </c>
      <c r="C598" t="s">
        <v>26</v>
      </c>
      <c r="D598" t="s">
        <v>403</v>
      </c>
      <c r="E598">
        <v>4</v>
      </c>
      <c r="F598">
        <v>0</v>
      </c>
      <c r="G598">
        <v>21</v>
      </c>
      <c r="H598">
        <v>2</v>
      </c>
      <c r="I598">
        <v>5.25</v>
      </c>
      <c r="J598">
        <v>11</v>
      </c>
      <c r="K598">
        <v>2</v>
      </c>
      <c r="L598">
        <v>0</v>
      </c>
      <c r="M598">
        <v>0</v>
      </c>
      <c r="N598">
        <v>0</v>
      </c>
    </row>
    <row r="599" spans="1:14" x14ac:dyDescent="0.45">
      <c r="A599" t="s">
        <v>92</v>
      </c>
      <c r="B599" t="s">
        <v>659</v>
      </c>
      <c r="C599" t="s">
        <v>26</v>
      </c>
      <c r="D599" t="s">
        <v>477</v>
      </c>
      <c r="E599">
        <v>3</v>
      </c>
      <c r="F599">
        <v>0</v>
      </c>
      <c r="G599">
        <v>21</v>
      </c>
      <c r="H599">
        <v>0</v>
      </c>
      <c r="I599">
        <v>7</v>
      </c>
      <c r="J599">
        <v>11</v>
      </c>
      <c r="K599">
        <v>2</v>
      </c>
      <c r="L599">
        <v>1</v>
      </c>
      <c r="M599">
        <v>0</v>
      </c>
      <c r="N599">
        <v>0</v>
      </c>
    </row>
    <row r="600" spans="1:14" x14ac:dyDescent="0.45">
      <c r="A600" t="s">
        <v>92</v>
      </c>
      <c r="B600" t="s">
        <v>659</v>
      </c>
      <c r="C600" t="s">
        <v>26</v>
      </c>
      <c r="D600" t="s">
        <v>405</v>
      </c>
      <c r="E600">
        <v>2</v>
      </c>
      <c r="F600">
        <v>0</v>
      </c>
      <c r="G600">
        <v>7</v>
      </c>
      <c r="H600">
        <v>1</v>
      </c>
      <c r="I600">
        <v>3.5</v>
      </c>
      <c r="J600">
        <v>8</v>
      </c>
      <c r="K600">
        <v>1</v>
      </c>
      <c r="L600">
        <v>0</v>
      </c>
      <c r="M600">
        <v>0</v>
      </c>
      <c r="N600">
        <v>0</v>
      </c>
    </row>
    <row r="601" spans="1:14" x14ac:dyDescent="0.45">
      <c r="A601" t="s">
        <v>92</v>
      </c>
      <c r="B601" t="s">
        <v>659</v>
      </c>
      <c r="C601" t="s">
        <v>26</v>
      </c>
      <c r="D601" t="s">
        <v>457</v>
      </c>
      <c r="E601">
        <v>3.4</v>
      </c>
      <c r="F601">
        <v>0</v>
      </c>
      <c r="G601">
        <v>21</v>
      </c>
      <c r="H601">
        <v>0</v>
      </c>
      <c r="I601">
        <v>5.72</v>
      </c>
      <c r="J601">
        <v>14</v>
      </c>
      <c r="K601">
        <v>4</v>
      </c>
      <c r="L601">
        <v>0</v>
      </c>
      <c r="M601">
        <v>1</v>
      </c>
      <c r="N601">
        <v>0</v>
      </c>
    </row>
    <row r="602" spans="1:14" x14ac:dyDescent="0.45">
      <c r="A602" t="s">
        <v>92</v>
      </c>
      <c r="B602" t="s">
        <v>659</v>
      </c>
      <c r="C602" t="s">
        <v>26</v>
      </c>
      <c r="D602" t="s">
        <v>473</v>
      </c>
      <c r="E602">
        <v>3</v>
      </c>
      <c r="F602">
        <v>0</v>
      </c>
      <c r="G602">
        <v>32</v>
      </c>
      <c r="H602">
        <v>1</v>
      </c>
      <c r="I602">
        <v>10.66</v>
      </c>
      <c r="J602">
        <v>5</v>
      </c>
      <c r="K602">
        <v>3</v>
      </c>
      <c r="L602">
        <v>1</v>
      </c>
      <c r="M602">
        <v>1</v>
      </c>
      <c r="N602">
        <v>0</v>
      </c>
    </row>
    <row r="603" spans="1:14" x14ac:dyDescent="0.45">
      <c r="A603" t="s">
        <v>93</v>
      </c>
      <c r="B603" t="s">
        <v>646</v>
      </c>
      <c r="C603" t="s">
        <v>23</v>
      </c>
      <c r="D603" t="s">
        <v>394</v>
      </c>
      <c r="E603">
        <v>4</v>
      </c>
      <c r="F603">
        <v>0</v>
      </c>
      <c r="G603">
        <v>33</v>
      </c>
      <c r="H603">
        <v>0</v>
      </c>
      <c r="I603">
        <v>8.25</v>
      </c>
      <c r="J603">
        <v>5</v>
      </c>
      <c r="K603">
        <v>4</v>
      </c>
      <c r="L603">
        <v>0</v>
      </c>
      <c r="M603">
        <v>0</v>
      </c>
      <c r="N603">
        <v>0</v>
      </c>
    </row>
    <row r="604" spans="1:14" x14ac:dyDescent="0.45">
      <c r="A604" t="s">
        <v>93</v>
      </c>
      <c r="B604" t="s">
        <v>646</v>
      </c>
      <c r="C604" t="s">
        <v>23</v>
      </c>
      <c r="D604" t="s">
        <v>392</v>
      </c>
      <c r="E604">
        <v>4</v>
      </c>
      <c r="F604">
        <v>0</v>
      </c>
      <c r="G604">
        <v>15</v>
      </c>
      <c r="H604">
        <v>3</v>
      </c>
      <c r="I604">
        <v>3.75</v>
      </c>
      <c r="J604">
        <v>15</v>
      </c>
      <c r="K604">
        <v>2</v>
      </c>
      <c r="L604">
        <v>0</v>
      </c>
      <c r="M604">
        <v>0</v>
      </c>
      <c r="N604">
        <v>0</v>
      </c>
    </row>
    <row r="605" spans="1:14" x14ac:dyDescent="0.45">
      <c r="A605" t="s">
        <v>93</v>
      </c>
      <c r="B605" t="s">
        <v>646</v>
      </c>
      <c r="C605" t="s">
        <v>23</v>
      </c>
      <c r="D605" t="s">
        <v>391</v>
      </c>
      <c r="E605">
        <v>3</v>
      </c>
      <c r="F605">
        <v>0</v>
      </c>
      <c r="G605">
        <v>27</v>
      </c>
      <c r="H605">
        <v>1</v>
      </c>
      <c r="I605">
        <v>9</v>
      </c>
      <c r="J605">
        <v>7</v>
      </c>
      <c r="K605">
        <v>4</v>
      </c>
      <c r="L605">
        <v>0</v>
      </c>
      <c r="M605">
        <v>1</v>
      </c>
      <c r="N605">
        <v>0</v>
      </c>
    </row>
    <row r="606" spans="1:14" x14ac:dyDescent="0.45">
      <c r="A606" t="s">
        <v>93</v>
      </c>
      <c r="B606" t="s">
        <v>646</v>
      </c>
      <c r="C606" t="s">
        <v>23</v>
      </c>
      <c r="D606" t="s">
        <v>396</v>
      </c>
      <c r="E606">
        <v>4</v>
      </c>
      <c r="F606">
        <v>0</v>
      </c>
      <c r="G606">
        <v>29</v>
      </c>
      <c r="H606">
        <v>2</v>
      </c>
      <c r="I606">
        <v>7.25</v>
      </c>
      <c r="J606">
        <v>11</v>
      </c>
      <c r="K606">
        <v>4</v>
      </c>
      <c r="L606">
        <v>0</v>
      </c>
      <c r="M606">
        <v>2</v>
      </c>
      <c r="N606">
        <v>0</v>
      </c>
    </row>
    <row r="607" spans="1:14" x14ac:dyDescent="0.45">
      <c r="A607" t="s">
        <v>93</v>
      </c>
      <c r="B607" t="s">
        <v>646</v>
      </c>
      <c r="C607" t="s">
        <v>23</v>
      </c>
      <c r="D607" t="s">
        <v>431</v>
      </c>
      <c r="E607">
        <v>2</v>
      </c>
      <c r="F607">
        <v>0</v>
      </c>
      <c r="G607">
        <v>16</v>
      </c>
      <c r="H607">
        <v>0</v>
      </c>
      <c r="I607">
        <v>8</v>
      </c>
      <c r="J607">
        <v>3</v>
      </c>
      <c r="K607">
        <v>2</v>
      </c>
      <c r="L607">
        <v>0</v>
      </c>
      <c r="M607">
        <v>1</v>
      </c>
      <c r="N607">
        <v>0</v>
      </c>
    </row>
    <row r="608" spans="1:14" x14ac:dyDescent="0.45">
      <c r="A608" t="s">
        <v>93</v>
      </c>
      <c r="B608" t="s">
        <v>646</v>
      </c>
      <c r="C608" t="s">
        <v>23</v>
      </c>
      <c r="D608" t="s">
        <v>390</v>
      </c>
      <c r="E608">
        <v>3</v>
      </c>
      <c r="F608">
        <v>0</v>
      </c>
      <c r="G608">
        <v>27</v>
      </c>
      <c r="H608">
        <v>0</v>
      </c>
      <c r="I608">
        <v>9</v>
      </c>
      <c r="J608">
        <v>6</v>
      </c>
      <c r="K608">
        <v>4</v>
      </c>
      <c r="L608">
        <v>0</v>
      </c>
      <c r="M608">
        <v>0</v>
      </c>
      <c r="N608">
        <v>0</v>
      </c>
    </row>
    <row r="609" spans="1:14" x14ac:dyDescent="0.45">
      <c r="A609" t="s">
        <v>93</v>
      </c>
      <c r="B609" t="s">
        <v>646</v>
      </c>
      <c r="C609" t="s">
        <v>10</v>
      </c>
      <c r="D609" t="s">
        <v>474</v>
      </c>
      <c r="E609">
        <v>4</v>
      </c>
      <c r="F609">
        <v>0</v>
      </c>
      <c r="G609">
        <v>22</v>
      </c>
      <c r="H609">
        <v>2</v>
      </c>
      <c r="I609">
        <v>5.5</v>
      </c>
      <c r="J609">
        <v>13</v>
      </c>
      <c r="K609">
        <v>2</v>
      </c>
      <c r="L609">
        <v>1</v>
      </c>
      <c r="M609">
        <v>0</v>
      </c>
      <c r="N609">
        <v>0</v>
      </c>
    </row>
    <row r="610" spans="1:14" x14ac:dyDescent="0.45">
      <c r="A610" t="s">
        <v>93</v>
      </c>
      <c r="B610" t="s">
        <v>646</v>
      </c>
      <c r="C610" t="s">
        <v>10</v>
      </c>
      <c r="D610" t="s">
        <v>340</v>
      </c>
      <c r="E610">
        <v>4</v>
      </c>
      <c r="F610">
        <v>0</v>
      </c>
      <c r="G610">
        <v>32</v>
      </c>
      <c r="H610">
        <v>3</v>
      </c>
      <c r="I610">
        <v>8</v>
      </c>
      <c r="J610">
        <v>11</v>
      </c>
      <c r="K610">
        <v>3</v>
      </c>
      <c r="L610">
        <v>2</v>
      </c>
      <c r="M610">
        <v>0</v>
      </c>
      <c r="N610">
        <v>0</v>
      </c>
    </row>
    <row r="611" spans="1:14" x14ac:dyDescent="0.45">
      <c r="A611" t="s">
        <v>93</v>
      </c>
      <c r="B611" t="s">
        <v>646</v>
      </c>
      <c r="C611" t="s">
        <v>10</v>
      </c>
      <c r="D611" t="s">
        <v>341</v>
      </c>
      <c r="E611">
        <v>4</v>
      </c>
      <c r="F611">
        <v>0</v>
      </c>
      <c r="G611">
        <v>30</v>
      </c>
      <c r="H611">
        <v>2</v>
      </c>
      <c r="I611">
        <v>7.5</v>
      </c>
      <c r="J611">
        <v>12</v>
      </c>
      <c r="K611">
        <v>2</v>
      </c>
      <c r="L611">
        <v>2</v>
      </c>
      <c r="M611">
        <v>0</v>
      </c>
      <c r="N611">
        <v>0</v>
      </c>
    </row>
    <row r="612" spans="1:14" x14ac:dyDescent="0.45">
      <c r="A612" t="s">
        <v>93</v>
      </c>
      <c r="B612" t="s">
        <v>646</v>
      </c>
      <c r="C612" t="s">
        <v>10</v>
      </c>
      <c r="D612" t="s">
        <v>339</v>
      </c>
      <c r="E612">
        <v>3</v>
      </c>
      <c r="F612">
        <v>0</v>
      </c>
      <c r="G612">
        <v>14</v>
      </c>
      <c r="H612">
        <v>0</v>
      </c>
      <c r="I612">
        <v>4.66</v>
      </c>
      <c r="J612">
        <v>5</v>
      </c>
      <c r="K612">
        <v>0</v>
      </c>
      <c r="L612">
        <v>0</v>
      </c>
      <c r="M612">
        <v>0</v>
      </c>
      <c r="N612">
        <v>0</v>
      </c>
    </row>
    <row r="613" spans="1:14" x14ac:dyDescent="0.45">
      <c r="A613" t="s">
        <v>93</v>
      </c>
      <c r="B613" t="s">
        <v>646</v>
      </c>
      <c r="C613" t="s">
        <v>10</v>
      </c>
      <c r="D613" t="s">
        <v>354</v>
      </c>
      <c r="E613">
        <v>3.4</v>
      </c>
      <c r="F613">
        <v>0</v>
      </c>
      <c r="G613">
        <v>35</v>
      </c>
      <c r="H613">
        <v>0</v>
      </c>
      <c r="I613">
        <v>9.5399999999999991</v>
      </c>
      <c r="J613">
        <v>6</v>
      </c>
      <c r="K613">
        <v>2</v>
      </c>
      <c r="L613">
        <v>2</v>
      </c>
      <c r="M613">
        <v>1</v>
      </c>
      <c r="N613">
        <v>0</v>
      </c>
    </row>
    <row r="614" spans="1:14" x14ac:dyDescent="0.45">
      <c r="A614" t="s">
        <v>93</v>
      </c>
      <c r="B614" t="s">
        <v>646</v>
      </c>
      <c r="C614" t="s">
        <v>10</v>
      </c>
      <c r="D614" t="s">
        <v>331</v>
      </c>
      <c r="E614">
        <v>1</v>
      </c>
      <c r="F614">
        <v>0</v>
      </c>
      <c r="G614">
        <v>15</v>
      </c>
      <c r="H614">
        <v>0</v>
      </c>
      <c r="I614">
        <v>15</v>
      </c>
      <c r="J614">
        <v>0</v>
      </c>
      <c r="K614">
        <v>3</v>
      </c>
      <c r="L614">
        <v>0</v>
      </c>
      <c r="M614">
        <v>0</v>
      </c>
      <c r="N614">
        <v>0</v>
      </c>
    </row>
    <row r="615" spans="1:14" x14ac:dyDescent="0.45">
      <c r="A615" t="s">
        <v>94</v>
      </c>
      <c r="B615" t="s">
        <v>660</v>
      </c>
      <c r="C615" t="s">
        <v>20</v>
      </c>
      <c r="D615" t="s">
        <v>409</v>
      </c>
      <c r="E615">
        <v>4</v>
      </c>
      <c r="F615">
        <v>0</v>
      </c>
      <c r="G615">
        <v>30</v>
      </c>
      <c r="H615">
        <v>1</v>
      </c>
      <c r="I615">
        <v>7.5</v>
      </c>
      <c r="J615">
        <v>10</v>
      </c>
      <c r="K615">
        <v>5</v>
      </c>
      <c r="L615">
        <v>0</v>
      </c>
      <c r="M615">
        <v>1</v>
      </c>
      <c r="N615">
        <v>0</v>
      </c>
    </row>
    <row r="616" spans="1:14" x14ac:dyDescent="0.45">
      <c r="A616" t="s">
        <v>94</v>
      </c>
      <c r="B616" t="s">
        <v>660</v>
      </c>
      <c r="C616" t="s">
        <v>20</v>
      </c>
      <c r="D616" t="s">
        <v>378</v>
      </c>
      <c r="E616">
        <v>4</v>
      </c>
      <c r="F616">
        <v>0</v>
      </c>
      <c r="G616">
        <v>30</v>
      </c>
      <c r="H616">
        <v>3</v>
      </c>
      <c r="I616">
        <v>7.5</v>
      </c>
      <c r="J616">
        <v>13</v>
      </c>
      <c r="K616">
        <v>2</v>
      </c>
      <c r="L616">
        <v>1</v>
      </c>
      <c r="M616">
        <v>4</v>
      </c>
      <c r="N616">
        <v>0</v>
      </c>
    </row>
    <row r="617" spans="1:14" x14ac:dyDescent="0.45">
      <c r="A617" t="s">
        <v>94</v>
      </c>
      <c r="B617" t="s">
        <v>660</v>
      </c>
      <c r="C617" t="s">
        <v>20</v>
      </c>
      <c r="D617" t="s">
        <v>482</v>
      </c>
      <c r="E617">
        <v>4</v>
      </c>
      <c r="F617">
        <v>0</v>
      </c>
      <c r="G617">
        <v>36</v>
      </c>
      <c r="H617">
        <v>1</v>
      </c>
      <c r="I617">
        <v>9</v>
      </c>
      <c r="J617">
        <v>9</v>
      </c>
      <c r="K617">
        <v>2</v>
      </c>
      <c r="L617">
        <v>3</v>
      </c>
      <c r="M617">
        <v>0</v>
      </c>
      <c r="N617">
        <v>0</v>
      </c>
    </row>
    <row r="618" spans="1:14" x14ac:dyDescent="0.45">
      <c r="A618" t="s">
        <v>94</v>
      </c>
      <c r="B618" t="s">
        <v>660</v>
      </c>
      <c r="C618" t="s">
        <v>20</v>
      </c>
      <c r="D618" t="s">
        <v>483</v>
      </c>
      <c r="E618">
        <v>4</v>
      </c>
      <c r="F618">
        <v>0</v>
      </c>
      <c r="G618">
        <v>32</v>
      </c>
      <c r="H618">
        <v>1</v>
      </c>
      <c r="I618">
        <v>8</v>
      </c>
      <c r="J618">
        <v>7</v>
      </c>
      <c r="K618">
        <v>4</v>
      </c>
      <c r="L618">
        <v>0</v>
      </c>
      <c r="M618">
        <v>1</v>
      </c>
      <c r="N618">
        <v>0</v>
      </c>
    </row>
    <row r="619" spans="1:14" x14ac:dyDescent="0.45">
      <c r="A619" t="s">
        <v>94</v>
      </c>
      <c r="B619" t="s">
        <v>660</v>
      </c>
      <c r="C619" t="s">
        <v>20</v>
      </c>
      <c r="D619" t="s">
        <v>379</v>
      </c>
      <c r="E619">
        <v>4</v>
      </c>
      <c r="F619">
        <v>0</v>
      </c>
      <c r="G619">
        <v>18</v>
      </c>
      <c r="H619">
        <v>2</v>
      </c>
      <c r="I619">
        <v>4.5</v>
      </c>
      <c r="J619">
        <v>10</v>
      </c>
      <c r="K619">
        <v>1</v>
      </c>
      <c r="L619">
        <v>0</v>
      </c>
      <c r="M619">
        <v>1</v>
      </c>
      <c r="N619">
        <v>0</v>
      </c>
    </row>
    <row r="620" spans="1:14" x14ac:dyDescent="0.45">
      <c r="A620" t="s">
        <v>94</v>
      </c>
      <c r="B620" t="s">
        <v>660</v>
      </c>
      <c r="C620" t="s">
        <v>13</v>
      </c>
      <c r="D620" t="s">
        <v>352</v>
      </c>
      <c r="E620">
        <v>4</v>
      </c>
      <c r="F620">
        <v>1</v>
      </c>
      <c r="G620">
        <v>25</v>
      </c>
      <c r="H620">
        <v>2</v>
      </c>
      <c r="I620">
        <v>6.25</v>
      </c>
      <c r="J620">
        <v>14</v>
      </c>
      <c r="K620">
        <v>2</v>
      </c>
      <c r="L620">
        <v>1</v>
      </c>
      <c r="M620">
        <v>1</v>
      </c>
      <c r="N620">
        <v>0</v>
      </c>
    </row>
    <row r="621" spans="1:14" x14ac:dyDescent="0.45">
      <c r="A621" t="s">
        <v>94</v>
      </c>
      <c r="B621" t="s">
        <v>660</v>
      </c>
      <c r="C621" t="s">
        <v>13</v>
      </c>
      <c r="D621" t="s">
        <v>438</v>
      </c>
      <c r="E621">
        <v>3</v>
      </c>
      <c r="F621">
        <v>0</v>
      </c>
      <c r="G621">
        <v>30</v>
      </c>
      <c r="H621">
        <v>1</v>
      </c>
      <c r="I621">
        <v>10</v>
      </c>
      <c r="J621">
        <v>9</v>
      </c>
      <c r="K621">
        <v>3</v>
      </c>
      <c r="L621">
        <v>2</v>
      </c>
      <c r="M621">
        <v>1</v>
      </c>
      <c r="N621">
        <v>0</v>
      </c>
    </row>
    <row r="622" spans="1:14" x14ac:dyDescent="0.45">
      <c r="A622" t="s">
        <v>94</v>
      </c>
      <c r="B622" t="s">
        <v>660</v>
      </c>
      <c r="C622" t="s">
        <v>13</v>
      </c>
      <c r="D622" t="s">
        <v>467</v>
      </c>
      <c r="E622">
        <v>2</v>
      </c>
      <c r="F622">
        <v>0</v>
      </c>
      <c r="G622">
        <v>14</v>
      </c>
      <c r="H622">
        <v>0</v>
      </c>
      <c r="I622">
        <v>7</v>
      </c>
      <c r="J622">
        <v>7</v>
      </c>
      <c r="K622">
        <v>1</v>
      </c>
      <c r="L622">
        <v>1</v>
      </c>
      <c r="M622">
        <v>1</v>
      </c>
      <c r="N622">
        <v>0</v>
      </c>
    </row>
    <row r="623" spans="1:14" x14ac:dyDescent="0.45">
      <c r="A623" t="s">
        <v>94</v>
      </c>
      <c r="B623" t="s">
        <v>660</v>
      </c>
      <c r="C623" t="s">
        <v>13</v>
      </c>
      <c r="D623" t="s">
        <v>353</v>
      </c>
      <c r="E623">
        <v>4</v>
      </c>
      <c r="F623">
        <v>0</v>
      </c>
      <c r="G623">
        <v>29</v>
      </c>
      <c r="H623">
        <v>0</v>
      </c>
      <c r="I623">
        <v>7.25</v>
      </c>
      <c r="J623">
        <v>9</v>
      </c>
      <c r="K623">
        <v>3</v>
      </c>
      <c r="L623">
        <v>0</v>
      </c>
      <c r="M623">
        <v>1</v>
      </c>
      <c r="N623">
        <v>0</v>
      </c>
    </row>
    <row r="624" spans="1:14" x14ac:dyDescent="0.45">
      <c r="A624" t="s">
        <v>94</v>
      </c>
      <c r="B624" t="s">
        <v>660</v>
      </c>
      <c r="C624" t="s">
        <v>13</v>
      </c>
      <c r="D624" t="s">
        <v>349</v>
      </c>
      <c r="E624">
        <v>4</v>
      </c>
      <c r="F624">
        <v>0</v>
      </c>
      <c r="G624">
        <v>25</v>
      </c>
      <c r="H624">
        <v>2</v>
      </c>
      <c r="I624">
        <v>6.25</v>
      </c>
      <c r="J624">
        <v>10</v>
      </c>
      <c r="K624">
        <v>2</v>
      </c>
      <c r="L624">
        <v>0</v>
      </c>
      <c r="M624">
        <v>0</v>
      </c>
      <c r="N624">
        <v>2</v>
      </c>
    </row>
    <row r="625" spans="1:14" x14ac:dyDescent="0.45">
      <c r="A625" t="s">
        <v>94</v>
      </c>
      <c r="B625" t="s">
        <v>660</v>
      </c>
      <c r="C625" t="s">
        <v>13</v>
      </c>
      <c r="D625" t="s">
        <v>348</v>
      </c>
      <c r="E625">
        <v>1</v>
      </c>
      <c r="F625">
        <v>0</v>
      </c>
      <c r="G625">
        <v>7</v>
      </c>
      <c r="H625">
        <v>0</v>
      </c>
      <c r="I625">
        <v>7</v>
      </c>
      <c r="J625">
        <v>1</v>
      </c>
      <c r="K625">
        <v>0</v>
      </c>
      <c r="L625">
        <v>0</v>
      </c>
      <c r="M625">
        <v>0</v>
      </c>
      <c r="N625">
        <v>0</v>
      </c>
    </row>
    <row r="626" spans="1:14" x14ac:dyDescent="0.45">
      <c r="A626" t="s">
        <v>94</v>
      </c>
      <c r="B626" t="s">
        <v>660</v>
      </c>
      <c r="C626" t="s">
        <v>13</v>
      </c>
      <c r="D626" t="s">
        <v>347</v>
      </c>
      <c r="E626">
        <v>2</v>
      </c>
      <c r="F626">
        <v>0</v>
      </c>
      <c r="G626">
        <v>7</v>
      </c>
      <c r="H626">
        <v>3</v>
      </c>
      <c r="I626">
        <v>3.5</v>
      </c>
      <c r="J626">
        <v>6</v>
      </c>
      <c r="K626">
        <v>0</v>
      </c>
      <c r="L626">
        <v>0</v>
      </c>
      <c r="M626">
        <v>0</v>
      </c>
      <c r="N626">
        <v>0</v>
      </c>
    </row>
    <row r="627" spans="1:14" x14ac:dyDescent="0.45">
      <c r="A627" t="s">
        <v>96</v>
      </c>
      <c r="B627" t="s">
        <v>648</v>
      </c>
      <c r="C627" t="s">
        <v>7</v>
      </c>
      <c r="D627" t="s">
        <v>478</v>
      </c>
      <c r="E627">
        <v>2</v>
      </c>
      <c r="F627">
        <v>0</v>
      </c>
      <c r="G627">
        <v>17</v>
      </c>
      <c r="H627">
        <v>0</v>
      </c>
      <c r="I627">
        <v>8.5</v>
      </c>
      <c r="J627">
        <v>6</v>
      </c>
      <c r="K627">
        <v>3</v>
      </c>
      <c r="L627">
        <v>0</v>
      </c>
      <c r="M627">
        <v>1</v>
      </c>
      <c r="N627">
        <v>0</v>
      </c>
    </row>
    <row r="628" spans="1:14" x14ac:dyDescent="0.45">
      <c r="A628" t="s">
        <v>96</v>
      </c>
      <c r="B628" t="s">
        <v>648</v>
      </c>
      <c r="C628" t="s">
        <v>7</v>
      </c>
      <c r="D628" t="s">
        <v>322</v>
      </c>
      <c r="E628">
        <v>4</v>
      </c>
      <c r="F628">
        <v>0</v>
      </c>
      <c r="G628">
        <v>27</v>
      </c>
      <c r="H628">
        <v>1</v>
      </c>
      <c r="I628">
        <v>6.75</v>
      </c>
      <c r="J628">
        <v>9</v>
      </c>
      <c r="K628">
        <v>3</v>
      </c>
      <c r="L628">
        <v>0</v>
      </c>
      <c r="M628">
        <v>1</v>
      </c>
      <c r="N628">
        <v>0</v>
      </c>
    </row>
    <row r="629" spans="1:14" x14ac:dyDescent="0.45">
      <c r="A629" t="s">
        <v>96</v>
      </c>
      <c r="B629" t="s">
        <v>648</v>
      </c>
      <c r="C629" t="s">
        <v>7</v>
      </c>
      <c r="D629" t="s">
        <v>313</v>
      </c>
      <c r="E629">
        <v>4</v>
      </c>
      <c r="F629">
        <v>0</v>
      </c>
      <c r="G629">
        <v>23</v>
      </c>
      <c r="H629">
        <v>1</v>
      </c>
      <c r="I629">
        <v>5.75</v>
      </c>
      <c r="J629">
        <v>4</v>
      </c>
      <c r="K629">
        <v>1</v>
      </c>
      <c r="L629">
        <v>0</v>
      </c>
      <c r="M629">
        <v>0</v>
      </c>
      <c r="N629">
        <v>0</v>
      </c>
    </row>
    <row r="630" spans="1:14" x14ac:dyDescent="0.45">
      <c r="A630" t="s">
        <v>96</v>
      </c>
      <c r="B630" t="s">
        <v>648</v>
      </c>
      <c r="C630" t="s">
        <v>7</v>
      </c>
      <c r="D630" t="s">
        <v>465</v>
      </c>
      <c r="E630">
        <v>4</v>
      </c>
      <c r="F630">
        <v>0</v>
      </c>
      <c r="G630">
        <v>24</v>
      </c>
      <c r="H630">
        <v>2</v>
      </c>
      <c r="I630">
        <v>6</v>
      </c>
      <c r="J630">
        <v>12</v>
      </c>
      <c r="K630">
        <v>2</v>
      </c>
      <c r="L630">
        <v>1</v>
      </c>
      <c r="M630">
        <v>0</v>
      </c>
      <c r="N630">
        <v>0</v>
      </c>
    </row>
    <row r="631" spans="1:14" x14ac:dyDescent="0.45">
      <c r="A631" t="s">
        <v>96</v>
      </c>
      <c r="B631" t="s">
        <v>648</v>
      </c>
      <c r="C631" t="s">
        <v>7</v>
      </c>
      <c r="D631" t="s">
        <v>441</v>
      </c>
      <c r="E631">
        <v>4</v>
      </c>
      <c r="F631">
        <v>0</v>
      </c>
      <c r="G631">
        <v>42</v>
      </c>
      <c r="H631">
        <v>1</v>
      </c>
      <c r="I631">
        <v>10.5</v>
      </c>
      <c r="J631">
        <v>8</v>
      </c>
      <c r="K631">
        <v>5</v>
      </c>
      <c r="L631">
        <v>2</v>
      </c>
      <c r="M631">
        <v>0</v>
      </c>
      <c r="N631">
        <v>0</v>
      </c>
    </row>
    <row r="632" spans="1:14" x14ac:dyDescent="0.45">
      <c r="A632" t="s">
        <v>96</v>
      </c>
      <c r="B632" t="s">
        <v>648</v>
      </c>
      <c r="C632" t="s">
        <v>7</v>
      </c>
      <c r="D632" t="s">
        <v>440</v>
      </c>
      <c r="E632">
        <v>2</v>
      </c>
      <c r="F632">
        <v>0</v>
      </c>
      <c r="G632">
        <v>15</v>
      </c>
      <c r="H632">
        <v>5</v>
      </c>
      <c r="I632">
        <v>7.5</v>
      </c>
      <c r="J632">
        <v>6</v>
      </c>
      <c r="K632">
        <v>2</v>
      </c>
      <c r="L632">
        <v>0</v>
      </c>
      <c r="M632">
        <v>1</v>
      </c>
      <c r="N632">
        <v>0</v>
      </c>
    </row>
    <row r="633" spans="1:14" x14ac:dyDescent="0.45">
      <c r="A633" t="s">
        <v>96</v>
      </c>
      <c r="B633" t="s">
        <v>648</v>
      </c>
      <c r="C633" t="s">
        <v>19</v>
      </c>
      <c r="D633" t="s">
        <v>370</v>
      </c>
      <c r="E633">
        <v>4</v>
      </c>
      <c r="F633">
        <v>0</v>
      </c>
      <c r="G633">
        <v>27</v>
      </c>
      <c r="H633">
        <v>2</v>
      </c>
      <c r="I633">
        <v>6.75</v>
      </c>
      <c r="J633">
        <v>12</v>
      </c>
      <c r="K633">
        <v>3</v>
      </c>
      <c r="L633">
        <v>1</v>
      </c>
      <c r="M633">
        <v>0</v>
      </c>
      <c r="N633">
        <v>0</v>
      </c>
    </row>
    <row r="634" spans="1:14" x14ac:dyDescent="0.45">
      <c r="A634" t="s">
        <v>96</v>
      </c>
      <c r="B634" t="s">
        <v>648</v>
      </c>
      <c r="C634" t="s">
        <v>19</v>
      </c>
      <c r="D634" t="s">
        <v>484</v>
      </c>
      <c r="E634">
        <v>2</v>
      </c>
      <c r="F634">
        <v>0</v>
      </c>
      <c r="G634">
        <v>17</v>
      </c>
      <c r="H634">
        <v>0</v>
      </c>
      <c r="I634">
        <v>8.5</v>
      </c>
      <c r="J634">
        <v>5</v>
      </c>
      <c r="K634">
        <v>3</v>
      </c>
      <c r="L634">
        <v>0</v>
      </c>
      <c r="M634">
        <v>0</v>
      </c>
      <c r="N634">
        <v>0</v>
      </c>
    </row>
    <row r="635" spans="1:14" x14ac:dyDescent="0.45">
      <c r="A635" t="s">
        <v>96</v>
      </c>
      <c r="B635" t="s">
        <v>648</v>
      </c>
      <c r="C635" t="s">
        <v>19</v>
      </c>
      <c r="D635" t="s">
        <v>369</v>
      </c>
      <c r="E635">
        <v>4</v>
      </c>
      <c r="F635">
        <v>0</v>
      </c>
      <c r="G635">
        <v>28</v>
      </c>
      <c r="H635">
        <v>0</v>
      </c>
      <c r="I635">
        <v>7</v>
      </c>
      <c r="J635">
        <v>9</v>
      </c>
      <c r="K635">
        <v>4</v>
      </c>
      <c r="L635">
        <v>0</v>
      </c>
      <c r="M635">
        <v>0</v>
      </c>
      <c r="N635">
        <v>1</v>
      </c>
    </row>
    <row r="636" spans="1:14" x14ac:dyDescent="0.45">
      <c r="A636" t="s">
        <v>96</v>
      </c>
      <c r="B636" t="s">
        <v>648</v>
      </c>
      <c r="C636" t="s">
        <v>19</v>
      </c>
      <c r="D636" t="s">
        <v>366</v>
      </c>
      <c r="E636">
        <v>4</v>
      </c>
      <c r="F636">
        <v>0</v>
      </c>
      <c r="G636">
        <v>13</v>
      </c>
      <c r="H636">
        <v>1</v>
      </c>
      <c r="I636">
        <v>3.25</v>
      </c>
      <c r="J636">
        <v>13</v>
      </c>
      <c r="K636">
        <v>0</v>
      </c>
      <c r="L636">
        <v>0</v>
      </c>
      <c r="M636">
        <v>1</v>
      </c>
      <c r="N636">
        <v>0</v>
      </c>
    </row>
    <row r="637" spans="1:14" x14ac:dyDescent="0.45">
      <c r="A637" t="s">
        <v>96</v>
      </c>
      <c r="B637" t="s">
        <v>648</v>
      </c>
      <c r="C637" t="s">
        <v>19</v>
      </c>
      <c r="D637" t="s">
        <v>362</v>
      </c>
      <c r="E637">
        <v>1</v>
      </c>
      <c r="F637">
        <v>0</v>
      </c>
      <c r="G637">
        <v>12</v>
      </c>
      <c r="H637">
        <v>0</v>
      </c>
      <c r="I637">
        <v>12</v>
      </c>
      <c r="J637">
        <v>2</v>
      </c>
      <c r="K637">
        <v>1</v>
      </c>
      <c r="L637">
        <v>1</v>
      </c>
      <c r="M637">
        <v>0</v>
      </c>
      <c r="N637">
        <v>0</v>
      </c>
    </row>
    <row r="638" spans="1:14" x14ac:dyDescent="0.45">
      <c r="A638" t="s">
        <v>96</v>
      </c>
      <c r="B638" t="s">
        <v>648</v>
      </c>
      <c r="C638" t="s">
        <v>19</v>
      </c>
      <c r="D638" t="s">
        <v>435</v>
      </c>
      <c r="E638">
        <v>4</v>
      </c>
      <c r="F638">
        <v>0</v>
      </c>
      <c r="G638">
        <v>27</v>
      </c>
      <c r="H638">
        <v>4</v>
      </c>
      <c r="I638">
        <v>6.75</v>
      </c>
      <c r="J638">
        <v>11</v>
      </c>
      <c r="K638">
        <v>2</v>
      </c>
      <c r="L638">
        <v>1</v>
      </c>
      <c r="M638">
        <v>0</v>
      </c>
      <c r="N638">
        <v>0</v>
      </c>
    </row>
    <row r="639" spans="1:14" x14ac:dyDescent="0.45">
      <c r="A639" t="s">
        <v>96</v>
      </c>
      <c r="B639" t="s">
        <v>648</v>
      </c>
      <c r="C639" t="s">
        <v>19</v>
      </c>
      <c r="D639" t="s">
        <v>359</v>
      </c>
      <c r="E639">
        <v>1</v>
      </c>
      <c r="F639">
        <v>0</v>
      </c>
      <c r="G639">
        <v>9</v>
      </c>
      <c r="H639">
        <v>0</v>
      </c>
      <c r="I639">
        <v>9</v>
      </c>
      <c r="J639">
        <v>0</v>
      </c>
      <c r="K639">
        <v>1</v>
      </c>
      <c r="L639">
        <v>0</v>
      </c>
      <c r="M639">
        <v>0</v>
      </c>
      <c r="N639">
        <v>0</v>
      </c>
    </row>
    <row r="640" spans="1:14" x14ac:dyDescent="0.45">
      <c r="A640" t="s">
        <v>97</v>
      </c>
      <c r="B640" t="s">
        <v>661</v>
      </c>
      <c r="C640" t="s">
        <v>23</v>
      </c>
      <c r="D640" t="s">
        <v>394</v>
      </c>
      <c r="E640">
        <v>4</v>
      </c>
      <c r="F640">
        <v>0</v>
      </c>
      <c r="G640">
        <v>31</v>
      </c>
      <c r="H640">
        <v>3</v>
      </c>
      <c r="I640">
        <v>7.75</v>
      </c>
      <c r="J640">
        <v>13</v>
      </c>
      <c r="K640">
        <v>6</v>
      </c>
      <c r="L640">
        <v>0</v>
      </c>
      <c r="M640">
        <v>0</v>
      </c>
      <c r="N640">
        <v>1</v>
      </c>
    </row>
    <row r="641" spans="1:14" x14ac:dyDescent="0.45">
      <c r="A641" t="s">
        <v>97</v>
      </c>
      <c r="B641" t="s">
        <v>661</v>
      </c>
      <c r="C641" t="s">
        <v>23</v>
      </c>
      <c r="D641" t="s">
        <v>396</v>
      </c>
      <c r="E641">
        <v>4</v>
      </c>
      <c r="F641">
        <v>0</v>
      </c>
      <c r="G641">
        <v>45</v>
      </c>
      <c r="H641">
        <v>0</v>
      </c>
      <c r="I641">
        <v>11.25</v>
      </c>
      <c r="J641">
        <v>4</v>
      </c>
      <c r="K641">
        <v>4</v>
      </c>
      <c r="L641">
        <v>1</v>
      </c>
      <c r="M641">
        <v>3</v>
      </c>
      <c r="N641">
        <v>1</v>
      </c>
    </row>
    <row r="642" spans="1:14" x14ac:dyDescent="0.45">
      <c r="A642" t="s">
        <v>97</v>
      </c>
      <c r="B642" t="s">
        <v>661</v>
      </c>
      <c r="C642" t="s">
        <v>23</v>
      </c>
      <c r="D642" t="s">
        <v>391</v>
      </c>
      <c r="E642">
        <v>4</v>
      </c>
      <c r="F642">
        <v>0</v>
      </c>
      <c r="G642">
        <v>41</v>
      </c>
      <c r="H642">
        <v>2</v>
      </c>
      <c r="I642">
        <v>10.25</v>
      </c>
      <c r="J642">
        <v>8</v>
      </c>
      <c r="K642">
        <v>2</v>
      </c>
      <c r="L642">
        <v>3</v>
      </c>
      <c r="M642">
        <v>1</v>
      </c>
      <c r="N642">
        <v>0</v>
      </c>
    </row>
    <row r="643" spans="1:14" x14ac:dyDescent="0.45">
      <c r="A643" t="s">
        <v>97</v>
      </c>
      <c r="B643" t="s">
        <v>661</v>
      </c>
      <c r="C643" t="s">
        <v>23</v>
      </c>
      <c r="D643" t="s">
        <v>412</v>
      </c>
      <c r="E643">
        <v>3</v>
      </c>
      <c r="F643">
        <v>0</v>
      </c>
      <c r="G643">
        <v>40</v>
      </c>
      <c r="H643">
        <v>0</v>
      </c>
      <c r="I643">
        <v>13.33</v>
      </c>
      <c r="J643">
        <v>3</v>
      </c>
      <c r="K643">
        <v>3</v>
      </c>
      <c r="L643">
        <v>3</v>
      </c>
      <c r="M643">
        <v>0</v>
      </c>
      <c r="N643">
        <v>0</v>
      </c>
    </row>
    <row r="644" spans="1:14" x14ac:dyDescent="0.45">
      <c r="A644" t="s">
        <v>97</v>
      </c>
      <c r="B644" t="s">
        <v>661</v>
      </c>
      <c r="C644" t="s">
        <v>23</v>
      </c>
      <c r="D644" t="s">
        <v>485</v>
      </c>
      <c r="E644">
        <v>1</v>
      </c>
      <c r="F644">
        <v>0</v>
      </c>
      <c r="G644">
        <v>12</v>
      </c>
      <c r="H644">
        <v>0</v>
      </c>
      <c r="I644">
        <v>12</v>
      </c>
      <c r="J644">
        <v>2</v>
      </c>
      <c r="K644">
        <v>1</v>
      </c>
      <c r="L644">
        <v>1</v>
      </c>
      <c r="M644">
        <v>0</v>
      </c>
      <c r="N644">
        <v>0</v>
      </c>
    </row>
    <row r="645" spans="1:14" x14ac:dyDescent="0.45">
      <c r="A645" t="s">
        <v>97</v>
      </c>
      <c r="B645" t="s">
        <v>661</v>
      </c>
      <c r="C645" t="s">
        <v>23</v>
      </c>
      <c r="D645" t="s">
        <v>390</v>
      </c>
      <c r="E645">
        <v>2</v>
      </c>
      <c r="F645">
        <v>0</v>
      </c>
      <c r="G645">
        <v>25</v>
      </c>
      <c r="H645">
        <v>0</v>
      </c>
      <c r="I645">
        <v>12.5</v>
      </c>
      <c r="J645">
        <v>2</v>
      </c>
      <c r="K645">
        <v>1</v>
      </c>
      <c r="L645">
        <v>2</v>
      </c>
      <c r="M645">
        <v>0</v>
      </c>
      <c r="N645">
        <v>0</v>
      </c>
    </row>
    <row r="646" spans="1:14" x14ac:dyDescent="0.45">
      <c r="A646" t="s">
        <v>97</v>
      </c>
      <c r="B646" t="s">
        <v>661</v>
      </c>
      <c r="C646" t="s">
        <v>23</v>
      </c>
      <c r="D646" t="s">
        <v>431</v>
      </c>
      <c r="E646">
        <v>1</v>
      </c>
      <c r="F646">
        <v>0</v>
      </c>
      <c r="G646">
        <v>7</v>
      </c>
      <c r="H646">
        <v>1</v>
      </c>
      <c r="I646">
        <v>7</v>
      </c>
      <c r="J646">
        <v>2</v>
      </c>
      <c r="K646">
        <v>1</v>
      </c>
      <c r="L646">
        <v>0</v>
      </c>
      <c r="M646">
        <v>0</v>
      </c>
      <c r="N646">
        <v>0</v>
      </c>
    </row>
    <row r="647" spans="1:14" x14ac:dyDescent="0.45">
      <c r="A647" t="s">
        <v>97</v>
      </c>
      <c r="B647" t="s">
        <v>661</v>
      </c>
      <c r="C647" t="s">
        <v>23</v>
      </c>
      <c r="D647" t="s">
        <v>387</v>
      </c>
      <c r="E647">
        <v>1</v>
      </c>
      <c r="F647">
        <v>0</v>
      </c>
      <c r="G647">
        <v>20</v>
      </c>
      <c r="H647">
        <v>0</v>
      </c>
      <c r="I647">
        <v>20</v>
      </c>
      <c r="J647">
        <v>1</v>
      </c>
      <c r="K647">
        <v>0</v>
      </c>
      <c r="L647">
        <v>3</v>
      </c>
      <c r="M647">
        <v>0</v>
      </c>
      <c r="N647">
        <v>0</v>
      </c>
    </row>
    <row r="648" spans="1:14" x14ac:dyDescent="0.45">
      <c r="A648" t="s">
        <v>97</v>
      </c>
      <c r="B648" t="s">
        <v>661</v>
      </c>
      <c r="C648" t="s">
        <v>26</v>
      </c>
      <c r="D648" t="s">
        <v>403</v>
      </c>
      <c r="E648">
        <v>4</v>
      </c>
      <c r="F648">
        <v>0</v>
      </c>
      <c r="G648">
        <v>33</v>
      </c>
      <c r="H648">
        <v>2</v>
      </c>
      <c r="I648">
        <v>8.25</v>
      </c>
      <c r="J648">
        <v>13</v>
      </c>
      <c r="K648">
        <v>5</v>
      </c>
      <c r="L648">
        <v>1</v>
      </c>
      <c r="M648">
        <v>2</v>
      </c>
      <c r="N648">
        <v>0</v>
      </c>
    </row>
    <row r="649" spans="1:14" x14ac:dyDescent="0.45">
      <c r="A649" t="s">
        <v>97</v>
      </c>
      <c r="B649" t="s">
        <v>661</v>
      </c>
      <c r="C649" t="s">
        <v>26</v>
      </c>
      <c r="D649" t="s">
        <v>477</v>
      </c>
      <c r="E649">
        <v>4</v>
      </c>
      <c r="F649">
        <v>0</v>
      </c>
      <c r="G649">
        <v>55</v>
      </c>
      <c r="H649">
        <v>1</v>
      </c>
      <c r="I649">
        <v>13.75</v>
      </c>
      <c r="J649">
        <v>5</v>
      </c>
      <c r="K649">
        <v>5</v>
      </c>
      <c r="L649">
        <v>3</v>
      </c>
      <c r="M649">
        <v>2</v>
      </c>
      <c r="N649">
        <v>0</v>
      </c>
    </row>
    <row r="650" spans="1:14" x14ac:dyDescent="0.45">
      <c r="A650" t="s">
        <v>97</v>
      </c>
      <c r="B650" t="s">
        <v>661</v>
      </c>
      <c r="C650" t="s">
        <v>26</v>
      </c>
      <c r="D650" t="s">
        <v>405</v>
      </c>
      <c r="E650">
        <v>4</v>
      </c>
      <c r="F650">
        <v>0</v>
      </c>
      <c r="G650">
        <v>35</v>
      </c>
      <c r="H650">
        <v>3</v>
      </c>
      <c r="I650">
        <v>8.75</v>
      </c>
      <c r="J650">
        <v>9</v>
      </c>
      <c r="K650">
        <v>5</v>
      </c>
      <c r="L650">
        <v>1</v>
      </c>
      <c r="M650">
        <v>0</v>
      </c>
      <c r="N650">
        <v>0</v>
      </c>
    </row>
    <row r="651" spans="1:14" x14ac:dyDescent="0.45">
      <c r="A651" t="s">
        <v>97</v>
      </c>
      <c r="B651" t="s">
        <v>661</v>
      </c>
      <c r="C651" t="s">
        <v>26</v>
      </c>
      <c r="D651" t="s">
        <v>457</v>
      </c>
      <c r="E651">
        <v>4</v>
      </c>
      <c r="F651">
        <v>0</v>
      </c>
      <c r="G651">
        <v>49</v>
      </c>
      <c r="H651">
        <v>1</v>
      </c>
      <c r="I651">
        <v>12.25</v>
      </c>
      <c r="J651">
        <v>6</v>
      </c>
      <c r="K651">
        <v>5</v>
      </c>
      <c r="L651">
        <v>3</v>
      </c>
      <c r="M651">
        <v>0</v>
      </c>
      <c r="N651">
        <v>0</v>
      </c>
    </row>
    <row r="652" spans="1:14" x14ac:dyDescent="0.45">
      <c r="A652" t="s">
        <v>97</v>
      </c>
      <c r="B652" t="s">
        <v>661</v>
      </c>
      <c r="C652" t="s">
        <v>26</v>
      </c>
      <c r="D652" t="s">
        <v>473</v>
      </c>
      <c r="E652">
        <v>4</v>
      </c>
      <c r="F652">
        <v>0</v>
      </c>
      <c r="G652">
        <v>43</v>
      </c>
      <c r="H652">
        <v>0</v>
      </c>
      <c r="I652">
        <v>10.75</v>
      </c>
      <c r="J652">
        <v>7</v>
      </c>
      <c r="K652">
        <v>2</v>
      </c>
      <c r="L652">
        <v>3</v>
      </c>
      <c r="M652">
        <v>2</v>
      </c>
      <c r="N652">
        <v>1</v>
      </c>
    </row>
    <row r="653" spans="1:14" x14ac:dyDescent="0.45">
      <c r="A653" t="s">
        <v>98</v>
      </c>
      <c r="B653" t="s">
        <v>662</v>
      </c>
      <c r="C653" t="s">
        <v>20</v>
      </c>
      <c r="D653" t="s">
        <v>409</v>
      </c>
      <c r="E653">
        <v>4</v>
      </c>
      <c r="F653">
        <v>0</v>
      </c>
      <c r="G653">
        <v>45</v>
      </c>
      <c r="H653">
        <v>1</v>
      </c>
      <c r="I653">
        <v>11.25</v>
      </c>
      <c r="J653">
        <v>10</v>
      </c>
      <c r="K653">
        <v>6</v>
      </c>
      <c r="L653">
        <v>2</v>
      </c>
      <c r="M653">
        <v>1</v>
      </c>
      <c r="N653">
        <v>0</v>
      </c>
    </row>
    <row r="654" spans="1:14" x14ac:dyDescent="0.45">
      <c r="A654" t="s">
        <v>98</v>
      </c>
      <c r="B654" t="s">
        <v>662</v>
      </c>
      <c r="C654" t="s">
        <v>20</v>
      </c>
      <c r="D654" t="s">
        <v>429</v>
      </c>
      <c r="E654">
        <v>3</v>
      </c>
      <c r="F654">
        <v>0</v>
      </c>
      <c r="G654">
        <v>35</v>
      </c>
      <c r="H654">
        <v>0</v>
      </c>
      <c r="I654">
        <v>11.66</v>
      </c>
      <c r="J654">
        <v>5</v>
      </c>
      <c r="K654">
        <v>5</v>
      </c>
      <c r="L654">
        <v>1</v>
      </c>
      <c r="M654">
        <v>0</v>
      </c>
      <c r="N654">
        <v>0</v>
      </c>
    </row>
    <row r="655" spans="1:14" x14ac:dyDescent="0.45">
      <c r="A655" t="s">
        <v>98</v>
      </c>
      <c r="B655" t="s">
        <v>662</v>
      </c>
      <c r="C655" t="s">
        <v>20</v>
      </c>
      <c r="D655" t="s">
        <v>483</v>
      </c>
      <c r="E655">
        <v>4</v>
      </c>
      <c r="F655">
        <v>0</v>
      </c>
      <c r="G655">
        <v>37</v>
      </c>
      <c r="H655">
        <v>1</v>
      </c>
      <c r="I655">
        <v>9.25</v>
      </c>
      <c r="J655">
        <v>7</v>
      </c>
      <c r="K655">
        <v>3</v>
      </c>
      <c r="L655">
        <v>2</v>
      </c>
      <c r="M655">
        <v>1</v>
      </c>
      <c r="N655">
        <v>0</v>
      </c>
    </row>
    <row r="656" spans="1:14" x14ac:dyDescent="0.45">
      <c r="A656" t="s">
        <v>98</v>
      </c>
      <c r="B656" t="s">
        <v>662</v>
      </c>
      <c r="C656" t="s">
        <v>20</v>
      </c>
      <c r="D656" t="s">
        <v>375</v>
      </c>
      <c r="E656">
        <v>4</v>
      </c>
      <c r="F656">
        <v>0</v>
      </c>
      <c r="G656">
        <v>32</v>
      </c>
      <c r="H656">
        <v>2</v>
      </c>
      <c r="I656">
        <v>8</v>
      </c>
      <c r="J656">
        <v>9</v>
      </c>
      <c r="K656">
        <v>2</v>
      </c>
      <c r="L656">
        <v>2</v>
      </c>
      <c r="M656">
        <v>0</v>
      </c>
      <c r="N656">
        <v>0</v>
      </c>
    </row>
    <row r="657" spans="1:14" x14ac:dyDescent="0.45">
      <c r="A657" t="s">
        <v>98</v>
      </c>
      <c r="B657" t="s">
        <v>662</v>
      </c>
      <c r="C657" t="s">
        <v>20</v>
      </c>
      <c r="D657" t="s">
        <v>379</v>
      </c>
      <c r="E657">
        <v>4</v>
      </c>
      <c r="F657">
        <v>0</v>
      </c>
      <c r="G657">
        <v>24</v>
      </c>
      <c r="H657">
        <v>2</v>
      </c>
      <c r="I657">
        <v>6</v>
      </c>
      <c r="J657">
        <v>10</v>
      </c>
      <c r="K657">
        <v>1</v>
      </c>
      <c r="L657">
        <v>0</v>
      </c>
      <c r="M657">
        <v>1</v>
      </c>
      <c r="N657">
        <v>0</v>
      </c>
    </row>
    <row r="658" spans="1:14" x14ac:dyDescent="0.45">
      <c r="A658" t="s">
        <v>98</v>
      </c>
      <c r="B658" t="s">
        <v>662</v>
      </c>
      <c r="C658" t="s">
        <v>20</v>
      </c>
      <c r="D658" t="s">
        <v>460</v>
      </c>
      <c r="E658">
        <v>1</v>
      </c>
      <c r="F658">
        <v>0</v>
      </c>
      <c r="G658">
        <v>14</v>
      </c>
      <c r="H658">
        <v>0</v>
      </c>
      <c r="I658">
        <v>14</v>
      </c>
      <c r="J658">
        <v>0</v>
      </c>
      <c r="K658">
        <v>1</v>
      </c>
      <c r="L658">
        <v>1</v>
      </c>
      <c r="M658">
        <v>0</v>
      </c>
      <c r="N658">
        <v>0</v>
      </c>
    </row>
    <row r="659" spans="1:14" x14ac:dyDescent="0.45">
      <c r="A659" t="s">
        <v>98</v>
      </c>
      <c r="B659" t="s">
        <v>662</v>
      </c>
      <c r="C659" t="s">
        <v>7</v>
      </c>
      <c r="D659" t="s">
        <v>478</v>
      </c>
      <c r="E659">
        <v>1</v>
      </c>
      <c r="F659">
        <v>0</v>
      </c>
      <c r="G659">
        <v>8</v>
      </c>
      <c r="H659">
        <v>0</v>
      </c>
      <c r="I659">
        <v>8</v>
      </c>
      <c r="J659">
        <v>3</v>
      </c>
      <c r="K659">
        <v>0</v>
      </c>
      <c r="L659">
        <v>1</v>
      </c>
      <c r="M659">
        <v>0</v>
      </c>
      <c r="N659">
        <v>0</v>
      </c>
    </row>
    <row r="660" spans="1:14" x14ac:dyDescent="0.45">
      <c r="A660" t="s">
        <v>98</v>
      </c>
      <c r="B660" t="s">
        <v>662</v>
      </c>
      <c r="C660" t="s">
        <v>7</v>
      </c>
      <c r="D660" t="s">
        <v>441</v>
      </c>
      <c r="E660">
        <v>4</v>
      </c>
      <c r="F660">
        <v>0</v>
      </c>
      <c r="G660">
        <v>35</v>
      </c>
      <c r="H660">
        <v>2</v>
      </c>
      <c r="I660">
        <v>8.75</v>
      </c>
      <c r="J660">
        <v>11</v>
      </c>
      <c r="K660">
        <v>4</v>
      </c>
      <c r="L660">
        <v>0</v>
      </c>
      <c r="M660">
        <v>4</v>
      </c>
      <c r="N660">
        <v>0</v>
      </c>
    </row>
    <row r="661" spans="1:14" x14ac:dyDescent="0.45">
      <c r="A661" t="s">
        <v>98</v>
      </c>
      <c r="B661" t="s">
        <v>662</v>
      </c>
      <c r="C661" t="s">
        <v>7</v>
      </c>
      <c r="D661" t="s">
        <v>313</v>
      </c>
      <c r="E661">
        <v>4</v>
      </c>
      <c r="F661">
        <v>0</v>
      </c>
      <c r="G661">
        <v>34</v>
      </c>
      <c r="H661">
        <v>1</v>
      </c>
      <c r="I661">
        <v>8.5</v>
      </c>
      <c r="J661">
        <v>8</v>
      </c>
      <c r="K661">
        <v>1</v>
      </c>
      <c r="L661">
        <v>3</v>
      </c>
      <c r="M661">
        <v>0</v>
      </c>
      <c r="N661">
        <v>0</v>
      </c>
    </row>
    <row r="662" spans="1:14" x14ac:dyDescent="0.45">
      <c r="A662" t="s">
        <v>98</v>
      </c>
      <c r="B662" t="s">
        <v>662</v>
      </c>
      <c r="C662" t="s">
        <v>7</v>
      </c>
      <c r="D662" t="s">
        <v>465</v>
      </c>
      <c r="E662">
        <v>4</v>
      </c>
      <c r="F662">
        <v>0</v>
      </c>
      <c r="G662">
        <v>30</v>
      </c>
      <c r="H662">
        <v>1</v>
      </c>
      <c r="I662">
        <v>7.5</v>
      </c>
      <c r="J662">
        <v>9</v>
      </c>
      <c r="K662">
        <v>1</v>
      </c>
      <c r="L662">
        <v>2</v>
      </c>
      <c r="M662">
        <v>0</v>
      </c>
      <c r="N662">
        <v>0</v>
      </c>
    </row>
    <row r="663" spans="1:14" x14ac:dyDescent="0.45">
      <c r="A663" t="s">
        <v>98</v>
      </c>
      <c r="B663" t="s">
        <v>662</v>
      </c>
      <c r="C663" t="s">
        <v>7</v>
      </c>
      <c r="D663" t="s">
        <v>440</v>
      </c>
      <c r="E663">
        <v>3</v>
      </c>
      <c r="F663">
        <v>0</v>
      </c>
      <c r="G663">
        <v>32</v>
      </c>
      <c r="H663">
        <v>1</v>
      </c>
      <c r="I663">
        <v>10.66</v>
      </c>
      <c r="J663">
        <v>5</v>
      </c>
      <c r="K663">
        <v>2</v>
      </c>
      <c r="L663">
        <v>2</v>
      </c>
      <c r="M663">
        <v>1</v>
      </c>
      <c r="N663">
        <v>0</v>
      </c>
    </row>
    <row r="664" spans="1:14" x14ac:dyDescent="0.45">
      <c r="A664" t="s">
        <v>98</v>
      </c>
      <c r="B664" t="s">
        <v>662</v>
      </c>
      <c r="C664" t="s">
        <v>7</v>
      </c>
      <c r="D664" t="s">
        <v>322</v>
      </c>
      <c r="E664">
        <v>4</v>
      </c>
      <c r="F664">
        <v>0</v>
      </c>
      <c r="G664">
        <v>36</v>
      </c>
      <c r="H664">
        <v>0</v>
      </c>
      <c r="I664">
        <v>9</v>
      </c>
      <c r="J664">
        <v>6</v>
      </c>
      <c r="K664">
        <v>1</v>
      </c>
      <c r="L664">
        <v>2</v>
      </c>
      <c r="M664">
        <v>0</v>
      </c>
      <c r="N664">
        <v>0</v>
      </c>
    </row>
    <row r="665" spans="1:14" x14ac:dyDescent="0.45">
      <c r="A665" t="s">
        <v>99</v>
      </c>
      <c r="B665" t="s">
        <v>633</v>
      </c>
      <c r="C665" t="s">
        <v>10</v>
      </c>
      <c r="D665" t="s">
        <v>474</v>
      </c>
      <c r="E665">
        <v>3</v>
      </c>
      <c r="F665">
        <v>0</v>
      </c>
      <c r="G665">
        <v>18</v>
      </c>
      <c r="H665">
        <v>2</v>
      </c>
      <c r="I665">
        <v>6</v>
      </c>
      <c r="J665">
        <v>11</v>
      </c>
      <c r="K665">
        <v>3</v>
      </c>
      <c r="L665">
        <v>0</v>
      </c>
      <c r="M665">
        <v>0</v>
      </c>
      <c r="N665">
        <v>0</v>
      </c>
    </row>
    <row r="666" spans="1:14" x14ac:dyDescent="0.45">
      <c r="A666" t="s">
        <v>99</v>
      </c>
      <c r="B666" t="s">
        <v>633</v>
      </c>
      <c r="C666" t="s">
        <v>10</v>
      </c>
      <c r="D666" t="s">
        <v>340</v>
      </c>
      <c r="E666">
        <v>4</v>
      </c>
      <c r="F666">
        <v>0</v>
      </c>
      <c r="G666">
        <v>23</v>
      </c>
      <c r="H666">
        <v>2</v>
      </c>
      <c r="I666">
        <v>5.75</v>
      </c>
      <c r="J666">
        <v>11</v>
      </c>
      <c r="K666">
        <v>3</v>
      </c>
      <c r="L666">
        <v>0</v>
      </c>
      <c r="M666">
        <v>1</v>
      </c>
      <c r="N666">
        <v>0</v>
      </c>
    </row>
    <row r="667" spans="1:14" x14ac:dyDescent="0.45">
      <c r="A667" t="s">
        <v>99</v>
      </c>
      <c r="B667" t="s">
        <v>633</v>
      </c>
      <c r="C667" t="s">
        <v>10</v>
      </c>
      <c r="D667" t="s">
        <v>339</v>
      </c>
      <c r="E667">
        <v>4</v>
      </c>
      <c r="F667">
        <v>0</v>
      </c>
      <c r="G667">
        <v>47</v>
      </c>
      <c r="H667">
        <v>1</v>
      </c>
      <c r="I667">
        <v>11.75</v>
      </c>
      <c r="J667">
        <v>9</v>
      </c>
      <c r="K667">
        <v>4</v>
      </c>
      <c r="L667">
        <v>4</v>
      </c>
      <c r="M667">
        <v>0</v>
      </c>
      <c r="N667">
        <v>0</v>
      </c>
    </row>
    <row r="668" spans="1:14" x14ac:dyDescent="0.45">
      <c r="A668" t="s">
        <v>99</v>
      </c>
      <c r="B668" t="s">
        <v>633</v>
      </c>
      <c r="C668" t="s">
        <v>10</v>
      </c>
      <c r="D668" t="s">
        <v>354</v>
      </c>
      <c r="E668">
        <v>4</v>
      </c>
      <c r="F668">
        <v>0</v>
      </c>
      <c r="G668">
        <v>40</v>
      </c>
      <c r="H668">
        <v>1</v>
      </c>
      <c r="I668">
        <v>10</v>
      </c>
      <c r="J668">
        <v>7</v>
      </c>
      <c r="K668">
        <v>4</v>
      </c>
      <c r="L668">
        <v>2</v>
      </c>
      <c r="M668">
        <v>1</v>
      </c>
      <c r="N668">
        <v>0</v>
      </c>
    </row>
    <row r="669" spans="1:14" x14ac:dyDescent="0.45">
      <c r="A669" t="s">
        <v>99</v>
      </c>
      <c r="B669" t="s">
        <v>633</v>
      </c>
      <c r="C669" t="s">
        <v>10</v>
      </c>
      <c r="D669" t="s">
        <v>468</v>
      </c>
      <c r="E669">
        <v>3</v>
      </c>
      <c r="F669">
        <v>0</v>
      </c>
      <c r="G669">
        <v>27</v>
      </c>
      <c r="H669">
        <v>0</v>
      </c>
      <c r="I669">
        <v>9</v>
      </c>
      <c r="J669">
        <v>4</v>
      </c>
      <c r="K669">
        <v>0</v>
      </c>
      <c r="L669">
        <v>2</v>
      </c>
      <c r="M669">
        <v>0</v>
      </c>
      <c r="N669">
        <v>0</v>
      </c>
    </row>
    <row r="670" spans="1:14" x14ac:dyDescent="0.45">
      <c r="A670" t="s">
        <v>99</v>
      </c>
      <c r="B670" t="s">
        <v>633</v>
      </c>
      <c r="C670" t="s">
        <v>10</v>
      </c>
      <c r="D670" t="s">
        <v>331</v>
      </c>
      <c r="E670">
        <v>2</v>
      </c>
      <c r="F670">
        <v>0</v>
      </c>
      <c r="G670">
        <v>26</v>
      </c>
      <c r="H670">
        <v>0</v>
      </c>
      <c r="I670">
        <v>13</v>
      </c>
      <c r="J670">
        <v>4</v>
      </c>
      <c r="K670">
        <v>2</v>
      </c>
      <c r="L670">
        <v>2</v>
      </c>
      <c r="M670">
        <v>0</v>
      </c>
      <c r="N670">
        <v>1</v>
      </c>
    </row>
    <row r="671" spans="1:14" x14ac:dyDescent="0.45">
      <c r="A671" t="s">
        <v>99</v>
      </c>
      <c r="B671" t="s">
        <v>633</v>
      </c>
      <c r="C671" t="s">
        <v>6</v>
      </c>
      <c r="D671" t="s">
        <v>324</v>
      </c>
      <c r="E671">
        <v>4</v>
      </c>
      <c r="F671">
        <v>0</v>
      </c>
      <c r="G671">
        <v>36</v>
      </c>
      <c r="H671">
        <v>0</v>
      </c>
      <c r="I671">
        <v>9</v>
      </c>
      <c r="J671">
        <v>8</v>
      </c>
      <c r="K671">
        <v>5</v>
      </c>
      <c r="L671">
        <v>1</v>
      </c>
      <c r="M671">
        <v>0</v>
      </c>
      <c r="N671">
        <v>0</v>
      </c>
    </row>
    <row r="672" spans="1:14" x14ac:dyDescent="0.45">
      <c r="A672" t="s">
        <v>99</v>
      </c>
      <c r="B672" t="s">
        <v>633</v>
      </c>
      <c r="C672" t="s">
        <v>6</v>
      </c>
      <c r="D672" t="s">
        <v>420</v>
      </c>
      <c r="E672">
        <v>2</v>
      </c>
      <c r="F672">
        <v>0</v>
      </c>
      <c r="G672">
        <v>24</v>
      </c>
      <c r="H672">
        <v>0</v>
      </c>
      <c r="I672">
        <v>12</v>
      </c>
      <c r="J672">
        <v>2</v>
      </c>
      <c r="K672">
        <v>3</v>
      </c>
      <c r="L672">
        <v>1</v>
      </c>
      <c r="M672">
        <v>0</v>
      </c>
      <c r="N672">
        <v>0</v>
      </c>
    </row>
    <row r="673" spans="1:14" x14ac:dyDescent="0.45">
      <c r="A673" t="s">
        <v>99</v>
      </c>
      <c r="B673" t="s">
        <v>633</v>
      </c>
      <c r="C673" t="s">
        <v>6</v>
      </c>
      <c r="D673" t="s">
        <v>326</v>
      </c>
      <c r="E673">
        <v>3.4</v>
      </c>
      <c r="F673">
        <v>0</v>
      </c>
      <c r="G673">
        <v>53</v>
      </c>
      <c r="H673">
        <v>2</v>
      </c>
      <c r="I673">
        <v>14.45</v>
      </c>
      <c r="J673">
        <v>6</v>
      </c>
      <c r="K673">
        <v>11</v>
      </c>
      <c r="L673">
        <v>0</v>
      </c>
      <c r="M673">
        <v>2</v>
      </c>
      <c r="N673">
        <v>0</v>
      </c>
    </row>
    <row r="674" spans="1:14" x14ac:dyDescent="0.45">
      <c r="A674" t="s">
        <v>99</v>
      </c>
      <c r="B674" t="s">
        <v>633</v>
      </c>
      <c r="C674" t="s">
        <v>6</v>
      </c>
      <c r="D674" t="s">
        <v>328</v>
      </c>
      <c r="E674">
        <v>2</v>
      </c>
      <c r="F674">
        <v>0</v>
      </c>
      <c r="G674">
        <v>16</v>
      </c>
      <c r="H674">
        <v>0</v>
      </c>
      <c r="I674">
        <v>8</v>
      </c>
      <c r="J674">
        <v>2</v>
      </c>
      <c r="K674">
        <v>0</v>
      </c>
      <c r="L674">
        <v>1</v>
      </c>
      <c r="M674">
        <v>0</v>
      </c>
      <c r="N674">
        <v>0</v>
      </c>
    </row>
    <row r="675" spans="1:14" x14ac:dyDescent="0.45">
      <c r="A675" t="s">
        <v>99</v>
      </c>
      <c r="B675" t="s">
        <v>633</v>
      </c>
      <c r="C675" t="s">
        <v>6</v>
      </c>
      <c r="D675" t="s">
        <v>299</v>
      </c>
      <c r="E675">
        <v>3</v>
      </c>
      <c r="F675">
        <v>0</v>
      </c>
      <c r="G675">
        <v>33</v>
      </c>
      <c r="H675">
        <v>0</v>
      </c>
      <c r="I675">
        <v>11</v>
      </c>
      <c r="J675">
        <v>2</v>
      </c>
      <c r="K675">
        <v>2</v>
      </c>
      <c r="L675">
        <v>2</v>
      </c>
      <c r="M675">
        <v>0</v>
      </c>
      <c r="N675">
        <v>1</v>
      </c>
    </row>
    <row r="676" spans="1:14" x14ac:dyDescent="0.45">
      <c r="A676" t="s">
        <v>99</v>
      </c>
      <c r="B676" t="s">
        <v>633</v>
      </c>
      <c r="C676" t="s">
        <v>6</v>
      </c>
      <c r="D676" t="s">
        <v>327</v>
      </c>
      <c r="E676">
        <v>4</v>
      </c>
      <c r="F676">
        <v>0</v>
      </c>
      <c r="G676">
        <v>28</v>
      </c>
      <c r="H676">
        <v>1</v>
      </c>
      <c r="I676">
        <v>7</v>
      </c>
      <c r="J676">
        <v>7</v>
      </c>
      <c r="K676">
        <v>3</v>
      </c>
      <c r="L676">
        <v>0</v>
      </c>
      <c r="M676">
        <v>1</v>
      </c>
      <c r="N676">
        <v>0</v>
      </c>
    </row>
    <row r="677" spans="1:14" x14ac:dyDescent="0.45">
      <c r="A677" t="s">
        <v>100</v>
      </c>
      <c r="B677" t="s">
        <v>663</v>
      </c>
      <c r="C677" t="s">
        <v>13</v>
      </c>
      <c r="D677" t="s">
        <v>352</v>
      </c>
      <c r="E677">
        <v>4</v>
      </c>
      <c r="F677">
        <v>0</v>
      </c>
      <c r="G677">
        <v>22</v>
      </c>
      <c r="H677">
        <v>0</v>
      </c>
      <c r="I677">
        <v>5.5</v>
      </c>
      <c r="J677">
        <v>12</v>
      </c>
      <c r="K677">
        <v>2</v>
      </c>
      <c r="L677">
        <v>0</v>
      </c>
      <c r="M677">
        <v>1</v>
      </c>
      <c r="N677">
        <v>0</v>
      </c>
    </row>
    <row r="678" spans="1:14" x14ac:dyDescent="0.45">
      <c r="A678" t="s">
        <v>100</v>
      </c>
      <c r="B678" t="s">
        <v>663</v>
      </c>
      <c r="C678" t="s">
        <v>13</v>
      </c>
      <c r="D678" t="s">
        <v>438</v>
      </c>
      <c r="E678">
        <v>4</v>
      </c>
      <c r="F678">
        <v>0</v>
      </c>
      <c r="G678">
        <v>27</v>
      </c>
      <c r="H678">
        <v>1</v>
      </c>
      <c r="I678">
        <v>6.75</v>
      </c>
      <c r="J678">
        <v>13</v>
      </c>
      <c r="K678">
        <v>3</v>
      </c>
      <c r="L678">
        <v>1</v>
      </c>
      <c r="M678">
        <v>0</v>
      </c>
      <c r="N678">
        <v>1</v>
      </c>
    </row>
    <row r="679" spans="1:14" x14ac:dyDescent="0.45">
      <c r="A679" t="s">
        <v>100</v>
      </c>
      <c r="B679" t="s">
        <v>663</v>
      </c>
      <c r="C679" t="s">
        <v>13</v>
      </c>
      <c r="D679" t="s">
        <v>353</v>
      </c>
      <c r="E679">
        <v>4</v>
      </c>
      <c r="F679">
        <v>0</v>
      </c>
      <c r="G679">
        <v>41</v>
      </c>
      <c r="H679">
        <v>0</v>
      </c>
      <c r="I679">
        <v>10.25</v>
      </c>
      <c r="J679">
        <v>8</v>
      </c>
      <c r="K679">
        <v>3</v>
      </c>
      <c r="L679">
        <v>3</v>
      </c>
      <c r="M679">
        <v>0</v>
      </c>
      <c r="N679">
        <v>0</v>
      </c>
    </row>
    <row r="680" spans="1:14" x14ac:dyDescent="0.45">
      <c r="A680" t="s">
        <v>100</v>
      </c>
      <c r="B680" t="s">
        <v>663</v>
      </c>
      <c r="C680" t="s">
        <v>13</v>
      </c>
      <c r="D680" t="s">
        <v>347</v>
      </c>
      <c r="E680">
        <v>1</v>
      </c>
      <c r="F680">
        <v>0</v>
      </c>
      <c r="G680">
        <v>14</v>
      </c>
      <c r="H680">
        <v>0</v>
      </c>
      <c r="I680">
        <v>14</v>
      </c>
      <c r="J680">
        <v>0</v>
      </c>
      <c r="K680">
        <v>1</v>
      </c>
      <c r="L680">
        <v>1</v>
      </c>
      <c r="M680">
        <v>0</v>
      </c>
      <c r="N680">
        <v>0</v>
      </c>
    </row>
    <row r="681" spans="1:14" x14ac:dyDescent="0.45">
      <c r="A681" t="s">
        <v>100</v>
      </c>
      <c r="B681" t="s">
        <v>663</v>
      </c>
      <c r="C681" t="s">
        <v>13</v>
      </c>
      <c r="D681" t="s">
        <v>349</v>
      </c>
      <c r="E681">
        <v>4</v>
      </c>
      <c r="F681">
        <v>0</v>
      </c>
      <c r="G681">
        <v>27</v>
      </c>
      <c r="H681">
        <v>5</v>
      </c>
      <c r="I681">
        <v>6.75</v>
      </c>
      <c r="J681">
        <v>12</v>
      </c>
      <c r="K681">
        <v>2</v>
      </c>
      <c r="L681">
        <v>1</v>
      </c>
      <c r="M681">
        <v>0</v>
      </c>
      <c r="N681">
        <v>1</v>
      </c>
    </row>
    <row r="682" spans="1:14" x14ac:dyDescent="0.45">
      <c r="A682" t="s">
        <v>100</v>
      </c>
      <c r="B682" t="s">
        <v>663</v>
      </c>
      <c r="C682" t="s">
        <v>13</v>
      </c>
      <c r="D682" t="s">
        <v>348</v>
      </c>
      <c r="E682">
        <v>2</v>
      </c>
      <c r="F682">
        <v>0</v>
      </c>
      <c r="G682">
        <v>21</v>
      </c>
      <c r="H682">
        <v>0</v>
      </c>
      <c r="I682">
        <v>10.5</v>
      </c>
      <c r="J682">
        <v>3</v>
      </c>
      <c r="K682">
        <v>3</v>
      </c>
      <c r="L682">
        <v>0</v>
      </c>
      <c r="M682">
        <v>1</v>
      </c>
      <c r="N682">
        <v>0</v>
      </c>
    </row>
    <row r="683" spans="1:14" x14ac:dyDescent="0.45">
      <c r="A683" t="s">
        <v>100</v>
      </c>
      <c r="B683" t="s">
        <v>663</v>
      </c>
      <c r="C683" t="s">
        <v>13</v>
      </c>
      <c r="D683" t="s">
        <v>467</v>
      </c>
      <c r="E683">
        <v>1</v>
      </c>
      <c r="F683">
        <v>0</v>
      </c>
      <c r="G683">
        <v>7</v>
      </c>
      <c r="H683">
        <v>1</v>
      </c>
      <c r="I683">
        <v>7</v>
      </c>
      <c r="J683">
        <v>2</v>
      </c>
      <c r="K683">
        <v>1</v>
      </c>
      <c r="L683">
        <v>0</v>
      </c>
      <c r="M683">
        <v>0</v>
      </c>
      <c r="N683">
        <v>0</v>
      </c>
    </row>
    <row r="684" spans="1:14" x14ac:dyDescent="0.45">
      <c r="A684" t="s">
        <v>100</v>
      </c>
      <c r="B684" t="s">
        <v>663</v>
      </c>
      <c r="C684" t="s">
        <v>19</v>
      </c>
      <c r="D684" t="s">
        <v>370</v>
      </c>
      <c r="E684">
        <v>4</v>
      </c>
      <c r="F684">
        <v>0</v>
      </c>
      <c r="G684">
        <v>36</v>
      </c>
      <c r="H684">
        <v>1</v>
      </c>
      <c r="I684">
        <v>9</v>
      </c>
      <c r="J684">
        <v>12</v>
      </c>
      <c r="K684">
        <v>4</v>
      </c>
      <c r="L684">
        <v>1</v>
      </c>
      <c r="M684">
        <v>2</v>
      </c>
      <c r="N684">
        <v>0</v>
      </c>
    </row>
    <row r="685" spans="1:14" x14ac:dyDescent="0.45">
      <c r="A685" t="s">
        <v>100</v>
      </c>
      <c r="B685" t="s">
        <v>663</v>
      </c>
      <c r="C685" t="s">
        <v>19</v>
      </c>
      <c r="D685" t="s">
        <v>369</v>
      </c>
      <c r="E685">
        <v>4</v>
      </c>
      <c r="F685">
        <v>0</v>
      </c>
      <c r="G685">
        <v>26</v>
      </c>
      <c r="H685">
        <v>2</v>
      </c>
      <c r="I685">
        <v>6.5</v>
      </c>
      <c r="J685">
        <v>10</v>
      </c>
      <c r="K685">
        <v>2</v>
      </c>
      <c r="L685">
        <v>0</v>
      </c>
      <c r="M685">
        <v>0</v>
      </c>
      <c r="N685">
        <v>0</v>
      </c>
    </row>
    <row r="686" spans="1:14" x14ac:dyDescent="0.45">
      <c r="A686" t="s">
        <v>100</v>
      </c>
      <c r="B686" t="s">
        <v>663</v>
      </c>
      <c r="C686" t="s">
        <v>19</v>
      </c>
      <c r="D686" t="s">
        <v>484</v>
      </c>
      <c r="E686">
        <v>4</v>
      </c>
      <c r="F686">
        <v>0</v>
      </c>
      <c r="G686">
        <v>28</v>
      </c>
      <c r="H686">
        <v>2</v>
      </c>
      <c r="I686">
        <v>7</v>
      </c>
      <c r="J686">
        <v>9</v>
      </c>
      <c r="K686">
        <v>2</v>
      </c>
      <c r="L686">
        <v>0</v>
      </c>
      <c r="M686">
        <v>3</v>
      </c>
      <c r="N686">
        <v>1</v>
      </c>
    </row>
    <row r="687" spans="1:14" x14ac:dyDescent="0.45">
      <c r="A687" t="s">
        <v>100</v>
      </c>
      <c r="B687" t="s">
        <v>663</v>
      </c>
      <c r="C687" t="s">
        <v>19</v>
      </c>
      <c r="D687" t="s">
        <v>366</v>
      </c>
      <c r="E687">
        <v>4</v>
      </c>
      <c r="F687">
        <v>0</v>
      </c>
      <c r="G687">
        <v>25</v>
      </c>
      <c r="H687">
        <v>1</v>
      </c>
      <c r="I687">
        <v>6.25</v>
      </c>
      <c r="J687">
        <v>9</v>
      </c>
      <c r="K687">
        <v>1</v>
      </c>
      <c r="L687">
        <v>1</v>
      </c>
      <c r="M687">
        <v>0</v>
      </c>
      <c r="N687">
        <v>0</v>
      </c>
    </row>
    <row r="688" spans="1:14" x14ac:dyDescent="0.45">
      <c r="A688" t="s">
        <v>100</v>
      </c>
      <c r="B688" t="s">
        <v>663</v>
      </c>
      <c r="C688" t="s">
        <v>19</v>
      </c>
      <c r="D688" t="s">
        <v>435</v>
      </c>
      <c r="E688">
        <v>4</v>
      </c>
      <c r="F688">
        <v>0</v>
      </c>
      <c r="G688">
        <v>43</v>
      </c>
      <c r="H688">
        <v>0</v>
      </c>
      <c r="I688">
        <v>10.75</v>
      </c>
      <c r="J688">
        <v>4</v>
      </c>
      <c r="K688">
        <v>3</v>
      </c>
      <c r="L688">
        <v>2</v>
      </c>
      <c r="M688">
        <v>0</v>
      </c>
      <c r="N688">
        <v>0</v>
      </c>
    </row>
    <row r="689" spans="1:14" x14ac:dyDescent="0.45">
      <c r="A689" t="s">
        <v>102</v>
      </c>
      <c r="B689" t="s">
        <v>664</v>
      </c>
      <c r="C689" t="s">
        <v>101</v>
      </c>
      <c r="D689" t="s">
        <v>403</v>
      </c>
      <c r="E689">
        <v>4</v>
      </c>
      <c r="F689">
        <v>0</v>
      </c>
      <c r="G689">
        <v>33</v>
      </c>
      <c r="H689">
        <v>1</v>
      </c>
      <c r="I689">
        <v>8.25</v>
      </c>
      <c r="J689">
        <v>12</v>
      </c>
      <c r="K689">
        <v>4</v>
      </c>
      <c r="L689">
        <v>1</v>
      </c>
      <c r="M689">
        <v>0</v>
      </c>
      <c r="N689">
        <v>0</v>
      </c>
    </row>
    <row r="690" spans="1:14" x14ac:dyDescent="0.45">
      <c r="A690" t="s">
        <v>102</v>
      </c>
      <c r="B690" t="s">
        <v>664</v>
      </c>
      <c r="C690" t="s">
        <v>101</v>
      </c>
      <c r="D690" t="s">
        <v>489</v>
      </c>
      <c r="E690">
        <v>3</v>
      </c>
      <c r="F690">
        <v>0</v>
      </c>
      <c r="G690">
        <v>18</v>
      </c>
      <c r="H690">
        <v>1</v>
      </c>
      <c r="I690">
        <v>6</v>
      </c>
      <c r="J690">
        <v>9</v>
      </c>
      <c r="K690">
        <v>1</v>
      </c>
      <c r="L690">
        <v>1</v>
      </c>
      <c r="M690">
        <v>0</v>
      </c>
      <c r="N690">
        <v>0</v>
      </c>
    </row>
    <row r="691" spans="1:14" x14ac:dyDescent="0.45">
      <c r="A691" t="s">
        <v>102</v>
      </c>
      <c r="B691" t="s">
        <v>664</v>
      </c>
      <c r="C691" t="s">
        <v>101</v>
      </c>
      <c r="D691" t="s">
        <v>317</v>
      </c>
      <c r="E691">
        <v>3</v>
      </c>
      <c r="F691">
        <v>0</v>
      </c>
      <c r="G691">
        <v>22</v>
      </c>
      <c r="H691">
        <v>0</v>
      </c>
      <c r="I691">
        <v>7.33</v>
      </c>
      <c r="J691">
        <v>5</v>
      </c>
      <c r="K691">
        <v>3</v>
      </c>
      <c r="L691">
        <v>0</v>
      </c>
      <c r="M691">
        <v>0</v>
      </c>
      <c r="N691">
        <v>0</v>
      </c>
    </row>
    <row r="692" spans="1:14" x14ac:dyDescent="0.45">
      <c r="A692" t="s">
        <v>102</v>
      </c>
      <c r="B692" t="s">
        <v>664</v>
      </c>
      <c r="C692" t="s">
        <v>101</v>
      </c>
      <c r="D692" t="s">
        <v>379</v>
      </c>
      <c r="E692">
        <v>4</v>
      </c>
      <c r="F692">
        <v>0</v>
      </c>
      <c r="G692">
        <v>18</v>
      </c>
      <c r="H692">
        <v>1</v>
      </c>
      <c r="I692">
        <v>4.5</v>
      </c>
      <c r="J692">
        <v>9</v>
      </c>
      <c r="K692">
        <v>1</v>
      </c>
      <c r="L692">
        <v>0</v>
      </c>
      <c r="M692">
        <v>0</v>
      </c>
      <c r="N692">
        <v>0</v>
      </c>
    </row>
    <row r="693" spans="1:14" x14ac:dyDescent="0.45">
      <c r="A693" t="s">
        <v>102</v>
      </c>
      <c r="B693" t="s">
        <v>664</v>
      </c>
      <c r="C693" t="s">
        <v>101</v>
      </c>
      <c r="D693" t="s">
        <v>361</v>
      </c>
      <c r="E693">
        <v>4</v>
      </c>
      <c r="F693">
        <v>0</v>
      </c>
      <c r="G693">
        <v>17</v>
      </c>
      <c r="H693">
        <v>3</v>
      </c>
      <c r="I693">
        <v>4.25</v>
      </c>
      <c r="J693">
        <v>14</v>
      </c>
      <c r="K693">
        <v>2</v>
      </c>
      <c r="L693">
        <v>0</v>
      </c>
      <c r="M693">
        <v>0</v>
      </c>
      <c r="N693">
        <v>0</v>
      </c>
    </row>
    <row r="694" spans="1:14" x14ac:dyDescent="0.45">
      <c r="A694" t="s">
        <v>102</v>
      </c>
      <c r="B694" t="s">
        <v>664</v>
      </c>
      <c r="C694" t="s">
        <v>101</v>
      </c>
      <c r="D694" t="s">
        <v>490</v>
      </c>
      <c r="E694">
        <v>2</v>
      </c>
      <c r="F694">
        <v>0</v>
      </c>
      <c r="G694">
        <v>20</v>
      </c>
      <c r="H694">
        <v>2</v>
      </c>
      <c r="I694">
        <v>10</v>
      </c>
      <c r="J694">
        <v>3</v>
      </c>
      <c r="K694">
        <v>0</v>
      </c>
      <c r="L694">
        <v>2</v>
      </c>
      <c r="M694">
        <v>0</v>
      </c>
      <c r="N694">
        <v>0</v>
      </c>
    </row>
    <row r="695" spans="1:14" x14ac:dyDescent="0.45">
      <c r="A695" t="s">
        <v>102</v>
      </c>
      <c r="B695" t="s">
        <v>664</v>
      </c>
      <c r="C695" t="s">
        <v>23</v>
      </c>
      <c r="D695" t="s">
        <v>370</v>
      </c>
      <c r="E695">
        <v>4</v>
      </c>
      <c r="F695">
        <v>1</v>
      </c>
      <c r="G695">
        <v>14</v>
      </c>
      <c r="H695">
        <v>1</v>
      </c>
      <c r="I695">
        <v>3.5</v>
      </c>
      <c r="J695">
        <v>17</v>
      </c>
      <c r="K695">
        <v>1</v>
      </c>
      <c r="L695">
        <v>0</v>
      </c>
      <c r="M695">
        <v>2</v>
      </c>
      <c r="N695">
        <v>0</v>
      </c>
    </row>
    <row r="696" spans="1:14" x14ac:dyDescent="0.45">
      <c r="A696" t="s">
        <v>102</v>
      </c>
      <c r="B696" t="s">
        <v>664</v>
      </c>
      <c r="C696" t="s">
        <v>23</v>
      </c>
      <c r="D696" t="s">
        <v>441</v>
      </c>
      <c r="E696">
        <v>4</v>
      </c>
      <c r="F696">
        <v>0</v>
      </c>
      <c r="G696">
        <v>40</v>
      </c>
      <c r="H696">
        <v>1</v>
      </c>
      <c r="I696">
        <v>10</v>
      </c>
      <c r="J696">
        <v>13</v>
      </c>
      <c r="K696">
        <v>5</v>
      </c>
      <c r="L696">
        <v>1</v>
      </c>
      <c r="M696">
        <v>2</v>
      </c>
      <c r="N696">
        <v>0</v>
      </c>
    </row>
    <row r="697" spans="1:14" x14ac:dyDescent="0.45">
      <c r="A697" t="s">
        <v>102</v>
      </c>
      <c r="B697" t="s">
        <v>664</v>
      </c>
      <c r="C697" t="s">
        <v>23</v>
      </c>
      <c r="D697" t="s">
        <v>353</v>
      </c>
      <c r="E697">
        <v>4</v>
      </c>
      <c r="F697">
        <v>0</v>
      </c>
      <c r="G697">
        <v>20</v>
      </c>
      <c r="H697">
        <v>1</v>
      </c>
      <c r="I697">
        <v>5</v>
      </c>
      <c r="J697">
        <v>10</v>
      </c>
      <c r="K697">
        <v>1</v>
      </c>
      <c r="L697">
        <v>0</v>
      </c>
      <c r="M697">
        <v>0</v>
      </c>
      <c r="N697">
        <v>0</v>
      </c>
    </row>
    <row r="698" spans="1:14" x14ac:dyDescent="0.45">
      <c r="A698" t="s">
        <v>102</v>
      </c>
      <c r="B698" t="s">
        <v>664</v>
      </c>
      <c r="C698" t="s">
        <v>23</v>
      </c>
      <c r="D698" t="s">
        <v>487</v>
      </c>
      <c r="E698">
        <v>3.1</v>
      </c>
      <c r="F698">
        <v>0</v>
      </c>
      <c r="G698">
        <v>26</v>
      </c>
      <c r="H698">
        <v>0</v>
      </c>
      <c r="I698">
        <v>8.2100000000000009</v>
      </c>
      <c r="J698">
        <v>5</v>
      </c>
      <c r="K698">
        <v>2</v>
      </c>
      <c r="L698">
        <v>1</v>
      </c>
      <c r="M698">
        <v>0</v>
      </c>
      <c r="N698">
        <v>0</v>
      </c>
    </row>
    <row r="699" spans="1:14" x14ac:dyDescent="0.45">
      <c r="A699" t="s">
        <v>102</v>
      </c>
      <c r="B699" t="s">
        <v>664</v>
      </c>
      <c r="C699" t="s">
        <v>23</v>
      </c>
      <c r="D699" t="s">
        <v>339</v>
      </c>
      <c r="E699">
        <v>3</v>
      </c>
      <c r="F699">
        <v>0</v>
      </c>
      <c r="G699">
        <v>32</v>
      </c>
      <c r="H699">
        <v>0</v>
      </c>
      <c r="I699">
        <v>10.66</v>
      </c>
      <c r="J699">
        <v>2</v>
      </c>
      <c r="K699">
        <v>1</v>
      </c>
      <c r="L699">
        <v>2</v>
      </c>
      <c r="M699">
        <v>0</v>
      </c>
      <c r="N699">
        <v>0</v>
      </c>
    </row>
    <row r="700" spans="1:14" x14ac:dyDescent="0.45">
      <c r="A700" t="s">
        <v>103</v>
      </c>
      <c r="B700" t="s">
        <v>665</v>
      </c>
      <c r="C700" t="s">
        <v>23</v>
      </c>
      <c r="D700" t="s">
        <v>370</v>
      </c>
      <c r="E700">
        <v>4</v>
      </c>
      <c r="F700">
        <v>0</v>
      </c>
      <c r="G700">
        <v>28</v>
      </c>
      <c r="H700">
        <v>1</v>
      </c>
      <c r="I700">
        <v>7</v>
      </c>
      <c r="J700">
        <v>13</v>
      </c>
      <c r="K700">
        <v>3</v>
      </c>
      <c r="L700">
        <v>1</v>
      </c>
      <c r="M700">
        <v>0</v>
      </c>
      <c r="N700">
        <v>0</v>
      </c>
    </row>
    <row r="701" spans="1:14" x14ac:dyDescent="0.45">
      <c r="A701" t="s">
        <v>103</v>
      </c>
      <c r="B701" t="s">
        <v>665</v>
      </c>
      <c r="C701" t="s">
        <v>23</v>
      </c>
      <c r="D701" t="s">
        <v>441</v>
      </c>
      <c r="E701">
        <v>4</v>
      </c>
      <c r="F701">
        <v>0</v>
      </c>
      <c r="G701">
        <v>22</v>
      </c>
      <c r="H701">
        <v>3</v>
      </c>
      <c r="I701">
        <v>5.5</v>
      </c>
      <c r="J701">
        <v>17</v>
      </c>
      <c r="K701">
        <v>3</v>
      </c>
      <c r="L701">
        <v>1</v>
      </c>
      <c r="M701">
        <v>1</v>
      </c>
      <c r="N701">
        <v>0</v>
      </c>
    </row>
    <row r="702" spans="1:14" x14ac:dyDescent="0.45">
      <c r="A702" t="s">
        <v>103</v>
      </c>
      <c r="B702" t="s">
        <v>665</v>
      </c>
      <c r="C702" t="s">
        <v>23</v>
      </c>
      <c r="D702" t="s">
        <v>487</v>
      </c>
      <c r="E702">
        <v>4</v>
      </c>
      <c r="F702">
        <v>0</v>
      </c>
      <c r="G702">
        <v>23</v>
      </c>
      <c r="H702">
        <v>3</v>
      </c>
      <c r="I702">
        <v>5.75</v>
      </c>
      <c r="J702">
        <v>10</v>
      </c>
      <c r="K702">
        <v>2</v>
      </c>
      <c r="L702">
        <v>0</v>
      </c>
      <c r="M702">
        <v>1</v>
      </c>
      <c r="N702">
        <v>0</v>
      </c>
    </row>
    <row r="703" spans="1:14" x14ac:dyDescent="0.45">
      <c r="A703" t="s">
        <v>103</v>
      </c>
      <c r="B703" t="s">
        <v>665</v>
      </c>
      <c r="C703" t="s">
        <v>23</v>
      </c>
      <c r="D703" t="s">
        <v>339</v>
      </c>
      <c r="E703">
        <v>4</v>
      </c>
      <c r="F703">
        <v>0</v>
      </c>
      <c r="G703">
        <v>31</v>
      </c>
      <c r="H703">
        <v>1</v>
      </c>
      <c r="I703">
        <v>7.75</v>
      </c>
      <c r="J703">
        <v>5</v>
      </c>
      <c r="K703">
        <v>0</v>
      </c>
      <c r="L703">
        <v>2</v>
      </c>
      <c r="M703">
        <v>1</v>
      </c>
      <c r="N703">
        <v>0</v>
      </c>
    </row>
    <row r="704" spans="1:14" x14ac:dyDescent="0.45">
      <c r="A704" t="s">
        <v>103</v>
      </c>
      <c r="B704" t="s">
        <v>665</v>
      </c>
      <c r="C704" t="s">
        <v>23</v>
      </c>
      <c r="D704" t="s">
        <v>353</v>
      </c>
      <c r="E704">
        <v>4</v>
      </c>
      <c r="F704">
        <v>0</v>
      </c>
      <c r="G704">
        <v>45</v>
      </c>
      <c r="H704">
        <v>0</v>
      </c>
      <c r="I704">
        <v>11.25</v>
      </c>
      <c r="J704">
        <v>2</v>
      </c>
      <c r="K704">
        <v>1</v>
      </c>
      <c r="L704">
        <v>3</v>
      </c>
      <c r="M704">
        <v>4</v>
      </c>
      <c r="N704">
        <v>0</v>
      </c>
    </row>
    <row r="705" spans="1:14" x14ac:dyDescent="0.45">
      <c r="A705" t="s">
        <v>103</v>
      </c>
      <c r="B705" t="s">
        <v>665</v>
      </c>
      <c r="C705" t="s">
        <v>13</v>
      </c>
      <c r="D705" t="s">
        <v>352</v>
      </c>
      <c r="E705">
        <v>2</v>
      </c>
      <c r="F705">
        <v>0</v>
      </c>
      <c r="G705">
        <v>31</v>
      </c>
      <c r="H705">
        <v>0</v>
      </c>
      <c r="I705">
        <v>15.5</v>
      </c>
      <c r="J705">
        <v>5</v>
      </c>
      <c r="K705">
        <v>3</v>
      </c>
      <c r="L705">
        <v>3</v>
      </c>
      <c r="M705">
        <v>0</v>
      </c>
      <c r="N705">
        <v>0</v>
      </c>
    </row>
    <row r="706" spans="1:14" x14ac:dyDescent="0.45">
      <c r="A706" t="s">
        <v>103</v>
      </c>
      <c r="B706" t="s">
        <v>665</v>
      </c>
      <c r="C706" t="s">
        <v>13</v>
      </c>
      <c r="D706" t="s">
        <v>325</v>
      </c>
      <c r="E706">
        <v>4</v>
      </c>
      <c r="F706">
        <v>0</v>
      </c>
      <c r="G706">
        <v>23</v>
      </c>
      <c r="H706">
        <v>2</v>
      </c>
      <c r="I706">
        <v>5.75</v>
      </c>
      <c r="J706">
        <v>12</v>
      </c>
      <c r="K706">
        <v>3</v>
      </c>
      <c r="L706">
        <v>0</v>
      </c>
      <c r="M706">
        <v>0</v>
      </c>
      <c r="N706">
        <v>0</v>
      </c>
    </row>
    <row r="707" spans="1:14" x14ac:dyDescent="0.45">
      <c r="A707" t="s">
        <v>103</v>
      </c>
      <c r="B707" t="s">
        <v>665</v>
      </c>
      <c r="C707" t="s">
        <v>13</v>
      </c>
      <c r="D707" t="s">
        <v>345</v>
      </c>
      <c r="E707">
        <v>3</v>
      </c>
      <c r="F707">
        <v>0</v>
      </c>
      <c r="G707">
        <v>17</v>
      </c>
      <c r="H707">
        <v>0</v>
      </c>
      <c r="I707">
        <v>5.66</v>
      </c>
      <c r="J707">
        <v>5</v>
      </c>
      <c r="K707">
        <v>0</v>
      </c>
      <c r="L707">
        <v>0</v>
      </c>
      <c r="M707">
        <v>0</v>
      </c>
      <c r="N707">
        <v>0</v>
      </c>
    </row>
    <row r="708" spans="1:14" x14ac:dyDescent="0.45">
      <c r="A708" t="s">
        <v>103</v>
      </c>
      <c r="B708" t="s">
        <v>665</v>
      </c>
      <c r="C708" t="s">
        <v>13</v>
      </c>
      <c r="D708" t="s">
        <v>347</v>
      </c>
      <c r="E708">
        <v>2</v>
      </c>
      <c r="F708">
        <v>0</v>
      </c>
      <c r="G708">
        <v>35</v>
      </c>
      <c r="H708">
        <v>0</v>
      </c>
      <c r="I708">
        <v>17.5</v>
      </c>
      <c r="J708">
        <v>2</v>
      </c>
      <c r="K708">
        <v>3</v>
      </c>
      <c r="L708">
        <v>3</v>
      </c>
      <c r="M708">
        <v>0</v>
      </c>
      <c r="N708">
        <v>0</v>
      </c>
    </row>
    <row r="709" spans="1:14" x14ac:dyDescent="0.45">
      <c r="A709" t="s">
        <v>103</v>
      </c>
      <c r="B709" t="s">
        <v>665</v>
      </c>
      <c r="C709" t="s">
        <v>13</v>
      </c>
      <c r="D709" t="s">
        <v>349</v>
      </c>
      <c r="E709">
        <v>3.1</v>
      </c>
      <c r="F709">
        <v>0</v>
      </c>
      <c r="G709">
        <v>29</v>
      </c>
      <c r="H709">
        <v>0</v>
      </c>
      <c r="I709">
        <v>9.15</v>
      </c>
      <c r="J709">
        <v>6</v>
      </c>
      <c r="K709">
        <v>2</v>
      </c>
      <c r="L709">
        <v>2</v>
      </c>
      <c r="M709">
        <v>0</v>
      </c>
      <c r="N709">
        <v>0</v>
      </c>
    </row>
    <row r="710" spans="1:14" x14ac:dyDescent="0.45">
      <c r="A710" t="s">
        <v>103</v>
      </c>
      <c r="B710" t="s">
        <v>665</v>
      </c>
      <c r="C710" t="s">
        <v>13</v>
      </c>
      <c r="D710" t="s">
        <v>448</v>
      </c>
      <c r="E710">
        <v>4</v>
      </c>
      <c r="F710">
        <v>0</v>
      </c>
      <c r="G710">
        <v>26</v>
      </c>
      <c r="H710">
        <v>1</v>
      </c>
      <c r="I710">
        <v>6.5</v>
      </c>
      <c r="J710">
        <v>11</v>
      </c>
      <c r="K710">
        <v>1</v>
      </c>
      <c r="L710">
        <v>2</v>
      </c>
      <c r="M710">
        <v>0</v>
      </c>
      <c r="N710">
        <v>0</v>
      </c>
    </row>
    <row r="711" spans="1:14" x14ac:dyDescent="0.45">
      <c r="A711" t="s">
        <v>106</v>
      </c>
      <c r="B711" t="s">
        <v>666</v>
      </c>
      <c r="C711" t="s">
        <v>104</v>
      </c>
      <c r="D711" t="s">
        <v>492</v>
      </c>
      <c r="E711">
        <v>4</v>
      </c>
      <c r="F711">
        <v>0</v>
      </c>
      <c r="G711">
        <v>25</v>
      </c>
      <c r="H711">
        <v>1</v>
      </c>
      <c r="I711">
        <v>6.25</v>
      </c>
      <c r="J711">
        <v>13</v>
      </c>
      <c r="K711">
        <v>1</v>
      </c>
      <c r="L711">
        <v>1</v>
      </c>
      <c r="M711">
        <v>1</v>
      </c>
      <c r="N711">
        <v>0</v>
      </c>
    </row>
    <row r="712" spans="1:14" x14ac:dyDescent="0.45">
      <c r="A712" t="s">
        <v>106</v>
      </c>
      <c r="B712" t="s">
        <v>666</v>
      </c>
      <c r="C712" t="s">
        <v>104</v>
      </c>
      <c r="D712" t="s">
        <v>491</v>
      </c>
      <c r="E712">
        <v>4</v>
      </c>
      <c r="F712">
        <v>0</v>
      </c>
      <c r="G712">
        <v>54</v>
      </c>
      <c r="H712">
        <v>0</v>
      </c>
      <c r="I712">
        <v>13.5</v>
      </c>
      <c r="J712">
        <v>7</v>
      </c>
      <c r="K712">
        <v>8</v>
      </c>
      <c r="L712">
        <v>2</v>
      </c>
      <c r="M712">
        <v>0</v>
      </c>
      <c r="N712">
        <v>1</v>
      </c>
    </row>
    <row r="713" spans="1:14" x14ac:dyDescent="0.45">
      <c r="A713" t="s">
        <v>106</v>
      </c>
      <c r="B713" t="s">
        <v>666</v>
      </c>
      <c r="C713" t="s">
        <v>104</v>
      </c>
      <c r="D713" t="s">
        <v>366</v>
      </c>
      <c r="E713">
        <v>4</v>
      </c>
      <c r="F713">
        <v>0</v>
      </c>
      <c r="G713">
        <v>39</v>
      </c>
      <c r="H713">
        <v>1</v>
      </c>
      <c r="I713">
        <v>9.75</v>
      </c>
      <c r="J713">
        <v>4</v>
      </c>
      <c r="K713">
        <v>4</v>
      </c>
      <c r="L713">
        <v>1</v>
      </c>
      <c r="M713">
        <v>1</v>
      </c>
      <c r="N713">
        <v>0</v>
      </c>
    </row>
    <row r="714" spans="1:14" x14ac:dyDescent="0.45">
      <c r="A714" t="s">
        <v>106</v>
      </c>
      <c r="B714" t="s">
        <v>666</v>
      </c>
      <c r="C714" t="s">
        <v>104</v>
      </c>
      <c r="D714" t="s">
        <v>340</v>
      </c>
      <c r="E714">
        <v>4</v>
      </c>
      <c r="F714">
        <v>0</v>
      </c>
      <c r="G714">
        <v>44</v>
      </c>
      <c r="H714">
        <v>1</v>
      </c>
      <c r="I714">
        <v>11</v>
      </c>
      <c r="J714">
        <v>10</v>
      </c>
      <c r="K714">
        <v>6</v>
      </c>
      <c r="L714">
        <v>1</v>
      </c>
      <c r="M714">
        <v>2</v>
      </c>
      <c r="N714">
        <v>0</v>
      </c>
    </row>
    <row r="715" spans="1:14" x14ac:dyDescent="0.45">
      <c r="A715" t="s">
        <v>106</v>
      </c>
      <c r="B715" t="s">
        <v>666</v>
      </c>
      <c r="C715" t="s">
        <v>104</v>
      </c>
      <c r="D715" t="s">
        <v>407</v>
      </c>
      <c r="E715">
        <v>4</v>
      </c>
      <c r="F715">
        <v>0</v>
      </c>
      <c r="G715">
        <v>45</v>
      </c>
      <c r="H715">
        <v>1</v>
      </c>
      <c r="I715">
        <v>11.25</v>
      </c>
      <c r="J715">
        <v>8</v>
      </c>
      <c r="K715">
        <v>2</v>
      </c>
      <c r="L715">
        <v>4</v>
      </c>
      <c r="M715">
        <v>1</v>
      </c>
      <c r="N715">
        <v>0</v>
      </c>
    </row>
    <row r="716" spans="1:14" x14ac:dyDescent="0.45">
      <c r="A716" t="s">
        <v>106</v>
      </c>
      <c r="B716" t="s">
        <v>666</v>
      </c>
      <c r="C716" t="s">
        <v>13</v>
      </c>
      <c r="D716" t="s">
        <v>352</v>
      </c>
      <c r="E716">
        <v>4</v>
      </c>
      <c r="F716">
        <v>0</v>
      </c>
      <c r="G716">
        <v>41</v>
      </c>
      <c r="H716">
        <v>1</v>
      </c>
      <c r="I716">
        <v>10.25</v>
      </c>
      <c r="J716">
        <v>10</v>
      </c>
      <c r="K716">
        <v>1</v>
      </c>
      <c r="L716">
        <v>4</v>
      </c>
      <c r="M716">
        <v>2</v>
      </c>
      <c r="N716">
        <v>0</v>
      </c>
    </row>
    <row r="717" spans="1:14" x14ac:dyDescent="0.45">
      <c r="A717" t="s">
        <v>106</v>
      </c>
      <c r="B717" t="s">
        <v>666</v>
      </c>
      <c r="C717" t="s">
        <v>13</v>
      </c>
      <c r="D717" t="s">
        <v>325</v>
      </c>
      <c r="E717">
        <v>4</v>
      </c>
      <c r="F717">
        <v>0</v>
      </c>
      <c r="G717">
        <v>43</v>
      </c>
      <c r="H717">
        <v>3</v>
      </c>
      <c r="I717">
        <v>10.75</v>
      </c>
      <c r="J717">
        <v>11</v>
      </c>
      <c r="K717">
        <v>3</v>
      </c>
      <c r="L717">
        <v>3</v>
      </c>
      <c r="M717">
        <v>3</v>
      </c>
      <c r="N717">
        <v>0</v>
      </c>
    </row>
    <row r="718" spans="1:14" x14ac:dyDescent="0.45">
      <c r="A718" t="s">
        <v>106</v>
      </c>
      <c r="B718" t="s">
        <v>666</v>
      </c>
      <c r="C718" t="s">
        <v>13</v>
      </c>
      <c r="D718" t="s">
        <v>347</v>
      </c>
      <c r="E718">
        <v>4</v>
      </c>
      <c r="F718">
        <v>0</v>
      </c>
      <c r="G718">
        <v>35</v>
      </c>
      <c r="H718">
        <v>0</v>
      </c>
      <c r="I718">
        <v>8.75</v>
      </c>
      <c r="J718">
        <v>6</v>
      </c>
      <c r="K718">
        <v>1</v>
      </c>
      <c r="L718">
        <v>2</v>
      </c>
      <c r="M718">
        <v>2</v>
      </c>
      <c r="N718">
        <v>0</v>
      </c>
    </row>
    <row r="719" spans="1:14" x14ac:dyDescent="0.45">
      <c r="A719" t="s">
        <v>106</v>
      </c>
      <c r="B719" t="s">
        <v>666</v>
      </c>
      <c r="C719" t="s">
        <v>13</v>
      </c>
      <c r="D719" t="s">
        <v>448</v>
      </c>
      <c r="E719">
        <v>4</v>
      </c>
      <c r="F719">
        <v>0</v>
      </c>
      <c r="G719">
        <v>42</v>
      </c>
      <c r="H719">
        <v>1</v>
      </c>
      <c r="I719">
        <v>10.5</v>
      </c>
      <c r="J719">
        <v>5</v>
      </c>
      <c r="K719">
        <v>1</v>
      </c>
      <c r="L719">
        <v>4</v>
      </c>
      <c r="M719">
        <v>0</v>
      </c>
      <c r="N719">
        <v>0</v>
      </c>
    </row>
    <row r="720" spans="1:14" x14ac:dyDescent="0.45">
      <c r="A720" t="s">
        <v>106</v>
      </c>
      <c r="B720" t="s">
        <v>666</v>
      </c>
      <c r="C720" t="s">
        <v>13</v>
      </c>
      <c r="D720" t="s">
        <v>349</v>
      </c>
      <c r="E720">
        <v>4</v>
      </c>
      <c r="F720">
        <v>0</v>
      </c>
      <c r="G720">
        <v>25</v>
      </c>
      <c r="H720">
        <v>1</v>
      </c>
      <c r="I720">
        <v>6.25</v>
      </c>
      <c r="J720">
        <v>11</v>
      </c>
      <c r="K720">
        <v>0</v>
      </c>
      <c r="L720">
        <v>1</v>
      </c>
      <c r="M720">
        <v>3</v>
      </c>
      <c r="N720">
        <v>0</v>
      </c>
    </row>
    <row r="721" spans="1:14" x14ac:dyDescent="0.45">
      <c r="A721" t="s">
        <v>107</v>
      </c>
      <c r="B721" t="s">
        <v>664</v>
      </c>
      <c r="C721" t="s">
        <v>101</v>
      </c>
      <c r="D721" t="s">
        <v>403</v>
      </c>
      <c r="E721">
        <v>4</v>
      </c>
      <c r="F721">
        <v>0</v>
      </c>
      <c r="G721">
        <v>43</v>
      </c>
      <c r="H721">
        <v>1</v>
      </c>
      <c r="I721">
        <v>10.75</v>
      </c>
      <c r="J721">
        <v>11</v>
      </c>
      <c r="K721">
        <v>6</v>
      </c>
      <c r="L721">
        <v>1</v>
      </c>
      <c r="M721">
        <v>2</v>
      </c>
      <c r="N721">
        <v>0</v>
      </c>
    </row>
    <row r="722" spans="1:14" x14ac:dyDescent="0.45">
      <c r="A722" t="s">
        <v>107</v>
      </c>
      <c r="B722" t="s">
        <v>664</v>
      </c>
      <c r="C722" t="s">
        <v>101</v>
      </c>
      <c r="D722" t="s">
        <v>489</v>
      </c>
      <c r="E722">
        <v>4</v>
      </c>
      <c r="F722">
        <v>0</v>
      </c>
      <c r="G722">
        <v>46</v>
      </c>
      <c r="H722">
        <v>1</v>
      </c>
      <c r="I722">
        <v>11.5</v>
      </c>
      <c r="J722">
        <v>11</v>
      </c>
      <c r="K722">
        <v>5</v>
      </c>
      <c r="L722">
        <v>2</v>
      </c>
      <c r="M722">
        <v>2</v>
      </c>
      <c r="N722">
        <v>1</v>
      </c>
    </row>
    <row r="723" spans="1:14" x14ac:dyDescent="0.45">
      <c r="A723" t="s">
        <v>107</v>
      </c>
      <c r="B723" t="s">
        <v>664</v>
      </c>
      <c r="C723" t="s">
        <v>101</v>
      </c>
      <c r="D723" t="s">
        <v>493</v>
      </c>
      <c r="E723">
        <v>2</v>
      </c>
      <c r="F723">
        <v>0</v>
      </c>
      <c r="G723">
        <v>27</v>
      </c>
      <c r="H723">
        <v>0</v>
      </c>
      <c r="I723">
        <v>13.5</v>
      </c>
      <c r="J723">
        <v>4</v>
      </c>
      <c r="K723">
        <v>3</v>
      </c>
      <c r="L723">
        <v>2</v>
      </c>
      <c r="M723">
        <v>0</v>
      </c>
      <c r="N723">
        <v>0</v>
      </c>
    </row>
    <row r="724" spans="1:14" x14ac:dyDescent="0.45">
      <c r="A724" t="s">
        <v>107</v>
      </c>
      <c r="B724" t="s">
        <v>664</v>
      </c>
      <c r="C724" t="s">
        <v>101</v>
      </c>
      <c r="D724" t="s">
        <v>379</v>
      </c>
      <c r="E724">
        <v>4</v>
      </c>
      <c r="F724">
        <v>0</v>
      </c>
      <c r="G724">
        <v>15</v>
      </c>
      <c r="H724">
        <v>0</v>
      </c>
      <c r="I724">
        <v>3.75</v>
      </c>
      <c r="J724">
        <v>10</v>
      </c>
      <c r="K724">
        <v>0</v>
      </c>
      <c r="L724">
        <v>0</v>
      </c>
      <c r="M724">
        <v>0</v>
      </c>
      <c r="N724">
        <v>0</v>
      </c>
    </row>
    <row r="725" spans="1:14" x14ac:dyDescent="0.45">
      <c r="A725" t="s">
        <v>107</v>
      </c>
      <c r="B725" t="s">
        <v>664</v>
      </c>
      <c r="C725" t="s">
        <v>101</v>
      </c>
      <c r="D725" t="s">
        <v>490</v>
      </c>
      <c r="E725">
        <v>4</v>
      </c>
      <c r="F725">
        <v>0</v>
      </c>
      <c r="G725">
        <v>43</v>
      </c>
      <c r="H725">
        <v>1</v>
      </c>
      <c r="I725">
        <v>10.75</v>
      </c>
      <c r="J725">
        <v>4</v>
      </c>
      <c r="K725">
        <v>4</v>
      </c>
      <c r="L725">
        <v>2</v>
      </c>
      <c r="M725">
        <v>1</v>
      </c>
      <c r="N725">
        <v>0</v>
      </c>
    </row>
    <row r="726" spans="1:14" x14ac:dyDescent="0.45">
      <c r="A726" t="s">
        <v>107</v>
      </c>
      <c r="B726" t="s">
        <v>664</v>
      </c>
      <c r="C726" t="s">
        <v>101</v>
      </c>
      <c r="D726" t="s">
        <v>361</v>
      </c>
      <c r="E726">
        <v>2</v>
      </c>
      <c r="F726">
        <v>0</v>
      </c>
      <c r="G726">
        <v>14</v>
      </c>
      <c r="H726">
        <v>1</v>
      </c>
      <c r="I726">
        <v>7</v>
      </c>
      <c r="J726">
        <v>4</v>
      </c>
      <c r="K726">
        <v>1</v>
      </c>
      <c r="L726">
        <v>0</v>
      </c>
      <c r="M726">
        <v>1</v>
      </c>
      <c r="N726">
        <v>0</v>
      </c>
    </row>
    <row r="727" spans="1:14" x14ac:dyDescent="0.45">
      <c r="A727" t="s">
        <v>107</v>
      </c>
      <c r="B727" t="s">
        <v>664</v>
      </c>
      <c r="C727" t="s">
        <v>23</v>
      </c>
      <c r="D727" t="s">
        <v>370</v>
      </c>
      <c r="E727">
        <v>4</v>
      </c>
      <c r="F727">
        <v>0</v>
      </c>
      <c r="G727">
        <v>38</v>
      </c>
      <c r="H727">
        <v>1</v>
      </c>
      <c r="I727">
        <v>9.5</v>
      </c>
      <c r="J727">
        <v>8</v>
      </c>
      <c r="K727">
        <v>6</v>
      </c>
      <c r="L727">
        <v>0</v>
      </c>
      <c r="M727">
        <v>0</v>
      </c>
      <c r="N727">
        <v>0</v>
      </c>
    </row>
    <row r="728" spans="1:14" x14ac:dyDescent="0.45">
      <c r="A728" t="s">
        <v>107</v>
      </c>
      <c r="B728" t="s">
        <v>664</v>
      </c>
      <c r="C728" t="s">
        <v>23</v>
      </c>
      <c r="D728" t="s">
        <v>441</v>
      </c>
      <c r="E728">
        <v>3.3</v>
      </c>
      <c r="F728">
        <v>0</v>
      </c>
      <c r="G728">
        <v>40</v>
      </c>
      <c r="H728">
        <v>0</v>
      </c>
      <c r="I728">
        <v>11.42</v>
      </c>
      <c r="J728">
        <v>10</v>
      </c>
      <c r="K728">
        <v>3</v>
      </c>
      <c r="L728">
        <v>3</v>
      </c>
      <c r="M728">
        <v>1</v>
      </c>
      <c r="N728">
        <v>0</v>
      </c>
    </row>
    <row r="729" spans="1:14" x14ac:dyDescent="0.45">
      <c r="A729" t="s">
        <v>107</v>
      </c>
      <c r="B729" t="s">
        <v>664</v>
      </c>
      <c r="C729" t="s">
        <v>23</v>
      </c>
      <c r="D729" t="s">
        <v>339</v>
      </c>
      <c r="E729">
        <v>4</v>
      </c>
      <c r="F729">
        <v>0</v>
      </c>
      <c r="G729">
        <v>40</v>
      </c>
      <c r="H729">
        <v>0</v>
      </c>
      <c r="I729">
        <v>10</v>
      </c>
      <c r="J729">
        <v>5</v>
      </c>
      <c r="K729">
        <v>4</v>
      </c>
      <c r="L729">
        <v>1</v>
      </c>
      <c r="M729">
        <v>3</v>
      </c>
      <c r="N729">
        <v>0</v>
      </c>
    </row>
    <row r="730" spans="1:14" x14ac:dyDescent="0.45">
      <c r="A730" t="s">
        <v>107</v>
      </c>
      <c r="B730" t="s">
        <v>664</v>
      </c>
      <c r="C730" t="s">
        <v>23</v>
      </c>
      <c r="D730" t="s">
        <v>353</v>
      </c>
      <c r="E730">
        <v>4</v>
      </c>
      <c r="F730">
        <v>0</v>
      </c>
      <c r="G730">
        <v>32</v>
      </c>
      <c r="H730">
        <v>0</v>
      </c>
      <c r="I730">
        <v>8</v>
      </c>
      <c r="J730">
        <v>5</v>
      </c>
      <c r="K730">
        <v>1</v>
      </c>
      <c r="L730">
        <v>2</v>
      </c>
      <c r="M730">
        <v>0</v>
      </c>
      <c r="N730">
        <v>0</v>
      </c>
    </row>
    <row r="731" spans="1:14" x14ac:dyDescent="0.45">
      <c r="A731" t="s">
        <v>107</v>
      </c>
      <c r="B731" t="s">
        <v>664</v>
      </c>
      <c r="C731" t="s">
        <v>23</v>
      </c>
      <c r="D731" t="s">
        <v>487</v>
      </c>
      <c r="E731">
        <v>4</v>
      </c>
      <c r="F731">
        <v>0</v>
      </c>
      <c r="G731">
        <v>40</v>
      </c>
      <c r="H731">
        <v>1</v>
      </c>
      <c r="I731">
        <v>10</v>
      </c>
      <c r="J731">
        <v>4</v>
      </c>
      <c r="K731">
        <v>5</v>
      </c>
      <c r="L731">
        <v>0</v>
      </c>
      <c r="M731">
        <v>3</v>
      </c>
      <c r="N731">
        <v>1</v>
      </c>
    </row>
    <row r="732" spans="1:14" x14ac:dyDescent="0.45">
      <c r="A732" t="s">
        <v>108</v>
      </c>
      <c r="B732" t="s">
        <v>667</v>
      </c>
      <c r="C732" t="s">
        <v>26</v>
      </c>
      <c r="D732" t="s">
        <v>384</v>
      </c>
      <c r="E732">
        <v>4</v>
      </c>
      <c r="F732">
        <v>0</v>
      </c>
      <c r="G732">
        <v>25</v>
      </c>
      <c r="H732">
        <v>0</v>
      </c>
      <c r="I732">
        <v>6.25</v>
      </c>
      <c r="J732">
        <v>8</v>
      </c>
      <c r="K732">
        <v>1</v>
      </c>
      <c r="L732">
        <v>1</v>
      </c>
      <c r="M732">
        <v>0</v>
      </c>
      <c r="N732">
        <v>0</v>
      </c>
    </row>
    <row r="733" spans="1:14" x14ac:dyDescent="0.45">
      <c r="A733" t="s">
        <v>108</v>
      </c>
      <c r="B733" t="s">
        <v>667</v>
      </c>
      <c r="C733" t="s">
        <v>26</v>
      </c>
      <c r="D733" t="s">
        <v>405</v>
      </c>
      <c r="E733">
        <v>4</v>
      </c>
      <c r="F733">
        <v>0</v>
      </c>
      <c r="G733">
        <v>25</v>
      </c>
      <c r="H733">
        <v>0</v>
      </c>
      <c r="I733">
        <v>6.25</v>
      </c>
      <c r="J733">
        <v>10</v>
      </c>
      <c r="K733">
        <v>3</v>
      </c>
      <c r="L733">
        <v>0</v>
      </c>
      <c r="M733">
        <v>0</v>
      </c>
      <c r="N733">
        <v>0</v>
      </c>
    </row>
    <row r="734" spans="1:14" x14ac:dyDescent="0.45">
      <c r="A734" t="s">
        <v>108</v>
      </c>
      <c r="B734" t="s">
        <v>667</v>
      </c>
      <c r="C734" t="s">
        <v>26</v>
      </c>
      <c r="D734" t="s">
        <v>341</v>
      </c>
      <c r="E734">
        <v>4</v>
      </c>
      <c r="F734">
        <v>0</v>
      </c>
      <c r="G734">
        <v>38</v>
      </c>
      <c r="H734">
        <v>1</v>
      </c>
      <c r="I734">
        <v>9.5</v>
      </c>
      <c r="J734">
        <v>10</v>
      </c>
      <c r="K734">
        <v>4</v>
      </c>
      <c r="L734">
        <v>1</v>
      </c>
      <c r="M734">
        <v>3</v>
      </c>
      <c r="N734">
        <v>0</v>
      </c>
    </row>
    <row r="735" spans="1:14" x14ac:dyDescent="0.45">
      <c r="A735" t="s">
        <v>108</v>
      </c>
      <c r="B735" t="s">
        <v>667</v>
      </c>
      <c r="C735" t="s">
        <v>26</v>
      </c>
      <c r="D735" t="s">
        <v>428</v>
      </c>
      <c r="E735">
        <v>4</v>
      </c>
      <c r="F735">
        <v>0</v>
      </c>
      <c r="G735">
        <v>40</v>
      </c>
      <c r="H735">
        <v>3</v>
      </c>
      <c r="I735">
        <v>10</v>
      </c>
      <c r="J735">
        <v>11</v>
      </c>
      <c r="K735">
        <v>3</v>
      </c>
      <c r="L735">
        <v>3</v>
      </c>
      <c r="M735">
        <v>1</v>
      </c>
      <c r="N735">
        <v>1</v>
      </c>
    </row>
    <row r="736" spans="1:14" x14ac:dyDescent="0.45">
      <c r="A736" t="s">
        <v>108</v>
      </c>
      <c r="B736" t="s">
        <v>667</v>
      </c>
      <c r="C736" t="s">
        <v>26</v>
      </c>
      <c r="D736" t="s">
        <v>404</v>
      </c>
      <c r="E736">
        <v>4</v>
      </c>
      <c r="F736">
        <v>0</v>
      </c>
      <c r="G736">
        <v>26</v>
      </c>
      <c r="H736">
        <v>3</v>
      </c>
      <c r="I736">
        <v>6.5</v>
      </c>
      <c r="J736">
        <v>11</v>
      </c>
      <c r="K736">
        <v>2</v>
      </c>
      <c r="L736">
        <v>1</v>
      </c>
      <c r="M736">
        <v>0</v>
      </c>
      <c r="N736">
        <v>0</v>
      </c>
    </row>
    <row r="737" spans="1:14" x14ac:dyDescent="0.45">
      <c r="A737" t="s">
        <v>108</v>
      </c>
      <c r="B737" t="s">
        <v>667</v>
      </c>
      <c r="C737" t="s">
        <v>20</v>
      </c>
      <c r="D737" t="s">
        <v>409</v>
      </c>
      <c r="E737">
        <v>2</v>
      </c>
      <c r="F737">
        <v>0</v>
      </c>
      <c r="G737">
        <v>22</v>
      </c>
      <c r="H737">
        <v>0</v>
      </c>
      <c r="I737">
        <v>11</v>
      </c>
      <c r="J737">
        <v>4</v>
      </c>
      <c r="K737">
        <v>3</v>
      </c>
      <c r="L737">
        <v>1</v>
      </c>
      <c r="M737">
        <v>0</v>
      </c>
      <c r="N737">
        <v>0</v>
      </c>
    </row>
    <row r="738" spans="1:14" x14ac:dyDescent="0.45">
      <c r="A738" t="s">
        <v>108</v>
      </c>
      <c r="B738" t="s">
        <v>667</v>
      </c>
      <c r="C738" t="s">
        <v>20</v>
      </c>
      <c r="D738" t="s">
        <v>467</v>
      </c>
      <c r="E738">
        <v>2</v>
      </c>
      <c r="F738">
        <v>0</v>
      </c>
      <c r="G738">
        <v>19</v>
      </c>
      <c r="H738">
        <v>1</v>
      </c>
      <c r="I738">
        <v>9.5</v>
      </c>
      <c r="J738">
        <v>4</v>
      </c>
      <c r="K738">
        <v>2</v>
      </c>
      <c r="L738">
        <v>1</v>
      </c>
      <c r="M738">
        <v>0</v>
      </c>
      <c r="N738">
        <v>0</v>
      </c>
    </row>
    <row r="739" spans="1:14" x14ac:dyDescent="0.45">
      <c r="A739" t="s">
        <v>108</v>
      </c>
      <c r="B739" t="s">
        <v>667</v>
      </c>
      <c r="C739" t="s">
        <v>20</v>
      </c>
      <c r="D739" t="s">
        <v>497</v>
      </c>
      <c r="E739">
        <v>4</v>
      </c>
      <c r="F739">
        <v>0</v>
      </c>
      <c r="G739">
        <v>32</v>
      </c>
      <c r="H739">
        <v>2</v>
      </c>
      <c r="I739">
        <v>8</v>
      </c>
      <c r="J739">
        <v>7</v>
      </c>
      <c r="K739">
        <v>4</v>
      </c>
      <c r="L739">
        <v>0</v>
      </c>
      <c r="M739">
        <v>1</v>
      </c>
      <c r="N739">
        <v>0</v>
      </c>
    </row>
    <row r="740" spans="1:14" x14ac:dyDescent="0.45">
      <c r="A740" t="s">
        <v>108</v>
      </c>
      <c r="B740" t="s">
        <v>667</v>
      </c>
      <c r="C740" t="s">
        <v>20</v>
      </c>
      <c r="D740" t="s">
        <v>466</v>
      </c>
      <c r="E740">
        <v>4</v>
      </c>
      <c r="F740">
        <v>0</v>
      </c>
      <c r="G740">
        <v>38</v>
      </c>
      <c r="H740">
        <v>1</v>
      </c>
      <c r="I740">
        <v>9.5</v>
      </c>
      <c r="J740">
        <v>9</v>
      </c>
      <c r="K740">
        <v>2</v>
      </c>
      <c r="L740">
        <v>3</v>
      </c>
      <c r="M740">
        <v>2</v>
      </c>
      <c r="N740">
        <v>0</v>
      </c>
    </row>
    <row r="741" spans="1:14" x14ac:dyDescent="0.45">
      <c r="A741" t="s">
        <v>108</v>
      </c>
      <c r="B741" t="s">
        <v>667</v>
      </c>
      <c r="C741" t="s">
        <v>20</v>
      </c>
      <c r="D741" t="s">
        <v>382</v>
      </c>
      <c r="E741">
        <v>2.1</v>
      </c>
      <c r="F741">
        <v>0</v>
      </c>
      <c r="G741">
        <v>24</v>
      </c>
      <c r="H741">
        <v>1</v>
      </c>
      <c r="I741">
        <v>11.07</v>
      </c>
      <c r="J741">
        <v>5</v>
      </c>
      <c r="K741">
        <v>2</v>
      </c>
      <c r="L741">
        <v>2</v>
      </c>
      <c r="M741">
        <v>0</v>
      </c>
      <c r="N741">
        <v>0</v>
      </c>
    </row>
    <row r="742" spans="1:14" x14ac:dyDescent="0.45">
      <c r="A742" t="s">
        <v>108</v>
      </c>
      <c r="B742" t="s">
        <v>667</v>
      </c>
      <c r="C742" t="s">
        <v>20</v>
      </c>
      <c r="D742" t="s">
        <v>494</v>
      </c>
      <c r="E742">
        <v>1</v>
      </c>
      <c r="F742">
        <v>0</v>
      </c>
      <c r="G742">
        <v>23</v>
      </c>
      <c r="H742">
        <v>0</v>
      </c>
      <c r="I742">
        <v>23</v>
      </c>
      <c r="J742">
        <v>1</v>
      </c>
      <c r="K742">
        <v>2</v>
      </c>
      <c r="L742">
        <v>2</v>
      </c>
      <c r="M742">
        <v>1</v>
      </c>
      <c r="N742">
        <v>0</v>
      </c>
    </row>
    <row r="743" spans="1:14" x14ac:dyDescent="0.45">
      <c r="A743" t="s">
        <v>109</v>
      </c>
      <c r="B743" t="s">
        <v>668</v>
      </c>
      <c r="C743" t="s">
        <v>19</v>
      </c>
      <c r="D743" t="s">
        <v>464</v>
      </c>
      <c r="E743">
        <v>4</v>
      </c>
      <c r="F743">
        <v>0</v>
      </c>
      <c r="G743">
        <v>30</v>
      </c>
      <c r="H743">
        <v>1</v>
      </c>
      <c r="I743">
        <v>7.5</v>
      </c>
      <c r="J743">
        <v>10</v>
      </c>
      <c r="K743">
        <v>1</v>
      </c>
      <c r="L743">
        <v>2</v>
      </c>
      <c r="M743">
        <v>1</v>
      </c>
      <c r="N743">
        <v>0</v>
      </c>
    </row>
    <row r="744" spans="1:14" x14ac:dyDescent="0.45">
      <c r="A744" t="s">
        <v>109</v>
      </c>
      <c r="B744" t="s">
        <v>668</v>
      </c>
      <c r="C744" t="s">
        <v>19</v>
      </c>
      <c r="D744" t="s">
        <v>504</v>
      </c>
      <c r="E744">
        <v>4</v>
      </c>
      <c r="F744">
        <v>0</v>
      </c>
      <c r="G744">
        <v>34</v>
      </c>
      <c r="H744">
        <v>0</v>
      </c>
      <c r="I744">
        <v>8.5</v>
      </c>
      <c r="J744">
        <v>11</v>
      </c>
      <c r="K744">
        <v>3</v>
      </c>
      <c r="L744">
        <v>2</v>
      </c>
      <c r="M744">
        <v>2</v>
      </c>
      <c r="N744">
        <v>0</v>
      </c>
    </row>
    <row r="745" spans="1:14" x14ac:dyDescent="0.45">
      <c r="A745" t="s">
        <v>109</v>
      </c>
      <c r="B745" t="s">
        <v>668</v>
      </c>
      <c r="C745" t="s">
        <v>19</v>
      </c>
      <c r="D745" t="s">
        <v>369</v>
      </c>
      <c r="E745">
        <v>4</v>
      </c>
      <c r="F745">
        <v>0</v>
      </c>
      <c r="G745">
        <v>25</v>
      </c>
      <c r="H745">
        <v>3</v>
      </c>
      <c r="I745">
        <v>6.25</v>
      </c>
      <c r="J745">
        <v>11</v>
      </c>
      <c r="K745">
        <v>0</v>
      </c>
      <c r="L745">
        <v>2</v>
      </c>
      <c r="M745">
        <v>0</v>
      </c>
      <c r="N745">
        <v>0</v>
      </c>
    </row>
    <row r="746" spans="1:14" x14ac:dyDescent="0.45">
      <c r="A746" t="s">
        <v>109</v>
      </c>
      <c r="B746" t="s">
        <v>668</v>
      </c>
      <c r="C746" t="s">
        <v>19</v>
      </c>
      <c r="D746" t="s">
        <v>419</v>
      </c>
      <c r="E746">
        <v>4</v>
      </c>
      <c r="F746">
        <v>0</v>
      </c>
      <c r="G746">
        <v>26</v>
      </c>
      <c r="H746">
        <v>1</v>
      </c>
      <c r="I746">
        <v>6.5</v>
      </c>
      <c r="J746">
        <v>9</v>
      </c>
      <c r="K746">
        <v>1</v>
      </c>
      <c r="L746">
        <v>1</v>
      </c>
      <c r="M746">
        <v>0</v>
      </c>
      <c r="N746">
        <v>0</v>
      </c>
    </row>
    <row r="747" spans="1:14" x14ac:dyDescent="0.45">
      <c r="A747" t="s">
        <v>109</v>
      </c>
      <c r="B747" t="s">
        <v>668</v>
      </c>
      <c r="C747" t="s">
        <v>19</v>
      </c>
      <c r="D747" t="s">
        <v>457</v>
      </c>
      <c r="E747">
        <v>2</v>
      </c>
      <c r="F747">
        <v>0</v>
      </c>
      <c r="G747">
        <v>9</v>
      </c>
      <c r="H747">
        <v>0</v>
      </c>
      <c r="I747">
        <v>4.5</v>
      </c>
      <c r="J747">
        <v>7</v>
      </c>
      <c r="K747">
        <v>1</v>
      </c>
      <c r="L747">
        <v>0</v>
      </c>
      <c r="M747">
        <v>1</v>
      </c>
      <c r="N747">
        <v>0</v>
      </c>
    </row>
    <row r="748" spans="1:14" x14ac:dyDescent="0.45">
      <c r="A748" t="s">
        <v>109</v>
      </c>
      <c r="B748" t="s">
        <v>668</v>
      </c>
      <c r="C748" t="s">
        <v>19</v>
      </c>
      <c r="D748" t="s">
        <v>503</v>
      </c>
      <c r="E748">
        <v>2</v>
      </c>
      <c r="F748">
        <v>0</v>
      </c>
      <c r="G748">
        <v>29</v>
      </c>
      <c r="H748">
        <v>2</v>
      </c>
      <c r="I748">
        <v>14.5</v>
      </c>
      <c r="J748">
        <v>4</v>
      </c>
      <c r="K748">
        <v>2</v>
      </c>
      <c r="L748">
        <v>2</v>
      </c>
      <c r="M748">
        <v>4</v>
      </c>
      <c r="N748">
        <v>0</v>
      </c>
    </row>
    <row r="749" spans="1:14" x14ac:dyDescent="0.45">
      <c r="A749" t="s">
        <v>109</v>
      </c>
      <c r="B749" t="s">
        <v>668</v>
      </c>
      <c r="C749" t="s">
        <v>10</v>
      </c>
      <c r="D749" t="s">
        <v>444</v>
      </c>
      <c r="E749">
        <v>3.1</v>
      </c>
      <c r="F749">
        <v>0</v>
      </c>
      <c r="G749">
        <v>24</v>
      </c>
      <c r="H749">
        <v>0</v>
      </c>
      <c r="I749">
        <v>7.57</v>
      </c>
      <c r="J749">
        <v>11</v>
      </c>
      <c r="K749">
        <v>3</v>
      </c>
      <c r="L749">
        <v>1</v>
      </c>
      <c r="M749">
        <v>1</v>
      </c>
      <c r="N749">
        <v>1</v>
      </c>
    </row>
    <row r="750" spans="1:14" x14ac:dyDescent="0.45">
      <c r="A750" t="s">
        <v>109</v>
      </c>
      <c r="B750" t="s">
        <v>668</v>
      </c>
      <c r="C750" t="s">
        <v>10</v>
      </c>
      <c r="D750" t="s">
        <v>338</v>
      </c>
      <c r="E750">
        <v>4</v>
      </c>
      <c r="F750">
        <v>0</v>
      </c>
      <c r="G750">
        <v>37</v>
      </c>
      <c r="H750">
        <v>2</v>
      </c>
      <c r="I750">
        <v>9.25</v>
      </c>
      <c r="J750">
        <v>11</v>
      </c>
      <c r="K750">
        <v>4</v>
      </c>
      <c r="L750">
        <v>2</v>
      </c>
      <c r="M750">
        <v>0</v>
      </c>
      <c r="N750">
        <v>0</v>
      </c>
    </row>
    <row r="751" spans="1:14" x14ac:dyDescent="0.45">
      <c r="A751" t="s">
        <v>109</v>
      </c>
      <c r="B751" t="s">
        <v>668</v>
      </c>
      <c r="C751" t="s">
        <v>10</v>
      </c>
      <c r="D751" t="s">
        <v>326</v>
      </c>
      <c r="E751">
        <v>3</v>
      </c>
      <c r="F751">
        <v>0</v>
      </c>
      <c r="G751">
        <v>32</v>
      </c>
      <c r="H751">
        <v>2</v>
      </c>
      <c r="I751">
        <v>10.66</v>
      </c>
      <c r="J751">
        <v>8</v>
      </c>
      <c r="K751">
        <v>0</v>
      </c>
      <c r="L751">
        <v>4</v>
      </c>
      <c r="M751">
        <v>2</v>
      </c>
      <c r="N751">
        <v>0</v>
      </c>
    </row>
    <row r="752" spans="1:14" x14ac:dyDescent="0.45">
      <c r="A752" t="s">
        <v>109</v>
      </c>
      <c r="B752" t="s">
        <v>668</v>
      </c>
      <c r="C752" t="s">
        <v>10</v>
      </c>
      <c r="D752" t="s">
        <v>498</v>
      </c>
      <c r="E752">
        <v>2</v>
      </c>
      <c r="F752">
        <v>0</v>
      </c>
      <c r="G752">
        <v>7</v>
      </c>
      <c r="H752">
        <v>0</v>
      </c>
      <c r="I752">
        <v>3.5</v>
      </c>
      <c r="J752">
        <v>8</v>
      </c>
      <c r="K752">
        <v>1</v>
      </c>
      <c r="L752">
        <v>0</v>
      </c>
      <c r="M752">
        <v>0</v>
      </c>
      <c r="N752">
        <v>0</v>
      </c>
    </row>
    <row r="753" spans="1:14" x14ac:dyDescent="0.45">
      <c r="A753" t="s">
        <v>109</v>
      </c>
      <c r="B753" t="s">
        <v>668</v>
      </c>
      <c r="C753" t="s">
        <v>10</v>
      </c>
      <c r="D753" t="s">
        <v>500</v>
      </c>
      <c r="E753">
        <v>4</v>
      </c>
      <c r="F753">
        <v>0</v>
      </c>
      <c r="G753">
        <v>33</v>
      </c>
      <c r="H753">
        <v>1</v>
      </c>
      <c r="I753">
        <v>8.25</v>
      </c>
      <c r="J753">
        <v>9</v>
      </c>
      <c r="K753">
        <v>1</v>
      </c>
      <c r="L753">
        <v>3</v>
      </c>
      <c r="M753">
        <v>0</v>
      </c>
      <c r="N753">
        <v>0</v>
      </c>
    </row>
    <row r="754" spans="1:14" x14ac:dyDescent="0.45">
      <c r="A754" t="s">
        <v>109</v>
      </c>
      <c r="B754" t="s">
        <v>668</v>
      </c>
      <c r="C754" t="s">
        <v>10</v>
      </c>
      <c r="D754" t="s">
        <v>337</v>
      </c>
      <c r="E754">
        <v>3</v>
      </c>
      <c r="F754">
        <v>0</v>
      </c>
      <c r="G754">
        <v>26</v>
      </c>
      <c r="H754">
        <v>0</v>
      </c>
      <c r="I754">
        <v>8.66</v>
      </c>
      <c r="J754">
        <v>3</v>
      </c>
      <c r="K754">
        <v>0</v>
      </c>
      <c r="L754">
        <v>2</v>
      </c>
      <c r="M754">
        <v>0</v>
      </c>
      <c r="N754">
        <v>0</v>
      </c>
    </row>
    <row r="755" spans="1:14" x14ac:dyDescent="0.45">
      <c r="A755" t="s">
        <v>110</v>
      </c>
      <c r="B755" t="s">
        <v>636</v>
      </c>
      <c r="C755" t="s">
        <v>23</v>
      </c>
      <c r="D755" t="s">
        <v>370</v>
      </c>
      <c r="E755">
        <v>4</v>
      </c>
      <c r="F755">
        <v>0</v>
      </c>
      <c r="G755">
        <v>44</v>
      </c>
      <c r="H755">
        <v>1</v>
      </c>
      <c r="I755">
        <v>11</v>
      </c>
      <c r="J755">
        <v>10</v>
      </c>
      <c r="K755">
        <v>6</v>
      </c>
      <c r="L755">
        <v>2</v>
      </c>
      <c r="M755">
        <v>0</v>
      </c>
      <c r="N755">
        <v>0</v>
      </c>
    </row>
    <row r="756" spans="1:14" x14ac:dyDescent="0.45">
      <c r="A756" t="s">
        <v>110</v>
      </c>
      <c r="B756" t="s">
        <v>636</v>
      </c>
      <c r="C756" t="s">
        <v>23</v>
      </c>
      <c r="D756" t="s">
        <v>441</v>
      </c>
      <c r="E756">
        <v>4</v>
      </c>
      <c r="F756">
        <v>0</v>
      </c>
      <c r="G756">
        <v>32</v>
      </c>
      <c r="H756">
        <v>0</v>
      </c>
      <c r="I756">
        <v>8</v>
      </c>
      <c r="J756">
        <v>12</v>
      </c>
      <c r="K756">
        <v>3</v>
      </c>
      <c r="L756">
        <v>2</v>
      </c>
      <c r="M756">
        <v>0</v>
      </c>
      <c r="N756">
        <v>0</v>
      </c>
    </row>
    <row r="757" spans="1:14" x14ac:dyDescent="0.45">
      <c r="A757" t="s">
        <v>110</v>
      </c>
      <c r="B757" t="s">
        <v>636</v>
      </c>
      <c r="C757" t="s">
        <v>23</v>
      </c>
      <c r="D757" t="s">
        <v>339</v>
      </c>
      <c r="E757">
        <v>4</v>
      </c>
      <c r="F757">
        <v>0</v>
      </c>
      <c r="G757">
        <v>28</v>
      </c>
      <c r="H757">
        <v>1</v>
      </c>
      <c r="I757">
        <v>7</v>
      </c>
      <c r="J757">
        <v>9</v>
      </c>
      <c r="K757">
        <v>2</v>
      </c>
      <c r="L757">
        <v>1</v>
      </c>
      <c r="M757">
        <v>2</v>
      </c>
      <c r="N757">
        <v>0</v>
      </c>
    </row>
    <row r="758" spans="1:14" x14ac:dyDescent="0.45">
      <c r="A758" t="s">
        <v>110</v>
      </c>
      <c r="B758" t="s">
        <v>636</v>
      </c>
      <c r="C758" t="s">
        <v>23</v>
      </c>
      <c r="D758" t="s">
        <v>353</v>
      </c>
      <c r="E758">
        <v>4</v>
      </c>
      <c r="F758">
        <v>0</v>
      </c>
      <c r="G758">
        <v>26</v>
      </c>
      <c r="H758">
        <v>2</v>
      </c>
      <c r="I758">
        <v>6.5</v>
      </c>
      <c r="J758">
        <v>9</v>
      </c>
      <c r="K758">
        <v>3</v>
      </c>
      <c r="L758">
        <v>0</v>
      </c>
      <c r="M758">
        <v>1</v>
      </c>
      <c r="N758">
        <v>0</v>
      </c>
    </row>
    <row r="759" spans="1:14" x14ac:dyDescent="0.45">
      <c r="A759" t="s">
        <v>110</v>
      </c>
      <c r="B759" t="s">
        <v>636</v>
      </c>
      <c r="C759" t="s">
        <v>23</v>
      </c>
      <c r="D759" t="s">
        <v>487</v>
      </c>
      <c r="E759">
        <v>4</v>
      </c>
      <c r="F759">
        <v>0</v>
      </c>
      <c r="G759">
        <v>20</v>
      </c>
      <c r="H759">
        <v>2</v>
      </c>
      <c r="I759">
        <v>5</v>
      </c>
      <c r="J759">
        <v>11</v>
      </c>
      <c r="K759">
        <v>1</v>
      </c>
      <c r="L759">
        <v>0</v>
      </c>
      <c r="M759">
        <v>2</v>
      </c>
      <c r="N759">
        <v>0</v>
      </c>
    </row>
    <row r="760" spans="1:14" x14ac:dyDescent="0.45">
      <c r="A760" t="s">
        <v>110</v>
      </c>
      <c r="B760" t="s">
        <v>636</v>
      </c>
      <c r="C760" t="s">
        <v>6</v>
      </c>
      <c r="D760" t="s">
        <v>509</v>
      </c>
      <c r="E760">
        <v>4</v>
      </c>
      <c r="F760">
        <v>0</v>
      </c>
      <c r="G760">
        <v>41</v>
      </c>
      <c r="H760">
        <v>0</v>
      </c>
      <c r="I760">
        <v>10.25</v>
      </c>
      <c r="J760">
        <v>8</v>
      </c>
      <c r="K760">
        <v>6</v>
      </c>
      <c r="L760">
        <v>1</v>
      </c>
      <c r="M760">
        <v>0</v>
      </c>
      <c r="N760">
        <v>0</v>
      </c>
    </row>
    <row r="761" spans="1:14" x14ac:dyDescent="0.45">
      <c r="A761" t="s">
        <v>110</v>
      </c>
      <c r="B761" t="s">
        <v>636</v>
      </c>
      <c r="C761" t="s">
        <v>6</v>
      </c>
      <c r="D761" t="s">
        <v>508</v>
      </c>
      <c r="E761">
        <v>3</v>
      </c>
      <c r="F761">
        <v>0</v>
      </c>
      <c r="G761">
        <v>18</v>
      </c>
      <c r="H761">
        <v>1</v>
      </c>
      <c r="I761">
        <v>6</v>
      </c>
      <c r="J761">
        <v>10</v>
      </c>
      <c r="K761">
        <v>3</v>
      </c>
      <c r="L761">
        <v>0</v>
      </c>
      <c r="M761">
        <v>0</v>
      </c>
      <c r="N761">
        <v>0</v>
      </c>
    </row>
    <row r="762" spans="1:14" x14ac:dyDescent="0.45">
      <c r="A762" t="s">
        <v>110</v>
      </c>
      <c r="B762" t="s">
        <v>636</v>
      </c>
      <c r="C762" t="s">
        <v>6</v>
      </c>
      <c r="D762" t="s">
        <v>507</v>
      </c>
      <c r="E762">
        <v>3</v>
      </c>
      <c r="F762">
        <v>0</v>
      </c>
      <c r="G762">
        <v>15</v>
      </c>
      <c r="H762">
        <v>1</v>
      </c>
      <c r="I762">
        <v>5</v>
      </c>
      <c r="J762">
        <v>7</v>
      </c>
      <c r="K762">
        <v>1</v>
      </c>
      <c r="L762">
        <v>0</v>
      </c>
      <c r="M762">
        <v>0</v>
      </c>
      <c r="N762">
        <v>0</v>
      </c>
    </row>
    <row r="763" spans="1:14" x14ac:dyDescent="0.45">
      <c r="A763" t="s">
        <v>110</v>
      </c>
      <c r="B763" t="s">
        <v>636</v>
      </c>
      <c r="C763" t="s">
        <v>6</v>
      </c>
      <c r="D763" t="s">
        <v>510</v>
      </c>
      <c r="E763">
        <v>3.4</v>
      </c>
      <c r="F763">
        <v>0</v>
      </c>
      <c r="G763">
        <v>28</v>
      </c>
      <c r="H763">
        <v>0</v>
      </c>
      <c r="I763">
        <v>7.63</v>
      </c>
      <c r="J763">
        <v>12</v>
      </c>
      <c r="K763">
        <v>3</v>
      </c>
      <c r="L763">
        <v>0</v>
      </c>
      <c r="M763">
        <v>4</v>
      </c>
      <c r="N763">
        <v>0</v>
      </c>
    </row>
    <row r="764" spans="1:14" x14ac:dyDescent="0.45">
      <c r="A764" t="s">
        <v>110</v>
      </c>
      <c r="B764" t="s">
        <v>636</v>
      </c>
      <c r="C764" t="s">
        <v>6</v>
      </c>
      <c r="D764" t="s">
        <v>299</v>
      </c>
      <c r="E764">
        <v>4</v>
      </c>
      <c r="F764">
        <v>0</v>
      </c>
      <c r="G764">
        <v>21</v>
      </c>
      <c r="H764">
        <v>1</v>
      </c>
      <c r="I764">
        <v>5.25</v>
      </c>
      <c r="J764">
        <v>8</v>
      </c>
      <c r="K764">
        <v>0</v>
      </c>
      <c r="L764">
        <v>1</v>
      </c>
      <c r="M764">
        <v>0</v>
      </c>
      <c r="N764">
        <v>0</v>
      </c>
    </row>
    <row r="765" spans="1:14" x14ac:dyDescent="0.45">
      <c r="A765" t="s">
        <v>110</v>
      </c>
      <c r="B765" t="s">
        <v>636</v>
      </c>
      <c r="C765" t="s">
        <v>6</v>
      </c>
      <c r="D765" t="s">
        <v>511</v>
      </c>
      <c r="E765">
        <v>2</v>
      </c>
      <c r="F765">
        <v>0</v>
      </c>
      <c r="G765">
        <v>20</v>
      </c>
      <c r="H765">
        <v>2</v>
      </c>
      <c r="I765">
        <v>10</v>
      </c>
      <c r="J765">
        <v>6</v>
      </c>
      <c r="K765">
        <v>1</v>
      </c>
      <c r="L765">
        <v>2</v>
      </c>
      <c r="M765">
        <v>0</v>
      </c>
      <c r="N765">
        <v>0</v>
      </c>
    </row>
    <row r="766" spans="1:14" x14ac:dyDescent="0.45">
      <c r="A766" t="s">
        <v>111</v>
      </c>
      <c r="B766" t="s">
        <v>669</v>
      </c>
      <c r="C766" t="s">
        <v>13</v>
      </c>
      <c r="D766" t="s">
        <v>381</v>
      </c>
      <c r="E766">
        <v>4</v>
      </c>
      <c r="F766">
        <v>0</v>
      </c>
      <c r="G766">
        <v>43</v>
      </c>
      <c r="H766">
        <v>0</v>
      </c>
      <c r="I766">
        <v>10.75</v>
      </c>
      <c r="J766">
        <v>6</v>
      </c>
      <c r="K766">
        <v>5</v>
      </c>
      <c r="L766">
        <v>2</v>
      </c>
      <c r="M766">
        <v>0</v>
      </c>
      <c r="N766">
        <v>0</v>
      </c>
    </row>
    <row r="767" spans="1:14" x14ac:dyDescent="0.45">
      <c r="A767" t="s">
        <v>111</v>
      </c>
      <c r="B767" t="s">
        <v>669</v>
      </c>
      <c r="C767" t="s">
        <v>13</v>
      </c>
      <c r="D767" t="s">
        <v>347</v>
      </c>
      <c r="E767">
        <v>2</v>
      </c>
      <c r="F767">
        <v>0</v>
      </c>
      <c r="G767">
        <v>15</v>
      </c>
      <c r="H767">
        <v>0</v>
      </c>
      <c r="I767">
        <v>7.5</v>
      </c>
      <c r="J767">
        <v>5</v>
      </c>
      <c r="K767">
        <v>1</v>
      </c>
      <c r="L767">
        <v>1</v>
      </c>
      <c r="M767">
        <v>0</v>
      </c>
      <c r="N767">
        <v>0</v>
      </c>
    </row>
    <row r="768" spans="1:14" x14ac:dyDescent="0.45">
      <c r="A768" t="s">
        <v>111</v>
      </c>
      <c r="B768" t="s">
        <v>669</v>
      </c>
      <c r="C768" t="s">
        <v>13</v>
      </c>
      <c r="D768" t="s">
        <v>325</v>
      </c>
      <c r="E768">
        <v>4</v>
      </c>
      <c r="F768">
        <v>0</v>
      </c>
      <c r="G768">
        <v>39</v>
      </c>
      <c r="H768">
        <v>2</v>
      </c>
      <c r="I768">
        <v>9.75</v>
      </c>
      <c r="J768">
        <v>10</v>
      </c>
      <c r="K768">
        <v>3</v>
      </c>
      <c r="L768">
        <v>3</v>
      </c>
      <c r="M768">
        <v>0</v>
      </c>
      <c r="N768">
        <v>0</v>
      </c>
    </row>
    <row r="769" spans="1:14" x14ac:dyDescent="0.45">
      <c r="A769" t="s">
        <v>111</v>
      </c>
      <c r="B769" t="s">
        <v>669</v>
      </c>
      <c r="C769" t="s">
        <v>13</v>
      </c>
      <c r="D769" t="s">
        <v>345</v>
      </c>
      <c r="E769">
        <v>4</v>
      </c>
      <c r="F769">
        <v>1</v>
      </c>
      <c r="G769">
        <v>28</v>
      </c>
      <c r="H769">
        <v>1</v>
      </c>
      <c r="I769">
        <v>7</v>
      </c>
      <c r="J769">
        <v>14</v>
      </c>
      <c r="K769">
        <v>0</v>
      </c>
      <c r="L769">
        <v>3</v>
      </c>
      <c r="M769">
        <v>1</v>
      </c>
      <c r="N769">
        <v>0</v>
      </c>
    </row>
    <row r="770" spans="1:14" x14ac:dyDescent="0.45">
      <c r="A770" t="s">
        <v>111</v>
      </c>
      <c r="B770" t="s">
        <v>669</v>
      </c>
      <c r="C770" t="s">
        <v>13</v>
      </c>
      <c r="D770" t="s">
        <v>430</v>
      </c>
      <c r="E770">
        <v>1</v>
      </c>
      <c r="F770">
        <v>0</v>
      </c>
      <c r="G770">
        <v>11</v>
      </c>
      <c r="H770">
        <v>0</v>
      </c>
      <c r="I770">
        <v>11</v>
      </c>
      <c r="J770">
        <v>1</v>
      </c>
      <c r="K770">
        <v>0</v>
      </c>
      <c r="L770">
        <v>1</v>
      </c>
      <c r="M770">
        <v>0</v>
      </c>
      <c r="N770">
        <v>0</v>
      </c>
    </row>
    <row r="771" spans="1:14" x14ac:dyDescent="0.45">
      <c r="A771" t="s">
        <v>111</v>
      </c>
      <c r="B771" t="s">
        <v>669</v>
      </c>
      <c r="C771" t="s">
        <v>13</v>
      </c>
      <c r="D771" t="s">
        <v>448</v>
      </c>
      <c r="E771">
        <v>4</v>
      </c>
      <c r="F771">
        <v>0</v>
      </c>
      <c r="G771">
        <v>25</v>
      </c>
      <c r="H771">
        <v>1</v>
      </c>
      <c r="I771">
        <v>6.25</v>
      </c>
      <c r="J771">
        <v>7</v>
      </c>
      <c r="K771">
        <v>2</v>
      </c>
      <c r="L771">
        <v>0</v>
      </c>
      <c r="M771">
        <v>1</v>
      </c>
      <c r="N771">
        <v>0</v>
      </c>
    </row>
    <row r="772" spans="1:14" x14ac:dyDescent="0.45">
      <c r="A772" t="s">
        <v>111</v>
      </c>
      <c r="B772" t="s">
        <v>669</v>
      </c>
      <c r="C772" t="s">
        <v>13</v>
      </c>
      <c r="D772" t="s">
        <v>349</v>
      </c>
      <c r="E772">
        <v>1</v>
      </c>
      <c r="F772">
        <v>0</v>
      </c>
      <c r="G772">
        <v>6</v>
      </c>
      <c r="H772">
        <v>0</v>
      </c>
      <c r="I772">
        <v>6</v>
      </c>
      <c r="J772">
        <v>3</v>
      </c>
      <c r="K772">
        <v>0</v>
      </c>
      <c r="L772">
        <v>0</v>
      </c>
      <c r="M772">
        <v>0</v>
      </c>
      <c r="N772">
        <v>0</v>
      </c>
    </row>
    <row r="773" spans="1:14" x14ac:dyDescent="0.45">
      <c r="A773" t="s">
        <v>111</v>
      </c>
      <c r="B773" t="s">
        <v>669</v>
      </c>
      <c r="C773" t="s">
        <v>101</v>
      </c>
      <c r="D773" t="s">
        <v>403</v>
      </c>
      <c r="E773">
        <v>2</v>
      </c>
      <c r="F773">
        <v>0</v>
      </c>
      <c r="G773">
        <v>23</v>
      </c>
      <c r="H773">
        <v>0</v>
      </c>
      <c r="I773">
        <v>11.5</v>
      </c>
      <c r="J773">
        <v>6</v>
      </c>
      <c r="K773">
        <v>4</v>
      </c>
      <c r="L773">
        <v>0</v>
      </c>
      <c r="M773">
        <v>1</v>
      </c>
      <c r="N773">
        <v>0</v>
      </c>
    </row>
    <row r="774" spans="1:14" x14ac:dyDescent="0.45">
      <c r="A774" t="s">
        <v>111</v>
      </c>
      <c r="B774" t="s">
        <v>669</v>
      </c>
      <c r="C774" t="s">
        <v>101</v>
      </c>
      <c r="D774" t="s">
        <v>361</v>
      </c>
      <c r="E774">
        <v>3</v>
      </c>
      <c r="F774">
        <v>0</v>
      </c>
      <c r="G774">
        <v>35</v>
      </c>
      <c r="H774">
        <v>0</v>
      </c>
      <c r="I774">
        <v>11.66</v>
      </c>
      <c r="J774">
        <v>6</v>
      </c>
      <c r="K774">
        <v>4</v>
      </c>
      <c r="L774">
        <v>2</v>
      </c>
      <c r="M774">
        <v>1</v>
      </c>
      <c r="N774">
        <v>0</v>
      </c>
    </row>
    <row r="775" spans="1:14" x14ac:dyDescent="0.45">
      <c r="A775" t="s">
        <v>111</v>
      </c>
      <c r="B775" t="s">
        <v>669</v>
      </c>
      <c r="C775" t="s">
        <v>101</v>
      </c>
      <c r="D775" t="s">
        <v>379</v>
      </c>
      <c r="E775">
        <v>4</v>
      </c>
      <c r="F775">
        <v>0</v>
      </c>
      <c r="G775">
        <v>32</v>
      </c>
      <c r="H775">
        <v>2</v>
      </c>
      <c r="I775">
        <v>8</v>
      </c>
      <c r="J775">
        <v>6</v>
      </c>
      <c r="K775">
        <v>1</v>
      </c>
      <c r="L775">
        <v>2</v>
      </c>
      <c r="M775">
        <v>0</v>
      </c>
      <c r="N775">
        <v>0</v>
      </c>
    </row>
    <row r="776" spans="1:14" x14ac:dyDescent="0.45">
      <c r="A776" t="s">
        <v>111</v>
      </c>
      <c r="B776" t="s">
        <v>669</v>
      </c>
      <c r="C776" t="s">
        <v>101</v>
      </c>
      <c r="D776" t="s">
        <v>489</v>
      </c>
      <c r="E776">
        <v>4</v>
      </c>
      <c r="F776">
        <v>0</v>
      </c>
      <c r="G776">
        <v>35</v>
      </c>
      <c r="H776">
        <v>0</v>
      </c>
      <c r="I776">
        <v>8.75</v>
      </c>
      <c r="J776">
        <v>6</v>
      </c>
      <c r="K776">
        <v>5</v>
      </c>
      <c r="L776">
        <v>0</v>
      </c>
      <c r="M776">
        <v>1</v>
      </c>
      <c r="N776">
        <v>0</v>
      </c>
    </row>
    <row r="777" spans="1:14" x14ac:dyDescent="0.45">
      <c r="A777" t="s">
        <v>111</v>
      </c>
      <c r="B777" t="s">
        <v>669</v>
      </c>
      <c r="C777" t="s">
        <v>101</v>
      </c>
      <c r="D777" t="s">
        <v>490</v>
      </c>
      <c r="E777">
        <v>4</v>
      </c>
      <c r="F777">
        <v>0</v>
      </c>
      <c r="G777">
        <v>20</v>
      </c>
      <c r="H777">
        <v>0</v>
      </c>
      <c r="I777">
        <v>5</v>
      </c>
      <c r="J777">
        <v>7</v>
      </c>
      <c r="K777">
        <v>0</v>
      </c>
      <c r="L777">
        <v>0</v>
      </c>
      <c r="M777">
        <v>0</v>
      </c>
      <c r="N777">
        <v>0</v>
      </c>
    </row>
    <row r="778" spans="1:14" x14ac:dyDescent="0.45">
      <c r="A778" t="s">
        <v>111</v>
      </c>
      <c r="B778" t="s">
        <v>669</v>
      </c>
      <c r="C778" t="s">
        <v>101</v>
      </c>
      <c r="D778" t="s">
        <v>317</v>
      </c>
      <c r="E778">
        <v>1.4</v>
      </c>
      <c r="F778">
        <v>0</v>
      </c>
      <c r="G778">
        <v>21</v>
      </c>
      <c r="H778">
        <v>0</v>
      </c>
      <c r="I778">
        <v>12.6</v>
      </c>
      <c r="J778">
        <v>2</v>
      </c>
      <c r="K778">
        <v>4</v>
      </c>
      <c r="L778">
        <v>0</v>
      </c>
      <c r="M778">
        <v>0</v>
      </c>
      <c r="N778">
        <v>0</v>
      </c>
    </row>
    <row r="779" spans="1:14" x14ac:dyDescent="0.45">
      <c r="A779" t="s">
        <v>112</v>
      </c>
      <c r="B779" t="s">
        <v>670</v>
      </c>
      <c r="C779" t="s">
        <v>7</v>
      </c>
      <c r="D779" t="s">
        <v>515</v>
      </c>
      <c r="E779">
        <v>4</v>
      </c>
      <c r="F779">
        <v>0</v>
      </c>
      <c r="G779">
        <v>34</v>
      </c>
      <c r="H779">
        <v>0</v>
      </c>
      <c r="I779">
        <v>8.5</v>
      </c>
      <c r="J779">
        <v>7</v>
      </c>
      <c r="K779">
        <v>2</v>
      </c>
      <c r="L779">
        <v>2</v>
      </c>
      <c r="M779">
        <v>0</v>
      </c>
      <c r="N779">
        <v>0</v>
      </c>
    </row>
    <row r="780" spans="1:14" x14ac:dyDescent="0.45">
      <c r="A780" t="s">
        <v>112</v>
      </c>
      <c r="B780" t="s">
        <v>670</v>
      </c>
      <c r="C780" t="s">
        <v>7</v>
      </c>
      <c r="D780" t="s">
        <v>415</v>
      </c>
      <c r="E780">
        <v>4</v>
      </c>
      <c r="F780">
        <v>0</v>
      </c>
      <c r="G780">
        <v>57</v>
      </c>
      <c r="H780">
        <v>0</v>
      </c>
      <c r="I780">
        <v>14.25</v>
      </c>
      <c r="J780">
        <v>5</v>
      </c>
      <c r="K780">
        <v>2</v>
      </c>
      <c r="L780">
        <v>6</v>
      </c>
      <c r="M780">
        <v>1</v>
      </c>
      <c r="N780">
        <v>0</v>
      </c>
    </row>
    <row r="781" spans="1:14" x14ac:dyDescent="0.45">
      <c r="A781" t="s">
        <v>112</v>
      </c>
      <c r="B781" t="s">
        <v>670</v>
      </c>
      <c r="C781" t="s">
        <v>7</v>
      </c>
      <c r="D781" t="s">
        <v>308</v>
      </c>
      <c r="E781">
        <v>4</v>
      </c>
      <c r="F781">
        <v>0</v>
      </c>
      <c r="G781">
        <v>27</v>
      </c>
      <c r="H781">
        <v>0</v>
      </c>
      <c r="I781">
        <v>6.75</v>
      </c>
      <c r="J781">
        <v>8</v>
      </c>
      <c r="K781">
        <v>0</v>
      </c>
      <c r="L781">
        <v>2</v>
      </c>
      <c r="M781">
        <v>0</v>
      </c>
      <c r="N781">
        <v>0</v>
      </c>
    </row>
    <row r="782" spans="1:14" x14ac:dyDescent="0.45">
      <c r="A782" t="s">
        <v>112</v>
      </c>
      <c r="B782" t="s">
        <v>670</v>
      </c>
      <c r="C782" t="s">
        <v>7</v>
      </c>
      <c r="D782" t="s">
        <v>322</v>
      </c>
      <c r="E782">
        <v>4</v>
      </c>
      <c r="F782">
        <v>0</v>
      </c>
      <c r="G782">
        <v>38</v>
      </c>
      <c r="H782">
        <v>0</v>
      </c>
      <c r="I782">
        <v>9.5</v>
      </c>
      <c r="J782">
        <v>9</v>
      </c>
      <c r="K782">
        <v>3</v>
      </c>
      <c r="L782">
        <v>2</v>
      </c>
      <c r="M782">
        <v>0</v>
      </c>
      <c r="N782">
        <v>1</v>
      </c>
    </row>
    <row r="783" spans="1:14" x14ac:dyDescent="0.45">
      <c r="A783" t="s">
        <v>112</v>
      </c>
      <c r="B783" t="s">
        <v>670</v>
      </c>
      <c r="C783" t="s">
        <v>7</v>
      </c>
      <c r="D783" t="s">
        <v>440</v>
      </c>
      <c r="E783">
        <v>3</v>
      </c>
      <c r="F783">
        <v>0</v>
      </c>
      <c r="G783">
        <v>45</v>
      </c>
      <c r="H783">
        <v>0</v>
      </c>
      <c r="I783">
        <v>15</v>
      </c>
      <c r="J783">
        <v>1</v>
      </c>
      <c r="K783">
        <v>5</v>
      </c>
      <c r="L783">
        <v>2</v>
      </c>
      <c r="M783">
        <v>0</v>
      </c>
      <c r="N783">
        <v>0</v>
      </c>
    </row>
    <row r="784" spans="1:14" x14ac:dyDescent="0.45">
      <c r="A784" t="s">
        <v>112</v>
      </c>
      <c r="B784" t="s">
        <v>670</v>
      </c>
      <c r="C784" t="s">
        <v>7</v>
      </c>
      <c r="D784" t="s">
        <v>306</v>
      </c>
      <c r="E784">
        <v>1</v>
      </c>
      <c r="F784">
        <v>0</v>
      </c>
      <c r="G784">
        <v>9</v>
      </c>
      <c r="H784">
        <v>0</v>
      </c>
      <c r="I784">
        <v>9</v>
      </c>
      <c r="J784">
        <v>0</v>
      </c>
      <c r="K784">
        <v>1</v>
      </c>
      <c r="L784">
        <v>0</v>
      </c>
      <c r="M784">
        <v>0</v>
      </c>
      <c r="N784">
        <v>0</v>
      </c>
    </row>
    <row r="785" spans="1:14" x14ac:dyDescent="0.45">
      <c r="A785" t="s">
        <v>112</v>
      </c>
      <c r="B785" t="s">
        <v>670</v>
      </c>
      <c r="C785" t="s">
        <v>104</v>
      </c>
      <c r="D785" t="s">
        <v>492</v>
      </c>
      <c r="E785">
        <v>4</v>
      </c>
      <c r="F785">
        <v>0</v>
      </c>
      <c r="G785">
        <v>20</v>
      </c>
      <c r="H785">
        <v>3</v>
      </c>
      <c r="I785">
        <v>5</v>
      </c>
      <c r="J785">
        <v>16</v>
      </c>
      <c r="K785">
        <v>2</v>
      </c>
      <c r="L785">
        <v>1</v>
      </c>
      <c r="M785">
        <v>1</v>
      </c>
      <c r="N785">
        <v>0</v>
      </c>
    </row>
    <row r="786" spans="1:14" x14ac:dyDescent="0.45">
      <c r="A786" t="s">
        <v>112</v>
      </c>
      <c r="B786" t="s">
        <v>670</v>
      </c>
      <c r="C786" t="s">
        <v>104</v>
      </c>
      <c r="D786" t="s">
        <v>378</v>
      </c>
      <c r="E786">
        <v>4</v>
      </c>
      <c r="F786">
        <v>0</v>
      </c>
      <c r="G786">
        <v>45</v>
      </c>
      <c r="H786">
        <v>0</v>
      </c>
      <c r="I786">
        <v>11.25</v>
      </c>
      <c r="J786">
        <v>10</v>
      </c>
      <c r="K786">
        <v>3</v>
      </c>
      <c r="L786">
        <v>4</v>
      </c>
      <c r="M786">
        <v>2</v>
      </c>
      <c r="N786">
        <v>0</v>
      </c>
    </row>
    <row r="787" spans="1:14" x14ac:dyDescent="0.45">
      <c r="A787" t="s">
        <v>112</v>
      </c>
      <c r="B787" t="s">
        <v>670</v>
      </c>
      <c r="C787" t="s">
        <v>104</v>
      </c>
      <c r="D787" t="s">
        <v>340</v>
      </c>
      <c r="E787">
        <v>4</v>
      </c>
      <c r="F787">
        <v>0</v>
      </c>
      <c r="G787">
        <v>60</v>
      </c>
      <c r="H787">
        <v>0</v>
      </c>
      <c r="I787">
        <v>15</v>
      </c>
      <c r="J787">
        <v>6</v>
      </c>
      <c r="K787">
        <v>7</v>
      </c>
      <c r="L787">
        <v>3</v>
      </c>
      <c r="M787">
        <v>3</v>
      </c>
      <c r="N787">
        <v>1</v>
      </c>
    </row>
    <row r="788" spans="1:14" x14ac:dyDescent="0.45">
      <c r="A788" t="s">
        <v>112</v>
      </c>
      <c r="B788" t="s">
        <v>670</v>
      </c>
      <c r="C788" t="s">
        <v>104</v>
      </c>
      <c r="D788" t="s">
        <v>516</v>
      </c>
      <c r="E788">
        <v>2</v>
      </c>
      <c r="F788">
        <v>0</v>
      </c>
      <c r="G788">
        <v>23</v>
      </c>
      <c r="H788">
        <v>1</v>
      </c>
      <c r="I788">
        <v>11.5</v>
      </c>
      <c r="J788">
        <v>4</v>
      </c>
      <c r="K788">
        <v>3</v>
      </c>
      <c r="L788">
        <v>1</v>
      </c>
      <c r="M788">
        <v>0</v>
      </c>
      <c r="N788">
        <v>0</v>
      </c>
    </row>
    <row r="789" spans="1:14" x14ac:dyDescent="0.45">
      <c r="A789" t="s">
        <v>112</v>
      </c>
      <c r="B789" t="s">
        <v>670</v>
      </c>
      <c r="C789" t="s">
        <v>104</v>
      </c>
      <c r="D789" t="s">
        <v>407</v>
      </c>
      <c r="E789">
        <v>4</v>
      </c>
      <c r="F789">
        <v>0</v>
      </c>
      <c r="G789">
        <v>34</v>
      </c>
      <c r="H789">
        <v>1</v>
      </c>
      <c r="I789">
        <v>8.5</v>
      </c>
      <c r="J789">
        <v>6</v>
      </c>
      <c r="K789">
        <v>2</v>
      </c>
      <c r="L789">
        <v>2</v>
      </c>
      <c r="M789">
        <v>0</v>
      </c>
      <c r="N789">
        <v>0</v>
      </c>
    </row>
    <row r="790" spans="1:14" x14ac:dyDescent="0.45">
      <c r="A790" t="s">
        <v>112</v>
      </c>
      <c r="B790" t="s">
        <v>670</v>
      </c>
      <c r="C790" t="s">
        <v>104</v>
      </c>
      <c r="D790" t="s">
        <v>331</v>
      </c>
      <c r="E790">
        <v>2</v>
      </c>
      <c r="F790">
        <v>0</v>
      </c>
      <c r="G790">
        <v>23</v>
      </c>
      <c r="H790">
        <v>3</v>
      </c>
      <c r="I790">
        <v>11.5</v>
      </c>
      <c r="J790">
        <v>4</v>
      </c>
      <c r="K790">
        <v>1</v>
      </c>
      <c r="L790">
        <v>2</v>
      </c>
      <c r="M790">
        <v>0</v>
      </c>
      <c r="N790">
        <v>0</v>
      </c>
    </row>
    <row r="791" spans="1:14" x14ac:dyDescent="0.45">
      <c r="A791" t="s">
        <v>114</v>
      </c>
      <c r="B791" t="s">
        <v>671</v>
      </c>
      <c r="C791" t="s">
        <v>19</v>
      </c>
      <c r="D791" t="s">
        <v>464</v>
      </c>
      <c r="E791">
        <v>4</v>
      </c>
      <c r="F791">
        <v>0</v>
      </c>
      <c r="G791">
        <v>39</v>
      </c>
      <c r="H791">
        <v>1</v>
      </c>
      <c r="I791">
        <v>9.75</v>
      </c>
      <c r="J791">
        <v>8</v>
      </c>
      <c r="K791">
        <v>4</v>
      </c>
      <c r="L791">
        <v>2</v>
      </c>
      <c r="M791">
        <v>0</v>
      </c>
      <c r="N791">
        <v>0</v>
      </c>
    </row>
    <row r="792" spans="1:14" x14ac:dyDescent="0.45">
      <c r="A792" t="s">
        <v>114</v>
      </c>
      <c r="B792" t="s">
        <v>671</v>
      </c>
      <c r="C792" t="s">
        <v>19</v>
      </c>
      <c r="D792" t="s">
        <v>457</v>
      </c>
      <c r="E792">
        <v>4</v>
      </c>
      <c r="F792">
        <v>0</v>
      </c>
      <c r="G792">
        <v>44</v>
      </c>
      <c r="H792">
        <v>1</v>
      </c>
      <c r="I792">
        <v>11</v>
      </c>
      <c r="J792">
        <v>6</v>
      </c>
      <c r="K792">
        <v>1</v>
      </c>
      <c r="L792">
        <v>3</v>
      </c>
      <c r="M792">
        <v>2</v>
      </c>
      <c r="N792">
        <v>0</v>
      </c>
    </row>
    <row r="793" spans="1:14" x14ac:dyDescent="0.45">
      <c r="A793" t="s">
        <v>114</v>
      </c>
      <c r="B793" t="s">
        <v>671</v>
      </c>
      <c r="C793" t="s">
        <v>19</v>
      </c>
      <c r="D793" t="s">
        <v>518</v>
      </c>
      <c r="E793">
        <v>2</v>
      </c>
      <c r="F793">
        <v>0</v>
      </c>
      <c r="G793">
        <v>23</v>
      </c>
      <c r="H793">
        <v>0</v>
      </c>
      <c r="I793">
        <v>11.5</v>
      </c>
      <c r="J793">
        <v>6</v>
      </c>
      <c r="K793">
        <v>3</v>
      </c>
      <c r="L793">
        <v>1</v>
      </c>
      <c r="M793">
        <v>2</v>
      </c>
      <c r="N793">
        <v>0</v>
      </c>
    </row>
    <row r="794" spans="1:14" x14ac:dyDescent="0.45">
      <c r="A794" t="s">
        <v>114</v>
      </c>
      <c r="B794" t="s">
        <v>671</v>
      </c>
      <c r="C794" t="s">
        <v>19</v>
      </c>
      <c r="D794" t="s">
        <v>369</v>
      </c>
      <c r="E794">
        <v>4</v>
      </c>
      <c r="F794">
        <v>0</v>
      </c>
      <c r="G794">
        <v>32</v>
      </c>
      <c r="H794">
        <v>1</v>
      </c>
      <c r="I794">
        <v>8</v>
      </c>
      <c r="J794">
        <v>11</v>
      </c>
      <c r="K794">
        <v>4</v>
      </c>
      <c r="L794">
        <v>1</v>
      </c>
      <c r="M794">
        <v>0</v>
      </c>
      <c r="N794">
        <v>0</v>
      </c>
    </row>
    <row r="795" spans="1:14" x14ac:dyDescent="0.45">
      <c r="A795" t="s">
        <v>114</v>
      </c>
      <c r="B795" t="s">
        <v>671</v>
      </c>
      <c r="C795" t="s">
        <v>19</v>
      </c>
      <c r="D795" t="s">
        <v>419</v>
      </c>
      <c r="E795">
        <v>3</v>
      </c>
      <c r="F795">
        <v>0</v>
      </c>
      <c r="G795">
        <v>31</v>
      </c>
      <c r="H795">
        <v>0</v>
      </c>
      <c r="I795">
        <v>10.33</v>
      </c>
      <c r="J795">
        <v>2</v>
      </c>
      <c r="K795">
        <v>3</v>
      </c>
      <c r="L795">
        <v>1</v>
      </c>
      <c r="M795">
        <v>0</v>
      </c>
      <c r="N795">
        <v>0</v>
      </c>
    </row>
    <row r="796" spans="1:14" x14ac:dyDescent="0.45">
      <c r="A796" t="s">
        <v>114</v>
      </c>
      <c r="B796" t="s">
        <v>671</v>
      </c>
      <c r="C796" t="s">
        <v>19</v>
      </c>
      <c r="D796" t="s">
        <v>503</v>
      </c>
      <c r="E796">
        <v>3</v>
      </c>
      <c r="F796">
        <v>0</v>
      </c>
      <c r="G796">
        <v>20</v>
      </c>
      <c r="H796">
        <v>3</v>
      </c>
      <c r="I796">
        <v>6.66</v>
      </c>
      <c r="J796">
        <v>5</v>
      </c>
      <c r="K796">
        <v>2</v>
      </c>
      <c r="L796">
        <v>0</v>
      </c>
      <c r="M796">
        <v>1</v>
      </c>
      <c r="N796">
        <v>0</v>
      </c>
    </row>
    <row r="797" spans="1:14" x14ac:dyDescent="0.45">
      <c r="A797" t="s">
        <v>114</v>
      </c>
      <c r="B797" t="s">
        <v>671</v>
      </c>
      <c r="C797" t="s">
        <v>20</v>
      </c>
      <c r="D797" t="s">
        <v>497</v>
      </c>
      <c r="E797">
        <v>4</v>
      </c>
      <c r="F797">
        <v>0</v>
      </c>
      <c r="G797">
        <v>31</v>
      </c>
      <c r="H797">
        <v>0</v>
      </c>
      <c r="I797">
        <v>7.75</v>
      </c>
      <c r="J797">
        <v>11</v>
      </c>
      <c r="K797">
        <v>2</v>
      </c>
      <c r="L797">
        <v>1</v>
      </c>
      <c r="M797">
        <v>3</v>
      </c>
      <c r="N797">
        <v>0</v>
      </c>
    </row>
    <row r="798" spans="1:14" x14ac:dyDescent="0.45">
      <c r="A798" t="s">
        <v>114</v>
      </c>
      <c r="B798" t="s">
        <v>671</v>
      </c>
      <c r="C798" t="s">
        <v>20</v>
      </c>
      <c r="D798" t="s">
        <v>409</v>
      </c>
      <c r="E798">
        <v>4</v>
      </c>
      <c r="F798">
        <v>1</v>
      </c>
      <c r="G798">
        <v>26</v>
      </c>
      <c r="H798">
        <v>1</v>
      </c>
      <c r="I798">
        <v>6.5</v>
      </c>
      <c r="J798">
        <v>12</v>
      </c>
      <c r="K798">
        <v>1</v>
      </c>
      <c r="L798">
        <v>2</v>
      </c>
      <c r="M798">
        <v>0</v>
      </c>
      <c r="N798">
        <v>0</v>
      </c>
    </row>
    <row r="799" spans="1:14" x14ac:dyDescent="0.45">
      <c r="A799" t="s">
        <v>114</v>
      </c>
      <c r="B799" t="s">
        <v>671</v>
      </c>
      <c r="C799" t="s">
        <v>20</v>
      </c>
      <c r="D799" t="s">
        <v>467</v>
      </c>
      <c r="E799">
        <v>4</v>
      </c>
      <c r="F799">
        <v>0</v>
      </c>
      <c r="G799">
        <v>36</v>
      </c>
      <c r="H799">
        <v>1</v>
      </c>
      <c r="I799">
        <v>9</v>
      </c>
      <c r="J799">
        <v>4</v>
      </c>
      <c r="K799">
        <v>3</v>
      </c>
      <c r="L799">
        <v>1</v>
      </c>
      <c r="M799">
        <v>0</v>
      </c>
      <c r="N799">
        <v>0</v>
      </c>
    </row>
    <row r="800" spans="1:14" x14ac:dyDescent="0.45">
      <c r="A800" t="s">
        <v>114</v>
      </c>
      <c r="B800" t="s">
        <v>671</v>
      </c>
      <c r="C800" t="s">
        <v>20</v>
      </c>
      <c r="D800" t="s">
        <v>483</v>
      </c>
      <c r="E800">
        <v>4</v>
      </c>
      <c r="F800">
        <v>0</v>
      </c>
      <c r="G800">
        <v>60</v>
      </c>
      <c r="H800">
        <v>0</v>
      </c>
      <c r="I800">
        <v>15</v>
      </c>
      <c r="J800">
        <v>4</v>
      </c>
      <c r="K800">
        <v>4</v>
      </c>
      <c r="L800">
        <v>5</v>
      </c>
      <c r="M800">
        <v>2</v>
      </c>
      <c r="N800">
        <v>0</v>
      </c>
    </row>
    <row r="801" spans="1:14" x14ac:dyDescent="0.45">
      <c r="A801" t="s">
        <v>114</v>
      </c>
      <c r="B801" t="s">
        <v>671</v>
      </c>
      <c r="C801" t="s">
        <v>20</v>
      </c>
      <c r="D801" t="s">
        <v>382</v>
      </c>
      <c r="E801">
        <v>3</v>
      </c>
      <c r="F801">
        <v>0</v>
      </c>
      <c r="G801">
        <v>23</v>
      </c>
      <c r="H801">
        <v>3</v>
      </c>
      <c r="I801">
        <v>7.66</v>
      </c>
      <c r="J801">
        <v>12</v>
      </c>
      <c r="K801">
        <v>2</v>
      </c>
      <c r="L801">
        <v>1</v>
      </c>
      <c r="M801">
        <v>3</v>
      </c>
      <c r="N801">
        <v>2</v>
      </c>
    </row>
    <row r="802" spans="1:14" x14ac:dyDescent="0.45">
      <c r="A802" t="s">
        <v>114</v>
      </c>
      <c r="B802" t="s">
        <v>671</v>
      </c>
      <c r="C802" t="s">
        <v>20</v>
      </c>
      <c r="D802" t="s">
        <v>373</v>
      </c>
      <c r="E802">
        <v>1</v>
      </c>
      <c r="F802">
        <v>0</v>
      </c>
      <c r="G802">
        <v>10</v>
      </c>
      <c r="H802">
        <v>0</v>
      </c>
      <c r="I802">
        <v>10</v>
      </c>
      <c r="J802">
        <v>1</v>
      </c>
      <c r="K802">
        <v>0</v>
      </c>
      <c r="L802">
        <v>1</v>
      </c>
      <c r="M802">
        <v>0</v>
      </c>
      <c r="N802">
        <v>0</v>
      </c>
    </row>
    <row r="803" spans="1:14" x14ac:dyDescent="0.45">
      <c r="A803" t="s">
        <v>116</v>
      </c>
      <c r="B803" t="s">
        <v>672</v>
      </c>
      <c r="C803" t="s">
        <v>26</v>
      </c>
      <c r="D803" t="s">
        <v>384</v>
      </c>
      <c r="E803">
        <v>4</v>
      </c>
      <c r="F803">
        <v>0</v>
      </c>
      <c r="G803">
        <v>27</v>
      </c>
      <c r="H803">
        <v>3</v>
      </c>
      <c r="I803">
        <v>6.75</v>
      </c>
      <c r="J803">
        <v>8</v>
      </c>
      <c r="K803">
        <v>1</v>
      </c>
      <c r="L803">
        <v>1</v>
      </c>
      <c r="M803">
        <v>2</v>
      </c>
      <c r="N803">
        <v>0</v>
      </c>
    </row>
    <row r="804" spans="1:14" x14ac:dyDescent="0.45">
      <c r="A804" t="s">
        <v>116</v>
      </c>
      <c r="B804" t="s">
        <v>672</v>
      </c>
      <c r="C804" t="s">
        <v>26</v>
      </c>
      <c r="D804" t="s">
        <v>341</v>
      </c>
      <c r="E804">
        <v>3</v>
      </c>
      <c r="F804">
        <v>0</v>
      </c>
      <c r="G804">
        <v>24</v>
      </c>
      <c r="H804">
        <v>1</v>
      </c>
      <c r="I804">
        <v>8</v>
      </c>
      <c r="J804">
        <v>8</v>
      </c>
      <c r="K804">
        <v>1</v>
      </c>
      <c r="L804">
        <v>2</v>
      </c>
      <c r="M804">
        <v>0</v>
      </c>
      <c r="N804">
        <v>0</v>
      </c>
    </row>
    <row r="805" spans="1:14" x14ac:dyDescent="0.45">
      <c r="A805" t="s">
        <v>116</v>
      </c>
      <c r="B805" t="s">
        <v>672</v>
      </c>
      <c r="C805" t="s">
        <v>26</v>
      </c>
      <c r="D805" t="s">
        <v>404</v>
      </c>
      <c r="E805">
        <v>3</v>
      </c>
      <c r="F805">
        <v>0</v>
      </c>
      <c r="G805">
        <v>29</v>
      </c>
      <c r="H805">
        <v>0</v>
      </c>
      <c r="I805">
        <v>9.66</v>
      </c>
      <c r="J805">
        <v>6</v>
      </c>
      <c r="K805">
        <v>4</v>
      </c>
      <c r="L805">
        <v>1</v>
      </c>
      <c r="M805">
        <v>0</v>
      </c>
      <c r="N805">
        <v>0</v>
      </c>
    </row>
    <row r="806" spans="1:14" x14ac:dyDescent="0.45">
      <c r="A806" t="s">
        <v>116</v>
      </c>
      <c r="B806" t="s">
        <v>672</v>
      </c>
      <c r="C806" t="s">
        <v>26</v>
      </c>
      <c r="D806" t="s">
        <v>520</v>
      </c>
      <c r="E806">
        <v>2</v>
      </c>
      <c r="F806">
        <v>0</v>
      </c>
      <c r="G806">
        <v>17</v>
      </c>
      <c r="H806">
        <v>0</v>
      </c>
      <c r="I806">
        <v>8.5</v>
      </c>
      <c r="J806">
        <v>2</v>
      </c>
      <c r="K806">
        <v>2</v>
      </c>
      <c r="L806">
        <v>0</v>
      </c>
      <c r="M806">
        <v>0</v>
      </c>
      <c r="N806">
        <v>0</v>
      </c>
    </row>
    <row r="807" spans="1:14" x14ac:dyDescent="0.45">
      <c r="A807" t="s">
        <v>116</v>
      </c>
      <c r="B807" t="s">
        <v>672</v>
      </c>
      <c r="C807" t="s">
        <v>26</v>
      </c>
      <c r="D807" t="s">
        <v>405</v>
      </c>
      <c r="E807">
        <v>4</v>
      </c>
      <c r="F807">
        <v>0</v>
      </c>
      <c r="G807">
        <v>37</v>
      </c>
      <c r="H807">
        <v>3</v>
      </c>
      <c r="I807">
        <v>9.25</v>
      </c>
      <c r="J807">
        <v>7</v>
      </c>
      <c r="K807">
        <v>3</v>
      </c>
      <c r="L807">
        <v>1</v>
      </c>
      <c r="M807">
        <v>0</v>
      </c>
      <c r="N807">
        <v>1</v>
      </c>
    </row>
    <row r="808" spans="1:14" x14ac:dyDescent="0.45">
      <c r="A808" t="s">
        <v>116</v>
      </c>
      <c r="B808" t="s">
        <v>672</v>
      </c>
      <c r="C808" t="s">
        <v>26</v>
      </c>
      <c r="D808" t="s">
        <v>435</v>
      </c>
      <c r="E808">
        <v>4</v>
      </c>
      <c r="F808">
        <v>0</v>
      </c>
      <c r="G808">
        <v>19</v>
      </c>
      <c r="H808">
        <v>0</v>
      </c>
      <c r="I808">
        <v>4.75</v>
      </c>
      <c r="J808">
        <v>14</v>
      </c>
      <c r="K808">
        <v>1</v>
      </c>
      <c r="L808">
        <v>1</v>
      </c>
      <c r="M808">
        <v>0</v>
      </c>
      <c r="N808">
        <v>0</v>
      </c>
    </row>
    <row r="809" spans="1:14" x14ac:dyDescent="0.45">
      <c r="A809" t="s">
        <v>116</v>
      </c>
      <c r="B809" t="s">
        <v>672</v>
      </c>
      <c r="C809" t="s">
        <v>10</v>
      </c>
      <c r="D809" t="s">
        <v>444</v>
      </c>
      <c r="E809">
        <v>4</v>
      </c>
      <c r="F809">
        <v>0</v>
      </c>
      <c r="G809">
        <v>43</v>
      </c>
      <c r="H809">
        <v>0</v>
      </c>
      <c r="I809">
        <v>10.75</v>
      </c>
      <c r="J809">
        <v>8</v>
      </c>
      <c r="K809">
        <v>3</v>
      </c>
      <c r="L809">
        <v>3</v>
      </c>
      <c r="M809">
        <v>0</v>
      </c>
      <c r="N809">
        <v>0</v>
      </c>
    </row>
    <row r="810" spans="1:14" x14ac:dyDescent="0.45">
      <c r="A810" t="s">
        <v>116</v>
      </c>
      <c r="B810" t="s">
        <v>672</v>
      </c>
      <c r="C810" t="s">
        <v>10</v>
      </c>
      <c r="D810" t="s">
        <v>338</v>
      </c>
      <c r="E810">
        <v>4</v>
      </c>
      <c r="F810">
        <v>0</v>
      </c>
      <c r="G810">
        <v>29</v>
      </c>
      <c r="H810">
        <v>1</v>
      </c>
      <c r="I810">
        <v>7.25</v>
      </c>
      <c r="J810">
        <v>11</v>
      </c>
      <c r="K810">
        <v>4</v>
      </c>
      <c r="L810">
        <v>0</v>
      </c>
      <c r="M810">
        <v>1</v>
      </c>
      <c r="N810">
        <v>1</v>
      </c>
    </row>
    <row r="811" spans="1:14" x14ac:dyDescent="0.45">
      <c r="A811" t="s">
        <v>116</v>
      </c>
      <c r="B811" t="s">
        <v>672</v>
      </c>
      <c r="C811" t="s">
        <v>10</v>
      </c>
      <c r="D811" t="s">
        <v>436</v>
      </c>
      <c r="E811">
        <v>1</v>
      </c>
      <c r="F811">
        <v>0</v>
      </c>
      <c r="G811">
        <v>6</v>
      </c>
      <c r="H811">
        <v>0</v>
      </c>
      <c r="I811">
        <v>6</v>
      </c>
      <c r="J811">
        <v>4</v>
      </c>
      <c r="K811">
        <v>1</v>
      </c>
      <c r="L811">
        <v>0</v>
      </c>
      <c r="M811">
        <v>1</v>
      </c>
      <c r="N811">
        <v>0</v>
      </c>
    </row>
    <row r="812" spans="1:14" x14ac:dyDescent="0.45">
      <c r="A812" t="s">
        <v>116</v>
      </c>
      <c r="B812" t="s">
        <v>672</v>
      </c>
      <c r="C812" t="s">
        <v>10</v>
      </c>
      <c r="D812" t="s">
        <v>326</v>
      </c>
      <c r="E812">
        <v>4</v>
      </c>
      <c r="F812">
        <v>0</v>
      </c>
      <c r="G812">
        <v>36</v>
      </c>
      <c r="H812">
        <v>4</v>
      </c>
      <c r="I812">
        <v>9</v>
      </c>
      <c r="J812">
        <v>10</v>
      </c>
      <c r="K812">
        <v>3</v>
      </c>
      <c r="L812">
        <v>2</v>
      </c>
      <c r="M812">
        <v>3</v>
      </c>
      <c r="N812">
        <v>0</v>
      </c>
    </row>
    <row r="813" spans="1:14" x14ac:dyDescent="0.45">
      <c r="A813" t="s">
        <v>116</v>
      </c>
      <c r="B813" t="s">
        <v>672</v>
      </c>
      <c r="C813" t="s">
        <v>10</v>
      </c>
      <c r="D813" t="s">
        <v>337</v>
      </c>
      <c r="E813">
        <v>4</v>
      </c>
      <c r="F813">
        <v>0</v>
      </c>
      <c r="G813">
        <v>14</v>
      </c>
      <c r="H813">
        <v>2</v>
      </c>
      <c r="I813">
        <v>3.5</v>
      </c>
      <c r="J813">
        <v>14</v>
      </c>
      <c r="K813">
        <v>1</v>
      </c>
      <c r="L813">
        <v>0</v>
      </c>
      <c r="M813">
        <v>0</v>
      </c>
      <c r="N813">
        <v>0</v>
      </c>
    </row>
    <row r="814" spans="1:14" x14ac:dyDescent="0.45">
      <c r="A814" t="s">
        <v>116</v>
      </c>
      <c r="B814" t="s">
        <v>672</v>
      </c>
      <c r="C814" t="s">
        <v>10</v>
      </c>
      <c r="D814" t="s">
        <v>500</v>
      </c>
      <c r="E814">
        <v>3</v>
      </c>
      <c r="F814">
        <v>0</v>
      </c>
      <c r="G814">
        <v>14</v>
      </c>
      <c r="H814">
        <v>2</v>
      </c>
      <c r="I814">
        <v>4.66</v>
      </c>
      <c r="J814">
        <v>9</v>
      </c>
      <c r="K814">
        <v>1</v>
      </c>
      <c r="L814">
        <v>0</v>
      </c>
      <c r="M814">
        <v>0</v>
      </c>
      <c r="N814">
        <v>0</v>
      </c>
    </row>
    <row r="815" spans="1:14" x14ac:dyDescent="0.45">
      <c r="A815" t="s">
        <v>118</v>
      </c>
      <c r="B815" t="s">
        <v>673</v>
      </c>
      <c r="C815" t="s">
        <v>104</v>
      </c>
      <c r="D815" t="s">
        <v>492</v>
      </c>
      <c r="E815">
        <v>4</v>
      </c>
      <c r="F815">
        <v>0</v>
      </c>
      <c r="G815">
        <v>43</v>
      </c>
      <c r="H815">
        <v>0</v>
      </c>
      <c r="I815">
        <v>10.75</v>
      </c>
      <c r="J815">
        <v>9</v>
      </c>
      <c r="K815">
        <v>6</v>
      </c>
      <c r="L815">
        <v>1</v>
      </c>
      <c r="M815">
        <v>1</v>
      </c>
      <c r="N815">
        <v>0</v>
      </c>
    </row>
    <row r="816" spans="1:14" x14ac:dyDescent="0.45">
      <c r="A816" t="s">
        <v>118</v>
      </c>
      <c r="B816" t="s">
        <v>673</v>
      </c>
      <c r="C816" t="s">
        <v>104</v>
      </c>
      <c r="D816" t="s">
        <v>491</v>
      </c>
      <c r="E816">
        <v>3</v>
      </c>
      <c r="F816">
        <v>0</v>
      </c>
      <c r="G816">
        <v>35</v>
      </c>
      <c r="H816">
        <v>0</v>
      </c>
      <c r="I816">
        <v>11.66</v>
      </c>
      <c r="J816">
        <v>7</v>
      </c>
      <c r="K816">
        <v>5</v>
      </c>
      <c r="L816">
        <v>1</v>
      </c>
      <c r="M816">
        <v>0</v>
      </c>
      <c r="N816">
        <v>1</v>
      </c>
    </row>
    <row r="817" spans="1:14" x14ac:dyDescent="0.45">
      <c r="A817" t="s">
        <v>118</v>
      </c>
      <c r="B817" t="s">
        <v>673</v>
      </c>
      <c r="C817" t="s">
        <v>104</v>
      </c>
      <c r="D817" t="s">
        <v>340</v>
      </c>
      <c r="E817">
        <v>3</v>
      </c>
      <c r="F817">
        <v>0</v>
      </c>
      <c r="G817">
        <v>20</v>
      </c>
      <c r="H817">
        <v>1</v>
      </c>
      <c r="I817">
        <v>6.66</v>
      </c>
      <c r="J817">
        <v>9</v>
      </c>
      <c r="K817">
        <v>3</v>
      </c>
      <c r="L817">
        <v>0</v>
      </c>
      <c r="M817">
        <v>0</v>
      </c>
      <c r="N817">
        <v>0</v>
      </c>
    </row>
    <row r="818" spans="1:14" x14ac:dyDescent="0.45">
      <c r="A818" t="s">
        <v>118</v>
      </c>
      <c r="B818" t="s">
        <v>673</v>
      </c>
      <c r="C818" t="s">
        <v>104</v>
      </c>
      <c r="D818" t="s">
        <v>378</v>
      </c>
      <c r="E818">
        <v>2</v>
      </c>
      <c r="F818">
        <v>0</v>
      </c>
      <c r="G818">
        <v>12</v>
      </c>
      <c r="H818">
        <v>1</v>
      </c>
      <c r="I818">
        <v>6</v>
      </c>
      <c r="J818">
        <v>3</v>
      </c>
      <c r="K818">
        <v>1</v>
      </c>
      <c r="L818">
        <v>0</v>
      </c>
      <c r="M818">
        <v>0</v>
      </c>
      <c r="N818">
        <v>0</v>
      </c>
    </row>
    <row r="819" spans="1:14" x14ac:dyDescent="0.45">
      <c r="A819" t="s">
        <v>118</v>
      </c>
      <c r="B819" t="s">
        <v>673</v>
      </c>
      <c r="C819" t="s">
        <v>104</v>
      </c>
      <c r="D819" t="s">
        <v>407</v>
      </c>
      <c r="E819">
        <v>4</v>
      </c>
      <c r="F819">
        <v>0</v>
      </c>
      <c r="G819">
        <v>31</v>
      </c>
      <c r="H819">
        <v>2</v>
      </c>
      <c r="I819">
        <v>7.75</v>
      </c>
      <c r="J819">
        <v>9</v>
      </c>
      <c r="K819">
        <v>4</v>
      </c>
      <c r="L819">
        <v>0</v>
      </c>
      <c r="M819">
        <v>1</v>
      </c>
      <c r="N819">
        <v>0</v>
      </c>
    </row>
    <row r="820" spans="1:14" x14ac:dyDescent="0.45">
      <c r="A820" t="s">
        <v>118</v>
      </c>
      <c r="B820" t="s">
        <v>673</v>
      </c>
      <c r="C820" t="s">
        <v>104</v>
      </c>
      <c r="D820" t="s">
        <v>331</v>
      </c>
      <c r="E820">
        <v>1</v>
      </c>
      <c r="F820">
        <v>0</v>
      </c>
      <c r="G820">
        <v>15</v>
      </c>
      <c r="H820">
        <v>0</v>
      </c>
      <c r="I820">
        <v>15</v>
      </c>
      <c r="J820">
        <v>2</v>
      </c>
      <c r="K820">
        <v>2</v>
      </c>
      <c r="L820">
        <v>1</v>
      </c>
      <c r="M820">
        <v>0</v>
      </c>
      <c r="N820">
        <v>0</v>
      </c>
    </row>
    <row r="821" spans="1:14" x14ac:dyDescent="0.45">
      <c r="A821" t="s">
        <v>118</v>
      </c>
      <c r="B821" t="s">
        <v>673</v>
      </c>
      <c r="C821" t="s">
        <v>104</v>
      </c>
      <c r="D821" t="s">
        <v>521</v>
      </c>
      <c r="E821">
        <v>1</v>
      </c>
      <c r="F821">
        <v>0</v>
      </c>
      <c r="G821">
        <v>5</v>
      </c>
      <c r="H821">
        <v>1</v>
      </c>
      <c r="I821">
        <v>5</v>
      </c>
      <c r="J821">
        <v>3</v>
      </c>
      <c r="K821">
        <v>0</v>
      </c>
      <c r="L821">
        <v>0</v>
      </c>
      <c r="M821">
        <v>0</v>
      </c>
      <c r="N821">
        <v>0</v>
      </c>
    </row>
    <row r="822" spans="1:14" x14ac:dyDescent="0.45">
      <c r="A822" t="s">
        <v>118</v>
      </c>
      <c r="B822" t="s">
        <v>673</v>
      </c>
      <c r="C822" t="s">
        <v>104</v>
      </c>
      <c r="D822" t="s">
        <v>366</v>
      </c>
      <c r="E822">
        <v>2</v>
      </c>
      <c r="F822">
        <v>0</v>
      </c>
      <c r="G822">
        <v>16</v>
      </c>
      <c r="H822">
        <v>0</v>
      </c>
      <c r="I822">
        <v>8</v>
      </c>
      <c r="J822">
        <v>4</v>
      </c>
      <c r="K822">
        <v>1</v>
      </c>
      <c r="L822">
        <v>1</v>
      </c>
      <c r="M822">
        <v>0</v>
      </c>
      <c r="N822">
        <v>0</v>
      </c>
    </row>
    <row r="823" spans="1:14" x14ac:dyDescent="0.45">
      <c r="A823" t="s">
        <v>118</v>
      </c>
      <c r="B823" t="s">
        <v>673</v>
      </c>
      <c r="C823" t="s">
        <v>23</v>
      </c>
      <c r="D823" t="s">
        <v>370</v>
      </c>
      <c r="E823">
        <v>4</v>
      </c>
      <c r="F823">
        <v>0</v>
      </c>
      <c r="G823">
        <v>18</v>
      </c>
      <c r="H823">
        <v>2</v>
      </c>
      <c r="I823">
        <v>4.5</v>
      </c>
      <c r="J823">
        <v>14</v>
      </c>
      <c r="K823">
        <v>2</v>
      </c>
      <c r="L823">
        <v>0</v>
      </c>
      <c r="M823">
        <v>0</v>
      </c>
      <c r="N823">
        <v>0</v>
      </c>
    </row>
    <row r="824" spans="1:14" x14ac:dyDescent="0.45">
      <c r="A824" t="s">
        <v>118</v>
      </c>
      <c r="B824" t="s">
        <v>673</v>
      </c>
      <c r="C824" t="s">
        <v>23</v>
      </c>
      <c r="D824" t="s">
        <v>441</v>
      </c>
      <c r="E824">
        <v>4</v>
      </c>
      <c r="F824">
        <v>0</v>
      </c>
      <c r="G824">
        <v>32</v>
      </c>
      <c r="H824">
        <v>2</v>
      </c>
      <c r="I824">
        <v>8</v>
      </c>
      <c r="J824">
        <v>14</v>
      </c>
      <c r="K824">
        <v>2</v>
      </c>
      <c r="L824">
        <v>2</v>
      </c>
      <c r="M824">
        <v>2</v>
      </c>
      <c r="N824">
        <v>0</v>
      </c>
    </row>
    <row r="825" spans="1:14" x14ac:dyDescent="0.45">
      <c r="A825" t="s">
        <v>118</v>
      </c>
      <c r="B825" t="s">
        <v>673</v>
      </c>
      <c r="C825" t="s">
        <v>23</v>
      </c>
      <c r="D825" t="s">
        <v>353</v>
      </c>
      <c r="E825">
        <v>4</v>
      </c>
      <c r="F825">
        <v>0</v>
      </c>
      <c r="G825">
        <v>42</v>
      </c>
      <c r="H825">
        <v>1</v>
      </c>
      <c r="I825">
        <v>10.5</v>
      </c>
      <c r="J825">
        <v>6</v>
      </c>
      <c r="K825">
        <v>2</v>
      </c>
      <c r="L825">
        <v>3</v>
      </c>
      <c r="M825">
        <v>1</v>
      </c>
      <c r="N825">
        <v>0</v>
      </c>
    </row>
    <row r="826" spans="1:14" x14ac:dyDescent="0.45">
      <c r="A826" t="s">
        <v>118</v>
      </c>
      <c r="B826" t="s">
        <v>673</v>
      </c>
      <c r="C826" t="s">
        <v>23</v>
      </c>
      <c r="D826" t="s">
        <v>339</v>
      </c>
      <c r="E826">
        <v>4</v>
      </c>
      <c r="F826">
        <v>0</v>
      </c>
      <c r="G826">
        <v>24</v>
      </c>
      <c r="H826">
        <v>1</v>
      </c>
      <c r="I826">
        <v>6</v>
      </c>
      <c r="J826">
        <v>7</v>
      </c>
      <c r="K826">
        <v>1</v>
      </c>
      <c r="L826">
        <v>0</v>
      </c>
      <c r="M826">
        <v>1</v>
      </c>
      <c r="N826">
        <v>0</v>
      </c>
    </row>
    <row r="827" spans="1:14" x14ac:dyDescent="0.45">
      <c r="A827" t="s">
        <v>118</v>
      </c>
      <c r="B827" t="s">
        <v>673</v>
      </c>
      <c r="C827" t="s">
        <v>23</v>
      </c>
      <c r="D827" t="s">
        <v>487</v>
      </c>
      <c r="E827">
        <v>4</v>
      </c>
      <c r="F827">
        <v>0</v>
      </c>
      <c r="G827">
        <v>35</v>
      </c>
      <c r="H827">
        <v>2</v>
      </c>
      <c r="I827">
        <v>8.75</v>
      </c>
      <c r="J827">
        <v>7</v>
      </c>
      <c r="K827">
        <v>2</v>
      </c>
      <c r="L827">
        <v>1</v>
      </c>
      <c r="M827">
        <v>4</v>
      </c>
      <c r="N827">
        <v>0</v>
      </c>
    </row>
    <row r="828" spans="1:14" x14ac:dyDescent="0.45">
      <c r="A828" t="s">
        <v>119</v>
      </c>
      <c r="B828" t="s">
        <v>674</v>
      </c>
      <c r="C828" t="s">
        <v>101</v>
      </c>
      <c r="D828" t="s">
        <v>403</v>
      </c>
      <c r="E828">
        <v>4</v>
      </c>
      <c r="F828">
        <v>0</v>
      </c>
      <c r="G828">
        <v>19</v>
      </c>
      <c r="H828">
        <v>2</v>
      </c>
      <c r="I828">
        <v>4.75</v>
      </c>
      <c r="J828">
        <v>9</v>
      </c>
      <c r="K828">
        <v>0</v>
      </c>
      <c r="L828">
        <v>0</v>
      </c>
      <c r="M828">
        <v>0</v>
      </c>
      <c r="N828">
        <v>0</v>
      </c>
    </row>
    <row r="829" spans="1:14" x14ac:dyDescent="0.45">
      <c r="A829" t="s">
        <v>119</v>
      </c>
      <c r="B829" t="s">
        <v>674</v>
      </c>
      <c r="C829" t="s">
        <v>101</v>
      </c>
      <c r="D829" t="s">
        <v>361</v>
      </c>
      <c r="E829">
        <v>2</v>
      </c>
      <c r="F829">
        <v>0</v>
      </c>
      <c r="G829">
        <v>8</v>
      </c>
      <c r="H829">
        <v>0</v>
      </c>
      <c r="I829">
        <v>4</v>
      </c>
      <c r="J829">
        <v>5</v>
      </c>
      <c r="K829">
        <v>0</v>
      </c>
      <c r="L829">
        <v>0</v>
      </c>
      <c r="M829">
        <v>0</v>
      </c>
      <c r="N829">
        <v>1</v>
      </c>
    </row>
    <row r="830" spans="1:14" x14ac:dyDescent="0.45">
      <c r="A830" t="s">
        <v>119</v>
      </c>
      <c r="B830" t="s">
        <v>674</v>
      </c>
      <c r="C830" t="s">
        <v>101</v>
      </c>
      <c r="D830" t="s">
        <v>489</v>
      </c>
      <c r="E830">
        <v>3</v>
      </c>
      <c r="F830">
        <v>0</v>
      </c>
      <c r="G830">
        <v>27</v>
      </c>
      <c r="H830">
        <v>0</v>
      </c>
      <c r="I830">
        <v>9</v>
      </c>
      <c r="J830">
        <v>6</v>
      </c>
      <c r="K830">
        <v>2</v>
      </c>
      <c r="L830">
        <v>1</v>
      </c>
      <c r="M830">
        <v>3</v>
      </c>
      <c r="N830">
        <v>0</v>
      </c>
    </row>
    <row r="831" spans="1:14" x14ac:dyDescent="0.45">
      <c r="A831" t="s">
        <v>119</v>
      </c>
      <c r="B831" t="s">
        <v>674</v>
      </c>
      <c r="C831" t="s">
        <v>101</v>
      </c>
      <c r="D831" t="s">
        <v>379</v>
      </c>
      <c r="E831">
        <v>4</v>
      </c>
      <c r="F831">
        <v>0</v>
      </c>
      <c r="G831">
        <v>31</v>
      </c>
      <c r="H831">
        <v>1</v>
      </c>
      <c r="I831">
        <v>7.75</v>
      </c>
      <c r="J831">
        <v>6</v>
      </c>
      <c r="K831">
        <v>0</v>
      </c>
      <c r="L831">
        <v>2</v>
      </c>
      <c r="M831">
        <v>0</v>
      </c>
      <c r="N831">
        <v>0</v>
      </c>
    </row>
    <row r="832" spans="1:14" x14ac:dyDescent="0.45">
      <c r="A832" t="s">
        <v>119</v>
      </c>
      <c r="B832" t="s">
        <v>674</v>
      </c>
      <c r="C832" t="s">
        <v>101</v>
      </c>
      <c r="D832" t="s">
        <v>493</v>
      </c>
      <c r="E832">
        <v>3</v>
      </c>
      <c r="F832">
        <v>0</v>
      </c>
      <c r="G832">
        <v>15</v>
      </c>
      <c r="H832">
        <v>1</v>
      </c>
      <c r="I832">
        <v>5</v>
      </c>
      <c r="J832">
        <v>10</v>
      </c>
      <c r="K832">
        <v>2</v>
      </c>
      <c r="L832">
        <v>0</v>
      </c>
      <c r="M832">
        <v>0</v>
      </c>
      <c r="N832">
        <v>0</v>
      </c>
    </row>
    <row r="833" spans="1:14" x14ac:dyDescent="0.45">
      <c r="A833" t="s">
        <v>119</v>
      </c>
      <c r="B833" t="s">
        <v>674</v>
      </c>
      <c r="C833" t="s">
        <v>101</v>
      </c>
      <c r="D833" t="s">
        <v>490</v>
      </c>
      <c r="E833">
        <v>4</v>
      </c>
      <c r="F833">
        <v>0</v>
      </c>
      <c r="G833">
        <v>31</v>
      </c>
      <c r="H833">
        <v>1</v>
      </c>
      <c r="I833">
        <v>7.75</v>
      </c>
      <c r="J833">
        <v>8</v>
      </c>
      <c r="K833">
        <v>3</v>
      </c>
      <c r="L833">
        <v>1</v>
      </c>
      <c r="M833">
        <v>1</v>
      </c>
      <c r="N833">
        <v>0</v>
      </c>
    </row>
    <row r="834" spans="1:14" x14ac:dyDescent="0.45">
      <c r="A834" t="s">
        <v>119</v>
      </c>
      <c r="B834" t="s">
        <v>674</v>
      </c>
      <c r="C834" t="s">
        <v>6</v>
      </c>
      <c r="D834" t="s">
        <v>509</v>
      </c>
      <c r="E834">
        <v>3</v>
      </c>
      <c r="F834">
        <v>0</v>
      </c>
      <c r="G834">
        <v>28</v>
      </c>
      <c r="H834">
        <v>0</v>
      </c>
      <c r="I834">
        <v>9.33</v>
      </c>
      <c r="J834">
        <v>5</v>
      </c>
      <c r="K834">
        <v>5</v>
      </c>
      <c r="L834">
        <v>0</v>
      </c>
      <c r="M834">
        <v>0</v>
      </c>
      <c r="N834">
        <v>0</v>
      </c>
    </row>
    <row r="835" spans="1:14" x14ac:dyDescent="0.45">
      <c r="A835" t="s">
        <v>119</v>
      </c>
      <c r="B835" t="s">
        <v>674</v>
      </c>
      <c r="C835" t="s">
        <v>6</v>
      </c>
      <c r="D835" t="s">
        <v>508</v>
      </c>
      <c r="E835">
        <v>3</v>
      </c>
      <c r="F835">
        <v>0</v>
      </c>
      <c r="G835">
        <v>26</v>
      </c>
      <c r="H835">
        <v>0</v>
      </c>
      <c r="I835">
        <v>8.66</v>
      </c>
      <c r="J835">
        <v>8</v>
      </c>
      <c r="K835">
        <v>3</v>
      </c>
      <c r="L835">
        <v>1</v>
      </c>
      <c r="M835">
        <v>1</v>
      </c>
      <c r="N835">
        <v>0</v>
      </c>
    </row>
    <row r="836" spans="1:14" x14ac:dyDescent="0.45">
      <c r="A836" t="s">
        <v>119</v>
      </c>
      <c r="B836" t="s">
        <v>674</v>
      </c>
      <c r="C836" t="s">
        <v>6</v>
      </c>
      <c r="D836" t="s">
        <v>507</v>
      </c>
      <c r="E836">
        <v>4</v>
      </c>
      <c r="F836">
        <v>0</v>
      </c>
      <c r="G836">
        <v>24</v>
      </c>
      <c r="H836">
        <v>0</v>
      </c>
      <c r="I836">
        <v>6</v>
      </c>
      <c r="J836">
        <v>11</v>
      </c>
      <c r="K836">
        <v>3</v>
      </c>
      <c r="L836">
        <v>0</v>
      </c>
      <c r="M836">
        <v>0</v>
      </c>
      <c r="N836">
        <v>0</v>
      </c>
    </row>
    <row r="837" spans="1:14" x14ac:dyDescent="0.45">
      <c r="A837" t="s">
        <v>119</v>
      </c>
      <c r="B837" t="s">
        <v>674</v>
      </c>
      <c r="C837" t="s">
        <v>6</v>
      </c>
      <c r="D837" t="s">
        <v>511</v>
      </c>
      <c r="E837">
        <v>4</v>
      </c>
      <c r="F837">
        <v>0</v>
      </c>
      <c r="G837">
        <v>18</v>
      </c>
      <c r="H837">
        <v>0</v>
      </c>
      <c r="I837">
        <v>4.5</v>
      </c>
      <c r="J837">
        <v>6</v>
      </c>
      <c r="K837">
        <v>0</v>
      </c>
      <c r="L837">
        <v>0</v>
      </c>
      <c r="M837">
        <v>0</v>
      </c>
      <c r="N837">
        <v>0</v>
      </c>
    </row>
    <row r="838" spans="1:14" x14ac:dyDescent="0.45">
      <c r="A838" t="s">
        <v>119</v>
      </c>
      <c r="B838" t="s">
        <v>674</v>
      </c>
      <c r="C838" t="s">
        <v>6</v>
      </c>
      <c r="D838" t="s">
        <v>510</v>
      </c>
      <c r="E838">
        <v>3.1</v>
      </c>
      <c r="F838">
        <v>0</v>
      </c>
      <c r="G838">
        <v>24</v>
      </c>
      <c r="H838">
        <v>2</v>
      </c>
      <c r="I838">
        <v>7.57</v>
      </c>
      <c r="J838">
        <v>8</v>
      </c>
      <c r="K838">
        <v>3</v>
      </c>
      <c r="L838">
        <v>0</v>
      </c>
      <c r="M838">
        <v>3</v>
      </c>
      <c r="N838">
        <v>0</v>
      </c>
    </row>
    <row r="839" spans="1:14" x14ac:dyDescent="0.45">
      <c r="A839" t="s">
        <v>119</v>
      </c>
      <c r="B839" t="s">
        <v>674</v>
      </c>
      <c r="C839" t="s">
        <v>6</v>
      </c>
      <c r="D839" t="s">
        <v>299</v>
      </c>
      <c r="E839">
        <v>2</v>
      </c>
      <c r="F839">
        <v>0</v>
      </c>
      <c r="G839">
        <v>11</v>
      </c>
      <c r="H839">
        <v>1</v>
      </c>
      <c r="I839">
        <v>5.5</v>
      </c>
      <c r="J839">
        <v>4</v>
      </c>
      <c r="K839">
        <v>1</v>
      </c>
      <c r="L839">
        <v>0</v>
      </c>
      <c r="M839">
        <v>0</v>
      </c>
      <c r="N839">
        <v>0</v>
      </c>
    </row>
    <row r="840" spans="1:14" x14ac:dyDescent="0.45">
      <c r="A840" t="s">
        <v>120</v>
      </c>
      <c r="B840" t="s">
        <v>662</v>
      </c>
      <c r="C840" t="s">
        <v>20</v>
      </c>
      <c r="D840" t="s">
        <v>409</v>
      </c>
      <c r="E840">
        <v>4</v>
      </c>
      <c r="F840">
        <v>0</v>
      </c>
      <c r="G840">
        <v>27</v>
      </c>
      <c r="H840">
        <v>1</v>
      </c>
      <c r="I840">
        <v>6.75</v>
      </c>
      <c r="J840">
        <v>13</v>
      </c>
      <c r="K840">
        <v>3</v>
      </c>
      <c r="L840">
        <v>0</v>
      </c>
      <c r="M840">
        <v>5</v>
      </c>
      <c r="N840">
        <v>0</v>
      </c>
    </row>
    <row r="841" spans="1:14" x14ac:dyDescent="0.45">
      <c r="A841" t="s">
        <v>120</v>
      </c>
      <c r="B841" t="s">
        <v>662</v>
      </c>
      <c r="C841" t="s">
        <v>20</v>
      </c>
      <c r="D841" t="s">
        <v>484</v>
      </c>
      <c r="E841">
        <v>4</v>
      </c>
      <c r="F841">
        <v>0</v>
      </c>
      <c r="G841">
        <v>30</v>
      </c>
      <c r="H841">
        <v>1</v>
      </c>
      <c r="I841">
        <v>7.5</v>
      </c>
      <c r="J841">
        <v>11</v>
      </c>
      <c r="K841">
        <v>0</v>
      </c>
      <c r="L841">
        <v>3</v>
      </c>
      <c r="M841">
        <v>0</v>
      </c>
      <c r="N841">
        <v>0</v>
      </c>
    </row>
    <row r="842" spans="1:14" x14ac:dyDescent="0.45">
      <c r="A842" t="s">
        <v>120</v>
      </c>
      <c r="B842" t="s">
        <v>662</v>
      </c>
      <c r="C842" t="s">
        <v>20</v>
      </c>
      <c r="D842" t="s">
        <v>483</v>
      </c>
      <c r="E842">
        <v>4</v>
      </c>
      <c r="F842">
        <v>0</v>
      </c>
      <c r="G842">
        <v>43</v>
      </c>
      <c r="H842">
        <v>1</v>
      </c>
      <c r="I842">
        <v>10.75</v>
      </c>
      <c r="J842">
        <v>7</v>
      </c>
      <c r="K842">
        <v>1</v>
      </c>
      <c r="L842">
        <v>4</v>
      </c>
      <c r="M842">
        <v>1</v>
      </c>
      <c r="N842">
        <v>0</v>
      </c>
    </row>
    <row r="843" spans="1:14" x14ac:dyDescent="0.45">
      <c r="A843" t="s">
        <v>120</v>
      </c>
      <c r="B843" t="s">
        <v>662</v>
      </c>
      <c r="C843" t="s">
        <v>20</v>
      </c>
      <c r="D843" t="s">
        <v>467</v>
      </c>
      <c r="E843">
        <v>4</v>
      </c>
      <c r="F843">
        <v>0</v>
      </c>
      <c r="G843">
        <v>40</v>
      </c>
      <c r="H843">
        <v>0</v>
      </c>
      <c r="I843">
        <v>10</v>
      </c>
      <c r="J843">
        <v>8</v>
      </c>
      <c r="K843">
        <v>1</v>
      </c>
      <c r="L843">
        <v>4</v>
      </c>
      <c r="M843">
        <v>0</v>
      </c>
      <c r="N843">
        <v>0</v>
      </c>
    </row>
    <row r="844" spans="1:14" x14ac:dyDescent="0.45">
      <c r="A844" t="s">
        <v>120</v>
      </c>
      <c r="B844" t="s">
        <v>662</v>
      </c>
      <c r="C844" t="s">
        <v>20</v>
      </c>
      <c r="D844" t="s">
        <v>382</v>
      </c>
      <c r="E844">
        <v>4</v>
      </c>
      <c r="F844">
        <v>0</v>
      </c>
      <c r="G844">
        <v>33</v>
      </c>
      <c r="H844">
        <v>3</v>
      </c>
      <c r="I844">
        <v>8.25</v>
      </c>
      <c r="J844">
        <v>10</v>
      </c>
      <c r="K844">
        <v>5</v>
      </c>
      <c r="L844">
        <v>0</v>
      </c>
      <c r="M844">
        <v>2</v>
      </c>
      <c r="N844">
        <v>0</v>
      </c>
    </row>
    <row r="845" spans="1:14" x14ac:dyDescent="0.45">
      <c r="A845" t="s">
        <v>120</v>
      </c>
      <c r="B845" t="s">
        <v>662</v>
      </c>
      <c r="C845" t="s">
        <v>7</v>
      </c>
      <c r="D845" t="s">
        <v>515</v>
      </c>
      <c r="E845">
        <v>4</v>
      </c>
      <c r="F845">
        <v>0</v>
      </c>
      <c r="G845">
        <v>19</v>
      </c>
      <c r="H845">
        <v>1</v>
      </c>
      <c r="I845">
        <v>4.75</v>
      </c>
      <c r="J845">
        <v>13</v>
      </c>
      <c r="K845">
        <v>1</v>
      </c>
      <c r="L845">
        <v>1</v>
      </c>
      <c r="M845">
        <v>0</v>
      </c>
      <c r="N845">
        <v>0</v>
      </c>
    </row>
    <row r="846" spans="1:14" x14ac:dyDescent="0.45">
      <c r="A846" t="s">
        <v>120</v>
      </c>
      <c r="B846" t="s">
        <v>662</v>
      </c>
      <c r="C846" t="s">
        <v>7</v>
      </c>
      <c r="D846" t="s">
        <v>415</v>
      </c>
      <c r="E846">
        <v>4</v>
      </c>
      <c r="F846">
        <v>0</v>
      </c>
      <c r="G846">
        <v>23</v>
      </c>
      <c r="H846">
        <v>2</v>
      </c>
      <c r="I846">
        <v>5.75</v>
      </c>
      <c r="J846">
        <v>9</v>
      </c>
      <c r="K846">
        <v>2</v>
      </c>
      <c r="L846">
        <v>0</v>
      </c>
      <c r="M846">
        <v>0</v>
      </c>
      <c r="N846">
        <v>0</v>
      </c>
    </row>
    <row r="847" spans="1:14" x14ac:dyDescent="0.45">
      <c r="A847" t="s">
        <v>120</v>
      </c>
      <c r="B847" t="s">
        <v>662</v>
      </c>
      <c r="C847" t="s">
        <v>7</v>
      </c>
      <c r="D847" t="s">
        <v>308</v>
      </c>
      <c r="E847">
        <v>4</v>
      </c>
      <c r="F847">
        <v>0</v>
      </c>
      <c r="G847">
        <v>34</v>
      </c>
      <c r="H847">
        <v>1</v>
      </c>
      <c r="I847">
        <v>8.5</v>
      </c>
      <c r="J847">
        <v>6</v>
      </c>
      <c r="K847">
        <v>1</v>
      </c>
      <c r="L847">
        <v>2</v>
      </c>
      <c r="M847">
        <v>0</v>
      </c>
      <c r="N847">
        <v>0</v>
      </c>
    </row>
    <row r="848" spans="1:14" x14ac:dyDescent="0.45">
      <c r="A848" t="s">
        <v>120</v>
      </c>
      <c r="B848" t="s">
        <v>662</v>
      </c>
      <c r="C848" t="s">
        <v>7</v>
      </c>
      <c r="D848" t="s">
        <v>440</v>
      </c>
      <c r="E848">
        <v>4</v>
      </c>
      <c r="F848">
        <v>0</v>
      </c>
      <c r="G848">
        <v>22</v>
      </c>
      <c r="H848">
        <v>3</v>
      </c>
      <c r="I848">
        <v>5.5</v>
      </c>
      <c r="J848">
        <v>14</v>
      </c>
      <c r="K848">
        <v>3</v>
      </c>
      <c r="L848">
        <v>0</v>
      </c>
      <c r="M848">
        <v>2</v>
      </c>
      <c r="N848">
        <v>0</v>
      </c>
    </row>
    <row r="849" spans="1:14" x14ac:dyDescent="0.45">
      <c r="A849" t="s">
        <v>120</v>
      </c>
      <c r="B849" t="s">
        <v>662</v>
      </c>
      <c r="C849" t="s">
        <v>7</v>
      </c>
      <c r="D849" t="s">
        <v>322</v>
      </c>
      <c r="E849">
        <v>4</v>
      </c>
      <c r="F849">
        <v>0</v>
      </c>
      <c r="G849">
        <v>25</v>
      </c>
      <c r="H849">
        <v>1</v>
      </c>
      <c r="I849">
        <v>6.25</v>
      </c>
      <c r="J849">
        <v>13</v>
      </c>
      <c r="K849">
        <v>1</v>
      </c>
      <c r="L849">
        <v>2</v>
      </c>
      <c r="M849">
        <v>1</v>
      </c>
      <c r="N849">
        <v>0</v>
      </c>
    </row>
    <row r="850" spans="1:14" x14ac:dyDescent="0.45">
      <c r="A850" t="s">
        <v>121</v>
      </c>
      <c r="B850" t="s">
        <v>653</v>
      </c>
      <c r="C850" t="s">
        <v>13</v>
      </c>
      <c r="D850" t="s">
        <v>345</v>
      </c>
      <c r="E850">
        <v>2</v>
      </c>
      <c r="F850">
        <v>0</v>
      </c>
      <c r="G850">
        <v>17</v>
      </c>
      <c r="H850">
        <v>1</v>
      </c>
      <c r="I850">
        <v>8.5</v>
      </c>
      <c r="J850">
        <v>6</v>
      </c>
      <c r="K850">
        <v>0</v>
      </c>
      <c r="L850">
        <v>2</v>
      </c>
      <c r="M850">
        <v>0</v>
      </c>
      <c r="N850">
        <v>0</v>
      </c>
    </row>
    <row r="851" spans="1:14" x14ac:dyDescent="0.45">
      <c r="A851" t="s">
        <v>121</v>
      </c>
      <c r="B851" t="s">
        <v>653</v>
      </c>
      <c r="C851" t="s">
        <v>13</v>
      </c>
      <c r="D851" t="s">
        <v>325</v>
      </c>
      <c r="E851">
        <v>4</v>
      </c>
      <c r="F851">
        <v>0</v>
      </c>
      <c r="G851">
        <v>64</v>
      </c>
      <c r="H851">
        <v>0</v>
      </c>
      <c r="I851">
        <v>16</v>
      </c>
      <c r="J851">
        <v>5</v>
      </c>
      <c r="K851">
        <v>7</v>
      </c>
      <c r="L851">
        <v>4</v>
      </c>
      <c r="M851">
        <v>2</v>
      </c>
      <c r="N851">
        <v>0</v>
      </c>
    </row>
    <row r="852" spans="1:14" x14ac:dyDescent="0.45">
      <c r="A852" t="s">
        <v>121</v>
      </c>
      <c r="B852" t="s">
        <v>653</v>
      </c>
      <c r="C852" t="s">
        <v>13</v>
      </c>
      <c r="D852" t="s">
        <v>352</v>
      </c>
      <c r="E852">
        <v>2</v>
      </c>
      <c r="F852">
        <v>0</v>
      </c>
      <c r="G852">
        <v>36</v>
      </c>
      <c r="H852">
        <v>0</v>
      </c>
      <c r="I852">
        <v>18</v>
      </c>
      <c r="J852">
        <v>3</v>
      </c>
      <c r="K852">
        <v>2</v>
      </c>
      <c r="L852">
        <v>4</v>
      </c>
      <c r="M852">
        <v>0</v>
      </c>
      <c r="N852">
        <v>1</v>
      </c>
    </row>
    <row r="853" spans="1:14" x14ac:dyDescent="0.45">
      <c r="A853" t="s">
        <v>121</v>
      </c>
      <c r="B853" t="s">
        <v>653</v>
      </c>
      <c r="C853" t="s">
        <v>13</v>
      </c>
      <c r="D853" t="s">
        <v>448</v>
      </c>
      <c r="E853">
        <v>4</v>
      </c>
      <c r="F853">
        <v>0</v>
      </c>
      <c r="G853">
        <v>15</v>
      </c>
      <c r="H853">
        <v>2</v>
      </c>
      <c r="I853">
        <v>3.75</v>
      </c>
      <c r="J853">
        <v>12</v>
      </c>
      <c r="K853">
        <v>1</v>
      </c>
      <c r="L853">
        <v>0</v>
      </c>
      <c r="M853">
        <v>0</v>
      </c>
      <c r="N853">
        <v>0</v>
      </c>
    </row>
    <row r="854" spans="1:14" x14ac:dyDescent="0.45">
      <c r="A854" t="s">
        <v>121</v>
      </c>
      <c r="B854" t="s">
        <v>653</v>
      </c>
      <c r="C854" t="s">
        <v>13</v>
      </c>
      <c r="D854" t="s">
        <v>347</v>
      </c>
      <c r="E854">
        <v>4</v>
      </c>
      <c r="F854">
        <v>0</v>
      </c>
      <c r="G854">
        <v>40</v>
      </c>
      <c r="H854">
        <v>1</v>
      </c>
      <c r="I854">
        <v>10</v>
      </c>
      <c r="J854">
        <v>5</v>
      </c>
      <c r="K854">
        <v>3</v>
      </c>
      <c r="L854">
        <v>2</v>
      </c>
      <c r="M854">
        <v>0</v>
      </c>
      <c r="N854">
        <v>0</v>
      </c>
    </row>
    <row r="855" spans="1:14" x14ac:dyDescent="0.45">
      <c r="A855" t="s">
        <v>121</v>
      </c>
      <c r="B855" t="s">
        <v>653</v>
      </c>
      <c r="C855" t="s">
        <v>13</v>
      </c>
      <c r="D855" t="s">
        <v>349</v>
      </c>
      <c r="E855">
        <v>4</v>
      </c>
      <c r="F855">
        <v>0</v>
      </c>
      <c r="G855">
        <v>34</v>
      </c>
      <c r="H855">
        <v>4</v>
      </c>
      <c r="I855">
        <v>8.5</v>
      </c>
      <c r="J855">
        <v>10</v>
      </c>
      <c r="K855">
        <v>3</v>
      </c>
      <c r="L855">
        <v>2</v>
      </c>
      <c r="M855">
        <v>1</v>
      </c>
      <c r="N855">
        <v>0</v>
      </c>
    </row>
    <row r="856" spans="1:14" x14ac:dyDescent="0.45">
      <c r="A856" t="s">
        <v>121</v>
      </c>
      <c r="B856" t="s">
        <v>653</v>
      </c>
      <c r="C856" t="s">
        <v>26</v>
      </c>
      <c r="D856" t="s">
        <v>404</v>
      </c>
      <c r="E856">
        <v>4</v>
      </c>
      <c r="F856">
        <v>0</v>
      </c>
      <c r="G856">
        <v>33</v>
      </c>
      <c r="H856">
        <v>1</v>
      </c>
      <c r="I856">
        <v>8.25</v>
      </c>
      <c r="J856">
        <v>12</v>
      </c>
      <c r="K856">
        <v>3</v>
      </c>
      <c r="L856">
        <v>2</v>
      </c>
      <c r="M856">
        <v>2</v>
      </c>
      <c r="N856">
        <v>0</v>
      </c>
    </row>
    <row r="857" spans="1:14" x14ac:dyDescent="0.45">
      <c r="A857" t="s">
        <v>121</v>
      </c>
      <c r="B857" t="s">
        <v>653</v>
      </c>
      <c r="C857" t="s">
        <v>26</v>
      </c>
      <c r="D857" t="s">
        <v>405</v>
      </c>
      <c r="E857">
        <v>4</v>
      </c>
      <c r="F857">
        <v>0</v>
      </c>
      <c r="G857">
        <v>27</v>
      </c>
      <c r="H857">
        <v>1</v>
      </c>
      <c r="I857">
        <v>6.75</v>
      </c>
      <c r="J857">
        <v>9</v>
      </c>
      <c r="K857">
        <v>3</v>
      </c>
      <c r="L857">
        <v>0</v>
      </c>
      <c r="M857">
        <v>1</v>
      </c>
      <c r="N857">
        <v>0</v>
      </c>
    </row>
    <row r="858" spans="1:14" x14ac:dyDescent="0.45">
      <c r="A858" t="s">
        <v>121</v>
      </c>
      <c r="B858" t="s">
        <v>653</v>
      </c>
      <c r="C858" t="s">
        <v>26</v>
      </c>
      <c r="D858" t="s">
        <v>341</v>
      </c>
      <c r="E858">
        <v>4</v>
      </c>
      <c r="F858">
        <v>0</v>
      </c>
      <c r="G858">
        <v>21</v>
      </c>
      <c r="H858">
        <v>3</v>
      </c>
      <c r="I858">
        <v>5.25</v>
      </c>
      <c r="J858">
        <v>15</v>
      </c>
      <c r="K858">
        <v>2</v>
      </c>
      <c r="L858">
        <v>0</v>
      </c>
      <c r="M858">
        <v>2</v>
      </c>
      <c r="N858">
        <v>0</v>
      </c>
    </row>
    <row r="859" spans="1:14" x14ac:dyDescent="0.45">
      <c r="A859" t="s">
        <v>121</v>
      </c>
      <c r="B859" t="s">
        <v>653</v>
      </c>
      <c r="C859" t="s">
        <v>26</v>
      </c>
      <c r="D859" t="s">
        <v>520</v>
      </c>
      <c r="E859">
        <v>4</v>
      </c>
      <c r="F859">
        <v>0</v>
      </c>
      <c r="G859">
        <v>36</v>
      </c>
      <c r="H859">
        <v>2</v>
      </c>
      <c r="I859">
        <v>9</v>
      </c>
      <c r="J859">
        <v>4</v>
      </c>
      <c r="K859">
        <v>2</v>
      </c>
      <c r="L859">
        <v>1</v>
      </c>
      <c r="M859">
        <v>0</v>
      </c>
      <c r="N859">
        <v>0</v>
      </c>
    </row>
    <row r="860" spans="1:14" x14ac:dyDescent="0.45">
      <c r="A860" t="s">
        <v>121</v>
      </c>
      <c r="B860" t="s">
        <v>653</v>
      </c>
      <c r="C860" t="s">
        <v>26</v>
      </c>
      <c r="D860" t="s">
        <v>435</v>
      </c>
      <c r="E860">
        <v>4</v>
      </c>
      <c r="F860">
        <v>0</v>
      </c>
      <c r="G860">
        <v>37</v>
      </c>
      <c r="H860">
        <v>2</v>
      </c>
      <c r="I860">
        <v>9.25</v>
      </c>
      <c r="J860">
        <v>10</v>
      </c>
      <c r="K860">
        <v>3</v>
      </c>
      <c r="L860">
        <v>2</v>
      </c>
      <c r="M860">
        <v>3</v>
      </c>
      <c r="N860">
        <v>0</v>
      </c>
    </row>
    <row r="861" spans="1:14" x14ac:dyDescent="0.45">
      <c r="A861" t="s">
        <v>122</v>
      </c>
      <c r="B861" t="s">
        <v>651</v>
      </c>
      <c r="C861" t="s">
        <v>19</v>
      </c>
      <c r="D861" t="s">
        <v>464</v>
      </c>
      <c r="E861">
        <v>4</v>
      </c>
      <c r="F861">
        <v>0</v>
      </c>
      <c r="G861">
        <v>16</v>
      </c>
      <c r="H861">
        <v>3</v>
      </c>
      <c r="I861">
        <v>4</v>
      </c>
      <c r="J861">
        <v>18</v>
      </c>
      <c r="K861">
        <v>1</v>
      </c>
      <c r="L861">
        <v>0</v>
      </c>
      <c r="M861">
        <v>6</v>
      </c>
      <c r="N861">
        <v>0</v>
      </c>
    </row>
    <row r="862" spans="1:14" x14ac:dyDescent="0.45">
      <c r="A862" t="s">
        <v>122</v>
      </c>
      <c r="B862" t="s">
        <v>651</v>
      </c>
      <c r="C862" t="s">
        <v>19</v>
      </c>
      <c r="D862" t="s">
        <v>369</v>
      </c>
      <c r="E862">
        <v>3</v>
      </c>
      <c r="F862">
        <v>1</v>
      </c>
      <c r="G862">
        <v>12</v>
      </c>
      <c r="H862">
        <v>1</v>
      </c>
      <c r="I862">
        <v>4</v>
      </c>
      <c r="J862">
        <v>13</v>
      </c>
      <c r="K862">
        <v>2</v>
      </c>
      <c r="L862">
        <v>0</v>
      </c>
      <c r="M862">
        <v>0</v>
      </c>
      <c r="N862">
        <v>0</v>
      </c>
    </row>
    <row r="863" spans="1:14" x14ac:dyDescent="0.45">
      <c r="A863" t="s">
        <v>122</v>
      </c>
      <c r="B863" t="s">
        <v>651</v>
      </c>
      <c r="C863" t="s">
        <v>19</v>
      </c>
      <c r="D863" t="s">
        <v>457</v>
      </c>
      <c r="E863">
        <v>3</v>
      </c>
      <c r="F863">
        <v>0</v>
      </c>
      <c r="G863">
        <v>27</v>
      </c>
      <c r="H863">
        <v>2</v>
      </c>
      <c r="I863">
        <v>9</v>
      </c>
      <c r="J863">
        <v>11</v>
      </c>
      <c r="K863">
        <v>3</v>
      </c>
      <c r="L863">
        <v>1</v>
      </c>
      <c r="M863">
        <v>1</v>
      </c>
      <c r="N863">
        <v>0</v>
      </c>
    </row>
    <row r="864" spans="1:14" x14ac:dyDescent="0.45">
      <c r="A864" t="s">
        <v>122</v>
      </c>
      <c r="B864" t="s">
        <v>651</v>
      </c>
      <c r="C864" t="s">
        <v>19</v>
      </c>
      <c r="D864" t="s">
        <v>504</v>
      </c>
      <c r="E864">
        <v>2</v>
      </c>
      <c r="F864">
        <v>0</v>
      </c>
      <c r="G864">
        <v>12</v>
      </c>
      <c r="H864">
        <v>0</v>
      </c>
      <c r="I864">
        <v>6</v>
      </c>
      <c r="J864">
        <v>7</v>
      </c>
      <c r="K864">
        <v>0</v>
      </c>
      <c r="L864">
        <v>1</v>
      </c>
      <c r="M864">
        <v>1</v>
      </c>
      <c r="N864">
        <v>0</v>
      </c>
    </row>
    <row r="865" spans="1:14" x14ac:dyDescent="0.45">
      <c r="A865" t="s">
        <v>122</v>
      </c>
      <c r="B865" t="s">
        <v>651</v>
      </c>
      <c r="C865" t="s">
        <v>19</v>
      </c>
      <c r="D865" t="s">
        <v>524</v>
      </c>
      <c r="E865">
        <v>3</v>
      </c>
      <c r="F865">
        <v>0</v>
      </c>
      <c r="G865">
        <v>22</v>
      </c>
      <c r="H865">
        <v>2</v>
      </c>
      <c r="I865">
        <v>7.33</v>
      </c>
      <c r="J865">
        <v>9</v>
      </c>
      <c r="K865">
        <v>2</v>
      </c>
      <c r="L865">
        <v>1</v>
      </c>
      <c r="M865">
        <v>0</v>
      </c>
      <c r="N865">
        <v>0</v>
      </c>
    </row>
    <row r="866" spans="1:14" x14ac:dyDescent="0.45">
      <c r="A866" t="s">
        <v>122</v>
      </c>
      <c r="B866" t="s">
        <v>651</v>
      </c>
      <c r="C866" t="s">
        <v>19</v>
      </c>
      <c r="D866" t="s">
        <v>503</v>
      </c>
      <c r="E866">
        <v>1</v>
      </c>
      <c r="F866">
        <v>0</v>
      </c>
      <c r="G866">
        <v>5</v>
      </c>
      <c r="H866">
        <v>1</v>
      </c>
      <c r="I866">
        <v>5</v>
      </c>
      <c r="J866">
        <v>4</v>
      </c>
      <c r="K866">
        <v>1</v>
      </c>
      <c r="L866">
        <v>0</v>
      </c>
      <c r="M866">
        <v>0</v>
      </c>
      <c r="N866">
        <v>0</v>
      </c>
    </row>
    <row r="867" spans="1:14" x14ac:dyDescent="0.45">
      <c r="A867" t="s">
        <v>122</v>
      </c>
      <c r="B867" t="s">
        <v>651</v>
      </c>
      <c r="C867" t="s">
        <v>6</v>
      </c>
      <c r="D867" t="s">
        <v>509</v>
      </c>
      <c r="E867">
        <v>4</v>
      </c>
      <c r="F867">
        <v>0</v>
      </c>
      <c r="G867">
        <v>23</v>
      </c>
      <c r="H867">
        <v>3</v>
      </c>
      <c r="I867">
        <v>5.75</v>
      </c>
      <c r="J867">
        <v>17</v>
      </c>
      <c r="K867">
        <v>4</v>
      </c>
      <c r="L867">
        <v>0</v>
      </c>
      <c r="M867">
        <v>3</v>
      </c>
      <c r="N867">
        <v>0</v>
      </c>
    </row>
    <row r="868" spans="1:14" x14ac:dyDescent="0.45">
      <c r="A868" t="s">
        <v>122</v>
      </c>
      <c r="B868" t="s">
        <v>651</v>
      </c>
      <c r="C868" t="s">
        <v>6</v>
      </c>
      <c r="D868" t="s">
        <v>508</v>
      </c>
      <c r="E868">
        <v>4</v>
      </c>
      <c r="F868">
        <v>0</v>
      </c>
      <c r="G868">
        <v>22</v>
      </c>
      <c r="H868">
        <v>1</v>
      </c>
      <c r="I868">
        <v>5.5</v>
      </c>
      <c r="J868">
        <v>16</v>
      </c>
      <c r="K868">
        <v>3</v>
      </c>
      <c r="L868">
        <v>0</v>
      </c>
      <c r="M868">
        <v>1</v>
      </c>
      <c r="N868">
        <v>0</v>
      </c>
    </row>
    <row r="869" spans="1:14" x14ac:dyDescent="0.45">
      <c r="A869" t="s">
        <v>122</v>
      </c>
      <c r="B869" t="s">
        <v>651</v>
      </c>
      <c r="C869" t="s">
        <v>6</v>
      </c>
      <c r="D869" t="s">
        <v>327</v>
      </c>
      <c r="E869">
        <v>2</v>
      </c>
      <c r="F869">
        <v>0</v>
      </c>
      <c r="G869">
        <v>16</v>
      </c>
      <c r="H869">
        <v>0</v>
      </c>
      <c r="I869">
        <v>8</v>
      </c>
      <c r="J869">
        <v>3</v>
      </c>
      <c r="K869">
        <v>1</v>
      </c>
      <c r="L869">
        <v>0</v>
      </c>
      <c r="M869">
        <v>1</v>
      </c>
      <c r="N869">
        <v>0</v>
      </c>
    </row>
    <row r="870" spans="1:14" x14ac:dyDescent="0.45">
      <c r="A870" t="s">
        <v>122</v>
      </c>
      <c r="B870" t="s">
        <v>651</v>
      </c>
      <c r="C870" t="s">
        <v>6</v>
      </c>
      <c r="D870" t="s">
        <v>523</v>
      </c>
      <c r="E870">
        <v>3</v>
      </c>
      <c r="F870">
        <v>0</v>
      </c>
      <c r="G870">
        <v>24</v>
      </c>
      <c r="H870">
        <v>0</v>
      </c>
      <c r="I870">
        <v>8</v>
      </c>
      <c r="J870">
        <v>5</v>
      </c>
      <c r="K870">
        <v>3</v>
      </c>
      <c r="L870">
        <v>0</v>
      </c>
      <c r="M870">
        <v>0</v>
      </c>
      <c r="N870">
        <v>0</v>
      </c>
    </row>
    <row r="871" spans="1:14" x14ac:dyDescent="0.45">
      <c r="A871" t="s">
        <v>122</v>
      </c>
      <c r="B871" t="s">
        <v>651</v>
      </c>
      <c r="C871" t="s">
        <v>6</v>
      </c>
      <c r="D871" t="s">
        <v>299</v>
      </c>
      <c r="E871">
        <v>1.5</v>
      </c>
      <c r="F871">
        <v>0</v>
      </c>
      <c r="G871">
        <v>17</v>
      </c>
      <c r="H871">
        <v>1</v>
      </c>
      <c r="I871">
        <v>9.27</v>
      </c>
      <c r="J871">
        <v>4</v>
      </c>
      <c r="K871">
        <v>0</v>
      </c>
      <c r="L871">
        <v>2</v>
      </c>
      <c r="M871">
        <v>0</v>
      </c>
      <c r="N871">
        <v>0</v>
      </c>
    </row>
    <row r="872" spans="1:14" x14ac:dyDescent="0.45">
      <c r="A872" t="s">
        <v>123</v>
      </c>
      <c r="B872" t="s">
        <v>675</v>
      </c>
      <c r="C872" t="s">
        <v>10</v>
      </c>
      <c r="D872" t="s">
        <v>394</v>
      </c>
      <c r="E872">
        <v>4</v>
      </c>
      <c r="F872">
        <v>0</v>
      </c>
      <c r="G872">
        <v>23</v>
      </c>
      <c r="H872">
        <v>2</v>
      </c>
      <c r="I872">
        <v>5.75</v>
      </c>
      <c r="J872">
        <v>9</v>
      </c>
      <c r="K872">
        <v>1</v>
      </c>
      <c r="L872">
        <v>0</v>
      </c>
      <c r="M872">
        <v>3</v>
      </c>
      <c r="N872">
        <v>0</v>
      </c>
    </row>
    <row r="873" spans="1:14" x14ac:dyDescent="0.45">
      <c r="A873" t="s">
        <v>123</v>
      </c>
      <c r="B873" t="s">
        <v>675</v>
      </c>
      <c r="C873" t="s">
        <v>10</v>
      </c>
      <c r="D873" t="s">
        <v>338</v>
      </c>
      <c r="E873">
        <v>4</v>
      </c>
      <c r="F873">
        <v>0</v>
      </c>
      <c r="G873">
        <v>39</v>
      </c>
      <c r="H873">
        <v>2</v>
      </c>
      <c r="I873">
        <v>9.75</v>
      </c>
      <c r="J873">
        <v>8</v>
      </c>
      <c r="K873">
        <v>4</v>
      </c>
      <c r="L873">
        <v>2</v>
      </c>
      <c r="M873">
        <v>1</v>
      </c>
      <c r="N873">
        <v>0</v>
      </c>
    </row>
    <row r="874" spans="1:14" x14ac:dyDescent="0.45">
      <c r="A874" t="s">
        <v>123</v>
      </c>
      <c r="B874" t="s">
        <v>675</v>
      </c>
      <c r="C874" t="s">
        <v>10</v>
      </c>
      <c r="D874" t="s">
        <v>326</v>
      </c>
      <c r="E874">
        <v>4</v>
      </c>
      <c r="F874">
        <v>0</v>
      </c>
      <c r="G874">
        <v>27</v>
      </c>
      <c r="H874">
        <v>0</v>
      </c>
      <c r="I874">
        <v>6.75</v>
      </c>
      <c r="J874">
        <v>12</v>
      </c>
      <c r="K874">
        <v>4</v>
      </c>
      <c r="L874">
        <v>0</v>
      </c>
      <c r="M874">
        <v>1</v>
      </c>
      <c r="N874">
        <v>0</v>
      </c>
    </row>
    <row r="875" spans="1:14" x14ac:dyDescent="0.45">
      <c r="A875" t="s">
        <v>123</v>
      </c>
      <c r="B875" t="s">
        <v>675</v>
      </c>
      <c r="C875" t="s">
        <v>10</v>
      </c>
      <c r="D875" t="s">
        <v>337</v>
      </c>
      <c r="E875">
        <v>2</v>
      </c>
      <c r="F875">
        <v>0</v>
      </c>
      <c r="G875">
        <v>25</v>
      </c>
      <c r="H875">
        <v>0</v>
      </c>
      <c r="I875">
        <v>12.5</v>
      </c>
      <c r="J875">
        <v>5</v>
      </c>
      <c r="K875">
        <v>1</v>
      </c>
      <c r="L875">
        <v>3</v>
      </c>
      <c r="M875">
        <v>0</v>
      </c>
      <c r="N875">
        <v>0</v>
      </c>
    </row>
    <row r="876" spans="1:14" x14ac:dyDescent="0.45">
      <c r="A876" t="s">
        <v>123</v>
      </c>
      <c r="B876" t="s">
        <v>675</v>
      </c>
      <c r="C876" t="s">
        <v>10</v>
      </c>
      <c r="D876" t="s">
        <v>498</v>
      </c>
      <c r="E876">
        <v>3</v>
      </c>
      <c r="F876">
        <v>0</v>
      </c>
      <c r="G876">
        <v>25</v>
      </c>
      <c r="H876">
        <v>2</v>
      </c>
      <c r="I876">
        <v>8.33</v>
      </c>
      <c r="J876">
        <v>5</v>
      </c>
      <c r="K876">
        <v>4</v>
      </c>
      <c r="L876">
        <v>0</v>
      </c>
      <c r="M876">
        <v>0</v>
      </c>
      <c r="N876">
        <v>0</v>
      </c>
    </row>
    <row r="877" spans="1:14" x14ac:dyDescent="0.45">
      <c r="A877" t="s">
        <v>123</v>
      </c>
      <c r="B877" t="s">
        <v>675</v>
      </c>
      <c r="C877" t="s">
        <v>10</v>
      </c>
      <c r="D877" t="s">
        <v>500</v>
      </c>
      <c r="E877">
        <v>3</v>
      </c>
      <c r="F877">
        <v>0</v>
      </c>
      <c r="G877">
        <v>20</v>
      </c>
      <c r="H877">
        <v>0</v>
      </c>
      <c r="I877">
        <v>6.66</v>
      </c>
      <c r="J877">
        <v>3</v>
      </c>
      <c r="K877">
        <v>0</v>
      </c>
      <c r="L877">
        <v>1</v>
      </c>
      <c r="M877">
        <v>0</v>
      </c>
      <c r="N877">
        <v>0</v>
      </c>
    </row>
    <row r="878" spans="1:14" x14ac:dyDescent="0.45">
      <c r="A878" t="s">
        <v>123</v>
      </c>
      <c r="B878" t="s">
        <v>675</v>
      </c>
      <c r="C878" t="s">
        <v>23</v>
      </c>
      <c r="D878" t="s">
        <v>370</v>
      </c>
      <c r="E878">
        <v>4</v>
      </c>
      <c r="F878">
        <v>0</v>
      </c>
      <c r="G878">
        <v>32</v>
      </c>
      <c r="H878">
        <v>1</v>
      </c>
      <c r="I878">
        <v>8</v>
      </c>
      <c r="J878">
        <v>11</v>
      </c>
      <c r="K878">
        <v>4</v>
      </c>
      <c r="L878">
        <v>1</v>
      </c>
      <c r="M878">
        <v>2</v>
      </c>
      <c r="N878">
        <v>0</v>
      </c>
    </row>
    <row r="879" spans="1:14" x14ac:dyDescent="0.45">
      <c r="A879" t="s">
        <v>123</v>
      </c>
      <c r="B879" t="s">
        <v>675</v>
      </c>
      <c r="C879" t="s">
        <v>23</v>
      </c>
      <c r="D879" t="s">
        <v>441</v>
      </c>
      <c r="E879">
        <v>3</v>
      </c>
      <c r="F879">
        <v>1</v>
      </c>
      <c r="G879">
        <v>20</v>
      </c>
      <c r="H879">
        <v>0</v>
      </c>
      <c r="I879">
        <v>6.66</v>
      </c>
      <c r="J879">
        <v>11</v>
      </c>
      <c r="K879">
        <v>2</v>
      </c>
      <c r="L879">
        <v>1</v>
      </c>
      <c r="M879">
        <v>0</v>
      </c>
      <c r="N879">
        <v>0</v>
      </c>
    </row>
    <row r="880" spans="1:14" x14ac:dyDescent="0.45">
      <c r="A880" t="s">
        <v>123</v>
      </c>
      <c r="B880" t="s">
        <v>675</v>
      </c>
      <c r="C880" t="s">
        <v>23</v>
      </c>
      <c r="D880" t="s">
        <v>339</v>
      </c>
      <c r="E880">
        <v>4</v>
      </c>
      <c r="F880">
        <v>0</v>
      </c>
      <c r="G880">
        <v>32</v>
      </c>
      <c r="H880">
        <v>0</v>
      </c>
      <c r="I880">
        <v>8</v>
      </c>
      <c r="J880">
        <v>7</v>
      </c>
      <c r="K880">
        <v>1</v>
      </c>
      <c r="L880">
        <v>2</v>
      </c>
      <c r="M880">
        <v>2</v>
      </c>
      <c r="N880">
        <v>0</v>
      </c>
    </row>
    <row r="881" spans="1:14" x14ac:dyDescent="0.45">
      <c r="A881" t="s">
        <v>123</v>
      </c>
      <c r="B881" t="s">
        <v>675</v>
      </c>
      <c r="C881" t="s">
        <v>23</v>
      </c>
      <c r="D881" t="s">
        <v>527</v>
      </c>
      <c r="E881">
        <v>3.1</v>
      </c>
      <c r="F881">
        <v>0</v>
      </c>
      <c r="G881">
        <v>32</v>
      </c>
      <c r="H881">
        <v>0</v>
      </c>
      <c r="I881">
        <v>10.1</v>
      </c>
      <c r="J881">
        <v>6</v>
      </c>
      <c r="K881">
        <v>2</v>
      </c>
      <c r="L881">
        <v>2</v>
      </c>
      <c r="M881">
        <v>0</v>
      </c>
      <c r="N881">
        <v>0</v>
      </c>
    </row>
    <row r="882" spans="1:14" x14ac:dyDescent="0.45">
      <c r="A882" t="s">
        <v>123</v>
      </c>
      <c r="B882" t="s">
        <v>675</v>
      </c>
      <c r="C882" t="s">
        <v>23</v>
      </c>
      <c r="D882" t="s">
        <v>353</v>
      </c>
      <c r="E882">
        <v>4</v>
      </c>
      <c r="F882">
        <v>0</v>
      </c>
      <c r="G882">
        <v>43</v>
      </c>
      <c r="H882">
        <v>1</v>
      </c>
      <c r="I882">
        <v>10.75</v>
      </c>
      <c r="J882">
        <v>6</v>
      </c>
      <c r="K882">
        <v>1</v>
      </c>
      <c r="L882">
        <v>4</v>
      </c>
      <c r="M882">
        <v>1</v>
      </c>
      <c r="N882">
        <v>0</v>
      </c>
    </row>
    <row r="883" spans="1:14" x14ac:dyDescent="0.45">
      <c r="A883" t="s">
        <v>125</v>
      </c>
      <c r="B883" t="s">
        <v>676</v>
      </c>
      <c r="C883" t="s">
        <v>104</v>
      </c>
      <c r="D883" t="s">
        <v>492</v>
      </c>
      <c r="E883">
        <v>4</v>
      </c>
      <c r="F883">
        <v>0</v>
      </c>
      <c r="G883">
        <v>18</v>
      </c>
      <c r="H883">
        <v>1</v>
      </c>
      <c r="I883">
        <v>4.5</v>
      </c>
      <c r="J883">
        <v>10</v>
      </c>
      <c r="K883">
        <v>1</v>
      </c>
      <c r="L883">
        <v>0</v>
      </c>
      <c r="M883">
        <v>0</v>
      </c>
      <c r="N883">
        <v>0</v>
      </c>
    </row>
    <row r="884" spans="1:14" x14ac:dyDescent="0.45">
      <c r="A884" t="s">
        <v>125</v>
      </c>
      <c r="B884" t="s">
        <v>676</v>
      </c>
      <c r="C884" t="s">
        <v>104</v>
      </c>
      <c r="D884" t="s">
        <v>491</v>
      </c>
      <c r="E884">
        <v>4</v>
      </c>
      <c r="F884">
        <v>0</v>
      </c>
      <c r="G884">
        <v>34</v>
      </c>
      <c r="H884">
        <v>0</v>
      </c>
      <c r="I884">
        <v>8.5</v>
      </c>
      <c r="J884">
        <v>10</v>
      </c>
      <c r="K884">
        <v>6</v>
      </c>
      <c r="L884">
        <v>0</v>
      </c>
      <c r="M884">
        <v>2</v>
      </c>
      <c r="N884">
        <v>0</v>
      </c>
    </row>
    <row r="885" spans="1:14" x14ac:dyDescent="0.45">
      <c r="A885" t="s">
        <v>125</v>
      </c>
      <c r="B885" t="s">
        <v>676</v>
      </c>
      <c r="C885" t="s">
        <v>104</v>
      </c>
      <c r="D885" t="s">
        <v>340</v>
      </c>
      <c r="E885">
        <v>4</v>
      </c>
      <c r="F885">
        <v>0</v>
      </c>
      <c r="G885">
        <v>26</v>
      </c>
      <c r="H885">
        <v>2</v>
      </c>
      <c r="I885">
        <v>6.5</v>
      </c>
      <c r="J885">
        <v>8</v>
      </c>
      <c r="K885">
        <v>3</v>
      </c>
      <c r="L885">
        <v>0</v>
      </c>
      <c r="M885">
        <v>1</v>
      </c>
      <c r="N885">
        <v>0</v>
      </c>
    </row>
    <row r="886" spans="1:14" x14ac:dyDescent="0.45">
      <c r="A886" t="s">
        <v>125</v>
      </c>
      <c r="B886" t="s">
        <v>676</v>
      </c>
      <c r="C886" t="s">
        <v>104</v>
      </c>
      <c r="D886" t="s">
        <v>366</v>
      </c>
      <c r="E886">
        <v>4</v>
      </c>
      <c r="F886">
        <v>0</v>
      </c>
      <c r="G886">
        <v>24</v>
      </c>
      <c r="H886">
        <v>0</v>
      </c>
      <c r="I886">
        <v>6</v>
      </c>
      <c r="J886">
        <v>5</v>
      </c>
      <c r="K886">
        <v>1</v>
      </c>
      <c r="L886">
        <v>0</v>
      </c>
      <c r="M886">
        <v>0</v>
      </c>
      <c r="N886">
        <v>0</v>
      </c>
    </row>
    <row r="887" spans="1:14" x14ac:dyDescent="0.45">
      <c r="A887" t="s">
        <v>125</v>
      </c>
      <c r="B887" t="s">
        <v>676</v>
      </c>
      <c r="C887" t="s">
        <v>104</v>
      </c>
      <c r="D887" t="s">
        <v>378</v>
      </c>
      <c r="E887">
        <v>4</v>
      </c>
      <c r="F887">
        <v>0</v>
      </c>
      <c r="G887">
        <v>41</v>
      </c>
      <c r="H887">
        <v>1</v>
      </c>
      <c r="I887">
        <v>10.25</v>
      </c>
      <c r="J887">
        <v>5</v>
      </c>
      <c r="K887">
        <v>4</v>
      </c>
      <c r="L887">
        <v>1</v>
      </c>
      <c r="M887">
        <v>3</v>
      </c>
      <c r="N887">
        <v>0</v>
      </c>
    </row>
    <row r="888" spans="1:14" x14ac:dyDescent="0.45">
      <c r="A888" t="s">
        <v>125</v>
      </c>
      <c r="B888" t="s">
        <v>676</v>
      </c>
      <c r="C888" t="s">
        <v>101</v>
      </c>
      <c r="D888" t="s">
        <v>403</v>
      </c>
      <c r="E888">
        <v>3</v>
      </c>
      <c r="F888">
        <v>0</v>
      </c>
      <c r="G888">
        <v>5</v>
      </c>
      <c r="H888">
        <v>1</v>
      </c>
      <c r="I888">
        <v>1.66</v>
      </c>
      <c r="J888">
        <v>14</v>
      </c>
      <c r="K888">
        <v>0</v>
      </c>
      <c r="L888">
        <v>0</v>
      </c>
      <c r="M888">
        <v>1</v>
      </c>
      <c r="N888">
        <v>0</v>
      </c>
    </row>
    <row r="889" spans="1:14" x14ac:dyDescent="0.45">
      <c r="A889" t="s">
        <v>125</v>
      </c>
      <c r="B889" t="s">
        <v>676</v>
      </c>
      <c r="C889" t="s">
        <v>101</v>
      </c>
      <c r="D889" t="s">
        <v>361</v>
      </c>
      <c r="E889">
        <v>1</v>
      </c>
      <c r="F889">
        <v>0</v>
      </c>
      <c r="G889">
        <v>8</v>
      </c>
      <c r="H889">
        <v>0</v>
      </c>
      <c r="I889">
        <v>8</v>
      </c>
      <c r="J889">
        <v>2</v>
      </c>
      <c r="K889">
        <v>1</v>
      </c>
      <c r="L889">
        <v>0</v>
      </c>
      <c r="M889">
        <v>0</v>
      </c>
      <c r="N889">
        <v>0</v>
      </c>
    </row>
    <row r="890" spans="1:14" x14ac:dyDescent="0.45">
      <c r="A890" t="s">
        <v>125</v>
      </c>
      <c r="B890" t="s">
        <v>676</v>
      </c>
      <c r="C890" t="s">
        <v>101</v>
      </c>
      <c r="D890" t="s">
        <v>489</v>
      </c>
      <c r="E890">
        <v>2</v>
      </c>
      <c r="F890">
        <v>0</v>
      </c>
      <c r="G890">
        <v>24</v>
      </c>
      <c r="H890">
        <v>2</v>
      </c>
      <c r="I890">
        <v>12</v>
      </c>
      <c r="J890">
        <v>5</v>
      </c>
      <c r="K890">
        <v>4</v>
      </c>
      <c r="L890">
        <v>1</v>
      </c>
      <c r="M890">
        <v>0</v>
      </c>
      <c r="N890">
        <v>0</v>
      </c>
    </row>
    <row r="891" spans="1:14" x14ac:dyDescent="0.45">
      <c r="A891" t="s">
        <v>125</v>
      </c>
      <c r="B891" t="s">
        <v>676</v>
      </c>
      <c r="C891" t="s">
        <v>101</v>
      </c>
      <c r="D891" t="s">
        <v>493</v>
      </c>
      <c r="E891">
        <v>2</v>
      </c>
      <c r="F891">
        <v>0</v>
      </c>
      <c r="G891">
        <v>14</v>
      </c>
      <c r="H891">
        <v>0</v>
      </c>
      <c r="I891">
        <v>7</v>
      </c>
      <c r="J891">
        <v>4</v>
      </c>
      <c r="K891">
        <v>2</v>
      </c>
      <c r="L891">
        <v>0</v>
      </c>
      <c r="M891">
        <v>0</v>
      </c>
      <c r="N891">
        <v>0</v>
      </c>
    </row>
    <row r="892" spans="1:14" x14ac:dyDescent="0.45">
      <c r="A892" t="s">
        <v>125</v>
      </c>
      <c r="B892" t="s">
        <v>676</v>
      </c>
      <c r="C892" t="s">
        <v>101</v>
      </c>
      <c r="D892" t="s">
        <v>379</v>
      </c>
      <c r="E892">
        <v>3.5</v>
      </c>
      <c r="F892">
        <v>0</v>
      </c>
      <c r="G892">
        <v>24</v>
      </c>
      <c r="H892">
        <v>4</v>
      </c>
      <c r="I892">
        <v>6.26</v>
      </c>
      <c r="J892">
        <v>11</v>
      </c>
      <c r="K892">
        <v>0</v>
      </c>
      <c r="L892">
        <v>2</v>
      </c>
      <c r="M892">
        <v>2</v>
      </c>
      <c r="N892">
        <v>0</v>
      </c>
    </row>
    <row r="893" spans="1:14" x14ac:dyDescent="0.45">
      <c r="A893" t="s">
        <v>125</v>
      </c>
      <c r="B893" t="s">
        <v>676</v>
      </c>
      <c r="C893" t="s">
        <v>101</v>
      </c>
      <c r="D893" t="s">
        <v>490</v>
      </c>
      <c r="E893">
        <v>2</v>
      </c>
      <c r="F893">
        <v>0</v>
      </c>
      <c r="G893">
        <v>7</v>
      </c>
      <c r="H893">
        <v>2</v>
      </c>
      <c r="I893">
        <v>3.5</v>
      </c>
      <c r="J893">
        <v>5</v>
      </c>
      <c r="K893">
        <v>0</v>
      </c>
      <c r="L893">
        <v>0</v>
      </c>
      <c r="M893">
        <v>0</v>
      </c>
      <c r="N893">
        <v>0</v>
      </c>
    </row>
    <row r="894" spans="1:14" x14ac:dyDescent="0.45">
      <c r="A894" t="s">
        <v>127</v>
      </c>
      <c r="B894" t="s">
        <v>677</v>
      </c>
      <c r="C894" t="s">
        <v>19</v>
      </c>
      <c r="D894" t="s">
        <v>464</v>
      </c>
      <c r="E894">
        <v>4</v>
      </c>
      <c r="F894">
        <v>0</v>
      </c>
      <c r="G894">
        <v>26</v>
      </c>
      <c r="H894">
        <v>1</v>
      </c>
      <c r="I894">
        <v>6.5</v>
      </c>
      <c r="J894">
        <v>13</v>
      </c>
      <c r="K894">
        <v>0</v>
      </c>
      <c r="L894">
        <v>2</v>
      </c>
      <c r="M894">
        <v>3</v>
      </c>
      <c r="N894">
        <v>0</v>
      </c>
    </row>
    <row r="895" spans="1:14" x14ac:dyDescent="0.45">
      <c r="A895" t="s">
        <v>127</v>
      </c>
      <c r="B895" t="s">
        <v>677</v>
      </c>
      <c r="C895" t="s">
        <v>19</v>
      </c>
      <c r="D895" t="s">
        <v>473</v>
      </c>
      <c r="E895">
        <v>4</v>
      </c>
      <c r="F895">
        <v>0</v>
      </c>
      <c r="G895">
        <v>35</v>
      </c>
      <c r="H895">
        <v>1</v>
      </c>
      <c r="I895">
        <v>8.75</v>
      </c>
      <c r="J895">
        <v>10</v>
      </c>
      <c r="K895">
        <v>3</v>
      </c>
      <c r="L895">
        <v>2</v>
      </c>
      <c r="M895">
        <v>1</v>
      </c>
      <c r="N895">
        <v>0</v>
      </c>
    </row>
    <row r="896" spans="1:14" x14ac:dyDescent="0.45">
      <c r="A896" t="s">
        <v>127</v>
      </c>
      <c r="B896" t="s">
        <v>677</v>
      </c>
      <c r="C896" t="s">
        <v>19</v>
      </c>
      <c r="D896" t="s">
        <v>369</v>
      </c>
      <c r="E896">
        <v>4</v>
      </c>
      <c r="F896">
        <v>1</v>
      </c>
      <c r="G896">
        <v>10</v>
      </c>
      <c r="H896">
        <v>5</v>
      </c>
      <c r="I896">
        <v>2.5</v>
      </c>
      <c r="J896">
        <v>18</v>
      </c>
      <c r="K896">
        <v>1</v>
      </c>
      <c r="L896">
        <v>0</v>
      </c>
      <c r="M896">
        <v>0</v>
      </c>
      <c r="N896">
        <v>0</v>
      </c>
    </row>
    <row r="897" spans="1:14" x14ac:dyDescent="0.45">
      <c r="A897" t="s">
        <v>127</v>
      </c>
      <c r="B897" t="s">
        <v>677</v>
      </c>
      <c r="C897" t="s">
        <v>19</v>
      </c>
      <c r="D897" t="s">
        <v>457</v>
      </c>
      <c r="E897">
        <v>3</v>
      </c>
      <c r="F897">
        <v>0</v>
      </c>
      <c r="G897">
        <v>35</v>
      </c>
      <c r="H897">
        <v>0</v>
      </c>
      <c r="I897">
        <v>11.66</v>
      </c>
      <c r="J897">
        <v>6</v>
      </c>
      <c r="K897">
        <v>4</v>
      </c>
      <c r="L897">
        <v>1</v>
      </c>
      <c r="M897">
        <v>1</v>
      </c>
      <c r="N897">
        <v>0</v>
      </c>
    </row>
    <row r="898" spans="1:14" x14ac:dyDescent="0.45">
      <c r="A898" t="s">
        <v>127</v>
      </c>
      <c r="B898" t="s">
        <v>677</v>
      </c>
      <c r="C898" t="s">
        <v>19</v>
      </c>
      <c r="D898" t="s">
        <v>524</v>
      </c>
      <c r="E898">
        <v>3</v>
      </c>
      <c r="F898">
        <v>0</v>
      </c>
      <c r="G898">
        <v>32</v>
      </c>
      <c r="H898">
        <v>2</v>
      </c>
      <c r="I898">
        <v>10.66</v>
      </c>
      <c r="J898">
        <v>8</v>
      </c>
      <c r="K898">
        <v>2</v>
      </c>
      <c r="L898">
        <v>3</v>
      </c>
      <c r="M898">
        <v>0</v>
      </c>
      <c r="N898">
        <v>0</v>
      </c>
    </row>
    <row r="899" spans="1:14" x14ac:dyDescent="0.45">
      <c r="A899" t="s">
        <v>127</v>
      </c>
      <c r="B899" t="s">
        <v>677</v>
      </c>
      <c r="C899" t="s">
        <v>19</v>
      </c>
      <c r="D899" t="s">
        <v>362</v>
      </c>
      <c r="E899">
        <v>2</v>
      </c>
      <c r="F899">
        <v>0</v>
      </c>
      <c r="G899">
        <v>26</v>
      </c>
      <c r="H899">
        <v>0</v>
      </c>
      <c r="I899">
        <v>13</v>
      </c>
      <c r="J899">
        <v>3</v>
      </c>
      <c r="K899">
        <v>2</v>
      </c>
      <c r="L899">
        <v>2</v>
      </c>
      <c r="M899">
        <v>1</v>
      </c>
      <c r="N899">
        <v>0</v>
      </c>
    </row>
    <row r="900" spans="1:14" x14ac:dyDescent="0.45">
      <c r="A900" t="s">
        <v>127</v>
      </c>
      <c r="B900" t="s">
        <v>677</v>
      </c>
      <c r="C900" t="s">
        <v>7</v>
      </c>
      <c r="D900" t="s">
        <v>415</v>
      </c>
      <c r="E900">
        <v>3</v>
      </c>
      <c r="F900">
        <v>0</v>
      </c>
      <c r="G900">
        <v>10</v>
      </c>
      <c r="H900">
        <v>1</v>
      </c>
      <c r="I900">
        <v>3.33</v>
      </c>
      <c r="J900">
        <v>13</v>
      </c>
      <c r="K900">
        <v>1</v>
      </c>
      <c r="L900">
        <v>0</v>
      </c>
      <c r="M900">
        <v>0</v>
      </c>
      <c r="N900">
        <v>0</v>
      </c>
    </row>
    <row r="901" spans="1:14" x14ac:dyDescent="0.45">
      <c r="A901" t="s">
        <v>127</v>
      </c>
      <c r="B901" t="s">
        <v>677</v>
      </c>
      <c r="C901" t="s">
        <v>7</v>
      </c>
      <c r="D901" t="s">
        <v>465</v>
      </c>
      <c r="E901">
        <v>4</v>
      </c>
      <c r="F901">
        <v>0</v>
      </c>
      <c r="G901">
        <v>22</v>
      </c>
      <c r="H901">
        <v>3</v>
      </c>
      <c r="I901">
        <v>5.5</v>
      </c>
      <c r="J901">
        <v>11</v>
      </c>
      <c r="K901">
        <v>2</v>
      </c>
      <c r="L901">
        <v>0</v>
      </c>
      <c r="M901">
        <v>1</v>
      </c>
      <c r="N901">
        <v>0</v>
      </c>
    </row>
    <row r="902" spans="1:14" x14ac:dyDescent="0.45">
      <c r="A902" t="s">
        <v>127</v>
      </c>
      <c r="B902" t="s">
        <v>677</v>
      </c>
      <c r="C902" t="s">
        <v>7</v>
      </c>
      <c r="D902" t="s">
        <v>440</v>
      </c>
      <c r="E902">
        <v>2.2999999999999998</v>
      </c>
      <c r="F902">
        <v>0</v>
      </c>
      <c r="G902">
        <v>22</v>
      </c>
      <c r="H902">
        <v>2</v>
      </c>
      <c r="I902">
        <v>8.8000000000000007</v>
      </c>
      <c r="J902">
        <v>6</v>
      </c>
      <c r="K902">
        <v>4</v>
      </c>
      <c r="L902">
        <v>0</v>
      </c>
      <c r="M902">
        <v>0</v>
      </c>
      <c r="N902">
        <v>0</v>
      </c>
    </row>
    <row r="903" spans="1:14" x14ac:dyDescent="0.45">
      <c r="A903" t="s">
        <v>127</v>
      </c>
      <c r="B903" t="s">
        <v>677</v>
      </c>
      <c r="C903" t="s">
        <v>7</v>
      </c>
      <c r="D903" t="s">
        <v>308</v>
      </c>
      <c r="E903">
        <v>4</v>
      </c>
      <c r="F903">
        <v>0</v>
      </c>
      <c r="G903">
        <v>21</v>
      </c>
      <c r="H903">
        <v>0</v>
      </c>
      <c r="I903">
        <v>5.25</v>
      </c>
      <c r="J903">
        <v>9</v>
      </c>
      <c r="K903">
        <v>0</v>
      </c>
      <c r="L903">
        <v>1</v>
      </c>
      <c r="M903">
        <v>1</v>
      </c>
      <c r="N903">
        <v>0</v>
      </c>
    </row>
    <row r="904" spans="1:14" x14ac:dyDescent="0.45">
      <c r="A904" t="s">
        <v>127</v>
      </c>
      <c r="B904" t="s">
        <v>677</v>
      </c>
      <c r="C904" t="s">
        <v>7</v>
      </c>
      <c r="D904" t="s">
        <v>322</v>
      </c>
      <c r="E904">
        <v>3</v>
      </c>
      <c r="F904">
        <v>0</v>
      </c>
      <c r="G904">
        <v>22</v>
      </c>
      <c r="H904">
        <v>1</v>
      </c>
      <c r="I904">
        <v>7.33</v>
      </c>
      <c r="J904">
        <v>6</v>
      </c>
      <c r="K904">
        <v>1</v>
      </c>
      <c r="L904">
        <v>1</v>
      </c>
      <c r="M904">
        <v>0</v>
      </c>
      <c r="N904">
        <v>0</v>
      </c>
    </row>
    <row r="905" spans="1:14" x14ac:dyDescent="0.45">
      <c r="A905" t="s">
        <v>127</v>
      </c>
      <c r="B905" t="s">
        <v>677</v>
      </c>
      <c r="C905" t="s">
        <v>7</v>
      </c>
      <c r="D905" t="s">
        <v>304</v>
      </c>
      <c r="E905">
        <v>1</v>
      </c>
      <c r="F905">
        <v>0</v>
      </c>
      <c r="G905">
        <v>8</v>
      </c>
      <c r="H905">
        <v>0</v>
      </c>
      <c r="I905">
        <v>8</v>
      </c>
      <c r="J905">
        <v>1</v>
      </c>
      <c r="K905">
        <v>1</v>
      </c>
      <c r="L905">
        <v>0</v>
      </c>
      <c r="M905">
        <v>0</v>
      </c>
      <c r="N905">
        <v>0</v>
      </c>
    </row>
    <row r="906" spans="1:14" x14ac:dyDescent="0.45">
      <c r="A906" t="s">
        <v>129</v>
      </c>
      <c r="B906" t="s">
        <v>633</v>
      </c>
      <c r="C906" t="s">
        <v>10</v>
      </c>
      <c r="D906" t="s">
        <v>326</v>
      </c>
      <c r="E906">
        <v>3</v>
      </c>
      <c r="F906">
        <v>0</v>
      </c>
      <c r="G906">
        <v>38</v>
      </c>
      <c r="H906">
        <v>0</v>
      </c>
      <c r="I906">
        <v>12.66</v>
      </c>
      <c r="J906">
        <v>5</v>
      </c>
      <c r="K906">
        <v>4</v>
      </c>
      <c r="L906">
        <v>2</v>
      </c>
      <c r="M906">
        <v>2</v>
      </c>
      <c r="N906">
        <v>0</v>
      </c>
    </row>
    <row r="907" spans="1:14" x14ac:dyDescent="0.45">
      <c r="A907" t="s">
        <v>129</v>
      </c>
      <c r="B907" t="s">
        <v>633</v>
      </c>
      <c r="C907" t="s">
        <v>10</v>
      </c>
      <c r="D907" t="s">
        <v>444</v>
      </c>
      <c r="E907">
        <v>4</v>
      </c>
      <c r="F907">
        <v>0</v>
      </c>
      <c r="G907">
        <v>28</v>
      </c>
      <c r="H907">
        <v>2</v>
      </c>
      <c r="I907">
        <v>7</v>
      </c>
      <c r="J907">
        <v>10</v>
      </c>
      <c r="K907">
        <v>2</v>
      </c>
      <c r="L907">
        <v>1</v>
      </c>
      <c r="M907">
        <v>3</v>
      </c>
      <c r="N907">
        <v>0</v>
      </c>
    </row>
    <row r="908" spans="1:14" x14ac:dyDescent="0.45">
      <c r="A908" t="s">
        <v>129</v>
      </c>
      <c r="B908" t="s">
        <v>633</v>
      </c>
      <c r="C908" t="s">
        <v>10</v>
      </c>
      <c r="D908" t="s">
        <v>338</v>
      </c>
      <c r="E908">
        <v>4</v>
      </c>
      <c r="F908">
        <v>0</v>
      </c>
      <c r="G908">
        <v>42</v>
      </c>
      <c r="H908">
        <v>3</v>
      </c>
      <c r="I908">
        <v>10.5</v>
      </c>
      <c r="J908">
        <v>6</v>
      </c>
      <c r="K908">
        <v>5</v>
      </c>
      <c r="L908">
        <v>1</v>
      </c>
      <c r="M908">
        <v>0</v>
      </c>
      <c r="N908">
        <v>1</v>
      </c>
    </row>
    <row r="909" spans="1:14" x14ac:dyDescent="0.45">
      <c r="A909" t="s">
        <v>129</v>
      </c>
      <c r="B909" t="s">
        <v>633</v>
      </c>
      <c r="C909" t="s">
        <v>10</v>
      </c>
      <c r="D909" t="s">
        <v>337</v>
      </c>
      <c r="E909">
        <v>3</v>
      </c>
      <c r="F909">
        <v>0</v>
      </c>
      <c r="G909">
        <v>23</v>
      </c>
      <c r="H909">
        <v>0</v>
      </c>
      <c r="I909">
        <v>7.66</v>
      </c>
      <c r="J909">
        <v>5</v>
      </c>
      <c r="K909">
        <v>0</v>
      </c>
      <c r="L909">
        <v>2</v>
      </c>
      <c r="M909">
        <v>0</v>
      </c>
      <c r="N909">
        <v>0</v>
      </c>
    </row>
    <row r="910" spans="1:14" x14ac:dyDescent="0.45">
      <c r="A910" t="s">
        <v>129</v>
      </c>
      <c r="B910" t="s">
        <v>633</v>
      </c>
      <c r="C910" t="s">
        <v>10</v>
      </c>
      <c r="D910" t="s">
        <v>500</v>
      </c>
      <c r="E910">
        <v>3</v>
      </c>
      <c r="F910">
        <v>0</v>
      </c>
      <c r="G910">
        <v>43</v>
      </c>
      <c r="H910">
        <v>0</v>
      </c>
      <c r="I910">
        <v>14.33</v>
      </c>
      <c r="J910">
        <v>4</v>
      </c>
      <c r="K910">
        <v>4</v>
      </c>
      <c r="L910">
        <v>3</v>
      </c>
      <c r="M910">
        <v>2</v>
      </c>
      <c r="N910">
        <v>0</v>
      </c>
    </row>
    <row r="911" spans="1:14" x14ac:dyDescent="0.45">
      <c r="A911" t="s">
        <v>129</v>
      </c>
      <c r="B911" t="s">
        <v>633</v>
      </c>
      <c r="C911" t="s">
        <v>10</v>
      </c>
      <c r="D911" t="s">
        <v>498</v>
      </c>
      <c r="E911">
        <v>3</v>
      </c>
      <c r="F911">
        <v>0</v>
      </c>
      <c r="G911">
        <v>34</v>
      </c>
      <c r="H911">
        <v>1</v>
      </c>
      <c r="I911">
        <v>11.33</v>
      </c>
      <c r="J911">
        <v>3</v>
      </c>
      <c r="K911">
        <v>2</v>
      </c>
      <c r="L911">
        <v>1</v>
      </c>
      <c r="M911">
        <v>3</v>
      </c>
      <c r="N911">
        <v>0</v>
      </c>
    </row>
    <row r="912" spans="1:14" x14ac:dyDescent="0.45">
      <c r="A912" t="s">
        <v>129</v>
      </c>
      <c r="B912" t="s">
        <v>633</v>
      </c>
      <c r="C912" t="s">
        <v>6</v>
      </c>
      <c r="D912" t="s">
        <v>509</v>
      </c>
      <c r="E912">
        <v>3</v>
      </c>
      <c r="F912">
        <v>0</v>
      </c>
      <c r="G912">
        <v>22</v>
      </c>
      <c r="H912">
        <v>2</v>
      </c>
      <c r="I912">
        <v>7.33</v>
      </c>
      <c r="J912">
        <v>10</v>
      </c>
      <c r="K912">
        <v>1</v>
      </c>
      <c r="L912">
        <v>2</v>
      </c>
      <c r="M912">
        <v>0</v>
      </c>
      <c r="N912">
        <v>0</v>
      </c>
    </row>
    <row r="913" spans="1:14" x14ac:dyDescent="0.45">
      <c r="A913" t="s">
        <v>129</v>
      </c>
      <c r="B913" t="s">
        <v>633</v>
      </c>
      <c r="C913" t="s">
        <v>6</v>
      </c>
      <c r="D913" t="s">
        <v>508</v>
      </c>
      <c r="E913">
        <v>4</v>
      </c>
      <c r="F913">
        <v>0</v>
      </c>
      <c r="G913">
        <v>27</v>
      </c>
      <c r="H913">
        <v>2</v>
      </c>
      <c r="I913">
        <v>6.75</v>
      </c>
      <c r="J913">
        <v>13</v>
      </c>
      <c r="K913">
        <v>3</v>
      </c>
      <c r="L913">
        <v>1</v>
      </c>
      <c r="M913">
        <v>1</v>
      </c>
      <c r="N913">
        <v>0</v>
      </c>
    </row>
    <row r="914" spans="1:14" x14ac:dyDescent="0.45">
      <c r="A914" t="s">
        <v>129</v>
      </c>
      <c r="B914" t="s">
        <v>633</v>
      </c>
      <c r="C914" t="s">
        <v>6</v>
      </c>
      <c r="D914" t="s">
        <v>523</v>
      </c>
      <c r="E914">
        <v>4</v>
      </c>
      <c r="F914">
        <v>0</v>
      </c>
      <c r="G914">
        <v>29</v>
      </c>
      <c r="H914">
        <v>1</v>
      </c>
      <c r="I914">
        <v>7.25</v>
      </c>
      <c r="J914">
        <v>13</v>
      </c>
      <c r="K914">
        <v>4</v>
      </c>
      <c r="L914">
        <v>1</v>
      </c>
      <c r="M914">
        <v>0</v>
      </c>
      <c r="N914">
        <v>0</v>
      </c>
    </row>
    <row r="915" spans="1:14" x14ac:dyDescent="0.45">
      <c r="A915" t="s">
        <v>129</v>
      </c>
      <c r="B915" t="s">
        <v>633</v>
      </c>
      <c r="C915" t="s">
        <v>6</v>
      </c>
      <c r="D915" t="s">
        <v>327</v>
      </c>
      <c r="E915">
        <v>2.4</v>
      </c>
      <c r="F915">
        <v>0</v>
      </c>
      <c r="G915">
        <v>24</v>
      </c>
      <c r="H915">
        <v>2</v>
      </c>
      <c r="I915">
        <v>9</v>
      </c>
      <c r="J915">
        <v>6</v>
      </c>
      <c r="K915">
        <v>4</v>
      </c>
      <c r="L915">
        <v>0</v>
      </c>
      <c r="M915">
        <v>1</v>
      </c>
      <c r="N915">
        <v>0</v>
      </c>
    </row>
    <row r="916" spans="1:14" x14ac:dyDescent="0.45">
      <c r="A916" t="s">
        <v>129</v>
      </c>
      <c r="B916" t="s">
        <v>633</v>
      </c>
      <c r="C916" t="s">
        <v>6</v>
      </c>
      <c r="D916" t="s">
        <v>299</v>
      </c>
      <c r="E916">
        <v>4</v>
      </c>
      <c r="F916">
        <v>0</v>
      </c>
      <c r="G916">
        <v>13</v>
      </c>
      <c r="H916">
        <v>3</v>
      </c>
      <c r="I916">
        <v>3.25</v>
      </c>
      <c r="J916">
        <v>16</v>
      </c>
      <c r="K916">
        <v>0</v>
      </c>
      <c r="L916">
        <v>1</v>
      </c>
      <c r="M916">
        <v>0</v>
      </c>
      <c r="N916">
        <v>0</v>
      </c>
    </row>
    <row r="917" spans="1:14" x14ac:dyDescent="0.45">
      <c r="A917" t="s">
        <v>131</v>
      </c>
      <c r="B917" t="s">
        <v>660</v>
      </c>
      <c r="C917" t="s">
        <v>20</v>
      </c>
      <c r="D917" t="s">
        <v>466</v>
      </c>
      <c r="E917">
        <v>4</v>
      </c>
      <c r="F917">
        <v>0</v>
      </c>
      <c r="G917">
        <v>30</v>
      </c>
      <c r="H917">
        <v>2</v>
      </c>
      <c r="I917">
        <v>7.5</v>
      </c>
      <c r="J917">
        <v>12</v>
      </c>
      <c r="K917">
        <v>1</v>
      </c>
      <c r="L917">
        <v>2</v>
      </c>
      <c r="M917">
        <v>2</v>
      </c>
      <c r="N917">
        <v>0</v>
      </c>
    </row>
    <row r="918" spans="1:14" x14ac:dyDescent="0.45">
      <c r="A918" t="s">
        <v>131</v>
      </c>
      <c r="B918" t="s">
        <v>660</v>
      </c>
      <c r="C918" t="s">
        <v>20</v>
      </c>
      <c r="D918" t="s">
        <v>409</v>
      </c>
      <c r="E918">
        <v>4</v>
      </c>
      <c r="F918">
        <v>0</v>
      </c>
      <c r="G918">
        <v>34</v>
      </c>
      <c r="H918">
        <v>0</v>
      </c>
      <c r="I918">
        <v>8.5</v>
      </c>
      <c r="J918">
        <v>7</v>
      </c>
      <c r="K918">
        <v>2</v>
      </c>
      <c r="L918">
        <v>2</v>
      </c>
      <c r="M918">
        <v>0</v>
      </c>
      <c r="N918">
        <v>0</v>
      </c>
    </row>
    <row r="919" spans="1:14" x14ac:dyDescent="0.45">
      <c r="A919" t="s">
        <v>131</v>
      </c>
      <c r="B919" t="s">
        <v>660</v>
      </c>
      <c r="C919" t="s">
        <v>20</v>
      </c>
      <c r="D919" t="s">
        <v>497</v>
      </c>
      <c r="E919">
        <v>4</v>
      </c>
      <c r="F919">
        <v>0</v>
      </c>
      <c r="G919">
        <v>47</v>
      </c>
      <c r="H919">
        <v>0</v>
      </c>
      <c r="I919">
        <v>11.75</v>
      </c>
      <c r="J919">
        <v>6</v>
      </c>
      <c r="K919">
        <v>4</v>
      </c>
      <c r="L919">
        <v>3</v>
      </c>
      <c r="M919">
        <v>0</v>
      </c>
      <c r="N919">
        <v>0</v>
      </c>
    </row>
    <row r="920" spans="1:14" x14ac:dyDescent="0.45">
      <c r="A920" t="s">
        <v>131</v>
      </c>
      <c r="B920" t="s">
        <v>660</v>
      </c>
      <c r="C920" t="s">
        <v>20</v>
      </c>
      <c r="D920" t="s">
        <v>432</v>
      </c>
      <c r="E920">
        <v>4</v>
      </c>
      <c r="F920">
        <v>0</v>
      </c>
      <c r="G920">
        <v>42</v>
      </c>
      <c r="H920">
        <v>1</v>
      </c>
      <c r="I920">
        <v>10.5</v>
      </c>
      <c r="J920">
        <v>10</v>
      </c>
      <c r="K920">
        <v>4</v>
      </c>
      <c r="L920">
        <v>2</v>
      </c>
      <c r="M920">
        <v>3</v>
      </c>
      <c r="N920">
        <v>1</v>
      </c>
    </row>
    <row r="921" spans="1:14" x14ac:dyDescent="0.45">
      <c r="A921" t="s">
        <v>131</v>
      </c>
      <c r="B921" t="s">
        <v>660</v>
      </c>
      <c r="C921" t="s">
        <v>20</v>
      </c>
      <c r="D921" t="s">
        <v>382</v>
      </c>
      <c r="E921">
        <v>2</v>
      </c>
      <c r="F921">
        <v>0</v>
      </c>
      <c r="G921">
        <v>25</v>
      </c>
      <c r="H921">
        <v>0</v>
      </c>
      <c r="I921">
        <v>12.5</v>
      </c>
      <c r="J921">
        <v>4</v>
      </c>
      <c r="K921">
        <v>4</v>
      </c>
      <c r="L921">
        <v>1</v>
      </c>
      <c r="M921">
        <v>0</v>
      </c>
      <c r="N921">
        <v>0</v>
      </c>
    </row>
    <row r="922" spans="1:14" x14ac:dyDescent="0.45">
      <c r="A922" t="s">
        <v>131</v>
      </c>
      <c r="B922" t="s">
        <v>660</v>
      </c>
      <c r="C922" t="s">
        <v>20</v>
      </c>
      <c r="D922" t="s">
        <v>373</v>
      </c>
      <c r="E922">
        <v>2</v>
      </c>
      <c r="F922">
        <v>0</v>
      </c>
      <c r="G922">
        <v>13</v>
      </c>
      <c r="H922">
        <v>0</v>
      </c>
      <c r="I922">
        <v>6.5</v>
      </c>
      <c r="J922">
        <v>2</v>
      </c>
      <c r="K922">
        <v>1</v>
      </c>
      <c r="L922">
        <v>0</v>
      </c>
      <c r="M922">
        <v>0</v>
      </c>
      <c r="N922">
        <v>0</v>
      </c>
    </row>
    <row r="923" spans="1:14" x14ac:dyDescent="0.45">
      <c r="A923" t="s">
        <v>131</v>
      </c>
      <c r="B923" t="s">
        <v>660</v>
      </c>
      <c r="C923" t="s">
        <v>13</v>
      </c>
      <c r="D923" t="s">
        <v>345</v>
      </c>
      <c r="E923">
        <v>2</v>
      </c>
      <c r="F923">
        <v>0</v>
      </c>
      <c r="G923">
        <v>13</v>
      </c>
      <c r="H923">
        <v>1</v>
      </c>
      <c r="I923">
        <v>6.5</v>
      </c>
      <c r="J923">
        <v>7</v>
      </c>
      <c r="K923">
        <v>1</v>
      </c>
      <c r="L923">
        <v>1</v>
      </c>
      <c r="M923">
        <v>0</v>
      </c>
      <c r="N923">
        <v>0</v>
      </c>
    </row>
    <row r="924" spans="1:14" x14ac:dyDescent="0.45">
      <c r="A924" t="s">
        <v>131</v>
      </c>
      <c r="B924" t="s">
        <v>660</v>
      </c>
      <c r="C924" t="s">
        <v>13</v>
      </c>
      <c r="D924" t="s">
        <v>325</v>
      </c>
      <c r="E924">
        <v>4</v>
      </c>
      <c r="F924">
        <v>0</v>
      </c>
      <c r="G924">
        <v>17</v>
      </c>
      <c r="H924">
        <v>2</v>
      </c>
      <c r="I924">
        <v>4.25</v>
      </c>
      <c r="J924">
        <v>13</v>
      </c>
      <c r="K924">
        <v>2</v>
      </c>
      <c r="L924">
        <v>0</v>
      </c>
      <c r="M924">
        <v>0</v>
      </c>
      <c r="N924">
        <v>0</v>
      </c>
    </row>
    <row r="925" spans="1:14" x14ac:dyDescent="0.45">
      <c r="A925" t="s">
        <v>131</v>
      </c>
      <c r="B925" t="s">
        <v>660</v>
      </c>
      <c r="C925" t="s">
        <v>13</v>
      </c>
      <c r="D925" t="s">
        <v>347</v>
      </c>
      <c r="E925">
        <v>2</v>
      </c>
      <c r="F925">
        <v>0</v>
      </c>
      <c r="G925">
        <v>20</v>
      </c>
      <c r="H925">
        <v>0</v>
      </c>
      <c r="I925">
        <v>10</v>
      </c>
      <c r="J925">
        <v>3</v>
      </c>
      <c r="K925">
        <v>3</v>
      </c>
      <c r="L925">
        <v>0</v>
      </c>
      <c r="M925">
        <v>2</v>
      </c>
      <c r="N925">
        <v>0</v>
      </c>
    </row>
    <row r="926" spans="1:14" x14ac:dyDescent="0.45">
      <c r="A926" t="s">
        <v>131</v>
      </c>
      <c r="B926" t="s">
        <v>660</v>
      </c>
      <c r="C926" t="s">
        <v>13</v>
      </c>
      <c r="D926" t="s">
        <v>352</v>
      </c>
      <c r="E926">
        <v>3</v>
      </c>
      <c r="F926">
        <v>0</v>
      </c>
      <c r="G926">
        <v>27</v>
      </c>
      <c r="H926">
        <v>0</v>
      </c>
      <c r="I926">
        <v>9</v>
      </c>
      <c r="J926">
        <v>7</v>
      </c>
      <c r="K926">
        <v>1</v>
      </c>
      <c r="L926">
        <v>2</v>
      </c>
      <c r="M926">
        <v>1</v>
      </c>
      <c r="N926">
        <v>0</v>
      </c>
    </row>
    <row r="927" spans="1:14" x14ac:dyDescent="0.45">
      <c r="A927" t="s">
        <v>131</v>
      </c>
      <c r="B927" t="s">
        <v>660</v>
      </c>
      <c r="C927" t="s">
        <v>13</v>
      </c>
      <c r="D927" t="s">
        <v>430</v>
      </c>
      <c r="E927">
        <v>1</v>
      </c>
      <c r="F927">
        <v>0</v>
      </c>
      <c r="G927">
        <v>7</v>
      </c>
      <c r="H927">
        <v>0</v>
      </c>
      <c r="I927">
        <v>7</v>
      </c>
      <c r="J927">
        <v>2</v>
      </c>
      <c r="K927">
        <v>1</v>
      </c>
      <c r="L927">
        <v>0</v>
      </c>
      <c r="M927">
        <v>0</v>
      </c>
      <c r="N927">
        <v>0</v>
      </c>
    </row>
    <row r="928" spans="1:14" x14ac:dyDescent="0.45">
      <c r="A928" t="s">
        <v>131</v>
      </c>
      <c r="B928" t="s">
        <v>660</v>
      </c>
      <c r="C928" t="s">
        <v>13</v>
      </c>
      <c r="D928" t="s">
        <v>349</v>
      </c>
      <c r="E928">
        <v>3.2</v>
      </c>
      <c r="F928">
        <v>0</v>
      </c>
      <c r="G928">
        <v>20</v>
      </c>
      <c r="H928">
        <v>1</v>
      </c>
      <c r="I928">
        <v>6</v>
      </c>
      <c r="J928">
        <v>9</v>
      </c>
      <c r="K928">
        <v>1</v>
      </c>
      <c r="L928">
        <v>1</v>
      </c>
      <c r="M928">
        <v>1</v>
      </c>
      <c r="N928">
        <v>0</v>
      </c>
    </row>
    <row r="929" spans="1:14" x14ac:dyDescent="0.45">
      <c r="A929" t="s">
        <v>131</v>
      </c>
      <c r="B929" t="s">
        <v>660</v>
      </c>
      <c r="C929" t="s">
        <v>13</v>
      </c>
      <c r="D929" t="s">
        <v>448</v>
      </c>
      <c r="E929">
        <v>4</v>
      </c>
      <c r="F929">
        <v>1</v>
      </c>
      <c r="G929">
        <v>18</v>
      </c>
      <c r="H929">
        <v>5</v>
      </c>
      <c r="I929">
        <v>4.5</v>
      </c>
      <c r="J929">
        <v>14</v>
      </c>
      <c r="K929">
        <v>1</v>
      </c>
      <c r="L929">
        <v>1</v>
      </c>
      <c r="M929">
        <v>0</v>
      </c>
      <c r="N929">
        <v>0</v>
      </c>
    </row>
    <row r="930" spans="1:14" x14ac:dyDescent="0.45">
      <c r="A930" t="s">
        <v>133</v>
      </c>
      <c r="B930" t="s">
        <v>670</v>
      </c>
      <c r="C930" t="s">
        <v>7</v>
      </c>
      <c r="D930" t="s">
        <v>415</v>
      </c>
      <c r="E930">
        <v>4</v>
      </c>
      <c r="F930">
        <v>0</v>
      </c>
      <c r="G930">
        <v>28</v>
      </c>
      <c r="H930">
        <v>1</v>
      </c>
      <c r="I930">
        <v>7</v>
      </c>
      <c r="J930">
        <v>12</v>
      </c>
      <c r="K930">
        <v>3</v>
      </c>
      <c r="L930">
        <v>1</v>
      </c>
      <c r="M930">
        <v>0</v>
      </c>
      <c r="N930">
        <v>0</v>
      </c>
    </row>
    <row r="931" spans="1:14" x14ac:dyDescent="0.45">
      <c r="A931" t="s">
        <v>133</v>
      </c>
      <c r="B931" t="s">
        <v>670</v>
      </c>
      <c r="C931" t="s">
        <v>7</v>
      </c>
      <c r="D931" t="s">
        <v>320</v>
      </c>
      <c r="E931">
        <v>4</v>
      </c>
      <c r="F931">
        <v>0</v>
      </c>
      <c r="G931">
        <v>50</v>
      </c>
      <c r="H931">
        <v>1</v>
      </c>
      <c r="I931">
        <v>12.5</v>
      </c>
      <c r="J931">
        <v>10</v>
      </c>
      <c r="K931">
        <v>3</v>
      </c>
      <c r="L931">
        <v>5</v>
      </c>
      <c r="M931">
        <v>1</v>
      </c>
      <c r="N931">
        <v>0</v>
      </c>
    </row>
    <row r="932" spans="1:14" x14ac:dyDescent="0.45">
      <c r="A932" t="s">
        <v>133</v>
      </c>
      <c r="B932" t="s">
        <v>670</v>
      </c>
      <c r="C932" t="s">
        <v>7</v>
      </c>
      <c r="D932" t="s">
        <v>308</v>
      </c>
      <c r="E932">
        <v>4</v>
      </c>
      <c r="F932">
        <v>0</v>
      </c>
      <c r="G932">
        <v>20</v>
      </c>
      <c r="H932">
        <v>1</v>
      </c>
      <c r="I932">
        <v>5</v>
      </c>
      <c r="J932">
        <v>12</v>
      </c>
      <c r="K932">
        <v>0</v>
      </c>
      <c r="L932">
        <v>1</v>
      </c>
      <c r="M932">
        <v>0</v>
      </c>
      <c r="N932">
        <v>0</v>
      </c>
    </row>
    <row r="933" spans="1:14" x14ac:dyDescent="0.45">
      <c r="A933" t="s">
        <v>133</v>
      </c>
      <c r="B933" t="s">
        <v>670</v>
      </c>
      <c r="C933" t="s">
        <v>7</v>
      </c>
      <c r="D933" t="s">
        <v>532</v>
      </c>
      <c r="E933">
        <v>3</v>
      </c>
      <c r="F933">
        <v>0</v>
      </c>
      <c r="G933">
        <v>27</v>
      </c>
      <c r="H933">
        <v>0</v>
      </c>
      <c r="I933">
        <v>9</v>
      </c>
      <c r="J933">
        <v>4</v>
      </c>
      <c r="K933">
        <v>2</v>
      </c>
      <c r="L933">
        <v>1</v>
      </c>
      <c r="M933">
        <v>0</v>
      </c>
      <c r="N933">
        <v>0</v>
      </c>
    </row>
    <row r="934" spans="1:14" x14ac:dyDescent="0.45">
      <c r="A934" t="s">
        <v>133</v>
      </c>
      <c r="B934" t="s">
        <v>670</v>
      </c>
      <c r="C934" t="s">
        <v>7</v>
      </c>
      <c r="D934" t="s">
        <v>533</v>
      </c>
      <c r="E934">
        <v>2</v>
      </c>
      <c r="F934">
        <v>0</v>
      </c>
      <c r="G934">
        <v>27</v>
      </c>
      <c r="H934">
        <v>0</v>
      </c>
      <c r="I934">
        <v>13.5</v>
      </c>
      <c r="J934">
        <v>4</v>
      </c>
      <c r="K934">
        <v>3</v>
      </c>
      <c r="L934">
        <v>2</v>
      </c>
      <c r="M934">
        <v>0</v>
      </c>
      <c r="N934">
        <v>0</v>
      </c>
    </row>
    <row r="935" spans="1:14" x14ac:dyDescent="0.45">
      <c r="A935" t="s">
        <v>133</v>
      </c>
      <c r="B935" t="s">
        <v>670</v>
      </c>
      <c r="C935" t="s">
        <v>7</v>
      </c>
      <c r="D935" t="s">
        <v>440</v>
      </c>
      <c r="E935">
        <v>3</v>
      </c>
      <c r="F935">
        <v>0</v>
      </c>
      <c r="G935">
        <v>22</v>
      </c>
      <c r="H935">
        <v>2</v>
      </c>
      <c r="I935">
        <v>7.33</v>
      </c>
      <c r="J935">
        <v>2</v>
      </c>
      <c r="K935">
        <v>0</v>
      </c>
      <c r="L935">
        <v>0</v>
      </c>
      <c r="M935">
        <v>1</v>
      </c>
      <c r="N935">
        <v>0</v>
      </c>
    </row>
    <row r="936" spans="1:14" x14ac:dyDescent="0.45">
      <c r="A936" t="s">
        <v>133</v>
      </c>
      <c r="B936" t="s">
        <v>670</v>
      </c>
      <c r="C936" t="s">
        <v>104</v>
      </c>
      <c r="D936" t="s">
        <v>492</v>
      </c>
      <c r="E936">
        <v>3</v>
      </c>
      <c r="F936">
        <v>1</v>
      </c>
      <c r="G936">
        <v>6</v>
      </c>
      <c r="H936">
        <v>1</v>
      </c>
      <c r="I936">
        <v>2</v>
      </c>
      <c r="J936">
        <v>15</v>
      </c>
      <c r="K936">
        <v>1</v>
      </c>
      <c r="L936">
        <v>0</v>
      </c>
      <c r="M936">
        <v>0</v>
      </c>
      <c r="N936">
        <v>0</v>
      </c>
    </row>
    <row r="937" spans="1:14" x14ac:dyDescent="0.45">
      <c r="A937" t="s">
        <v>133</v>
      </c>
      <c r="B937" t="s">
        <v>670</v>
      </c>
      <c r="C937" t="s">
        <v>104</v>
      </c>
      <c r="D937" t="s">
        <v>491</v>
      </c>
      <c r="E937">
        <v>3</v>
      </c>
      <c r="F937">
        <v>0</v>
      </c>
      <c r="G937">
        <v>14</v>
      </c>
      <c r="H937">
        <v>1</v>
      </c>
      <c r="I937">
        <v>4.66</v>
      </c>
      <c r="J937">
        <v>11</v>
      </c>
      <c r="K937">
        <v>2</v>
      </c>
      <c r="L937">
        <v>0</v>
      </c>
      <c r="M937">
        <v>0</v>
      </c>
      <c r="N937">
        <v>0</v>
      </c>
    </row>
    <row r="938" spans="1:14" x14ac:dyDescent="0.45">
      <c r="A938" t="s">
        <v>133</v>
      </c>
      <c r="B938" t="s">
        <v>670</v>
      </c>
      <c r="C938" t="s">
        <v>104</v>
      </c>
      <c r="D938" t="s">
        <v>340</v>
      </c>
      <c r="E938">
        <v>3</v>
      </c>
      <c r="F938">
        <v>1</v>
      </c>
      <c r="G938">
        <v>19</v>
      </c>
      <c r="H938">
        <v>3</v>
      </c>
      <c r="I938">
        <v>6.33</v>
      </c>
      <c r="J938">
        <v>11</v>
      </c>
      <c r="K938">
        <v>1</v>
      </c>
      <c r="L938">
        <v>1</v>
      </c>
      <c r="M938">
        <v>2</v>
      </c>
      <c r="N938">
        <v>0</v>
      </c>
    </row>
    <row r="939" spans="1:14" x14ac:dyDescent="0.45">
      <c r="A939" t="s">
        <v>133</v>
      </c>
      <c r="B939" t="s">
        <v>670</v>
      </c>
      <c r="C939" t="s">
        <v>104</v>
      </c>
      <c r="D939" t="s">
        <v>378</v>
      </c>
      <c r="E939">
        <v>2.2999999999999998</v>
      </c>
      <c r="F939">
        <v>0</v>
      </c>
      <c r="G939">
        <v>31</v>
      </c>
      <c r="H939">
        <v>3</v>
      </c>
      <c r="I939">
        <v>12.4</v>
      </c>
      <c r="J939">
        <v>4</v>
      </c>
      <c r="K939">
        <v>1</v>
      </c>
      <c r="L939">
        <v>3</v>
      </c>
      <c r="M939">
        <v>0</v>
      </c>
      <c r="N939">
        <v>0</v>
      </c>
    </row>
    <row r="940" spans="1:14" x14ac:dyDescent="0.45">
      <c r="A940" t="s">
        <v>133</v>
      </c>
      <c r="B940" t="s">
        <v>670</v>
      </c>
      <c r="C940" t="s">
        <v>104</v>
      </c>
      <c r="D940" t="s">
        <v>407</v>
      </c>
      <c r="E940">
        <v>3</v>
      </c>
      <c r="F940">
        <v>0</v>
      </c>
      <c r="G940">
        <v>30</v>
      </c>
      <c r="H940">
        <v>1</v>
      </c>
      <c r="I940">
        <v>10</v>
      </c>
      <c r="J940">
        <v>8</v>
      </c>
      <c r="K940">
        <v>3</v>
      </c>
      <c r="L940">
        <v>2</v>
      </c>
      <c r="M940">
        <v>0</v>
      </c>
      <c r="N940">
        <v>0</v>
      </c>
    </row>
    <row r="941" spans="1:14" x14ac:dyDescent="0.45">
      <c r="A941" t="s">
        <v>134</v>
      </c>
      <c r="B941" t="s">
        <v>661</v>
      </c>
      <c r="C941" t="s">
        <v>23</v>
      </c>
      <c r="D941" t="s">
        <v>370</v>
      </c>
      <c r="E941">
        <v>4</v>
      </c>
      <c r="F941">
        <v>1</v>
      </c>
      <c r="G941">
        <v>36</v>
      </c>
      <c r="H941">
        <v>0</v>
      </c>
      <c r="I941">
        <v>9</v>
      </c>
      <c r="J941">
        <v>10</v>
      </c>
      <c r="K941">
        <v>5</v>
      </c>
      <c r="L941">
        <v>1</v>
      </c>
      <c r="M941">
        <v>1</v>
      </c>
      <c r="N941">
        <v>0</v>
      </c>
    </row>
    <row r="942" spans="1:14" x14ac:dyDescent="0.45">
      <c r="A942" t="s">
        <v>134</v>
      </c>
      <c r="B942" t="s">
        <v>661</v>
      </c>
      <c r="C942" t="s">
        <v>23</v>
      </c>
      <c r="D942" t="s">
        <v>441</v>
      </c>
      <c r="E942">
        <v>4</v>
      </c>
      <c r="F942">
        <v>0</v>
      </c>
      <c r="G942">
        <v>48</v>
      </c>
      <c r="H942">
        <v>1</v>
      </c>
      <c r="I942">
        <v>12</v>
      </c>
      <c r="J942">
        <v>6</v>
      </c>
      <c r="K942">
        <v>7</v>
      </c>
      <c r="L942">
        <v>1</v>
      </c>
      <c r="M942">
        <v>2</v>
      </c>
      <c r="N942">
        <v>1</v>
      </c>
    </row>
    <row r="943" spans="1:14" x14ac:dyDescent="0.45">
      <c r="A943" t="s">
        <v>134</v>
      </c>
      <c r="B943" t="s">
        <v>661</v>
      </c>
      <c r="C943" t="s">
        <v>23</v>
      </c>
      <c r="D943" t="s">
        <v>527</v>
      </c>
      <c r="E943">
        <v>4</v>
      </c>
      <c r="F943">
        <v>0</v>
      </c>
      <c r="G943">
        <v>42</v>
      </c>
      <c r="H943">
        <v>0</v>
      </c>
      <c r="I943">
        <v>10.5</v>
      </c>
      <c r="J943">
        <v>9</v>
      </c>
      <c r="K943">
        <v>5</v>
      </c>
      <c r="L943">
        <v>2</v>
      </c>
      <c r="M943">
        <v>2</v>
      </c>
      <c r="N943">
        <v>0</v>
      </c>
    </row>
    <row r="944" spans="1:14" x14ac:dyDescent="0.45">
      <c r="A944" t="s">
        <v>134</v>
      </c>
      <c r="B944" t="s">
        <v>661</v>
      </c>
      <c r="C944" t="s">
        <v>23</v>
      </c>
      <c r="D944" t="s">
        <v>339</v>
      </c>
      <c r="E944">
        <v>4</v>
      </c>
      <c r="F944">
        <v>0</v>
      </c>
      <c r="G944">
        <v>32</v>
      </c>
      <c r="H944">
        <v>1</v>
      </c>
      <c r="I944">
        <v>8</v>
      </c>
      <c r="J944">
        <v>8</v>
      </c>
      <c r="K944">
        <v>3</v>
      </c>
      <c r="L944">
        <v>1</v>
      </c>
      <c r="M944">
        <v>1</v>
      </c>
      <c r="N944">
        <v>0</v>
      </c>
    </row>
    <row r="945" spans="1:14" x14ac:dyDescent="0.45">
      <c r="A945" t="s">
        <v>134</v>
      </c>
      <c r="B945" t="s">
        <v>661</v>
      </c>
      <c r="C945" t="s">
        <v>23</v>
      </c>
      <c r="D945" t="s">
        <v>353</v>
      </c>
      <c r="E945">
        <v>4</v>
      </c>
      <c r="F945">
        <v>0</v>
      </c>
      <c r="G945">
        <v>28</v>
      </c>
      <c r="H945">
        <v>3</v>
      </c>
      <c r="I945">
        <v>7</v>
      </c>
      <c r="J945">
        <v>10</v>
      </c>
      <c r="K945">
        <v>0</v>
      </c>
      <c r="L945">
        <v>2</v>
      </c>
      <c r="M945">
        <v>4</v>
      </c>
      <c r="N945">
        <v>0</v>
      </c>
    </row>
    <row r="946" spans="1:14" x14ac:dyDescent="0.45">
      <c r="A946" t="s">
        <v>134</v>
      </c>
      <c r="B946" t="s">
        <v>661</v>
      </c>
      <c r="C946" t="s">
        <v>26</v>
      </c>
      <c r="D946" t="s">
        <v>429</v>
      </c>
      <c r="E946">
        <v>4</v>
      </c>
      <c r="F946">
        <v>0</v>
      </c>
      <c r="G946">
        <v>41</v>
      </c>
      <c r="H946">
        <v>0</v>
      </c>
      <c r="I946">
        <v>10.25</v>
      </c>
      <c r="J946">
        <v>10</v>
      </c>
      <c r="K946">
        <v>7</v>
      </c>
      <c r="L946">
        <v>1</v>
      </c>
      <c r="M946">
        <v>1</v>
      </c>
      <c r="N946">
        <v>0</v>
      </c>
    </row>
    <row r="947" spans="1:14" x14ac:dyDescent="0.45">
      <c r="A947" t="s">
        <v>134</v>
      </c>
      <c r="B947" t="s">
        <v>661</v>
      </c>
      <c r="C947" t="s">
        <v>26</v>
      </c>
      <c r="D947" t="s">
        <v>341</v>
      </c>
      <c r="E947">
        <v>4</v>
      </c>
      <c r="F947">
        <v>0</v>
      </c>
      <c r="G947">
        <v>50</v>
      </c>
      <c r="H947">
        <v>1</v>
      </c>
      <c r="I947">
        <v>12.5</v>
      </c>
      <c r="J947">
        <v>7</v>
      </c>
      <c r="K947">
        <v>7</v>
      </c>
      <c r="L947">
        <v>2</v>
      </c>
      <c r="M947">
        <v>1</v>
      </c>
      <c r="N947">
        <v>0</v>
      </c>
    </row>
    <row r="948" spans="1:14" x14ac:dyDescent="0.45">
      <c r="A948" t="s">
        <v>134</v>
      </c>
      <c r="B948" t="s">
        <v>661</v>
      </c>
      <c r="C948" t="s">
        <v>26</v>
      </c>
      <c r="D948" t="s">
        <v>405</v>
      </c>
      <c r="E948">
        <v>4</v>
      </c>
      <c r="F948">
        <v>0</v>
      </c>
      <c r="G948">
        <v>29</v>
      </c>
      <c r="H948">
        <v>2</v>
      </c>
      <c r="I948">
        <v>7.25</v>
      </c>
      <c r="J948">
        <v>8</v>
      </c>
      <c r="K948">
        <v>4</v>
      </c>
      <c r="L948">
        <v>0</v>
      </c>
      <c r="M948">
        <v>1</v>
      </c>
      <c r="N948">
        <v>0</v>
      </c>
    </row>
    <row r="949" spans="1:14" x14ac:dyDescent="0.45">
      <c r="A949" t="s">
        <v>134</v>
      </c>
      <c r="B949" t="s">
        <v>661</v>
      </c>
      <c r="C949" t="s">
        <v>26</v>
      </c>
      <c r="D949" t="s">
        <v>520</v>
      </c>
      <c r="E949">
        <v>3</v>
      </c>
      <c r="F949">
        <v>0</v>
      </c>
      <c r="G949">
        <v>25</v>
      </c>
      <c r="H949">
        <v>1</v>
      </c>
      <c r="I949">
        <v>8.33</v>
      </c>
      <c r="J949">
        <v>5</v>
      </c>
      <c r="K949">
        <v>4</v>
      </c>
      <c r="L949">
        <v>0</v>
      </c>
      <c r="M949">
        <v>0</v>
      </c>
      <c r="N949">
        <v>0</v>
      </c>
    </row>
    <row r="950" spans="1:14" x14ac:dyDescent="0.45">
      <c r="A950" t="s">
        <v>134</v>
      </c>
      <c r="B950" t="s">
        <v>661</v>
      </c>
      <c r="C950" t="s">
        <v>26</v>
      </c>
      <c r="D950" t="s">
        <v>435</v>
      </c>
      <c r="E950">
        <v>3.4</v>
      </c>
      <c r="F950">
        <v>0</v>
      </c>
      <c r="G950">
        <v>39</v>
      </c>
      <c r="H950">
        <v>0</v>
      </c>
      <c r="I950">
        <v>10.63</v>
      </c>
      <c r="J950">
        <v>5</v>
      </c>
      <c r="K950">
        <v>2</v>
      </c>
      <c r="L950">
        <v>2</v>
      </c>
      <c r="M950">
        <v>2</v>
      </c>
      <c r="N950">
        <v>0</v>
      </c>
    </row>
    <row r="951" spans="1:14" x14ac:dyDescent="0.45">
      <c r="A951" t="s">
        <v>134</v>
      </c>
      <c r="B951" t="s">
        <v>661</v>
      </c>
      <c r="C951" t="s">
        <v>26</v>
      </c>
      <c r="D951" t="s">
        <v>384</v>
      </c>
      <c r="E951">
        <v>1</v>
      </c>
      <c r="F951">
        <v>0</v>
      </c>
      <c r="G951">
        <v>6</v>
      </c>
      <c r="H951">
        <v>0</v>
      </c>
      <c r="I951">
        <v>6</v>
      </c>
      <c r="J951">
        <v>1</v>
      </c>
      <c r="K951">
        <v>0</v>
      </c>
      <c r="L951">
        <v>0</v>
      </c>
      <c r="M951">
        <v>1</v>
      </c>
      <c r="N951">
        <v>0</v>
      </c>
    </row>
    <row r="952" spans="1:14" x14ac:dyDescent="0.45">
      <c r="A952" t="s">
        <v>135</v>
      </c>
      <c r="B952" t="s">
        <v>678</v>
      </c>
      <c r="C952" t="s">
        <v>101</v>
      </c>
      <c r="D952" t="s">
        <v>403</v>
      </c>
      <c r="E952">
        <v>4</v>
      </c>
      <c r="F952">
        <v>0</v>
      </c>
      <c r="G952">
        <v>42</v>
      </c>
      <c r="H952">
        <v>0</v>
      </c>
      <c r="I952">
        <v>10.5</v>
      </c>
      <c r="J952">
        <v>8</v>
      </c>
      <c r="K952">
        <v>2</v>
      </c>
      <c r="L952">
        <v>3</v>
      </c>
      <c r="M952">
        <v>2</v>
      </c>
      <c r="N952">
        <v>0</v>
      </c>
    </row>
    <row r="953" spans="1:14" x14ac:dyDescent="0.45">
      <c r="A953" t="s">
        <v>135</v>
      </c>
      <c r="B953" t="s">
        <v>678</v>
      </c>
      <c r="C953" t="s">
        <v>101</v>
      </c>
      <c r="D953" t="s">
        <v>493</v>
      </c>
      <c r="E953">
        <v>4</v>
      </c>
      <c r="F953">
        <v>0</v>
      </c>
      <c r="G953">
        <v>41</v>
      </c>
      <c r="H953">
        <v>1</v>
      </c>
      <c r="I953">
        <v>10.25</v>
      </c>
      <c r="J953">
        <v>9</v>
      </c>
      <c r="K953">
        <v>5</v>
      </c>
      <c r="L953">
        <v>2</v>
      </c>
      <c r="M953">
        <v>0</v>
      </c>
      <c r="N953">
        <v>0</v>
      </c>
    </row>
    <row r="954" spans="1:14" x14ac:dyDescent="0.45">
      <c r="A954" t="s">
        <v>135</v>
      </c>
      <c r="B954" t="s">
        <v>678</v>
      </c>
      <c r="C954" t="s">
        <v>101</v>
      </c>
      <c r="D954" t="s">
        <v>379</v>
      </c>
      <c r="E954">
        <v>4</v>
      </c>
      <c r="F954">
        <v>0</v>
      </c>
      <c r="G954">
        <v>24</v>
      </c>
      <c r="H954">
        <v>2</v>
      </c>
      <c r="I954">
        <v>6</v>
      </c>
      <c r="J954">
        <v>10</v>
      </c>
      <c r="K954">
        <v>2</v>
      </c>
      <c r="L954">
        <v>0</v>
      </c>
      <c r="M954">
        <v>0</v>
      </c>
      <c r="N954">
        <v>0</v>
      </c>
    </row>
    <row r="955" spans="1:14" x14ac:dyDescent="0.45">
      <c r="A955" t="s">
        <v>135</v>
      </c>
      <c r="B955" t="s">
        <v>678</v>
      </c>
      <c r="C955" t="s">
        <v>101</v>
      </c>
      <c r="D955" t="s">
        <v>317</v>
      </c>
      <c r="E955">
        <v>4</v>
      </c>
      <c r="F955">
        <v>0</v>
      </c>
      <c r="G955">
        <v>34</v>
      </c>
      <c r="H955">
        <v>1</v>
      </c>
      <c r="I955">
        <v>8.5</v>
      </c>
      <c r="J955">
        <v>12</v>
      </c>
      <c r="K955">
        <v>3</v>
      </c>
      <c r="L955">
        <v>2</v>
      </c>
      <c r="M955">
        <v>0</v>
      </c>
      <c r="N955">
        <v>1</v>
      </c>
    </row>
    <row r="956" spans="1:14" x14ac:dyDescent="0.45">
      <c r="A956" t="s">
        <v>135</v>
      </c>
      <c r="B956" t="s">
        <v>678</v>
      </c>
      <c r="C956" t="s">
        <v>101</v>
      </c>
      <c r="D956" t="s">
        <v>535</v>
      </c>
      <c r="E956">
        <v>3</v>
      </c>
      <c r="F956">
        <v>0</v>
      </c>
      <c r="G956">
        <v>23</v>
      </c>
      <c r="H956">
        <v>1</v>
      </c>
      <c r="I956">
        <v>7.66</v>
      </c>
      <c r="J956">
        <v>6</v>
      </c>
      <c r="K956">
        <v>2</v>
      </c>
      <c r="L956">
        <v>0</v>
      </c>
      <c r="M956">
        <v>2</v>
      </c>
      <c r="N956">
        <v>0</v>
      </c>
    </row>
    <row r="957" spans="1:14" x14ac:dyDescent="0.45">
      <c r="A957" t="s">
        <v>135</v>
      </c>
      <c r="B957" t="s">
        <v>678</v>
      </c>
      <c r="C957" t="s">
        <v>101</v>
      </c>
      <c r="D957" t="s">
        <v>390</v>
      </c>
      <c r="E957">
        <v>1</v>
      </c>
      <c r="F957">
        <v>0</v>
      </c>
      <c r="G957">
        <v>11</v>
      </c>
      <c r="H957">
        <v>0</v>
      </c>
      <c r="I957">
        <v>11</v>
      </c>
      <c r="J957">
        <v>0</v>
      </c>
      <c r="K957">
        <v>0</v>
      </c>
      <c r="L957">
        <v>1</v>
      </c>
      <c r="M957">
        <v>0</v>
      </c>
      <c r="N957">
        <v>0</v>
      </c>
    </row>
    <row r="958" spans="1:14" x14ac:dyDescent="0.45">
      <c r="A958" t="s">
        <v>135</v>
      </c>
      <c r="B958" t="s">
        <v>678</v>
      </c>
      <c r="C958" t="s">
        <v>19</v>
      </c>
      <c r="D958" t="s">
        <v>464</v>
      </c>
      <c r="E958">
        <v>3</v>
      </c>
      <c r="F958">
        <v>0</v>
      </c>
      <c r="G958">
        <v>18</v>
      </c>
      <c r="H958">
        <v>0</v>
      </c>
      <c r="I958">
        <v>6</v>
      </c>
      <c r="J958">
        <v>9</v>
      </c>
      <c r="K958">
        <v>3</v>
      </c>
      <c r="L958">
        <v>0</v>
      </c>
      <c r="M958">
        <v>0</v>
      </c>
      <c r="N958">
        <v>0</v>
      </c>
    </row>
    <row r="959" spans="1:14" x14ac:dyDescent="0.45">
      <c r="A959" t="s">
        <v>135</v>
      </c>
      <c r="B959" t="s">
        <v>678</v>
      </c>
      <c r="C959" t="s">
        <v>19</v>
      </c>
      <c r="D959" t="s">
        <v>369</v>
      </c>
      <c r="E959">
        <v>4</v>
      </c>
      <c r="F959">
        <v>0</v>
      </c>
      <c r="G959">
        <v>48</v>
      </c>
      <c r="H959">
        <v>0</v>
      </c>
      <c r="I959">
        <v>12</v>
      </c>
      <c r="J959">
        <v>7</v>
      </c>
      <c r="K959">
        <v>5</v>
      </c>
      <c r="L959">
        <v>3</v>
      </c>
      <c r="M959">
        <v>0</v>
      </c>
      <c r="N959">
        <v>0</v>
      </c>
    </row>
    <row r="960" spans="1:14" x14ac:dyDescent="0.45">
      <c r="A960" t="s">
        <v>135</v>
      </c>
      <c r="B960" t="s">
        <v>678</v>
      </c>
      <c r="C960" t="s">
        <v>19</v>
      </c>
      <c r="D960" t="s">
        <v>473</v>
      </c>
      <c r="E960">
        <v>4</v>
      </c>
      <c r="F960">
        <v>0</v>
      </c>
      <c r="G960">
        <v>29</v>
      </c>
      <c r="H960">
        <v>2</v>
      </c>
      <c r="I960">
        <v>7.25</v>
      </c>
      <c r="J960">
        <v>8</v>
      </c>
      <c r="K960">
        <v>2</v>
      </c>
      <c r="L960">
        <v>1</v>
      </c>
      <c r="M960">
        <v>0</v>
      </c>
      <c r="N960">
        <v>0</v>
      </c>
    </row>
    <row r="961" spans="1:14" x14ac:dyDescent="0.45">
      <c r="A961" t="s">
        <v>135</v>
      </c>
      <c r="B961" t="s">
        <v>678</v>
      </c>
      <c r="C961" t="s">
        <v>19</v>
      </c>
      <c r="D961" t="s">
        <v>457</v>
      </c>
      <c r="E961">
        <v>4</v>
      </c>
      <c r="F961">
        <v>0</v>
      </c>
      <c r="G961">
        <v>32</v>
      </c>
      <c r="H961">
        <v>0</v>
      </c>
      <c r="I961">
        <v>8</v>
      </c>
      <c r="J961">
        <v>9</v>
      </c>
      <c r="K961">
        <v>5</v>
      </c>
      <c r="L961">
        <v>0</v>
      </c>
      <c r="M961">
        <v>1</v>
      </c>
      <c r="N961">
        <v>0</v>
      </c>
    </row>
    <row r="962" spans="1:14" x14ac:dyDescent="0.45">
      <c r="A962" t="s">
        <v>135</v>
      </c>
      <c r="B962" t="s">
        <v>678</v>
      </c>
      <c r="C962" t="s">
        <v>19</v>
      </c>
      <c r="D962" t="s">
        <v>524</v>
      </c>
      <c r="E962">
        <v>3</v>
      </c>
      <c r="F962">
        <v>0</v>
      </c>
      <c r="G962">
        <v>29</v>
      </c>
      <c r="H962">
        <v>0</v>
      </c>
      <c r="I962">
        <v>9.66</v>
      </c>
      <c r="J962">
        <v>4</v>
      </c>
      <c r="K962">
        <v>3</v>
      </c>
      <c r="L962">
        <v>1</v>
      </c>
      <c r="M962">
        <v>0</v>
      </c>
      <c r="N962">
        <v>0</v>
      </c>
    </row>
    <row r="963" spans="1:14" x14ac:dyDescent="0.45">
      <c r="A963" t="s">
        <v>135</v>
      </c>
      <c r="B963" t="s">
        <v>678</v>
      </c>
      <c r="C963" t="s">
        <v>19</v>
      </c>
      <c r="D963" t="s">
        <v>362</v>
      </c>
      <c r="E963">
        <v>2</v>
      </c>
      <c r="F963">
        <v>0</v>
      </c>
      <c r="G963">
        <v>13</v>
      </c>
      <c r="H963">
        <v>1</v>
      </c>
      <c r="I963">
        <v>6.5</v>
      </c>
      <c r="J963">
        <v>4</v>
      </c>
      <c r="K963">
        <v>0</v>
      </c>
      <c r="L963">
        <v>1</v>
      </c>
      <c r="M963">
        <v>0</v>
      </c>
      <c r="N963">
        <v>0</v>
      </c>
    </row>
    <row r="964" spans="1:14" x14ac:dyDescent="0.45">
      <c r="A964" t="s">
        <v>137</v>
      </c>
      <c r="B964" t="s">
        <v>679</v>
      </c>
      <c r="C964" t="s">
        <v>20</v>
      </c>
      <c r="D964" t="s">
        <v>409</v>
      </c>
      <c r="E964">
        <v>4</v>
      </c>
      <c r="F964">
        <v>1</v>
      </c>
      <c r="G964">
        <v>25</v>
      </c>
      <c r="H964">
        <v>1</v>
      </c>
      <c r="I964">
        <v>6.25</v>
      </c>
      <c r="J964">
        <v>14</v>
      </c>
      <c r="K964">
        <v>3</v>
      </c>
      <c r="L964">
        <v>1</v>
      </c>
      <c r="M964">
        <v>0</v>
      </c>
      <c r="N964">
        <v>0</v>
      </c>
    </row>
    <row r="965" spans="1:14" x14ac:dyDescent="0.45">
      <c r="A965" t="s">
        <v>137</v>
      </c>
      <c r="B965" t="s">
        <v>679</v>
      </c>
      <c r="C965" t="s">
        <v>20</v>
      </c>
      <c r="D965" t="s">
        <v>536</v>
      </c>
      <c r="E965">
        <v>4</v>
      </c>
      <c r="F965">
        <v>0</v>
      </c>
      <c r="G965">
        <v>47</v>
      </c>
      <c r="H965">
        <v>1</v>
      </c>
      <c r="I965">
        <v>11.75</v>
      </c>
      <c r="J965">
        <v>7</v>
      </c>
      <c r="K965">
        <v>5</v>
      </c>
      <c r="L965">
        <v>2</v>
      </c>
      <c r="M965">
        <v>3</v>
      </c>
      <c r="N965">
        <v>0</v>
      </c>
    </row>
    <row r="966" spans="1:14" x14ac:dyDescent="0.45">
      <c r="A966" t="s">
        <v>137</v>
      </c>
      <c r="B966" t="s">
        <v>679</v>
      </c>
      <c r="C966" t="s">
        <v>20</v>
      </c>
      <c r="D966" t="s">
        <v>382</v>
      </c>
      <c r="E966">
        <v>4</v>
      </c>
      <c r="F966">
        <v>0</v>
      </c>
      <c r="G966">
        <v>52</v>
      </c>
      <c r="H966">
        <v>0</v>
      </c>
      <c r="I966">
        <v>13</v>
      </c>
      <c r="J966">
        <v>9</v>
      </c>
      <c r="K966">
        <v>6</v>
      </c>
      <c r="L966">
        <v>2</v>
      </c>
      <c r="M966">
        <v>2</v>
      </c>
      <c r="N966">
        <v>0</v>
      </c>
    </row>
    <row r="967" spans="1:14" x14ac:dyDescent="0.45">
      <c r="A967" t="s">
        <v>137</v>
      </c>
      <c r="B967" t="s">
        <v>679</v>
      </c>
      <c r="C967" t="s">
        <v>20</v>
      </c>
      <c r="D967" t="s">
        <v>432</v>
      </c>
      <c r="E967">
        <v>4</v>
      </c>
      <c r="F967">
        <v>0</v>
      </c>
      <c r="G967">
        <v>37</v>
      </c>
      <c r="H967">
        <v>0</v>
      </c>
      <c r="I967">
        <v>9.25</v>
      </c>
      <c r="J967">
        <v>10</v>
      </c>
      <c r="K967">
        <v>3</v>
      </c>
      <c r="L967">
        <v>2</v>
      </c>
      <c r="M967">
        <v>1</v>
      </c>
      <c r="N967">
        <v>1</v>
      </c>
    </row>
    <row r="968" spans="1:14" x14ac:dyDescent="0.45">
      <c r="A968" t="s">
        <v>137</v>
      </c>
      <c r="B968" t="s">
        <v>679</v>
      </c>
      <c r="C968" t="s">
        <v>20</v>
      </c>
      <c r="D968" t="s">
        <v>412</v>
      </c>
      <c r="E968">
        <v>3</v>
      </c>
      <c r="F968">
        <v>0</v>
      </c>
      <c r="G968">
        <v>34</v>
      </c>
      <c r="H968">
        <v>1</v>
      </c>
      <c r="I968">
        <v>11.33</v>
      </c>
      <c r="J968">
        <v>7</v>
      </c>
      <c r="K968">
        <v>1</v>
      </c>
      <c r="L968">
        <v>4</v>
      </c>
      <c r="M968">
        <v>0</v>
      </c>
      <c r="N968">
        <v>0</v>
      </c>
    </row>
    <row r="969" spans="1:14" x14ac:dyDescent="0.45">
      <c r="A969" t="s">
        <v>137</v>
      </c>
      <c r="B969" t="s">
        <v>679</v>
      </c>
      <c r="C969" t="s">
        <v>20</v>
      </c>
      <c r="D969" t="s">
        <v>401</v>
      </c>
      <c r="E969">
        <v>1</v>
      </c>
      <c r="F969">
        <v>0</v>
      </c>
      <c r="G969">
        <v>11</v>
      </c>
      <c r="H969">
        <v>0</v>
      </c>
      <c r="I969">
        <v>11</v>
      </c>
      <c r="J969">
        <v>0</v>
      </c>
      <c r="K969">
        <v>0</v>
      </c>
      <c r="L969">
        <v>1</v>
      </c>
      <c r="M969">
        <v>0</v>
      </c>
      <c r="N969">
        <v>0</v>
      </c>
    </row>
    <row r="970" spans="1:14" x14ac:dyDescent="0.45">
      <c r="A970" t="s">
        <v>137</v>
      </c>
      <c r="B970" t="s">
        <v>679</v>
      </c>
      <c r="C970" t="s">
        <v>10</v>
      </c>
      <c r="D970" t="s">
        <v>326</v>
      </c>
      <c r="E970">
        <v>4</v>
      </c>
      <c r="F970">
        <v>0</v>
      </c>
      <c r="G970">
        <v>44</v>
      </c>
      <c r="H970">
        <v>2</v>
      </c>
      <c r="I970">
        <v>11</v>
      </c>
      <c r="J970">
        <v>10</v>
      </c>
      <c r="K970">
        <v>4</v>
      </c>
      <c r="L970">
        <v>2</v>
      </c>
      <c r="M970">
        <v>2</v>
      </c>
      <c r="N970">
        <v>0</v>
      </c>
    </row>
    <row r="971" spans="1:14" x14ac:dyDescent="0.45">
      <c r="A971" t="s">
        <v>137</v>
      </c>
      <c r="B971" t="s">
        <v>679</v>
      </c>
      <c r="C971" t="s">
        <v>10</v>
      </c>
      <c r="D971" t="s">
        <v>444</v>
      </c>
      <c r="E971">
        <v>4</v>
      </c>
      <c r="F971">
        <v>0</v>
      </c>
      <c r="G971">
        <v>30</v>
      </c>
      <c r="H971">
        <v>3</v>
      </c>
      <c r="I971">
        <v>7.5</v>
      </c>
      <c r="J971">
        <v>14</v>
      </c>
      <c r="K971">
        <v>3</v>
      </c>
      <c r="L971">
        <v>2</v>
      </c>
      <c r="M971">
        <v>0</v>
      </c>
      <c r="N971">
        <v>0</v>
      </c>
    </row>
    <row r="972" spans="1:14" x14ac:dyDescent="0.45">
      <c r="A972" t="s">
        <v>137</v>
      </c>
      <c r="B972" t="s">
        <v>679</v>
      </c>
      <c r="C972" t="s">
        <v>10</v>
      </c>
      <c r="D972" t="s">
        <v>338</v>
      </c>
      <c r="E972">
        <v>4</v>
      </c>
      <c r="F972">
        <v>0</v>
      </c>
      <c r="G972">
        <v>35</v>
      </c>
      <c r="H972">
        <v>1</v>
      </c>
      <c r="I972">
        <v>8.75</v>
      </c>
      <c r="J972">
        <v>11</v>
      </c>
      <c r="K972">
        <v>1</v>
      </c>
      <c r="L972">
        <v>3</v>
      </c>
      <c r="M972">
        <v>3</v>
      </c>
      <c r="N972">
        <v>0</v>
      </c>
    </row>
    <row r="973" spans="1:14" x14ac:dyDescent="0.45">
      <c r="A973" t="s">
        <v>137</v>
      </c>
      <c r="B973" t="s">
        <v>679</v>
      </c>
      <c r="C973" t="s">
        <v>10</v>
      </c>
      <c r="D973" t="s">
        <v>498</v>
      </c>
      <c r="E973">
        <v>4</v>
      </c>
      <c r="F973">
        <v>0</v>
      </c>
      <c r="G973">
        <v>36</v>
      </c>
      <c r="H973">
        <v>1</v>
      </c>
      <c r="I973">
        <v>9</v>
      </c>
      <c r="J973">
        <v>9</v>
      </c>
      <c r="K973">
        <v>6</v>
      </c>
      <c r="L973">
        <v>0</v>
      </c>
      <c r="M973">
        <v>1</v>
      </c>
      <c r="N973">
        <v>0</v>
      </c>
    </row>
    <row r="974" spans="1:14" x14ac:dyDescent="0.45">
      <c r="A974" t="s">
        <v>137</v>
      </c>
      <c r="B974" t="s">
        <v>679</v>
      </c>
      <c r="C974" t="s">
        <v>10</v>
      </c>
      <c r="D974" t="s">
        <v>500</v>
      </c>
      <c r="E974">
        <v>4</v>
      </c>
      <c r="F974">
        <v>0</v>
      </c>
      <c r="G974">
        <v>40</v>
      </c>
      <c r="H974">
        <v>1</v>
      </c>
      <c r="I974">
        <v>10</v>
      </c>
      <c r="J974">
        <v>10</v>
      </c>
      <c r="K974">
        <v>2</v>
      </c>
      <c r="L974">
        <v>4</v>
      </c>
      <c r="M974">
        <v>0</v>
      </c>
      <c r="N974">
        <v>0</v>
      </c>
    </row>
    <row r="975" spans="1:14" x14ac:dyDescent="0.45">
      <c r="A975" t="s">
        <v>138</v>
      </c>
      <c r="B975" t="s">
        <v>647</v>
      </c>
      <c r="C975" t="s">
        <v>6</v>
      </c>
      <c r="D975" t="s">
        <v>509</v>
      </c>
      <c r="E975">
        <v>3</v>
      </c>
      <c r="F975">
        <v>0</v>
      </c>
      <c r="G975">
        <v>30</v>
      </c>
      <c r="H975">
        <v>0</v>
      </c>
      <c r="I975">
        <v>10</v>
      </c>
      <c r="J975">
        <v>8</v>
      </c>
      <c r="K975">
        <v>4</v>
      </c>
      <c r="L975">
        <v>1</v>
      </c>
      <c r="M975">
        <v>1</v>
      </c>
      <c r="N975">
        <v>0</v>
      </c>
    </row>
    <row r="976" spans="1:14" x14ac:dyDescent="0.45">
      <c r="A976" t="s">
        <v>138</v>
      </c>
      <c r="B976" t="s">
        <v>647</v>
      </c>
      <c r="C976" t="s">
        <v>6</v>
      </c>
      <c r="D976" t="s">
        <v>508</v>
      </c>
      <c r="E976">
        <v>2</v>
      </c>
      <c r="F976">
        <v>0</v>
      </c>
      <c r="G976">
        <v>21</v>
      </c>
      <c r="H976">
        <v>0</v>
      </c>
      <c r="I976">
        <v>10.5</v>
      </c>
      <c r="J976">
        <v>6</v>
      </c>
      <c r="K976">
        <v>2</v>
      </c>
      <c r="L976">
        <v>1</v>
      </c>
      <c r="M976">
        <v>1</v>
      </c>
      <c r="N976">
        <v>0</v>
      </c>
    </row>
    <row r="977" spans="1:14" x14ac:dyDescent="0.45">
      <c r="A977" t="s">
        <v>138</v>
      </c>
      <c r="B977" t="s">
        <v>647</v>
      </c>
      <c r="C977" t="s">
        <v>6</v>
      </c>
      <c r="D977" t="s">
        <v>523</v>
      </c>
      <c r="E977">
        <v>4</v>
      </c>
      <c r="F977">
        <v>0</v>
      </c>
      <c r="G977">
        <v>27</v>
      </c>
      <c r="H977">
        <v>3</v>
      </c>
      <c r="I977">
        <v>6.75</v>
      </c>
      <c r="J977">
        <v>8</v>
      </c>
      <c r="K977">
        <v>2</v>
      </c>
      <c r="L977">
        <v>1</v>
      </c>
      <c r="M977">
        <v>0</v>
      </c>
      <c r="N977">
        <v>0</v>
      </c>
    </row>
    <row r="978" spans="1:14" x14ac:dyDescent="0.45">
      <c r="A978" t="s">
        <v>138</v>
      </c>
      <c r="B978" t="s">
        <v>647</v>
      </c>
      <c r="C978" t="s">
        <v>6</v>
      </c>
      <c r="D978" t="s">
        <v>328</v>
      </c>
      <c r="E978">
        <v>4</v>
      </c>
      <c r="F978">
        <v>0</v>
      </c>
      <c r="G978">
        <v>20</v>
      </c>
      <c r="H978">
        <v>0</v>
      </c>
      <c r="I978">
        <v>5</v>
      </c>
      <c r="J978">
        <v>7</v>
      </c>
      <c r="K978">
        <v>1</v>
      </c>
      <c r="L978">
        <v>0</v>
      </c>
      <c r="M978">
        <v>0</v>
      </c>
      <c r="N978">
        <v>0</v>
      </c>
    </row>
    <row r="979" spans="1:14" x14ac:dyDescent="0.45">
      <c r="A979" t="s">
        <v>138</v>
      </c>
      <c r="B979" t="s">
        <v>647</v>
      </c>
      <c r="C979" t="s">
        <v>6</v>
      </c>
      <c r="D979" t="s">
        <v>299</v>
      </c>
      <c r="E979">
        <v>4</v>
      </c>
      <c r="F979">
        <v>0</v>
      </c>
      <c r="G979">
        <v>28</v>
      </c>
      <c r="H979">
        <v>2</v>
      </c>
      <c r="I979">
        <v>7</v>
      </c>
      <c r="J979">
        <v>8</v>
      </c>
      <c r="K979">
        <v>1</v>
      </c>
      <c r="L979">
        <v>1</v>
      </c>
      <c r="M979">
        <v>3</v>
      </c>
      <c r="N979">
        <v>0</v>
      </c>
    </row>
    <row r="980" spans="1:14" x14ac:dyDescent="0.45">
      <c r="A980" t="s">
        <v>138</v>
      </c>
      <c r="B980" t="s">
        <v>647</v>
      </c>
      <c r="C980" t="s">
        <v>6</v>
      </c>
      <c r="D980" t="s">
        <v>537</v>
      </c>
      <c r="E980">
        <v>3</v>
      </c>
      <c r="F980">
        <v>0</v>
      </c>
      <c r="G980">
        <v>42</v>
      </c>
      <c r="H980">
        <v>1</v>
      </c>
      <c r="I980">
        <v>14</v>
      </c>
      <c r="J980">
        <v>4</v>
      </c>
      <c r="K980">
        <v>2</v>
      </c>
      <c r="L980">
        <v>3</v>
      </c>
      <c r="M980">
        <v>2</v>
      </c>
      <c r="N980">
        <v>0</v>
      </c>
    </row>
    <row r="981" spans="1:14" x14ac:dyDescent="0.45">
      <c r="A981" t="s">
        <v>138</v>
      </c>
      <c r="B981" t="s">
        <v>647</v>
      </c>
      <c r="C981" t="s">
        <v>13</v>
      </c>
      <c r="D981" t="s">
        <v>347</v>
      </c>
      <c r="E981">
        <v>3</v>
      </c>
      <c r="F981">
        <v>0</v>
      </c>
      <c r="G981">
        <v>27</v>
      </c>
      <c r="H981">
        <v>1</v>
      </c>
      <c r="I981">
        <v>9</v>
      </c>
      <c r="J981">
        <v>6</v>
      </c>
      <c r="K981">
        <v>3</v>
      </c>
      <c r="L981">
        <v>1</v>
      </c>
      <c r="M981">
        <v>0</v>
      </c>
      <c r="N981">
        <v>0</v>
      </c>
    </row>
    <row r="982" spans="1:14" x14ac:dyDescent="0.45">
      <c r="A982" t="s">
        <v>138</v>
      </c>
      <c r="B982" t="s">
        <v>647</v>
      </c>
      <c r="C982" t="s">
        <v>13</v>
      </c>
      <c r="D982" t="s">
        <v>325</v>
      </c>
      <c r="E982">
        <v>4</v>
      </c>
      <c r="F982">
        <v>0</v>
      </c>
      <c r="G982">
        <v>19</v>
      </c>
      <c r="H982">
        <v>1</v>
      </c>
      <c r="I982">
        <v>4.75</v>
      </c>
      <c r="J982">
        <v>10</v>
      </c>
      <c r="K982">
        <v>1</v>
      </c>
      <c r="L982">
        <v>0</v>
      </c>
      <c r="M982">
        <v>0</v>
      </c>
      <c r="N982">
        <v>0</v>
      </c>
    </row>
    <row r="983" spans="1:14" x14ac:dyDescent="0.45">
      <c r="A983" t="s">
        <v>138</v>
      </c>
      <c r="B983" t="s">
        <v>647</v>
      </c>
      <c r="C983" t="s">
        <v>13</v>
      </c>
      <c r="D983" t="s">
        <v>352</v>
      </c>
      <c r="E983">
        <v>2</v>
      </c>
      <c r="F983">
        <v>0</v>
      </c>
      <c r="G983">
        <v>22</v>
      </c>
      <c r="H983">
        <v>0</v>
      </c>
      <c r="I983">
        <v>11</v>
      </c>
      <c r="J983">
        <v>2</v>
      </c>
      <c r="K983">
        <v>4</v>
      </c>
      <c r="L983">
        <v>0</v>
      </c>
      <c r="M983">
        <v>0</v>
      </c>
      <c r="N983">
        <v>0</v>
      </c>
    </row>
    <row r="984" spans="1:14" x14ac:dyDescent="0.45">
      <c r="A984" t="s">
        <v>138</v>
      </c>
      <c r="B984" t="s">
        <v>647</v>
      </c>
      <c r="C984" t="s">
        <v>13</v>
      </c>
      <c r="D984" t="s">
        <v>448</v>
      </c>
      <c r="E984">
        <v>3</v>
      </c>
      <c r="F984">
        <v>0</v>
      </c>
      <c r="G984">
        <v>31</v>
      </c>
      <c r="H984">
        <v>1</v>
      </c>
      <c r="I984">
        <v>10.33</v>
      </c>
      <c r="J984">
        <v>7</v>
      </c>
      <c r="K984">
        <v>0</v>
      </c>
      <c r="L984">
        <v>4</v>
      </c>
      <c r="M984">
        <v>0</v>
      </c>
      <c r="N984">
        <v>0</v>
      </c>
    </row>
    <row r="985" spans="1:14" x14ac:dyDescent="0.45">
      <c r="A985" t="s">
        <v>138</v>
      </c>
      <c r="B985" t="s">
        <v>647</v>
      </c>
      <c r="C985" t="s">
        <v>13</v>
      </c>
      <c r="D985" t="s">
        <v>345</v>
      </c>
      <c r="E985">
        <v>4</v>
      </c>
      <c r="F985">
        <v>0</v>
      </c>
      <c r="G985">
        <v>22</v>
      </c>
      <c r="H985">
        <v>2</v>
      </c>
      <c r="I985">
        <v>5.5</v>
      </c>
      <c r="J985">
        <v>8</v>
      </c>
      <c r="K985">
        <v>2</v>
      </c>
      <c r="L985">
        <v>0</v>
      </c>
      <c r="M985">
        <v>0</v>
      </c>
      <c r="N985">
        <v>0</v>
      </c>
    </row>
    <row r="986" spans="1:14" x14ac:dyDescent="0.45">
      <c r="A986" t="s">
        <v>138</v>
      </c>
      <c r="B986" t="s">
        <v>647</v>
      </c>
      <c r="C986" t="s">
        <v>13</v>
      </c>
      <c r="D986" t="s">
        <v>349</v>
      </c>
      <c r="E986">
        <v>4</v>
      </c>
      <c r="F986">
        <v>0</v>
      </c>
      <c r="G986">
        <v>35</v>
      </c>
      <c r="H986">
        <v>3</v>
      </c>
      <c r="I986">
        <v>8.75</v>
      </c>
      <c r="J986">
        <v>11</v>
      </c>
      <c r="K986">
        <v>2</v>
      </c>
      <c r="L986">
        <v>3</v>
      </c>
      <c r="M986">
        <v>0</v>
      </c>
      <c r="N986">
        <v>0</v>
      </c>
    </row>
    <row r="987" spans="1:14" x14ac:dyDescent="0.45">
      <c r="A987" t="s">
        <v>139</v>
      </c>
      <c r="B987" t="s">
        <v>680</v>
      </c>
      <c r="C987" t="s">
        <v>26</v>
      </c>
      <c r="D987" t="s">
        <v>429</v>
      </c>
      <c r="E987">
        <v>4</v>
      </c>
      <c r="F987">
        <v>0</v>
      </c>
      <c r="G987">
        <v>17</v>
      </c>
      <c r="H987">
        <v>0</v>
      </c>
      <c r="I987">
        <v>4.25</v>
      </c>
      <c r="J987">
        <v>15</v>
      </c>
      <c r="K987">
        <v>2</v>
      </c>
      <c r="L987">
        <v>0</v>
      </c>
      <c r="M987">
        <v>1</v>
      </c>
      <c r="N987">
        <v>0</v>
      </c>
    </row>
    <row r="988" spans="1:14" x14ac:dyDescent="0.45">
      <c r="A988" t="s">
        <v>139</v>
      </c>
      <c r="B988" t="s">
        <v>680</v>
      </c>
      <c r="C988" t="s">
        <v>26</v>
      </c>
      <c r="D988" t="s">
        <v>341</v>
      </c>
      <c r="E988">
        <v>4</v>
      </c>
      <c r="F988">
        <v>0</v>
      </c>
      <c r="G988">
        <v>33</v>
      </c>
      <c r="H988">
        <v>4</v>
      </c>
      <c r="I988">
        <v>8.25</v>
      </c>
      <c r="J988">
        <v>13</v>
      </c>
      <c r="K988">
        <v>4</v>
      </c>
      <c r="L988">
        <v>1</v>
      </c>
      <c r="M988">
        <v>3</v>
      </c>
      <c r="N988">
        <v>0</v>
      </c>
    </row>
    <row r="989" spans="1:14" x14ac:dyDescent="0.45">
      <c r="A989" t="s">
        <v>139</v>
      </c>
      <c r="B989" t="s">
        <v>680</v>
      </c>
      <c r="C989" t="s">
        <v>26</v>
      </c>
      <c r="D989" t="s">
        <v>405</v>
      </c>
      <c r="E989">
        <v>4</v>
      </c>
      <c r="F989">
        <v>0</v>
      </c>
      <c r="G989">
        <v>36</v>
      </c>
      <c r="H989">
        <v>1</v>
      </c>
      <c r="I989">
        <v>9</v>
      </c>
      <c r="J989">
        <v>5</v>
      </c>
      <c r="K989">
        <v>2</v>
      </c>
      <c r="L989">
        <v>1</v>
      </c>
      <c r="M989">
        <v>1</v>
      </c>
      <c r="N989">
        <v>1</v>
      </c>
    </row>
    <row r="990" spans="1:14" x14ac:dyDescent="0.45">
      <c r="A990" t="s">
        <v>139</v>
      </c>
      <c r="B990" t="s">
        <v>680</v>
      </c>
      <c r="C990" t="s">
        <v>26</v>
      </c>
      <c r="D990" t="s">
        <v>520</v>
      </c>
      <c r="E990">
        <v>4</v>
      </c>
      <c r="F990">
        <v>0</v>
      </c>
      <c r="G990">
        <v>26</v>
      </c>
      <c r="H990">
        <v>1</v>
      </c>
      <c r="I990">
        <v>6.5</v>
      </c>
      <c r="J990">
        <v>6</v>
      </c>
      <c r="K990">
        <v>1</v>
      </c>
      <c r="L990">
        <v>0</v>
      </c>
      <c r="M990">
        <v>3</v>
      </c>
      <c r="N990">
        <v>0</v>
      </c>
    </row>
    <row r="991" spans="1:14" x14ac:dyDescent="0.45">
      <c r="A991" t="s">
        <v>139</v>
      </c>
      <c r="B991" t="s">
        <v>680</v>
      </c>
      <c r="C991" t="s">
        <v>26</v>
      </c>
      <c r="D991" t="s">
        <v>384</v>
      </c>
      <c r="E991">
        <v>2.2999999999999998</v>
      </c>
      <c r="F991">
        <v>0</v>
      </c>
      <c r="G991">
        <v>15</v>
      </c>
      <c r="H991">
        <v>1</v>
      </c>
      <c r="I991">
        <v>6</v>
      </c>
      <c r="J991">
        <v>5</v>
      </c>
      <c r="K991">
        <v>1</v>
      </c>
      <c r="L991">
        <v>0</v>
      </c>
      <c r="M991">
        <v>0</v>
      </c>
      <c r="N991">
        <v>0</v>
      </c>
    </row>
    <row r="992" spans="1:14" x14ac:dyDescent="0.45">
      <c r="A992" t="s">
        <v>139</v>
      </c>
      <c r="B992" t="s">
        <v>680</v>
      </c>
      <c r="C992" t="s">
        <v>26</v>
      </c>
      <c r="D992" t="s">
        <v>435</v>
      </c>
      <c r="E992">
        <v>1.3</v>
      </c>
      <c r="F992">
        <v>0</v>
      </c>
      <c r="G992">
        <v>11</v>
      </c>
      <c r="H992">
        <v>0</v>
      </c>
      <c r="I992">
        <v>7.33</v>
      </c>
      <c r="J992">
        <v>3</v>
      </c>
      <c r="K992">
        <v>1</v>
      </c>
      <c r="L992">
        <v>0</v>
      </c>
      <c r="M992">
        <v>0</v>
      </c>
      <c r="N992">
        <v>0</v>
      </c>
    </row>
    <row r="993" spans="1:14" x14ac:dyDescent="0.45">
      <c r="A993" t="s">
        <v>139</v>
      </c>
      <c r="B993" t="s">
        <v>680</v>
      </c>
      <c r="C993" t="s">
        <v>101</v>
      </c>
      <c r="D993" t="s">
        <v>403</v>
      </c>
      <c r="E993">
        <v>4</v>
      </c>
      <c r="F993">
        <v>0</v>
      </c>
      <c r="G993">
        <v>43</v>
      </c>
      <c r="H993">
        <v>1</v>
      </c>
      <c r="I993">
        <v>10.75</v>
      </c>
      <c r="J993">
        <v>12</v>
      </c>
      <c r="K993">
        <v>5</v>
      </c>
      <c r="L993">
        <v>3</v>
      </c>
      <c r="M993">
        <v>0</v>
      </c>
      <c r="N993">
        <v>0</v>
      </c>
    </row>
    <row r="994" spans="1:14" x14ac:dyDescent="0.45">
      <c r="A994" t="s">
        <v>139</v>
      </c>
      <c r="B994" t="s">
        <v>680</v>
      </c>
      <c r="C994" t="s">
        <v>101</v>
      </c>
      <c r="D994" t="s">
        <v>535</v>
      </c>
      <c r="E994">
        <v>2</v>
      </c>
      <c r="F994">
        <v>0</v>
      </c>
      <c r="G994">
        <v>23</v>
      </c>
      <c r="H994">
        <v>0</v>
      </c>
      <c r="I994">
        <v>11.5</v>
      </c>
      <c r="J994">
        <v>4</v>
      </c>
      <c r="K994">
        <v>5</v>
      </c>
      <c r="L994">
        <v>0</v>
      </c>
      <c r="M994">
        <v>0</v>
      </c>
      <c r="N994">
        <v>0</v>
      </c>
    </row>
    <row r="995" spans="1:14" x14ac:dyDescent="0.45">
      <c r="A995" t="s">
        <v>139</v>
      </c>
      <c r="B995" t="s">
        <v>680</v>
      </c>
      <c r="C995" t="s">
        <v>101</v>
      </c>
      <c r="D995" t="s">
        <v>493</v>
      </c>
      <c r="E995">
        <v>3</v>
      </c>
      <c r="F995">
        <v>0</v>
      </c>
      <c r="G995">
        <v>25</v>
      </c>
      <c r="H995">
        <v>0</v>
      </c>
      <c r="I995">
        <v>8.33</v>
      </c>
      <c r="J995">
        <v>6</v>
      </c>
      <c r="K995">
        <v>1</v>
      </c>
      <c r="L995">
        <v>1</v>
      </c>
      <c r="M995">
        <v>0</v>
      </c>
      <c r="N995">
        <v>1</v>
      </c>
    </row>
    <row r="996" spans="1:14" x14ac:dyDescent="0.45">
      <c r="A996" t="s">
        <v>139</v>
      </c>
      <c r="B996" t="s">
        <v>680</v>
      </c>
      <c r="C996" t="s">
        <v>101</v>
      </c>
      <c r="D996" t="s">
        <v>317</v>
      </c>
      <c r="E996">
        <v>3</v>
      </c>
      <c r="F996">
        <v>0</v>
      </c>
      <c r="G996">
        <v>29</v>
      </c>
      <c r="H996">
        <v>1</v>
      </c>
      <c r="I996">
        <v>9.66</v>
      </c>
      <c r="J996">
        <v>9</v>
      </c>
      <c r="K996">
        <v>2</v>
      </c>
      <c r="L996">
        <v>1</v>
      </c>
      <c r="M996">
        <v>3</v>
      </c>
      <c r="N996">
        <v>0</v>
      </c>
    </row>
    <row r="997" spans="1:14" x14ac:dyDescent="0.45">
      <c r="A997" t="s">
        <v>139</v>
      </c>
      <c r="B997" t="s">
        <v>680</v>
      </c>
      <c r="C997" t="s">
        <v>101</v>
      </c>
      <c r="D997" t="s">
        <v>379</v>
      </c>
      <c r="E997">
        <v>4</v>
      </c>
      <c r="F997">
        <v>0</v>
      </c>
      <c r="G997">
        <v>21</v>
      </c>
      <c r="H997">
        <v>0</v>
      </c>
      <c r="I997">
        <v>5.25</v>
      </c>
      <c r="J997">
        <v>9</v>
      </c>
      <c r="K997">
        <v>2</v>
      </c>
      <c r="L997">
        <v>0</v>
      </c>
      <c r="M997">
        <v>0</v>
      </c>
      <c r="N997">
        <v>0</v>
      </c>
    </row>
    <row r="998" spans="1:14" x14ac:dyDescent="0.45">
      <c r="A998" t="s">
        <v>140</v>
      </c>
      <c r="B998" t="s">
        <v>681</v>
      </c>
      <c r="C998" t="s">
        <v>7</v>
      </c>
      <c r="D998" t="s">
        <v>515</v>
      </c>
      <c r="E998">
        <v>4</v>
      </c>
      <c r="F998">
        <v>1</v>
      </c>
      <c r="G998">
        <v>24</v>
      </c>
      <c r="H998">
        <v>1</v>
      </c>
      <c r="I998">
        <v>6</v>
      </c>
      <c r="J998">
        <v>17</v>
      </c>
      <c r="K998">
        <v>5</v>
      </c>
      <c r="L998">
        <v>0</v>
      </c>
      <c r="M998">
        <v>1</v>
      </c>
      <c r="N998">
        <v>1</v>
      </c>
    </row>
    <row r="999" spans="1:14" x14ac:dyDescent="0.45">
      <c r="A999" t="s">
        <v>140</v>
      </c>
      <c r="B999" t="s">
        <v>681</v>
      </c>
      <c r="C999" t="s">
        <v>7</v>
      </c>
      <c r="D999" t="s">
        <v>532</v>
      </c>
      <c r="E999">
        <v>4</v>
      </c>
      <c r="F999">
        <v>0</v>
      </c>
      <c r="G999">
        <v>28</v>
      </c>
      <c r="H999">
        <v>1</v>
      </c>
      <c r="I999">
        <v>7</v>
      </c>
      <c r="J999">
        <v>7</v>
      </c>
      <c r="K999">
        <v>0</v>
      </c>
      <c r="L999">
        <v>2</v>
      </c>
      <c r="M999">
        <v>0</v>
      </c>
      <c r="N999">
        <v>0</v>
      </c>
    </row>
    <row r="1000" spans="1:14" x14ac:dyDescent="0.45">
      <c r="A1000" t="s">
        <v>140</v>
      </c>
      <c r="B1000" t="s">
        <v>681</v>
      </c>
      <c r="C1000" t="s">
        <v>7</v>
      </c>
      <c r="D1000" t="s">
        <v>308</v>
      </c>
      <c r="E1000">
        <v>4</v>
      </c>
      <c r="F1000">
        <v>0</v>
      </c>
      <c r="G1000">
        <v>19</v>
      </c>
      <c r="H1000">
        <v>0</v>
      </c>
      <c r="I1000">
        <v>4.75</v>
      </c>
      <c r="J1000">
        <v>12</v>
      </c>
      <c r="K1000">
        <v>2</v>
      </c>
      <c r="L1000">
        <v>0</v>
      </c>
      <c r="M1000">
        <v>0</v>
      </c>
      <c r="N1000">
        <v>0</v>
      </c>
    </row>
    <row r="1001" spans="1:14" x14ac:dyDescent="0.45">
      <c r="A1001" t="s">
        <v>140</v>
      </c>
      <c r="B1001" t="s">
        <v>681</v>
      </c>
      <c r="C1001" t="s">
        <v>7</v>
      </c>
      <c r="D1001" t="s">
        <v>320</v>
      </c>
      <c r="E1001">
        <v>4</v>
      </c>
      <c r="F1001">
        <v>0</v>
      </c>
      <c r="G1001">
        <v>33</v>
      </c>
      <c r="H1001">
        <v>1</v>
      </c>
      <c r="I1001">
        <v>8.25</v>
      </c>
      <c r="J1001">
        <v>7</v>
      </c>
      <c r="K1001">
        <v>3</v>
      </c>
      <c r="L1001">
        <v>0</v>
      </c>
      <c r="M1001">
        <v>1</v>
      </c>
      <c r="N1001">
        <v>1</v>
      </c>
    </row>
    <row r="1002" spans="1:14" x14ac:dyDescent="0.45">
      <c r="A1002" t="s">
        <v>140</v>
      </c>
      <c r="B1002" t="s">
        <v>681</v>
      </c>
      <c r="C1002" t="s">
        <v>7</v>
      </c>
      <c r="D1002" t="s">
        <v>415</v>
      </c>
      <c r="E1002">
        <v>4</v>
      </c>
      <c r="F1002">
        <v>0</v>
      </c>
      <c r="G1002">
        <v>46</v>
      </c>
      <c r="H1002">
        <v>2</v>
      </c>
      <c r="I1002">
        <v>11.5</v>
      </c>
      <c r="J1002">
        <v>7</v>
      </c>
      <c r="K1002">
        <v>3</v>
      </c>
      <c r="L1002">
        <v>3</v>
      </c>
      <c r="M1002">
        <v>3</v>
      </c>
      <c r="N1002">
        <v>0</v>
      </c>
    </row>
    <row r="1003" spans="1:14" x14ac:dyDescent="0.45">
      <c r="A1003" t="s">
        <v>140</v>
      </c>
      <c r="B1003" t="s">
        <v>681</v>
      </c>
      <c r="C1003" t="s">
        <v>23</v>
      </c>
      <c r="D1003" t="s">
        <v>370</v>
      </c>
      <c r="E1003">
        <v>4</v>
      </c>
      <c r="F1003">
        <v>0</v>
      </c>
      <c r="G1003">
        <v>25</v>
      </c>
      <c r="H1003">
        <v>1</v>
      </c>
      <c r="I1003">
        <v>6.25</v>
      </c>
      <c r="J1003">
        <v>9</v>
      </c>
      <c r="K1003">
        <v>2</v>
      </c>
      <c r="L1003">
        <v>0</v>
      </c>
      <c r="M1003">
        <v>2</v>
      </c>
      <c r="N1003">
        <v>0</v>
      </c>
    </row>
    <row r="1004" spans="1:14" x14ac:dyDescent="0.45">
      <c r="A1004" t="s">
        <v>140</v>
      </c>
      <c r="B1004" t="s">
        <v>681</v>
      </c>
      <c r="C1004" t="s">
        <v>23</v>
      </c>
      <c r="D1004" t="s">
        <v>441</v>
      </c>
      <c r="E1004">
        <v>4</v>
      </c>
      <c r="F1004">
        <v>0</v>
      </c>
      <c r="G1004">
        <v>37</v>
      </c>
      <c r="H1004">
        <v>1</v>
      </c>
      <c r="I1004">
        <v>9.25</v>
      </c>
      <c r="J1004">
        <v>9</v>
      </c>
      <c r="K1004">
        <v>5</v>
      </c>
      <c r="L1004">
        <v>0</v>
      </c>
      <c r="M1004">
        <v>4</v>
      </c>
      <c r="N1004">
        <v>0</v>
      </c>
    </row>
    <row r="1005" spans="1:14" x14ac:dyDescent="0.45">
      <c r="A1005" t="s">
        <v>140</v>
      </c>
      <c r="B1005" t="s">
        <v>681</v>
      </c>
      <c r="C1005" t="s">
        <v>23</v>
      </c>
      <c r="D1005" t="s">
        <v>527</v>
      </c>
      <c r="E1005">
        <v>3.1</v>
      </c>
      <c r="F1005">
        <v>0</v>
      </c>
      <c r="G1005">
        <v>28</v>
      </c>
      <c r="H1005">
        <v>1</v>
      </c>
      <c r="I1005">
        <v>8.84</v>
      </c>
      <c r="J1005">
        <v>12</v>
      </c>
      <c r="K1005">
        <v>2</v>
      </c>
      <c r="L1005">
        <v>2</v>
      </c>
      <c r="M1005">
        <v>3</v>
      </c>
      <c r="N1005">
        <v>0</v>
      </c>
    </row>
    <row r="1006" spans="1:14" x14ac:dyDescent="0.45">
      <c r="A1006" t="s">
        <v>140</v>
      </c>
      <c r="B1006" t="s">
        <v>681</v>
      </c>
      <c r="C1006" t="s">
        <v>23</v>
      </c>
      <c r="D1006" t="s">
        <v>339</v>
      </c>
      <c r="E1006">
        <v>4</v>
      </c>
      <c r="F1006">
        <v>0</v>
      </c>
      <c r="G1006">
        <v>33</v>
      </c>
      <c r="H1006">
        <v>0</v>
      </c>
      <c r="I1006">
        <v>8.25</v>
      </c>
      <c r="J1006">
        <v>6</v>
      </c>
      <c r="K1006">
        <v>3</v>
      </c>
      <c r="L1006">
        <v>1</v>
      </c>
      <c r="M1006">
        <v>0</v>
      </c>
      <c r="N1006">
        <v>0</v>
      </c>
    </row>
    <row r="1007" spans="1:14" x14ac:dyDescent="0.45">
      <c r="A1007" t="s">
        <v>140</v>
      </c>
      <c r="B1007" t="s">
        <v>681</v>
      </c>
      <c r="C1007" t="s">
        <v>23</v>
      </c>
      <c r="D1007" t="s">
        <v>353</v>
      </c>
      <c r="E1007">
        <v>4</v>
      </c>
      <c r="F1007">
        <v>0</v>
      </c>
      <c r="G1007">
        <v>31</v>
      </c>
      <c r="H1007">
        <v>0</v>
      </c>
      <c r="I1007">
        <v>7.75</v>
      </c>
      <c r="J1007">
        <v>6</v>
      </c>
      <c r="K1007">
        <v>2</v>
      </c>
      <c r="L1007">
        <v>1</v>
      </c>
      <c r="M1007">
        <v>0</v>
      </c>
      <c r="N1007">
        <v>0</v>
      </c>
    </row>
    <row r="1008" spans="1:14" x14ac:dyDescent="0.45">
      <c r="A1008" t="s">
        <v>141</v>
      </c>
      <c r="B1008" t="s">
        <v>682</v>
      </c>
      <c r="C1008" t="s">
        <v>20</v>
      </c>
      <c r="D1008" t="s">
        <v>409</v>
      </c>
      <c r="E1008">
        <v>4</v>
      </c>
      <c r="F1008">
        <v>0</v>
      </c>
      <c r="G1008">
        <v>22</v>
      </c>
      <c r="H1008">
        <v>0</v>
      </c>
      <c r="I1008">
        <v>5.5</v>
      </c>
      <c r="J1008">
        <v>8</v>
      </c>
      <c r="K1008">
        <v>1</v>
      </c>
      <c r="L1008">
        <v>0</v>
      </c>
      <c r="M1008">
        <v>0</v>
      </c>
      <c r="N1008">
        <v>0</v>
      </c>
    </row>
    <row r="1009" spans="1:14" x14ac:dyDescent="0.45">
      <c r="A1009" t="s">
        <v>141</v>
      </c>
      <c r="B1009" t="s">
        <v>682</v>
      </c>
      <c r="C1009" t="s">
        <v>20</v>
      </c>
      <c r="D1009" t="s">
        <v>484</v>
      </c>
      <c r="E1009">
        <v>4</v>
      </c>
      <c r="F1009">
        <v>0</v>
      </c>
      <c r="G1009">
        <v>38</v>
      </c>
      <c r="H1009">
        <v>0</v>
      </c>
      <c r="I1009">
        <v>9.5</v>
      </c>
      <c r="J1009">
        <v>12</v>
      </c>
      <c r="K1009">
        <v>1</v>
      </c>
      <c r="L1009">
        <v>4</v>
      </c>
      <c r="M1009">
        <v>0</v>
      </c>
      <c r="N1009">
        <v>0</v>
      </c>
    </row>
    <row r="1010" spans="1:14" x14ac:dyDescent="0.45">
      <c r="A1010" t="s">
        <v>141</v>
      </c>
      <c r="B1010" t="s">
        <v>682</v>
      </c>
      <c r="C1010" t="s">
        <v>20</v>
      </c>
      <c r="D1010" t="s">
        <v>483</v>
      </c>
      <c r="E1010">
        <v>4</v>
      </c>
      <c r="F1010">
        <v>0</v>
      </c>
      <c r="G1010">
        <v>42</v>
      </c>
      <c r="H1010">
        <v>2</v>
      </c>
      <c r="I1010">
        <v>10.5</v>
      </c>
      <c r="J1010">
        <v>4</v>
      </c>
      <c r="K1010">
        <v>4</v>
      </c>
      <c r="L1010">
        <v>1</v>
      </c>
      <c r="M1010">
        <v>1</v>
      </c>
      <c r="N1010">
        <v>0</v>
      </c>
    </row>
    <row r="1011" spans="1:14" x14ac:dyDescent="0.45">
      <c r="A1011" t="s">
        <v>141</v>
      </c>
      <c r="B1011" t="s">
        <v>682</v>
      </c>
      <c r="C1011" t="s">
        <v>20</v>
      </c>
      <c r="D1011" t="s">
        <v>401</v>
      </c>
      <c r="E1011">
        <v>3</v>
      </c>
      <c r="F1011">
        <v>0</v>
      </c>
      <c r="G1011">
        <v>36</v>
      </c>
      <c r="H1011">
        <v>0</v>
      </c>
      <c r="I1011">
        <v>12</v>
      </c>
      <c r="J1011">
        <v>3</v>
      </c>
      <c r="K1011">
        <v>2</v>
      </c>
      <c r="L1011">
        <v>3</v>
      </c>
      <c r="M1011">
        <v>0</v>
      </c>
      <c r="N1011">
        <v>0</v>
      </c>
    </row>
    <row r="1012" spans="1:14" x14ac:dyDescent="0.45">
      <c r="A1012" t="s">
        <v>141</v>
      </c>
      <c r="B1012" t="s">
        <v>682</v>
      </c>
      <c r="C1012" t="s">
        <v>20</v>
      </c>
      <c r="D1012" t="s">
        <v>382</v>
      </c>
      <c r="E1012">
        <v>4</v>
      </c>
      <c r="F1012">
        <v>0</v>
      </c>
      <c r="G1012">
        <v>48</v>
      </c>
      <c r="H1012">
        <v>0</v>
      </c>
      <c r="I1012">
        <v>12</v>
      </c>
      <c r="J1012">
        <v>8</v>
      </c>
      <c r="K1012">
        <v>6</v>
      </c>
      <c r="L1012">
        <v>2</v>
      </c>
      <c r="M1012">
        <v>2</v>
      </c>
      <c r="N1012">
        <v>0</v>
      </c>
    </row>
    <row r="1013" spans="1:14" x14ac:dyDescent="0.45">
      <c r="A1013" t="s">
        <v>141</v>
      </c>
      <c r="B1013" t="s">
        <v>682</v>
      </c>
      <c r="C1013" t="s">
        <v>20</v>
      </c>
      <c r="D1013" t="s">
        <v>522</v>
      </c>
      <c r="E1013">
        <v>1</v>
      </c>
      <c r="F1013">
        <v>0</v>
      </c>
      <c r="G1013">
        <v>10</v>
      </c>
      <c r="H1013">
        <v>0</v>
      </c>
      <c r="I1013">
        <v>10</v>
      </c>
      <c r="J1013">
        <v>0</v>
      </c>
      <c r="K1013">
        <v>1</v>
      </c>
      <c r="L1013">
        <v>0</v>
      </c>
      <c r="M1013">
        <v>0</v>
      </c>
      <c r="N1013">
        <v>0</v>
      </c>
    </row>
    <row r="1014" spans="1:14" x14ac:dyDescent="0.45">
      <c r="A1014" t="s">
        <v>141</v>
      </c>
      <c r="B1014" t="s">
        <v>682</v>
      </c>
      <c r="C1014" t="s">
        <v>6</v>
      </c>
      <c r="D1014" t="s">
        <v>509</v>
      </c>
      <c r="E1014">
        <v>4</v>
      </c>
      <c r="F1014">
        <v>0</v>
      </c>
      <c r="G1014">
        <v>46</v>
      </c>
      <c r="H1014">
        <v>4</v>
      </c>
      <c r="I1014">
        <v>11.5</v>
      </c>
      <c r="J1014">
        <v>9</v>
      </c>
      <c r="K1014">
        <v>4</v>
      </c>
      <c r="L1014">
        <v>3</v>
      </c>
      <c r="M1014">
        <v>1</v>
      </c>
      <c r="N1014">
        <v>0</v>
      </c>
    </row>
    <row r="1015" spans="1:14" x14ac:dyDescent="0.45">
      <c r="A1015" t="s">
        <v>141</v>
      </c>
      <c r="B1015" t="s">
        <v>682</v>
      </c>
      <c r="C1015" t="s">
        <v>6</v>
      </c>
      <c r="D1015" t="s">
        <v>508</v>
      </c>
      <c r="E1015">
        <v>2</v>
      </c>
      <c r="F1015">
        <v>0</v>
      </c>
      <c r="G1015">
        <v>24</v>
      </c>
      <c r="H1015">
        <v>0</v>
      </c>
      <c r="I1015">
        <v>12</v>
      </c>
      <c r="J1015">
        <v>4</v>
      </c>
      <c r="K1015">
        <v>3</v>
      </c>
      <c r="L1015">
        <v>1</v>
      </c>
      <c r="M1015">
        <v>0</v>
      </c>
      <c r="N1015">
        <v>1</v>
      </c>
    </row>
    <row r="1016" spans="1:14" x14ac:dyDescent="0.45">
      <c r="A1016" t="s">
        <v>141</v>
      </c>
      <c r="B1016" t="s">
        <v>682</v>
      </c>
      <c r="C1016" t="s">
        <v>6</v>
      </c>
      <c r="D1016" t="s">
        <v>507</v>
      </c>
      <c r="E1016">
        <v>3</v>
      </c>
      <c r="F1016">
        <v>0</v>
      </c>
      <c r="G1016">
        <v>36</v>
      </c>
      <c r="H1016">
        <v>1</v>
      </c>
      <c r="I1016">
        <v>12</v>
      </c>
      <c r="J1016">
        <v>4</v>
      </c>
      <c r="K1016">
        <v>2</v>
      </c>
      <c r="L1016">
        <v>3</v>
      </c>
      <c r="M1016">
        <v>0</v>
      </c>
      <c r="N1016">
        <v>0</v>
      </c>
    </row>
    <row r="1017" spans="1:14" x14ac:dyDescent="0.45">
      <c r="A1017" t="s">
        <v>141</v>
      </c>
      <c r="B1017" t="s">
        <v>682</v>
      </c>
      <c r="C1017" t="s">
        <v>6</v>
      </c>
      <c r="D1017" t="s">
        <v>523</v>
      </c>
      <c r="E1017">
        <v>4</v>
      </c>
      <c r="F1017">
        <v>0</v>
      </c>
      <c r="G1017">
        <v>26</v>
      </c>
      <c r="H1017">
        <v>0</v>
      </c>
      <c r="I1017">
        <v>6.5</v>
      </c>
      <c r="J1017">
        <v>6</v>
      </c>
      <c r="K1017">
        <v>0</v>
      </c>
      <c r="L1017">
        <v>1</v>
      </c>
      <c r="M1017">
        <v>0</v>
      </c>
      <c r="N1017">
        <v>0</v>
      </c>
    </row>
    <row r="1018" spans="1:14" x14ac:dyDescent="0.45">
      <c r="A1018" t="s">
        <v>141</v>
      </c>
      <c r="B1018" t="s">
        <v>682</v>
      </c>
      <c r="C1018" t="s">
        <v>6</v>
      </c>
      <c r="D1018" t="s">
        <v>328</v>
      </c>
      <c r="E1018">
        <v>3</v>
      </c>
      <c r="F1018">
        <v>0</v>
      </c>
      <c r="G1018">
        <v>15</v>
      </c>
      <c r="H1018">
        <v>0</v>
      </c>
      <c r="I1018">
        <v>5</v>
      </c>
      <c r="J1018">
        <v>8</v>
      </c>
      <c r="K1018">
        <v>0</v>
      </c>
      <c r="L1018">
        <v>1</v>
      </c>
      <c r="M1018">
        <v>0</v>
      </c>
      <c r="N1018">
        <v>0</v>
      </c>
    </row>
    <row r="1019" spans="1:14" x14ac:dyDescent="0.45">
      <c r="A1019" t="s">
        <v>141</v>
      </c>
      <c r="B1019" t="s">
        <v>682</v>
      </c>
      <c r="C1019" t="s">
        <v>6</v>
      </c>
      <c r="D1019" t="s">
        <v>537</v>
      </c>
      <c r="E1019">
        <v>4</v>
      </c>
      <c r="F1019">
        <v>0</v>
      </c>
      <c r="G1019">
        <v>40</v>
      </c>
      <c r="H1019">
        <v>1</v>
      </c>
      <c r="I1019">
        <v>10</v>
      </c>
      <c r="J1019">
        <v>5</v>
      </c>
      <c r="K1019">
        <v>2</v>
      </c>
      <c r="L1019">
        <v>2</v>
      </c>
      <c r="M1019">
        <v>1</v>
      </c>
      <c r="N1019">
        <v>0</v>
      </c>
    </row>
    <row r="1020" spans="1:14" x14ac:dyDescent="0.45">
      <c r="A1020" t="s">
        <v>142</v>
      </c>
      <c r="B1020" t="s">
        <v>683</v>
      </c>
      <c r="C1020" t="s">
        <v>10</v>
      </c>
      <c r="D1020" t="s">
        <v>396</v>
      </c>
      <c r="E1020">
        <v>4</v>
      </c>
      <c r="F1020">
        <v>0</v>
      </c>
      <c r="G1020">
        <v>37</v>
      </c>
      <c r="H1020">
        <v>0</v>
      </c>
      <c r="I1020">
        <v>9.25</v>
      </c>
      <c r="J1020">
        <v>6</v>
      </c>
      <c r="K1020">
        <v>3</v>
      </c>
      <c r="L1020">
        <v>1</v>
      </c>
      <c r="M1020">
        <v>2</v>
      </c>
      <c r="N1020">
        <v>0</v>
      </c>
    </row>
    <row r="1021" spans="1:14" x14ac:dyDescent="0.45">
      <c r="A1021" t="s">
        <v>142</v>
      </c>
      <c r="B1021" t="s">
        <v>683</v>
      </c>
      <c r="C1021" t="s">
        <v>10</v>
      </c>
      <c r="D1021" t="s">
        <v>394</v>
      </c>
      <c r="E1021">
        <v>4</v>
      </c>
      <c r="F1021">
        <v>0</v>
      </c>
      <c r="G1021">
        <v>44</v>
      </c>
      <c r="H1021">
        <v>0</v>
      </c>
      <c r="I1021">
        <v>11</v>
      </c>
      <c r="J1021">
        <v>4</v>
      </c>
      <c r="K1021">
        <v>2</v>
      </c>
      <c r="L1021">
        <v>3</v>
      </c>
      <c r="M1021">
        <v>2</v>
      </c>
      <c r="N1021">
        <v>0</v>
      </c>
    </row>
    <row r="1022" spans="1:14" x14ac:dyDescent="0.45">
      <c r="A1022" t="s">
        <v>142</v>
      </c>
      <c r="B1022" t="s">
        <v>683</v>
      </c>
      <c r="C1022" t="s">
        <v>10</v>
      </c>
      <c r="D1022" t="s">
        <v>337</v>
      </c>
      <c r="E1022">
        <v>4</v>
      </c>
      <c r="F1022">
        <v>0</v>
      </c>
      <c r="G1022">
        <v>25</v>
      </c>
      <c r="H1022">
        <v>0</v>
      </c>
      <c r="I1022">
        <v>6.25</v>
      </c>
      <c r="J1022">
        <v>9</v>
      </c>
      <c r="K1022">
        <v>1</v>
      </c>
      <c r="L1022">
        <v>1</v>
      </c>
      <c r="M1022">
        <v>2</v>
      </c>
      <c r="N1022">
        <v>0</v>
      </c>
    </row>
    <row r="1023" spans="1:14" x14ac:dyDescent="0.45">
      <c r="A1023" t="s">
        <v>142</v>
      </c>
      <c r="B1023" t="s">
        <v>683</v>
      </c>
      <c r="C1023" t="s">
        <v>10</v>
      </c>
      <c r="D1023" t="s">
        <v>436</v>
      </c>
      <c r="E1023">
        <v>1</v>
      </c>
      <c r="F1023">
        <v>0</v>
      </c>
      <c r="G1023">
        <v>16</v>
      </c>
      <c r="H1023">
        <v>0</v>
      </c>
      <c r="I1023">
        <v>16</v>
      </c>
      <c r="J1023">
        <v>1</v>
      </c>
      <c r="K1023">
        <v>2</v>
      </c>
      <c r="L1023">
        <v>1</v>
      </c>
      <c r="M1023">
        <v>0</v>
      </c>
      <c r="N1023">
        <v>0</v>
      </c>
    </row>
    <row r="1024" spans="1:14" x14ac:dyDescent="0.45">
      <c r="A1024" t="s">
        <v>142</v>
      </c>
      <c r="B1024" t="s">
        <v>683</v>
      </c>
      <c r="C1024" t="s">
        <v>10</v>
      </c>
      <c r="D1024" t="s">
        <v>326</v>
      </c>
      <c r="E1024">
        <v>4</v>
      </c>
      <c r="F1024">
        <v>0</v>
      </c>
      <c r="G1024">
        <v>40</v>
      </c>
      <c r="H1024">
        <v>3</v>
      </c>
      <c r="I1024">
        <v>10</v>
      </c>
      <c r="J1024">
        <v>7</v>
      </c>
      <c r="K1024">
        <v>3</v>
      </c>
      <c r="L1024">
        <v>1</v>
      </c>
      <c r="M1024">
        <v>6</v>
      </c>
      <c r="N1024">
        <v>0</v>
      </c>
    </row>
    <row r="1025" spans="1:14" x14ac:dyDescent="0.45">
      <c r="A1025" t="s">
        <v>142</v>
      </c>
      <c r="B1025" t="s">
        <v>683</v>
      </c>
      <c r="C1025" t="s">
        <v>10</v>
      </c>
      <c r="D1025" t="s">
        <v>500</v>
      </c>
      <c r="E1025">
        <v>3</v>
      </c>
      <c r="F1025">
        <v>0</v>
      </c>
      <c r="G1025">
        <v>29</v>
      </c>
      <c r="H1025">
        <v>0</v>
      </c>
      <c r="I1025">
        <v>9.66</v>
      </c>
      <c r="J1025">
        <v>3</v>
      </c>
      <c r="K1025">
        <v>3</v>
      </c>
      <c r="L1025">
        <v>1</v>
      </c>
      <c r="M1025">
        <v>0</v>
      </c>
      <c r="N1025">
        <v>0</v>
      </c>
    </row>
    <row r="1026" spans="1:14" x14ac:dyDescent="0.45">
      <c r="A1026" t="s">
        <v>142</v>
      </c>
      <c r="B1026" t="s">
        <v>683</v>
      </c>
      <c r="C1026" t="s">
        <v>104</v>
      </c>
      <c r="D1026" t="s">
        <v>492</v>
      </c>
      <c r="E1026">
        <v>4</v>
      </c>
      <c r="F1026">
        <v>0</v>
      </c>
      <c r="G1026">
        <v>16</v>
      </c>
      <c r="H1026">
        <v>4</v>
      </c>
      <c r="I1026">
        <v>4</v>
      </c>
      <c r="J1026">
        <v>15</v>
      </c>
      <c r="K1026">
        <v>1</v>
      </c>
      <c r="L1026">
        <v>0</v>
      </c>
      <c r="M1026">
        <v>1</v>
      </c>
      <c r="N1026">
        <v>0</v>
      </c>
    </row>
    <row r="1027" spans="1:14" x14ac:dyDescent="0.45">
      <c r="A1027" t="s">
        <v>142</v>
      </c>
      <c r="B1027" t="s">
        <v>683</v>
      </c>
      <c r="C1027" t="s">
        <v>104</v>
      </c>
      <c r="D1027" t="s">
        <v>491</v>
      </c>
      <c r="E1027">
        <v>4</v>
      </c>
      <c r="F1027">
        <v>0</v>
      </c>
      <c r="G1027">
        <v>44</v>
      </c>
      <c r="H1027">
        <v>1</v>
      </c>
      <c r="I1027">
        <v>11</v>
      </c>
      <c r="J1027">
        <v>6</v>
      </c>
      <c r="K1027">
        <v>5</v>
      </c>
      <c r="L1027">
        <v>2</v>
      </c>
      <c r="M1027">
        <v>0</v>
      </c>
      <c r="N1027">
        <v>0</v>
      </c>
    </row>
    <row r="1028" spans="1:14" x14ac:dyDescent="0.45">
      <c r="A1028" t="s">
        <v>142</v>
      </c>
      <c r="B1028" t="s">
        <v>683</v>
      </c>
      <c r="C1028" t="s">
        <v>104</v>
      </c>
      <c r="D1028" t="s">
        <v>366</v>
      </c>
      <c r="E1028">
        <v>1</v>
      </c>
      <c r="F1028">
        <v>0</v>
      </c>
      <c r="G1028">
        <v>19</v>
      </c>
      <c r="H1028">
        <v>0</v>
      </c>
      <c r="I1028">
        <v>19</v>
      </c>
      <c r="J1028">
        <v>1</v>
      </c>
      <c r="K1028">
        <v>3</v>
      </c>
      <c r="L1028">
        <v>1</v>
      </c>
      <c r="M1028">
        <v>0</v>
      </c>
      <c r="N1028">
        <v>0</v>
      </c>
    </row>
    <row r="1029" spans="1:14" x14ac:dyDescent="0.45">
      <c r="A1029" t="s">
        <v>142</v>
      </c>
      <c r="B1029" t="s">
        <v>683</v>
      </c>
      <c r="C1029" t="s">
        <v>104</v>
      </c>
      <c r="D1029" t="s">
        <v>378</v>
      </c>
      <c r="E1029">
        <v>4</v>
      </c>
      <c r="F1029">
        <v>0</v>
      </c>
      <c r="G1029">
        <v>45</v>
      </c>
      <c r="H1029">
        <v>0</v>
      </c>
      <c r="I1029">
        <v>11.25</v>
      </c>
      <c r="J1029">
        <v>6</v>
      </c>
      <c r="K1029">
        <v>4</v>
      </c>
      <c r="L1029">
        <v>2</v>
      </c>
      <c r="M1029">
        <v>1</v>
      </c>
      <c r="N1029">
        <v>0</v>
      </c>
    </row>
    <row r="1030" spans="1:14" x14ac:dyDescent="0.45">
      <c r="A1030" t="s">
        <v>142</v>
      </c>
      <c r="B1030" t="s">
        <v>683</v>
      </c>
      <c r="C1030" t="s">
        <v>104</v>
      </c>
      <c r="D1030" t="s">
        <v>407</v>
      </c>
      <c r="E1030">
        <v>4</v>
      </c>
      <c r="F1030">
        <v>0</v>
      </c>
      <c r="G1030">
        <v>28</v>
      </c>
      <c r="H1030">
        <v>1</v>
      </c>
      <c r="I1030">
        <v>7</v>
      </c>
      <c r="J1030">
        <v>10</v>
      </c>
      <c r="K1030">
        <v>2</v>
      </c>
      <c r="L1030">
        <v>1</v>
      </c>
      <c r="M1030">
        <v>0</v>
      </c>
      <c r="N1030">
        <v>0</v>
      </c>
    </row>
    <row r="1031" spans="1:14" x14ac:dyDescent="0.45">
      <c r="A1031" t="s">
        <v>142</v>
      </c>
      <c r="B1031" t="s">
        <v>683</v>
      </c>
      <c r="C1031" t="s">
        <v>104</v>
      </c>
      <c r="D1031" t="s">
        <v>516</v>
      </c>
      <c r="E1031">
        <v>2</v>
      </c>
      <c r="F1031">
        <v>0</v>
      </c>
      <c r="G1031">
        <v>23</v>
      </c>
      <c r="H1031">
        <v>1</v>
      </c>
      <c r="I1031">
        <v>11.5</v>
      </c>
      <c r="J1031">
        <v>3</v>
      </c>
      <c r="K1031">
        <v>1</v>
      </c>
      <c r="L1031">
        <v>2</v>
      </c>
      <c r="M1031">
        <v>0</v>
      </c>
      <c r="N1031">
        <v>0</v>
      </c>
    </row>
    <row r="1032" spans="1:14" x14ac:dyDescent="0.45">
      <c r="A1032" t="s">
        <v>142</v>
      </c>
      <c r="B1032" t="s">
        <v>683</v>
      </c>
      <c r="C1032" t="s">
        <v>104</v>
      </c>
      <c r="D1032" t="s">
        <v>331</v>
      </c>
      <c r="E1032">
        <v>1</v>
      </c>
      <c r="F1032">
        <v>0</v>
      </c>
      <c r="G1032">
        <v>14</v>
      </c>
      <c r="H1032">
        <v>0</v>
      </c>
      <c r="I1032">
        <v>14</v>
      </c>
      <c r="J1032">
        <v>3</v>
      </c>
      <c r="K1032">
        <v>0</v>
      </c>
      <c r="L1032">
        <v>2</v>
      </c>
      <c r="M1032">
        <v>1</v>
      </c>
      <c r="N1032">
        <v>0</v>
      </c>
    </row>
    <row r="1033" spans="1:14" x14ac:dyDescent="0.45">
      <c r="A1033" t="s">
        <v>143</v>
      </c>
      <c r="B1033" t="s">
        <v>632</v>
      </c>
      <c r="C1033" t="s">
        <v>19</v>
      </c>
      <c r="D1033" t="s">
        <v>464</v>
      </c>
      <c r="E1033">
        <v>4</v>
      </c>
      <c r="F1033">
        <v>0</v>
      </c>
      <c r="G1033">
        <v>32</v>
      </c>
      <c r="H1033">
        <v>1</v>
      </c>
      <c r="I1033">
        <v>8</v>
      </c>
      <c r="J1033">
        <v>10</v>
      </c>
      <c r="K1033">
        <v>4</v>
      </c>
      <c r="L1033">
        <v>0</v>
      </c>
      <c r="M1033">
        <v>2</v>
      </c>
      <c r="N1033">
        <v>0</v>
      </c>
    </row>
    <row r="1034" spans="1:14" x14ac:dyDescent="0.45">
      <c r="A1034" t="s">
        <v>143</v>
      </c>
      <c r="B1034" t="s">
        <v>632</v>
      </c>
      <c r="C1034" t="s">
        <v>19</v>
      </c>
      <c r="D1034" t="s">
        <v>369</v>
      </c>
      <c r="E1034">
        <v>4</v>
      </c>
      <c r="F1034">
        <v>0</v>
      </c>
      <c r="G1034">
        <v>27</v>
      </c>
      <c r="H1034">
        <v>0</v>
      </c>
      <c r="I1034">
        <v>6.75</v>
      </c>
      <c r="J1034">
        <v>11</v>
      </c>
      <c r="K1034">
        <v>3</v>
      </c>
      <c r="L1034">
        <v>0</v>
      </c>
      <c r="M1034">
        <v>0</v>
      </c>
      <c r="N1034">
        <v>1</v>
      </c>
    </row>
    <row r="1035" spans="1:14" x14ac:dyDescent="0.45">
      <c r="A1035" t="s">
        <v>143</v>
      </c>
      <c r="B1035" t="s">
        <v>632</v>
      </c>
      <c r="C1035" t="s">
        <v>19</v>
      </c>
      <c r="D1035" t="s">
        <v>504</v>
      </c>
      <c r="E1035">
        <v>3</v>
      </c>
      <c r="F1035">
        <v>0</v>
      </c>
      <c r="G1035">
        <v>47</v>
      </c>
      <c r="H1035">
        <v>2</v>
      </c>
      <c r="I1035">
        <v>15.66</v>
      </c>
      <c r="J1035">
        <v>9</v>
      </c>
      <c r="K1035">
        <v>2</v>
      </c>
      <c r="L1035">
        <v>6</v>
      </c>
      <c r="M1035">
        <v>0</v>
      </c>
      <c r="N1035">
        <v>0</v>
      </c>
    </row>
    <row r="1036" spans="1:14" x14ac:dyDescent="0.45">
      <c r="A1036" t="s">
        <v>143</v>
      </c>
      <c r="B1036" t="s">
        <v>632</v>
      </c>
      <c r="C1036" t="s">
        <v>19</v>
      </c>
      <c r="D1036" t="s">
        <v>457</v>
      </c>
      <c r="E1036">
        <v>4</v>
      </c>
      <c r="F1036">
        <v>0</v>
      </c>
      <c r="G1036">
        <v>24</v>
      </c>
      <c r="H1036">
        <v>2</v>
      </c>
      <c r="I1036">
        <v>6</v>
      </c>
      <c r="J1036">
        <v>13</v>
      </c>
      <c r="K1036">
        <v>1</v>
      </c>
      <c r="L1036">
        <v>1</v>
      </c>
      <c r="M1036">
        <v>4</v>
      </c>
      <c r="N1036">
        <v>0</v>
      </c>
    </row>
    <row r="1037" spans="1:14" x14ac:dyDescent="0.45">
      <c r="A1037" t="s">
        <v>143</v>
      </c>
      <c r="B1037" t="s">
        <v>632</v>
      </c>
      <c r="C1037" t="s">
        <v>19</v>
      </c>
      <c r="D1037" t="s">
        <v>524</v>
      </c>
      <c r="E1037">
        <v>4</v>
      </c>
      <c r="F1037">
        <v>0</v>
      </c>
      <c r="G1037">
        <v>19</v>
      </c>
      <c r="H1037">
        <v>1</v>
      </c>
      <c r="I1037">
        <v>4.75</v>
      </c>
      <c r="J1037">
        <v>9</v>
      </c>
      <c r="K1037">
        <v>1</v>
      </c>
      <c r="L1037">
        <v>0</v>
      </c>
      <c r="M1037">
        <v>0</v>
      </c>
      <c r="N1037">
        <v>0</v>
      </c>
    </row>
    <row r="1038" spans="1:14" x14ac:dyDescent="0.45">
      <c r="A1038" t="s">
        <v>143</v>
      </c>
      <c r="B1038" t="s">
        <v>632</v>
      </c>
      <c r="C1038" t="s">
        <v>19</v>
      </c>
      <c r="D1038" t="s">
        <v>362</v>
      </c>
      <c r="E1038">
        <v>1</v>
      </c>
      <c r="F1038">
        <v>0</v>
      </c>
      <c r="G1038">
        <v>8</v>
      </c>
      <c r="H1038">
        <v>0</v>
      </c>
      <c r="I1038">
        <v>8</v>
      </c>
      <c r="J1038">
        <v>1</v>
      </c>
      <c r="K1038">
        <v>1</v>
      </c>
      <c r="L1038">
        <v>0</v>
      </c>
      <c r="M1038">
        <v>0</v>
      </c>
      <c r="N1038">
        <v>0</v>
      </c>
    </row>
    <row r="1039" spans="1:14" x14ac:dyDescent="0.45">
      <c r="A1039" t="s">
        <v>143</v>
      </c>
      <c r="B1039" t="s">
        <v>632</v>
      </c>
      <c r="C1039" t="s">
        <v>23</v>
      </c>
      <c r="D1039" t="s">
        <v>370</v>
      </c>
      <c r="E1039">
        <v>3</v>
      </c>
      <c r="F1039">
        <v>0</v>
      </c>
      <c r="G1039">
        <v>26</v>
      </c>
      <c r="H1039">
        <v>1</v>
      </c>
      <c r="I1039">
        <v>8.66</v>
      </c>
      <c r="J1039">
        <v>9</v>
      </c>
      <c r="K1039">
        <v>2</v>
      </c>
      <c r="L1039">
        <v>1</v>
      </c>
      <c r="M1039">
        <v>2</v>
      </c>
      <c r="N1039">
        <v>0</v>
      </c>
    </row>
    <row r="1040" spans="1:14" x14ac:dyDescent="0.45">
      <c r="A1040" t="s">
        <v>143</v>
      </c>
      <c r="B1040" t="s">
        <v>632</v>
      </c>
      <c r="C1040" t="s">
        <v>23</v>
      </c>
      <c r="D1040" t="s">
        <v>441</v>
      </c>
      <c r="E1040">
        <v>4</v>
      </c>
      <c r="F1040">
        <v>0</v>
      </c>
      <c r="G1040">
        <v>29</v>
      </c>
      <c r="H1040">
        <v>1</v>
      </c>
      <c r="I1040">
        <v>7.25</v>
      </c>
      <c r="J1040">
        <v>11</v>
      </c>
      <c r="K1040">
        <v>4</v>
      </c>
      <c r="L1040">
        <v>0</v>
      </c>
      <c r="M1040">
        <v>1</v>
      </c>
      <c r="N1040">
        <v>0</v>
      </c>
    </row>
    <row r="1041" spans="1:14" x14ac:dyDescent="0.45">
      <c r="A1041" t="s">
        <v>143</v>
      </c>
      <c r="B1041" t="s">
        <v>632</v>
      </c>
      <c r="C1041" t="s">
        <v>23</v>
      </c>
      <c r="D1041" t="s">
        <v>339</v>
      </c>
      <c r="E1041">
        <v>4</v>
      </c>
      <c r="F1041">
        <v>0</v>
      </c>
      <c r="G1041">
        <v>21</v>
      </c>
      <c r="H1041">
        <v>1</v>
      </c>
      <c r="I1041">
        <v>5.25</v>
      </c>
      <c r="J1041">
        <v>9</v>
      </c>
      <c r="K1041">
        <v>0</v>
      </c>
      <c r="L1041">
        <v>1</v>
      </c>
      <c r="M1041">
        <v>0</v>
      </c>
      <c r="N1041">
        <v>0</v>
      </c>
    </row>
    <row r="1042" spans="1:14" x14ac:dyDescent="0.45">
      <c r="A1042" t="s">
        <v>143</v>
      </c>
      <c r="B1042" t="s">
        <v>632</v>
      </c>
      <c r="C1042" t="s">
        <v>23</v>
      </c>
      <c r="D1042" t="s">
        <v>539</v>
      </c>
      <c r="E1042">
        <v>1</v>
      </c>
      <c r="F1042">
        <v>0</v>
      </c>
      <c r="G1042">
        <v>20</v>
      </c>
      <c r="H1042">
        <v>0</v>
      </c>
      <c r="I1042">
        <v>20</v>
      </c>
      <c r="J1042">
        <v>0</v>
      </c>
      <c r="K1042">
        <v>3</v>
      </c>
      <c r="L1042">
        <v>1</v>
      </c>
      <c r="M1042">
        <v>0</v>
      </c>
      <c r="N1042">
        <v>0</v>
      </c>
    </row>
    <row r="1043" spans="1:14" x14ac:dyDescent="0.45">
      <c r="A1043" t="s">
        <v>143</v>
      </c>
      <c r="B1043" t="s">
        <v>632</v>
      </c>
      <c r="C1043" t="s">
        <v>23</v>
      </c>
      <c r="D1043" t="s">
        <v>353</v>
      </c>
      <c r="E1043">
        <v>4</v>
      </c>
      <c r="F1043">
        <v>0</v>
      </c>
      <c r="G1043">
        <v>33</v>
      </c>
      <c r="H1043">
        <v>1</v>
      </c>
      <c r="I1043">
        <v>8.25</v>
      </c>
      <c r="J1043">
        <v>9</v>
      </c>
      <c r="K1043">
        <v>0</v>
      </c>
      <c r="L1043">
        <v>3</v>
      </c>
      <c r="M1043">
        <v>0</v>
      </c>
      <c r="N1043">
        <v>0</v>
      </c>
    </row>
    <row r="1044" spans="1:14" x14ac:dyDescent="0.45">
      <c r="A1044" t="s">
        <v>143</v>
      </c>
      <c r="B1044" t="s">
        <v>632</v>
      </c>
      <c r="C1044" t="s">
        <v>23</v>
      </c>
      <c r="D1044" t="s">
        <v>527</v>
      </c>
      <c r="E1044">
        <v>3.2</v>
      </c>
      <c r="F1044">
        <v>0</v>
      </c>
      <c r="G1044">
        <v>29</v>
      </c>
      <c r="H1044">
        <v>1</v>
      </c>
      <c r="I1044">
        <v>8.6999999999999993</v>
      </c>
      <c r="J1044">
        <v>7</v>
      </c>
      <c r="K1044">
        <v>3</v>
      </c>
      <c r="L1044">
        <v>1</v>
      </c>
      <c r="M1044">
        <v>1</v>
      </c>
      <c r="N1044">
        <v>0</v>
      </c>
    </row>
    <row r="1045" spans="1:14" x14ac:dyDescent="0.45">
      <c r="A1045" t="s">
        <v>144</v>
      </c>
      <c r="B1045" t="s">
        <v>684</v>
      </c>
      <c r="C1045" t="s">
        <v>101</v>
      </c>
      <c r="D1045" t="s">
        <v>403</v>
      </c>
      <c r="E1045">
        <v>4</v>
      </c>
      <c r="F1045">
        <v>0</v>
      </c>
      <c r="G1045">
        <v>39</v>
      </c>
      <c r="H1045">
        <v>1</v>
      </c>
      <c r="I1045">
        <v>9.75</v>
      </c>
      <c r="J1045">
        <v>9</v>
      </c>
      <c r="K1045">
        <v>3</v>
      </c>
      <c r="L1045">
        <v>2</v>
      </c>
      <c r="M1045">
        <v>1</v>
      </c>
      <c r="N1045">
        <v>0</v>
      </c>
    </row>
    <row r="1046" spans="1:14" x14ac:dyDescent="0.45">
      <c r="A1046" t="s">
        <v>144</v>
      </c>
      <c r="B1046" t="s">
        <v>684</v>
      </c>
      <c r="C1046" t="s">
        <v>101</v>
      </c>
      <c r="D1046" t="s">
        <v>535</v>
      </c>
      <c r="E1046">
        <v>4</v>
      </c>
      <c r="F1046">
        <v>0</v>
      </c>
      <c r="G1046">
        <v>19</v>
      </c>
      <c r="H1046">
        <v>2</v>
      </c>
      <c r="I1046">
        <v>4.75</v>
      </c>
      <c r="J1046">
        <v>12</v>
      </c>
      <c r="K1046">
        <v>2</v>
      </c>
      <c r="L1046">
        <v>0</v>
      </c>
      <c r="M1046">
        <v>0</v>
      </c>
      <c r="N1046">
        <v>0</v>
      </c>
    </row>
    <row r="1047" spans="1:14" x14ac:dyDescent="0.45">
      <c r="A1047" t="s">
        <v>144</v>
      </c>
      <c r="B1047" t="s">
        <v>684</v>
      </c>
      <c r="C1047" t="s">
        <v>101</v>
      </c>
      <c r="D1047" t="s">
        <v>493</v>
      </c>
      <c r="E1047">
        <v>4</v>
      </c>
      <c r="F1047">
        <v>0</v>
      </c>
      <c r="G1047">
        <v>42</v>
      </c>
      <c r="H1047">
        <v>1</v>
      </c>
      <c r="I1047">
        <v>10.5</v>
      </c>
      <c r="J1047">
        <v>9</v>
      </c>
      <c r="K1047">
        <v>5</v>
      </c>
      <c r="L1047">
        <v>2</v>
      </c>
      <c r="M1047">
        <v>1</v>
      </c>
      <c r="N1047">
        <v>0</v>
      </c>
    </row>
    <row r="1048" spans="1:14" x14ac:dyDescent="0.45">
      <c r="A1048" t="s">
        <v>144</v>
      </c>
      <c r="B1048" t="s">
        <v>684</v>
      </c>
      <c r="C1048" t="s">
        <v>101</v>
      </c>
      <c r="D1048" t="s">
        <v>379</v>
      </c>
      <c r="E1048">
        <v>4</v>
      </c>
      <c r="F1048">
        <v>0</v>
      </c>
      <c r="G1048">
        <v>29</v>
      </c>
      <c r="H1048">
        <v>1</v>
      </c>
      <c r="I1048">
        <v>7.25</v>
      </c>
      <c r="J1048">
        <v>4</v>
      </c>
      <c r="K1048">
        <v>1</v>
      </c>
      <c r="L1048">
        <v>1</v>
      </c>
      <c r="M1048">
        <v>0</v>
      </c>
      <c r="N1048">
        <v>0</v>
      </c>
    </row>
    <row r="1049" spans="1:14" x14ac:dyDescent="0.45">
      <c r="A1049" t="s">
        <v>144</v>
      </c>
      <c r="B1049" t="s">
        <v>684</v>
      </c>
      <c r="C1049" t="s">
        <v>101</v>
      </c>
      <c r="D1049" t="s">
        <v>317</v>
      </c>
      <c r="E1049">
        <v>4</v>
      </c>
      <c r="F1049">
        <v>0</v>
      </c>
      <c r="G1049">
        <v>36</v>
      </c>
      <c r="H1049">
        <v>1</v>
      </c>
      <c r="I1049">
        <v>9</v>
      </c>
      <c r="J1049">
        <v>10</v>
      </c>
      <c r="K1049">
        <v>5</v>
      </c>
      <c r="L1049">
        <v>1</v>
      </c>
      <c r="M1049">
        <v>0</v>
      </c>
      <c r="N1049">
        <v>0</v>
      </c>
    </row>
    <row r="1050" spans="1:14" x14ac:dyDescent="0.45">
      <c r="A1050" t="s">
        <v>144</v>
      </c>
      <c r="B1050" t="s">
        <v>684</v>
      </c>
      <c r="C1050" t="s">
        <v>13</v>
      </c>
      <c r="D1050" t="s">
        <v>345</v>
      </c>
      <c r="E1050">
        <v>1</v>
      </c>
      <c r="F1050">
        <v>0</v>
      </c>
      <c r="G1050">
        <v>10</v>
      </c>
      <c r="H1050">
        <v>0</v>
      </c>
      <c r="I1050">
        <v>10</v>
      </c>
      <c r="J1050">
        <v>2</v>
      </c>
      <c r="K1050">
        <v>2</v>
      </c>
      <c r="L1050">
        <v>0</v>
      </c>
      <c r="M1050">
        <v>0</v>
      </c>
      <c r="N1050">
        <v>0</v>
      </c>
    </row>
    <row r="1051" spans="1:14" x14ac:dyDescent="0.45">
      <c r="A1051" t="s">
        <v>144</v>
      </c>
      <c r="B1051" t="s">
        <v>684</v>
      </c>
      <c r="C1051" t="s">
        <v>13</v>
      </c>
      <c r="D1051" t="s">
        <v>352</v>
      </c>
      <c r="E1051">
        <v>4</v>
      </c>
      <c r="F1051">
        <v>0</v>
      </c>
      <c r="G1051">
        <v>35</v>
      </c>
      <c r="H1051">
        <v>0</v>
      </c>
      <c r="I1051">
        <v>8.75</v>
      </c>
      <c r="J1051">
        <v>11</v>
      </c>
      <c r="K1051">
        <v>6</v>
      </c>
      <c r="L1051">
        <v>0</v>
      </c>
      <c r="M1051">
        <v>2</v>
      </c>
      <c r="N1051">
        <v>0</v>
      </c>
    </row>
    <row r="1052" spans="1:14" x14ac:dyDescent="0.45">
      <c r="A1052" t="s">
        <v>144</v>
      </c>
      <c r="B1052" t="s">
        <v>684</v>
      </c>
      <c r="C1052" t="s">
        <v>13</v>
      </c>
      <c r="D1052" t="s">
        <v>325</v>
      </c>
      <c r="E1052">
        <v>3.3</v>
      </c>
      <c r="F1052">
        <v>0</v>
      </c>
      <c r="G1052">
        <v>36</v>
      </c>
      <c r="H1052">
        <v>0</v>
      </c>
      <c r="I1052">
        <v>10.28</v>
      </c>
      <c r="J1052">
        <v>5</v>
      </c>
      <c r="K1052">
        <v>4</v>
      </c>
      <c r="L1052">
        <v>1</v>
      </c>
      <c r="M1052">
        <v>1</v>
      </c>
      <c r="N1052">
        <v>0</v>
      </c>
    </row>
    <row r="1053" spans="1:14" x14ac:dyDescent="0.45">
      <c r="A1053" t="s">
        <v>144</v>
      </c>
      <c r="B1053" t="s">
        <v>684</v>
      </c>
      <c r="C1053" t="s">
        <v>13</v>
      </c>
      <c r="D1053" t="s">
        <v>347</v>
      </c>
      <c r="E1053">
        <v>3</v>
      </c>
      <c r="F1053">
        <v>0</v>
      </c>
      <c r="G1053">
        <v>26</v>
      </c>
      <c r="H1053">
        <v>2</v>
      </c>
      <c r="I1053">
        <v>8.66</v>
      </c>
      <c r="J1053">
        <v>4</v>
      </c>
      <c r="K1053">
        <v>2</v>
      </c>
      <c r="L1053">
        <v>1</v>
      </c>
      <c r="M1053">
        <v>0</v>
      </c>
      <c r="N1053">
        <v>1</v>
      </c>
    </row>
    <row r="1054" spans="1:14" x14ac:dyDescent="0.45">
      <c r="A1054" t="s">
        <v>144</v>
      </c>
      <c r="B1054" t="s">
        <v>684</v>
      </c>
      <c r="C1054" t="s">
        <v>13</v>
      </c>
      <c r="D1054" t="s">
        <v>349</v>
      </c>
      <c r="E1054">
        <v>4</v>
      </c>
      <c r="F1054">
        <v>0</v>
      </c>
      <c r="G1054">
        <v>35</v>
      </c>
      <c r="H1054">
        <v>0</v>
      </c>
      <c r="I1054">
        <v>8.75</v>
      </c>
      <c r="J1054">
        <v>3</v>
      </c>
      <c r="K1054">
        <v>2</v>
      </c>
      <c r="L1054">
        <v>1</v>
      </c>
      <c r="M1054">
        <v>1</v>
      </c>
      <c r="N1054">
        <v>0</v>
      </c>
    </row>
    <row r="1055" spans="1:14" x14ac:dyDescent="0.45">
      <c r="A1055" t="s">
        <v>144</v>
      </c>
      <c r="B1055" t="s">
        <v>684</v>
      </c>
      <c r="C1055" t="s">
        <v>13</v>
      </c>
      <c r="D1055" t="s">
        <v>448</v>
      </c>
      <c r="E1055">
        <v>4</v>
      </c>
      <c r="F1055">
        <v>0</v>
      </c>
      <c r="G1055">
        <v>28</v>
      </c>
      <c r="H1055">
        <v>2</v>
      </c>
      <c r="I1055">
        <v>7</v>
      </c>
      <c r="J1055">
        <v>9</v>
      </c>
      <c r="K1055">
        <v>2</v>
      </c>
      <c r="L1055">
        <v>1</v>
      </c>
      <c r="M1055">
        <v>0</v>
      </c>
      <c r="N1055">
        <v>0</v>
      </c>
    </row>
    <row r="1056" spans="1:14" x14ac:dyDescent="0.45">
      <c r="A1056" t="s">
        <v>145</v>
      </c>
      <c r="B1056" t="s">
        <v>685</v>
      </c>
      <c r="C1056" t="s">
        <v>26</v>
      </c>
      <c r="D1056" t="s">
        <v>405</v>
      </c>
      <c r="E1056">
        <v>4</v>
      </c>
      <c r="F1056">
        <v>0</v>
      </c>
      <c r="G1056">
        <v>23</v>
      </c>
      <c r="H1056">
        <v>0</v>
      </c>
      <c r="I1056">
        <v>5.75</v>
      </c>
      <c r="J1056">
        <v>8</v>
      </c>
      <c r="K1056">
        <v>2</v>
      </c>
      <c r="L1056">
        <v>0</v>
      </c>
      <c r="M1056">
        <v>0</v>
      </c>
      <c r="N1056">
        <v>0</v>
      </c>
    </row>
    <row r="1057" spans="1:14" x14ac:dyDescent="0.45">
      <c r="A1057" t="s">
        <v>145</v>
      </c>
      <c r="B1057" t="s">
        <v>685</v>
      </c>
      <c r="C1057" t="s">
        <v>26</v>
      </c>
      <c r="D1057" t="s">
        <v>429</v>
      </c>
      <c r="E1057">
        <v>4</v>
      </c>
      <c r="F1057">
        <v>0</v>
      </c>
      <c r="G1057">
        <v>18</v>
      </c>
      <c r="H1057">
        <v>1</v>
      </c>
      <c r="I1057">
        <v>4.5</v>
      </c>
      <c r="J1057">
        <v>14</v>
      </c>
      <c r="K1057">
        <v>2</v>
      </c>
      <c r="L1057">
        <v>0</v>
      </c>
      <c r="M1057">
        <v>2</v>
      </c>
      <c r="N1057">
        <v>0</v>
      </c>
    </row>
    <row r="1058" spans="1:14" x14ac:dyDescent="0.45">
      <c r="A1058" t="s">
        <v>145</v>
      </c>
      <c r="B1058" t="s">
        <v>685</v>
      </c>
      <c r="C1058" t="s">
        <v>26</v>
      </c>
      <c r="D1058" t="s">
        <v>341</v>
      </c>
      <c r="E1058">
        <v>4</v>
      </c>
      <c r="F1058">
        <v>0</v>
      </c>
      <c r="G1058">
        <v>38</v>
      </c>
      <c r="H1058">
        <v>4</v>
      </c>
      <c r="I1058">
        <v>9.5</v>
      </c>
      <c r="J1058">
        <v>12</v>
      </c>
      <c r="K1058">
        <v>1</v>
      </c>
      <c r="L1058">
        <v>4</v>
      </c>
      <c r="M1058">
        <v>1</v>
      </c>
      <c r="N1058">
        <v>0</v>
      </c>
    </row>
    <row r="1059" spans="1:14" x14ac:dyDescent="0.45">
      <c r="A1059" t="s">
        <v>145</v>
      </c>
      <c r="B1059" t="s">
        <v>685</v>
      </c>
      <c r="C1059" t="s">
        <v>26</v>
      </c>
      <c r="D1059" t="s">
        <v>520</v>
      </c>
      <c r="E1059">
        <v>2</v>
      </c>
      <c r="F1059">
        <v>0</v>
      </c>
      <c r="G1059">
        <v>13</v>
      </c>
      <c r="H1059">
        <v>0</v>
      </c>
      <c r="I1059">
        <v>6.5</v>
      </c>
      <c r="J1059">
        <v>6</v>
      </c>
      <c r="K1059">
        <v>0</v>
      </c>
      <c r="L1059">
        <v>1</v>
      </c>
      <c r="M1059">
        <v>0</v>
      </c>
      <c r="N1059">
        <v>0</v>
      </c>
    </row>
    <row r="1060" spans="1:14" x14ac:dyDescent="0.45">
      <c r="A1060" t="s">
        <v>145</v>
      </c>
      <c r="B1060" t="s">
        <v>685</v>
      </c>
      <c r="C1060" t="s">
        <v>26</v>
      </c>
      <c r="D1060" t="s">
        <v>384</v>
      </c>
      <c r="E1060">
        <v>2</v>
      </c>
      <c r="F1060">
        <v>0</v>
      </c>
      <c r="G1060">
        <v>23</v>
      </c>
      <c r="H1060">
        <v>0</v>
      </c>
      <c r="I1060">
        <v>11.5</v>
      </c>
      <c r="J1060">
        <v>1</v>
      </c>
      <c r="K1060">
        <v>1</v>
      </c>
      <c r="L1060">
        <v>1</v>
      </c>
      <c r="M1060">
        <v>1</v>
      </c>
      <c r="N1060">
        <v>0</v>
      </c>
    </row>
    <row r="1061" spans="1:14" x14ac:dyDescent="0.45">
      <c r="A1061" t="s">
        <v>145</v>
      </c>
      <c r="B1061" t="s">
        <v>685</v>
      </c>
      <c r="C1061" t="s">
        <v>26</v>
      </c>
      <c r="D1061" t="s">
        <v>435</v>
      </c>
      <c r="E1061">
        <v>4</v>
      </c>
      <c r="F1061">
        <v>0</v>
      </c>
      <c r="G1061">
        <v>30</v>
      </c>
      <c r="H1061">
        <v>2</v>
      </c>
      <c r="I1061">
        <v>7.5</v>
      </c>
      <c r="J1061">
        <v>10</v>
      </c>
      <c r="K1061">
        <v>2</v>
      </c>
      <c r="L1061">
        <v>2</v>
      </c>
      <c r="M1061">
        <v>0</v>
      </c>
      <c r="N1061">
        <v>0</v>
      </c>
    </row>
    <row r="1062" spans="1:14" x14ac:dyDescent="0.45">
      <c r="A1062" t="s">
        <v>145</v>
      </c>
      <c r="B1062" t="s">
        <v>685</v>
      </c>
      <c r="C1062" t="s">
        <v>104</v>
      </c>
      <c r="D1062" t="s">
        <v>492</v>
      </c>
      <c r="E1062">
        <v>4</v>
      </c>
      <c r="F1062">
        <v>1</v>
      </c>
      <c r="G1062">
        <v>24</v>
      </c>
      <c r="H1062">
        <v>3</v>
      </c>
      <c r="I1062">
        <v>6</v>
      </c>
      <c r="J1062">
        <v>14</v>
      </c>
      <c r="K1062">
        <v>2</v>
      </c>
      <c r="L1062">
        <v>1</v>
      </c>
      <c r="M1062">
        <v>2</v>
      </c>
      <c r="N1062">
        <v>0</v>
      </c>
    </row>
    <row r="1063" spans="1:14" x14ac:dyDescent="0.45">
      <c r="A1063" t="s">
        <v>145</v>
      </c>
      <c r="B1063" t="s">
        <v>685</v>
      </c>
      <c r="C1063" t="s">
        <v>104</v>
      </c>
      <c r="D1063" t="s">
        <v>491</v>
      </c>
      <c r="E1063">
        <v>4</v>
      </c>
      <c r="F1063">
        <v>0</v>
      </c>
      <c r="G1063">
        <v>17</v>
      </c>
      <c r="H1063">
        <v>2</v>
      </c>
      <c r="I1063">
        <v>4.25</v>
      </c>
      <c r="J1063">
        <v>17</v>
      </c>
      <c r="K1063">
        <v>1</v>
      </c>
      <c r="L1063">
        <v>1</v>
      </c>
      <c r="M1063">
        <v>2</v>
      </c>
      <c r="N1063">
        <v>0</v>
      </c>
    </row>
    <row r="1064" spans="1:14" x14ac:dyDescent="0.45">
      <c r="A1064" t="s">
        <v>145</v>
      </c>
      <c r="B1064" t="s">
        <v>685</v>
      </c>
      <c r="C1064" t="s">
        <v>104</v>
      </c>
      <c r="D1064" t="s">
        <v>378</v>
      </c>
      <c r="E1064">
        <v>1</v>
      </c>
      <c r="F1064">
        <v>0</v>
      </c>
      <c r="G1064">
        <v>8</v>
      </c>
      <c r="H1064">
        <v>0</v>
      </c>
      <c r="I1064">
        <v>8</v>
      </c>
      <c r="J1064">
        <v>1</v>
      </c>
      <c r="K1064">
        <v>1</v>
      </c>
      <c r="L1064">
        <v>0</v>
      </c>
      <c r="M1064">
        <v>0</v>
      </c>
      <c r="N1064">
        <v>0</v>
      </c>
    </row>
    <row r="1065" spans="1:14" x14ac:dyDescent="0.45">
      <c r="A1065" t="s">
        <v>145</v>
      </c>
      <c r="B1065" t="s">
        <v>685</v>
      </c>
      <c r="C1065" t="s">
        <v>104</v>
      </c>
      <c r="D1065" t="s">
        <v>340</v>
      </c>
      <c r="E1065">
        <v>3</v>
      </c>
      <c r="F1065">
        <v>0</v>
      </c>
      <c r="G1065">
        <v>26</v>
      </c>
      <c r="H1065">
        <v>0</v>
      </c>
      <c r="I1065">
        <v>8.66</v>
      </c>
      <c r="J1065">
        <v>10</v>
      </c>
      <c r="K1065">
        <v>4</v>
      </c>
      <c r="L1065">
        <v>1</v>
      </c>
      <c r="M1065">
        <v>1</v>
      </c>
      <c r="N1065">
        <v>0</v>
      </c>
    </row>
    <row r="1066" spans="1:14" x14ac:dyDescent="0.45">
      <c r="A1066" t="s">
        <v>145</v>
      </c>
      <c r="B1066" t="s">
        <v>685</v>
      </c>
      <c r="C1066" t="s">
        <v>104</v>
      </c>
      <c r="D1066" t="s">
        <v>407</v>
      </c>
      <c r="E1066">
        <v>4</v>
      </c>
      <c r="F1066">
        <v>0</v>
      </c>
      <c r="G1066">
        <v>41</v>
      </c>
      <c r="H1066">
        <v>1</v>
      </c>
      <c r="I1066">
        <v>10.25</v>
      </c>
      <c r="J1066">
        <v>10</v>
      </c>
      <c r="K1066">
        <v>4</v>
      </c>
      <c r="L1066">
        <v>2</v>
      </c>
      <c r="M1066">
        <v>2</v>
      </c>
      <c r="N1066">
        <v>1</v>
      </c>
    </row>
    <row r="1067" spans="1:14" x14ac:dyDescent="0.45">
      <c r="A1067" t="s">
        <v>145</v>
      </c>
      <c r="B1067" t="s">
        <v>685</v>
      </c>
      <c r="C1067" t="s">
        <v>104</v>
      </c>
      <c r="D1067" t="s">
        <v>366</v>
      </c>
      <c r="E1067">
        <v>4</v>
      </c>
      <c r="F1067">
        <v>1</v>
      </c>
      <c r="G1067">
        <v>11</v>
      </c>
      <c r="H1067">
        <v>2</v>
      </c>
      <c r="I1067">
        <v>2.75</v>
      </c>
      <c r="J1067">
        <v>15</v>
      </c>
      <c r="K1067">
        <v>0</v>
      </c>
      <c r="L1067">
        <v>0</v>
      </c>
      <c r="M1067">
        <v>1</v>
      </c>
      <c r="N1067">
        <v>0</v>
      </c>
    </row>
    <row r="1068" spans="1:14" x14ac:dyDescent="0.45">
      <c r="A1068" t="s">
        <v>146</v>
      </c>
      <c r="B1068" t="s">
        <v>654</v>
      </c>
      <c r="C1068" t="s">
        <v>10</v>
      </c>
      <c r="D1068" t="s">
        <v>396</v>
      </c>
      <c r="E1068">
        <v>4</v>
      </c>
      <c r="F1068">
        <v>0</v>
      </c>
      <c r="G1068">
        <v>18</v>
      </c>
      <c r="H1068">
        <v>3</v>
      </c>
      <c r="I1068">
        <v>4.5</v>
      </c>
      <c r="J1068">
        <v>14</v>
      </c>
      <c r="K1068">
        <v>2</v>
      </c>
      <c r="L1068">
        <v>0</v>
      </c>
      <c r="M1068">
        <v>1</v>
      </c>
      <c r="N1068">
        <v>0</v>
      </c>
    </row>
    <row r="1069" spans="1:14" x14ac:dyDescent="0.45">
      <c r="A1069" t="s">
        <v>146</v>
      </c>
      <c r="B1069" t="s">
        <v>654</v>
      </c>
      <c r="C1069" t="s">
        <v>10</v>
      </c>
      <c r="D1069" t="s">
        <v>394</v>
      </c>
      <c r="E1069">
        <v>3</v>
      </c>
      <c r="F1069">
        <v>0</v>
      </c>
      <c r="G1069">
        <v>17</v>
      </c>
      <c r="H1069">
        <v>1</v>
      </c>
      <c r="I1069">
        <v>5.66</v>
      </c>
      <c r="J1069">
        <v>8</v>
      </c>
      <c r="K1069">
        <v>2</v>
      </c>
      <c r="L1069">
        <v>0</v>
      </c>
      <c r="M1069">
        <v>0</v>
      </c>
      <c r="N1069">
        <v>0</v>
      </c>
    </row>
    <row r="1070" spans="1:14" x14ac:dyDescent="0.45">
      <c r="A1070" t="s">
        <v>146</v>
      </c>
      <c r="B1070" t="s">
        <v>654</v>
      </c>
      <c r="C1070" t="s">
        <v>10</v>
      </c>
      <c r="D1070" t="s">
        <v>326</v>
      </c>
      <c r="E1070">
        <v>3</v>
      </c>
      <c r="F1070">
        <v>0</v>
      </c>
      <c r="G1070">
        <v>32</v>
      </c>
      <c r="H1070">
        <v>0</v>
      </c>
      <c r="I1070">
        <v>10.66</v>
      </c>
      <c r="J1070">
        <v>2</v>
      </c>
      <c r="K1070">
        <v>2</v>
      </c>
      <c r="L1070">
        <v>1</v>
      </c>
      <c r="M1070">
        <v>2</v>
      </c>
      <c r="N1070">
        <v>0</v>
      </c>
    </row>
    <row r="1071" spans="1:14" x14ac:dyDescent="0.45">
      <c r="A1071" t="s">
        <v>146</v>
      </c>
      <c r="B1071" t="s">
        <v>654</v>
      </c>
      <c r="C1071" t="s">
        <v>10</v>
      </c>
      <c r="D1071" t="s">
        <v>337</v>
      </c>
      <c r="E1071">
        <v>4</v>
      </c>
      <c r="F1071">
        <v>0</v>
      </c>
      <c r="G1071">
        <v>28</v>
      </c>
      <c r="H1071">
        <v>1</v>
      </c>
      <c r="I1071">
        <v>7</v>
      </c>
      <c r="J1071">
        <v>5</v>
      </c>
      <c r="K1071">
        <v>3</v>
      </c>
      <c r="L1071">
        <v>0</v>
      </c>
      <c r="M1071">
        <v>0</v>
      </c>
      <c r="N1071">
        <v>0</v>
      </c>
    </row>
    <row r="1072" spans="1:14" x14ac:dyDescent="0.45">
      <c r="A1072" t="s">
        <v>146</v>
      </c>
      <c r="B1072" t="s">
        <v>654</v>
      </c>
      <c r="C1072" t="s">
        <v>10</v>
      </c>
      <c r="D1072" t="s">
        <v>500</v>
      </c>
      <c r="E1072">
        <v>3</v>
      </c>
      <c r="F1072">
        <v>0</v>
      </c>
      <c r="G1072">
        <v>14</v>
      </c>
      <c r="H1072">
        <v>4</v>
      </c>
      <c r="I1072">
        <v>4.66</v>
      </c>
      <c r="J1072">
        <v>8</v>
      </c>
      <c r="K1072">
        <v>1</v>
      </c>
      <c r="L1072">
        <v>0</v>
      </c>
      <c r="M1072">
        <v>0</v>
      </c>
      <c r="N1072">
        <v>0</v>
      </c>
    </row>
    <row r="1073" spans="1:14" x14ac:dyDescent="0.45">
      <c r="A1073" t="s">
        <v>146</v>
      </c>
      <c r="B1073" t="s">
        <v>654</v>
      </c>
      <c r="C1073" t="s">
        <v>10</v>
      </c>
      <c r="D1073" t="s">
        <v>436</v>
      </c>
      <c r="E1073">
        <v>3</v>
      </c>
      <c r="F1073">
        <v>0</v>
      </c>
      <c r="G1073">
        <v>32</v>
      </c>
      <c r="H1073">
        <v>0</v>
      </c>
      <c r="I1073">
        <v>10.66</v>
      </c>
      <c r="J1073">
        <v>3</v>
      </c>
      <c r="K1073">
        <v>0</v>
      </c>
      <c r="L1073">
        <v>3</v>
      </c>
      <c r="M1073">
        <v>0</v>
      </c>
      <c r="N1073">
        <v>1</v>
      </c>
    </row>
    <row r="1074" spans="1:14" x14ac:dyDescent="0.45">
      <c r="A1074" t="s">
        <v>146</v>
      </c>
      <c r="B1074" t="s">
        <v>654</v>
      </c>
      <c r="C1074" t="s">
        <v>7</v>
      </c>
      <c r="D1074" t="s">
        <v>515</v>
      </c>
      <c r="E1074">
        <v>4</v>
      </c>
      <c r="F1074">
        <v>0</v>
      </c>
      <c r="G1074">
        <v>24</v>
      </c>
      <c r="H1074">
        <v>3</v>
      </c>
      <c r="I1074">
        <v>6</v>
      </c>
      <c r="J1074">
        <v>13</v>
      </c>
      <c r="K1074">
        <v>3</v>
      </c>
      <c r="L1074">
        <v>0</v>
      </c>
      <c r="M1074">
        <v>0</v>
      </c>
      <c r="N1074">
        <v>0</v>
      </c>
    </row>
    <row r="1075" spans="1:14" x14ac:dyDescent="0.45">
      <c r="A1075" t="s">
        <v>146</v>
      </c>
      <c r="B1075" t="s">
        <v>654</v>
      </c>
      <c r="C1075" t="s">
        <v>7</v>
      </c>
      <c r="D1075" t="s">
        <v>533</v>
      </c>
      <c r="E1075">
        <v>3</v>
      </c>
      <c r="F1075">
        <v>0</v>
      </c>
      <c r="G1075">
        <v>24</v>
      </c>
      <c r="H1075">
        <v>1</v>
      </c>
      <c r="I1075">
        <v>8</v>
      </c>
      <c r="J1075">
        <v>8</v>
      </c>
      <c r="K1075">
        <v>2</v>
      </c>
      <c r="L1075">
        <v>1</v>
      </c>
      <c r="M1075">
        <v>0</v>
      </c>
      <c r="N1075">
        <v>1</v>
      </c>
    </row>
    <row r="1076" spans="1:14" x14ac:dyDescent="0.45">
      <c r="A1076" t="s">
        <v>146</v>
      </c>
      <c r="B1076" t="s">
        <v>654</v>
      </c>
      <c r="C1076" t="s">
        <v>7</v>
      </c>
      <c r="D1076" t="s">
        <v>415</v>
      </c>
      <c r="E1076">
        <v>4</v>
      </c>
      <c r="F1076">
        <v>0</v>
      </c>
      <c r="G1076">
        <v>31</v>
      </c>
      <c r="H1076">
        <v>0</v>
      </c>
      <c r="I1076">
        <v>7.75</v>
      </c>
      <c r="J1076">
        <v>6</v>
      </c>
      <c r="K1076">
        <v>2</v>
      </c>
      <c r="L1076">
        <v>1</v>
      </c>
      <c r="M1076">
        <v>1</v>
      </c>
      <c r="N1076">
        <v>0</v>
      </c>
    </row>
    <row r="1077" spans="1:14" x14ac:dyDescent="0.45">
      <c r="A1077" t="s">
        <v>146</v>
      </c>
      <c r="B1077" t="s">
        <v>654</v>
      </c>
      <c r="C1077" t="s">
        <v>7</v>
      </c>
      <c r="D1077" t="s">
        <v>308</v>
      </c>
      <c r="E1077">
        <v>4</v>
      </c>
      <c r="F1077">
        <v>0</v>
      </c>
      <c r="G1077">
        <v>19</v>
      </c>
      <c r="H1077">
        <v>1</v>
      </c>
      <c r="I1077">
        <v>4.75</v>
      </c>
      <c r="J1077">
        <v>13</v>
      </c>
      <c r="K1077">
        <v>2</v>
      </c>
      <c r="L1077">
        <v>0</v>
      </c>
      <c r="M1077">
        <v>1</v>
      </c>
      <c r="N1077">
        <v>0</v>
      </c>
    </row>
    <row r="1078" spans="1:14" x14ac:dyDescent="0.45">
      <c r="A1078" t="s">
        <v>146</v>
      </c>
      <c r="B1078" t="s">
        <v>654</v>
      </c>
      <c r="C1078" t="s">
        <v>7</v>
      </c>
      <c r="D1078" t="s">
        <v>306</v>
      </c>
      <c r="E1078">
        <v>1</v>
      </c>
      <c r="F1078">
        <v>0</v>
      </c>
      <c r="G1078">
        <v>14</v>
      </c>
      <c r="H1078">
        <v>0</v>
      </c>
      <c r="I1078">
        <v>14</v>
      </c>
      <c r="J1078">
        <v>1</v>
      </c>
      <c r="K1078">
        <v>3</v>
      </c>
      <c r="L1078">
        <v>0</v>
      </c>
      <c r="M1078">
        <v>0</v>
      </c>
      <c r="N1078">
        <v>0</v>
      </c>
    </row>
    <row r="1079" spans="1:14" x14ac:dyDescent="0.45">
      <c r="A1079" t="s">
        <v>146</v>
      </c>
      <c r="B1079" t="s">
        <v>654</v>
      </c>
      <c r="C1079" t="s">
        <v>7</v>
      </c>
      <c r="D1079" t="s">
        <v>440</v>
      </c>
      <c r="E1079">
        <v>1</v>
      </c>
      <c r="F1079">
        <v>0</v>
      </c>
      <c r="G1079">
        <v>14</v>
      </c>
      <c r="H1079">
        <v>0</v>
      </c>
      <c r="I1079">
        <v>14</v>
      </c>
      <c r="J1079">
        <v>1</v>
      </c>
      <c r="K1079">
        <v>1</v>
      </c>
      <c r="L1079">
        <v>1</v>
      </c>
      <c r="M1079">
        <v>0</v>
      </c>
      <c r="N1079">
        <v>0</v>
      </c>
    </row>
    <row r="1080" spans="1:14" x14ac:dyDescent="0.45">
      <c r="A1080" t="s">
        <v>146</v>
      </c>
      <c r="B1080" t="s">
        <v>654</v>
      </c>
      <c r="C1080" t="s">
        <v>7</v>
      </c>
      <c r="D1080" t="s">
        <v>304</v>
      </c>
      <c r="E1080">
        <v>1</v>
      </c>
      <c r="F1080">
        <v>0</v>
      </c>
      <c r="G1080">
        <v>14</v>
      </c>
      <c r="H1080">
        <v>0</v>
      </c>
      <c r="I1080">
        <v>14</v>
      </c>
      <c r="J1080">
        <v>0</v>
      </c>
      <c r="K1080">
        <v>1</v>
      </c>
      <c r="L1080">
        <v>1</v>
      </c>
      <c r="M1080">
        <v>0</v>
      </c>
      <c r="N1080">
        <v>0</v>
      </c>
    </row>
    <row r="1081" spans="1:14" x14ac:dyDescent="0.45">
      <c r="A1081" t="s">
        <v>146</v>
      </c>
      <c r="B1081" t="s">
        <v>654</v>
      </c>
      <c r="C1081" t="s">
        <v>7</v>
      </c>
      <c r="D1081" t="s">
        <v>332</v>
      </c>
      <c r="E1081">
        <v>1</v>
      </c>
      <c r="F1081">
        <v>0</v>
      </c>
      <c r="G1081">
        <v>7</v>
      </c>
      <c r="H1081">
        <v>0</v>
      </c>
      <c r="I1081">
        <v>7</v>
      </c>
      <c r="J1081">
        <v>4</v>
      </c>
      <c r="K1081">
        <v>0</v>
      </c>
      <c r="L1081">
        <v>1</v>
      </c>
      <c r="M1081">
        <v>0</v>
      </c>
      <c r="N1081">
        <v>0</v>
      </c>
    </row>
    <row r="1082" spans="1:14" x14ac:dyDescent="0.45">
      <c r="A1082" t="s">
        <v>147</v>
      </c>
      <c r="B1082" t="s">
        <v>686</v>
      </c>
      <c r="C1082" t="s">
        <v>101</v>
      </c>
      <c r="D1082" t="s">
        <v>403</v>
      </c>
      <c r="E1082">
        <v>4</v>
      </c>
      <c r="F1082">
        <v>0</v>
      </c>
      <c r="G1082">
        <v>39</v>
      </c>
      <c r="H1082">
        <v>3</v>
      </c>
      <c r="I1082">
        <v>9.75</v>
      </c>
      <c r="J1082">
        <v>14</v>
      </c>
      <c r="K1082">
        <v>3</v>
      </c>
      <c r="L1082">
        <v>2</v>
      </c>
      <c r="M1082">
        <v>2</v>
      </c>
      <c r="N1082">
        <v>0</v>
      </c>
    </row>
    <row r="1083" spans="1:14" x14ac:dyDescent="0.45">
      <c r="A1083" t="s">
        <v>147</v>
      </c>
      <c r="B1083" t="s">
        <v>686</v>
      </c>
      <c r="C1083" t="s">
        <v>101</v>
      </c>
      <c r="D1083" t="s">
        <v>489</v>
      </c>
      <c r="E1083">
        <v>4</v>
      </c>
      <c r="F1083">
        <v>0</v>
      </c>
      <c r="G1083">
        <v>24</v>
      </c>
      <c r="H1083">
        <v>1</v>
      </c>
      <c r="I1083">
        <v>6</v>
      </c>
      <c r="J1083">
        <v>8</v>
      </c>
      <c r="K1083">
        <v>2</v>
      </c>
      <c r="L1083">
        <v>0</v>
      </c>
      <c r="M1083">
        <v>1</v>
      </c>
      <c r="N1083">
        <v>0</v>
      </c>
    </row>
    <row r="1084" spans="1:14" x14ac:dyDescent="0.45">
      <c r="A1084" t="s">
        <v>147</v>
      </c>
      <c r="B1084" t="s">
        <v>686</v>
      </c>
      <c r="C1084" t="s">
        <v>101</v>
      </c>
      <c r="D1084" t="s">
        <v>493</v>
      </c>
      <c r="E1084">
        <v>4</v>
      </c>
      <c r="F1084">
        <v>0</v>
      </c>
      <c r="G1084">
        <v>35</v>
      </c>
      <c r="H1084">
        <v>1</v>
      </c>
      <c r="I1084">
        <v>8.75</v>
      </c>
      <c r="J1084">
        <v>8</v>
      </c>
      <c r="K1084">
        <v>3</v>
      </c>
      <c r="L1084">
        <v>1</v>
      </c>
      <c r="M1084">
        <v>1</v>
      </c>
      <c r="N1084">
        <v>0</v>
      </c>
    </row>
    <row r="1085" spans="1:14" x14ac:dyDescent="0.45">
      <c r="A1085" t="s">
        <v>147</v>
      </c>
      <c r="B1085" t="s">
        <v>686</v>
      </c>
      <c r="C1085" t="s">
        <v>101</v>
      </c>
      <c r="D1085" t="s">
        <v>379</v>
      </c>
      <c r="E1085">
        <v>4</v>
      </c>
      <c r="F1085">
        <v>0</v>
      </c>
      <c r="G1085">
        <v>45</v>
      </c>
      <c r="H1085">
        <v>0</v>
      </c>
      <c r="I1085">
        <v>11.25</v>
      </c>
      <c r="J1085">
        <v>2</v>
      </c>
      <c r="K1085">
        <v>2</v>
      </c>
      <c r="L1085">
        <v>3</v>
      </c>
      <c r="M1085">
        <v>0</v>
      </c>
      <c r="N1085">
        <v>0</v>
      </c>
    </row>
    <row r="1086" spans="1:14" x14ac:dyDescent="0.45">
      <c r="A1086" t="s">
        <v>147</v>
      </c>
      <c r="B1086" t="s">
        <v>686</v>
      </c>
      <c r="C1086" t="s">
        <v>101</v>
      </c>
      <c r="D1086" t="s">
        <v>317</v>
      </c>
      <c r="E1086">
        <v>4</v>
      </c>
      <c r="F1086">
        <v>0</v>
      </c>
      <c r="G1086">
        <v>52</v>
      </c>
      <c r="H1086">
        <v>0</v>
      </c>
      <c r="I1086">
        <v>13</v>
      </c>
      <c r="J1086">
        <v>6</v>
      </c>
      <c r="K1086">
        <v>2</v>
      </c>
      <c r="L1086">
        <v>5</v>
      </c>
      <c r="M1086">
        <v>2</v>
      </c>
      <c r="N1086">
        <v>0</v>
      </c>
    </row>
    <row r="1087" spans="1:14" x14ac:dyDescent="0.45">
      <c r="A1087" t="s">
        <v>147</v>
      </c>
      <c r="B1087" t="s">
        <v>686</v>
      </c>
      <c r="C1087" t="s">
        <v>20</v>
      </c>
      <c r="D1087" t="s">
        <v>409</v>
      </c>
      <c r="E1087">
        <v>4</v>
      </c>
      <c r="F1087">
        <v>0</v>
      </c>
      <c r="G1087">
        <v>33</v>
      </c>
      <c r="H1087">
        <v>0</v>
      </c>
      <c r="I1087">
        <v>8.25</v>
      </c>
      <c r="J1087">
        <v>7</v>
      </c>
      <c r="K1087">
        <v>3</v>
      </c>
      <c r="L1087">
        <v>1</v>
      </c>
      <c r="M1087">
        <v>0</v>
      </c>
      <c r="N1087">
        <v>0</v>
      </c>
    </row>
    <row r="1088" spans="1:14" x14ac:dyDescent="0.45">
      <c r="A1088" t="s">
        <v>147</v>
      </c>
      <c r="B1088" t="s">
        <v>686</v>
      </c>
      <c r="C1088" t="s">
        <v>20</v>
      </c>
      <c r="D1088" t="s">
        <v>484</v>
      </c>
      <c r="E1088">
        <v>4</v>
      </c>
      <c r="F1088">
        <v>0</v>
      </c>
      <c r="G1088">
        <v>63</v>
      </c>
      <c r="H1088">
        <v>0</v>
      </c>
      <c r="I1088">
        <v>15.75</v>
      </c>
      <c r="J1088">
        <v>4</v>
      </c>
      <c r="K1088">
        <v>4</v>
      </c>
      <c r="L1088">
        <v>5</v>
      </c>
      <c r="M1088">
        <v>2</v>
      </c>
      <c r="N1088">
        <v>0</v>
      </c>
    </row>
    <row r="1089" spans="1:14" x14ac:dyDescent="0.45">
      <c r="A1089" t="s">
        <v>147</v>
      </c>
      <c r="B1089" t="s">
        <v>686</v>
      </c>
      <c r="C1089" t="s">
        <v>20</v>
      </c>
      <c r="D1089" t="s">
        <v>483</v>
      </c>
      <c r="E1089">
        <v>4</v>
      </c>
      <c r="F1089">
        <v>0</v>
      </c>
      <c r="G1089">
        <v>43</v>
      </c>
      <c r="H1089">
        <v>0</v>
      </c>
      <c r="I1089">
        <v>10.75</v>
      </c>
      <c r="J1089">
        <v>7</v>
      </c>
      <c r="K1089">
        <v>6</v>
      </c>
      <c r="L1089">
        <v>1</v>
      </c>
      <c r="M1089">
        <v>1</v>
      </c>
      <c r="N1089">
        <v>0</v>
      </c>
    </row>
    <row r="1090" spans="1:14" x14ac:dyDescent="0.45">
      <c r="A1090" t="s">
        <v>147</v>
      </c>
      <c r="B1090" t="s">
        <v>686</v>
      </c>
      <c r="C1090" t="s">
        <v>20</v>
      </c>
      <c r="D1090" t="s">
        <v>467</v>
      </c>
      <c r="E1090">
        <v>4</v>
      </c>
      <c r="F1090">
        <v>0</v>
      </c>
      <c r="G1090">
        <v>34</v>
      </c>
      <c r="H1090">
        <v>0</v>
      </c>
      <c r="I1090">
        <v>8.5</v>
      </c>
      <c r="J1090">
        <v>4</v>
      </c>
      <c r="K1090">
        <v>2</v>
      </c>
      <c r="L1090">
        <v>1</v>
      </c>
      <c r="M1090">
        <v>1</v>
      </c>
      <c r="N1090">
        <v>0</v>
      </c>
    </row>
    <row r="1091" spans="1:14" x14ac:dyDescent="0.45">
      <c r="A1091" t="s">
        <v>147</v>
      </c>
      <c r="B1091" t="s">
        <v>686</v>
      </c>
      <c r="C1091" t="s">
        <v>20</v>
      </c>
      <c r="D1091" t="s">
        <v>382</v>
      </c>
      <c r="E1091">
        <v>4</v>
      </c>
      <c r="F1091">
        <v>0</v>
      </c>
      <c r="G1091">
        <v>25</v>
      </c>
      <c r="H1091">
        <v>5</v>
      </c>
      <c r="I1091">
        <v>6.25</v>
      </c>
      <c r="J1091">
        <v>12</v>
      </c>
      <c r="K1091">
        <v>4</v>
      </c>
      <c r="L1091">
        <v>0</v>
      </c>
      <c r="M1091">
        <v>1</v>
      </c>
      <c r="N1091">
        <v>0</v>
      </c>
    </row>
    <row r="1092" spans="1:14" x14ac:dyDescent="0.45">
      <c r="A1092" t="s">
        <v>149</v>
      </c>
      <c r="B1092" t="s">
        <v>640</v>
      </c>
      <c r="C1092" t="s">
        <v>13</v>
      </c>
      <c r="D1092" t="s">
        <v>347</v>
      </c>
      <c r="E1092">
        <v>3</v>
      </c>
      <c r="F1092">
        <v>0</v>
      </c>
      <c r="G1092">
        <v>35</v>
      </c>
      <c r="H1092">
        <v>0</v>
      </c>
      <c r="I1092">
        <v>11.66</v>
      </c>
      <c r="J1092">
        <v>4</v>
      </c>
      <c r="K1092">
        <v>1</v>
      </c>
      <c r="L1092">
        <v>3</v>
      </c>
      <c r="M1092">
        <v>2</v>
      </c>
      <c r="N1092">
        <v>0</v>
      </c>
    </row>
    <row r="1093" spans="1:14" x14ac:dyDescent="0.45">
      <c r="A1093" t="s">
        <v>149</v>
      </c>
      <c r="B1093" t="s">
        <v>640</v>
      </c>
      <c r="C1093" t="s">
        <v>13</v>
      </c>
      <c r="D1093" t="s">
        <v>352</v>
      </c>
      <c r="E1093">
        <v>4</v>
      </c>
      <c r="F1093">
        <v>0</v>
      </c>
      <c r="G1093">
        <v>30</v>
      </c>
      <c r="H1093">
        <v>2</v>
      </c>
      <c r="I1093">
        <v>7.5</v>
      </c>
      <c r="J1093">
        <v>12</v>
      </c>
      <c r="K1093">
        <v>4</v>
      </c>
      <c r="L1093">
        <v>1</v>
      </c>
      <c r="M1093">
        <v>0</v>
      </c>
      <c r="N1093">
        <v>0</v>
      </c>
    </row>
    <row r="1094" spans="1:14" x14ac:dyDescent="0.45">
      <c r="A1094" t="s">
        <v>149</v>
      </c>
      <c r="B1094" t="s">
        <v>640</v>
      </c>
      <c r="C1094" t="s">
        <v>13</v>
      </c>
      <c r="D1094" t="s">
        <v>325</v>
      </c>
      <c r="E1094">
        <v>4</v>
      </c>
      <c r="F1094">
        <v>1</v>
      </c>
      <c r="G1094">
        <v>19</v>
      </c>
      <c r="H1094">
        <v>2</v>
      </c>
      <c r="I1094">
        <v>4.75</v>
      </c>
      <c r="J1094">
        <v>16</v>
      </c>
      <c r="K1094">
        <v>2</v>
      </c>
      <c r="L1094">
        <v>1</v>
      </c>
      <c r="M1094">
        <v>0</v>
      </c>
      <c r="N1094">
        <v>0</v>
      </c>
    </row>
    <row r="1095" spans="1:14" x14ac:dyDescent="0.45">
      <c r="A1095" t="s">
        <v>149</v>
      </c>
      <c r="B1095" t="s">
        <v>640</v>
      </c>
      <c r="C1095" t="s">
        <v>13</v>
      </c>
      <c r="D1095" t="s">
        <v>448</v>
      </c>
      <c r="E1095">
        <v>4</v>
      </c>
      <c r="F1095">
        <v>0</v>
      </c>
      <c r="G1095">
        <v>23</v>
      </c>
      <c r="H1095">
        <v>2</v>
      </c>
      <c r="I1095">
        <v>5.75</v>
      </c>
      <c r="J1095">
        <v>11</v>
      </c>
      <c r="K1095">
        <v>1</v>
      </c>
      <c r="L1095">
        <v>1</v>
      </c>
      <c r="M1095">
        <v>1</v>
      </c>
      <c r="N1095">
        <v>0</v>
      </c>
    </row>
    <row r="1096" spans="1:14" x14ac:dyDescent="0.45">
      <c r="A1096" t="s">
        <v>149</v>
      </c>
      <c r="B1096" t="s">
        <v>640</v>
      </c>
      <c r="C1096" t="s">
        <v>13</v>
      </c>
      <c r="D1096" t="s">
        <v>349</v>
      </c>
      <c r="E1096">
        <v>4</v>
      </c>
      <c r="F1096">
        <v>0</v>
      </c>
      <c r="G1096">
        <v>33</v>
      </c>
      <c r="H1096">
        <v>1</v>
      </c>
      <c r="I1096">
        <v>8.25</v>
      </c>
      <c r="J1096">
        <v>6</v>
      </c>
      <c r="K1096">
        <v>1</v>
      </c>
      <c r="L1096">
        <v>2</v>
      </c>
      <c r="M1096">
        <v>0</v>
      </c>
      <c r="N1096">
        <v>0</v>
      </c>
    </row>
    <row r="1097" spans="1:14" x14ac:dyDescent="0.45">
      <c r="A1097" t="s">
        <v>149</v>
      </c>
      <c r="B1097" t="s">
        <v>640</v>
      </c>
      <c r="C1097" t="s">
        <v>13</v>
      </c>
      <c r="D1097" t="s">
        <v>345</v>
      </c>
      <c r="E1097">
        <v>1</v>
      </c>
      <c r="F1097">
        <v>0</v>
      </c>
      <c r="G1097">
        <v>4</v>
      </c>
      <c r="H1097">
        <v>0</v>
      </c>
      <c r="I1097">
        <v>4</v>
      </c>
      <c r="J1097">
        <v>2</v>
      </c>
      <c r="K1097">
        <v>0</v>
      </c>
      <c r="L1097">
        <v>0</v>
      </c>
      <c r="M1097">
        <v>0</v>
      </c>
      <c r="N1097">
        <v>0</v>
      </c>
    </row>
    <row r="1098" spans="1:14" x14ac:dyDescent="0.45">
      <c r="A1098" t="s">
        <v>149</v>
      </c>
      <c r="B1098" t="s">
        <v>640</v>
      </c>
      <c r="C1098" t="s">
        <v>23</v>
      </c>
      <c r="D1098" t="s">
        <v>370</v>
      </c>
      <c r="E1098">
        <v>3</v>
      </c>
      <c r="F1098">
        <v>0</v>
      </c>
      <c r="G1098">
        <v>20</v>
      </c>
      <c r="H1098">
        <v>0</v>
      </c>
      <c r="I1098">
        <v>6.66</v>
      </c>
      <c r="J1098">
        <v>10</v>
      </c>
      <c r="K1098">
        <v>4</v>
      </c>
      <c r="L1098">
        <v>0</v>
      </c>
      <c r="M1098">
        <v>0</v>
      </c>
      <c r="N1098">
        <v>0</v>
      </c>
    </row>
    <row r="1099" spans="1:14" x14ac:dyDescent="0.45">
      <c r="A1099" t="s">
        <v>149</v>
      </c>
      <c r="B1099" t="s">
        <v>640</v>
      </c>
      <c r="C1099" t="s">
        <v>23</v>
      </c>
      <c r="D1099" t="s">
        <v>441</v>
      </c>
      <c r="E1099">
        <v>4</v>
      </c>
      <c r="F1099">
        <v>0</v>
      </c>
      <c r="G1099">
        <v>23</v>
      </c>
      <c r="H1099">
        <v>2</v>
      </c>
      <c r="I1099">
        <v>5.75</v>
      </c>
      <c r="J1099">
        <v>16</v>
      </c>
      <c r="K1099">
        <v>2</v>
      </c>
      <c r="L1099">
        <v>1</v>
      </c>
      <c r="M1099">
        <v>3</v>
      </c>
      <c r="N1099">
        <v>0</v>
      </c>
    </row>
    <row r="1100" spans="1:14" x14ac:dyDescent="0.45">
      <c r="A1100" t="s">
        <v>149</v>
      </c>
      <c r="B1100" t="s">
        <v>640</v>
      </c>
      <c r="C1100" t="s">
        <v>23</v>
      </c>
      <c r="D1100" t="s">
        <v>339</v>
      </c>
      <c r="E1100">
        <v>4</v>
      </c>
      <c r="F1100">
        <v>0</v>
      </c>
      <c r="G1100">
        <v>17</v>
      </c>
      <c r="H1100">
        <v>3</v>
      </c>
      <c r="I1100">
        <v>4.25</v>
      </c>
      <c r="J1100">
        <v>14</v>
      </c>
      <c r="K1100">
        <v>0</v>
      </c>
      <c r="L1100">
        <v>1</v>
      </c>
      <c r="M1100">
        <v>1</v>
      </c>
      <c r="N1100">
        <v>0</v>
      </c>
    </row>
    <row r="1101" spans="1:14" x14ac:dyDescent="0.45">
      <c r="A1101" t="s">
        <v>149</v>
      </c>
      <c r="B1101" t="s">
        <v>640</v>
      </c>
      <c r="C1101" t="s">
        <v>23</v>
      </c>
      <c r="D1101" t="s">
        <v>527</v>
      </c>
      <c r="E1101">
        <v>3.3</v>
      </c>
      <c r="F1101">
        <v>0</v>
      </c>
      <c r="G1101">
        <v>20</v>
      </c>
      <c r="H1101">
        <v>4</v>
      </c>
      <c r="I1101">
        <v>5.71</v>
      </c>
      <c r="J1101">
        <v>11</v>
      </c>
      <c r="K1101">
        <v>1</v>
      </c>
      <c r="L1101">
        <v>1</v>
      </c>
      <c r="M1101">
        <v>0</v>
      </c>
      <c r="N1101">
        <v>0</v>
      </c>
    </row>
    <row r="1102" spans="1:14" x14ac:dyDescent="0.45">
      <c r="A1102" t="s">
        <v>149</v>
      </c>
      <c r="B1102" t="s">
        <v>640</v>
      </c>
      <c r="C1102" t="s">
        <v>23</v>
      </c>
      <c r="D1102" t="s">
        <v>539</v>
      </c>
      <c r="E1102">
        <v>1</v>
      </c>
      <c r="F1102">
        <v>0</v>
      </c>
      <c r="G1102">
        <v>7</v>
      </c>
      <c r="H1102">
        <v>0</v>
      </c>
      <c r="I1102">
        <v>7</v>
      </c>
      <c r="J1102">
        <v>1</v>
      </c>
      <c r="K1102">
        <v>0</v>
      </c>
      <c r="L1102">
        <v>0</v>
      </c>
      <c r="M1102">
        <v>1</v>
      </c>
      <c r="N1102">
        <v>0</v>
      </c>
    </row>
    <row r="1103" spans="1:14" x14ac:dyDescent="0.45">
      <c r="A1103" t="s">
        <v>149</v>
      </c>
      <c r="B1103" t="s">
        <v>640</v>
      </c>
      <c r="C1103" t="s">
        <v>23</v>
      </c>
      <c r="D1103" t="s">
        <v>353</v>
      </c>
      <c r="E1103">
        <v>4</v>
      </c>
      <c r="F1103">
        <v>0</v>
      </c>
      <c r="G1103">
        <v>23</v>
      </c>
      <c r="H1103">
        <v>0</v>
      </c>
      <c r="I1103">
        <v>5.75</v>
      </c>
      <c r="J1103">
        <v>15</v>
      </c>
      <c r="K1103">
        <v>2</v>
      </c>
      <c r="L1103">
        <v>1</v>
      </c>
      <c r="M1103">
        <v>1</v>
      </c>
      <c r="N1103">
        <v>0</v>
      </c>
    </row>
    <row r="1104" spans="1:14" x14ac:dyDescent="0.45">
      <c r="A1104" t="s">
        <v>151</v>
      </c>
      <c r="B1104" t="s">
        <v>659</v>
      </c>
      <c r="C1104" t="s">
        <v>6</v>
      </c>
      <c r="D1104" t="s">
        <v>509</v>
      </c>
      <c r="E1104">
        <v>4</v>
      </c>
      <c r="F1104">
        <v>0</v>
      </c>
      <c r="G1104">
        <v>36</v>
      </c>
      <c r="H1104">
        <v>0</v>
      </c>
      <c r="I1104">
        <v>9</v>
      </c>
      <c r="J1104">
        <v>6</v>
      </c>
      <c r="K1104">
        <v>4</v>
      </c>
      <c r="L1104">
        <v>0</v>
      </c>
      <c r="M1104">
        <v>3</v>
      </c>
      <c r="N1104">
        <v>0</v>
      </c>
    </row>
    <row r="1105" spans="1:14" x14ac:dyDescent="0.45">
      <c r="A1105" t="s">
        <v>151</v>
      </c>
      <c r="B1105" t="s">
        <v>659</v>
      </c>
      <c r="C1105" t="s">
        <v>6</v>
      </c>
      <c r="D1105" t="s">
        <v>523</v>
      </c>
      <c r="E1105">
        <v>4</v>
      </c>
      <c r="F1105">
        <v>0</v>
      </c>
      <c r="G1105">
        <v>32</v>
      </c>
      <c r="H1105">
        <v>1</v>
      </c>
      <c r="I1105">
        <v>8</v>
      </c>
      <c r="J1105">
        <v>6</v>
      </c>
      <c r="K1105">
        <v>2</v>
      </c>
      <c r="L1105">
        <v>1</v>
      </c>
      <c r="M1105">
        <v>2</v>
      </c>
      <c r="N1105">
        <v>0</v>
      </c>
    </row>
    <row r="1106" spans="1:14" x14ac:dyDescent="0.45">
      <c r="A1106" t="s">
        <v>151</v>
      </c>
      <c r="B1106" t="s">
        <v>659</v>
      </c>
      <c r="C1106" t="s">
        <v>6</v>
      </c>
      <c r="D1106" t="s">
        <v>507</v>
      </c>
      <c r="E1106">
        <v>2</v>
      </c>
      <c r="F1106">
        <v>0</v>
      </c>
      <c r="G1106">
        <v>8</v>
      </c>
      <c r="H1106">
        <v>0</v>
      </c>
      <c r="I1106">
        <v>4</v>
      </c>
      <c r="J1106">
        <v>7</v>
      </c>
      <c r="K1106">
        <v>1</v>
      </c>
      <c r="L1106">
        <v>0</v>
      </c>
      <c r="M1106">
        <v>0</v>
      </c>
      <c r="N1106">
        <v>0</v>
      </c>
    </row>
    <row r="1107" spans="1:14" x14ac:dyDescent="0.45">
      <c r="A1107" t="s">
        <v>151</v>
      </c>
      <c r="B1107" t="s">
        <v>659</v>
      </c>
      <c r="C1107" t="s">
        <v>6</v>
      </c>
      <c r="D1107" t="s">
        <v>328</v>
      </c>
      <c r="E1107">
        <v>2</v>
      </c>
      <c r="F1107">
        <v>0</v>
      </c>
      <c r="G1107">
        <v>18</v>
      </c>
      <c r="H1107">
        <v>0</v>
      </c>
      <c r="I1107">
        <v>9</v>
      </c>
      <c r="J1107">
        <v>1</v>
      </c>
      <c r="K1107">
        <v>0</v>
      </c>
      <c r="L1107">
        <v>1</v>
      </c>
      <c r="M1107">
        <v>2</v>
      </c>
      <c r="N1107">
        <v>0</v>
      </c>
    </row>
    <row r="1108" spans="1:14" x14ac:dyDescent="0.45">
      <c r="A1108" t="s">
        <v>151</v>
      </c>
      <c r="B1108" t="s">
        <v>659</v>
      </c>
      <c r="C1108" t="s">
        <v>6</v>
      </c>
      <c r="D1108" t="s">
        <v>537</v>
      </c>
      <c r="E1108">
        <v>4</v>
      </c>
      <c r="F1108">
        <v>0</v>
      </c>
      <c r="G1108">
        <v>50</v>
      </c>
      <c r="H1108">
        <v>0</v>
      </c>
      <c r="I1108">
        <v>12.5</v>
      </c>
      <c r="J1108">
        <v>4</v>
      </c>
      <c r="K1108">
        <v>4</v>
      </c>
      <c r="L1108">
        <v>3</v>
      </c>
      <c r="M1108">
        <v>2</v>
      </c>
      <c r="N1108">
        <v>0</v>
      </c>
    </row>
    <row r="1109" spans="1:14" x14ac:dyDescent="0.45">
      <c r="A1109" t="s">
        <v>151</v>
      </c>
      <c r="B1109" t="s">
        <v>659</v>
      </c>
      <c r="C1109" t="s">
        <v>6</v>
      </c>
      <c r="D1109" t="s">
        <v>327</v>
      </c>
      <c r="E1109">
        <v>4</v>
      </c>
      <c r="F1109">
        <v>0</v>
      </c>
      <c r="G1109">
        <v>42</v>
      </c>
      <c r="H1109">
        <v>2</v>
      </c>
      <c r="I1109">
        <v>10.5</v>
      </c>
      <c r="J1109">
        <v>5</v>
      </c>
      <c r="K1109">
        <v>4</v>
      </c>
      <c r="L1109">
        <v>1</v>
      </c>
      <c r="M1109">
        <v>2</v>
      </c>
      <c r="N1109">
        <v>2</v>
      </c>
    </row>
    <row r="1110" spans="1:14" x14ac:dyDescent="0.45">
      <c r="A1110" t="s">
        <v>151</v>
      </c>
      <c r="B1110" t="s">
        <v>659</v>
      </c>
      <c r="C1110" t="s">
        <v>26</v>
      </c>
      <c r="D1110" t="s">
        <v>341</v>
      </c>
      <c r="E1110">
        <v>4</v>
      </c>
      <c r="F1110">
        <v>0</v>
      </c>
      <c r="G1110">
        <v>23</v>
      </c>
      <c r="H1110">
        <v>2</v>
      </c>
      <c r="I1110">
        <v>5.75</v>
      </c>
      <c r="J1110">
        <v>13</v>
      </c>
      <c r="K1110">
        <v>4</v>
      </c>
      <c r="L1110">
        <v>0</v>
      </c>
      <c r="M1110">
        <v>0</v>
      </c>
      <c r="N1110">
        <v>0</v>
      </c>
    </row>
    <row r="1111" spans="1:14" x14ac:dyDescent="0.45">
      <c r="A1111" t="s">
        <v>151</v>
      </c>
      <c r="B1111" t="s">
        <v>659</v>
      </c>
      <c r="C1111" t="s">
        <v>26</v>
      </c>
      <c r="D1111" t="s">
        <v>429</v>
      </c>
      <c r="E1111">
        <v>4</v>
      </c>
      <c r="F1111">
        <v>0</v>
      </c>
      <c r="G1111">
        <v>40</v>
      </c>
      <c r="H1111">
        <v>1</v>
      </c>
      <c r="I1111">
        <v>10</v>
      </c>
      <c r="J1111">
        <v>11</v>
      </c>
      <c r="K1111">
        <v>3</v>
      </c>
      <c r="L1111">
        <v>3</v>
      </c>
      <c r="M1111">
        <v>2</v>
      </c>
      <c r="N1111">
        <v>0</v>
      </c>
    </row>
    <row r="1112" spans="1:14" x14ac:dyDescent="0.45">
      <c r="A1112" t="s">
        <v>151</v>
      </c>
      <c r="B1112" t="s">
        <v>659</v>
      </c>
      <c r="C1112" t="s">
        <v>26</v>
      </c>
      <c r="D1112" t="s">
        <v>520</v>
      </c>
      <c r="E1112">
        <v>4</v>
      </c>
      <c r="F1112">
        <v>0</v>
      </c>
      <c r="G1112">
        <v>39</v>
      </c>
      <c r="H1112">
        <v>2</v>
      </c>
      <c r="I1112">
        <v>9.75</v>
      </c>
      <c r="J1112">
        <v>10</v>
      </c>
      <c r="K1112">
        <v>2</v>
      </c>
      <c r="L1112">
        <v>3</v>
      </c>
      <c r="M1112">
        <v>2</v>
      </c>
      <c r="N1112">
        <v>0</v>
      </c>
    </row>
    <row r="1113" spans="1:14" x14ac:dyDescent="0.45">
      <c r="A1113" t="s">
        <v>151</v>
      </c>
      <c r="B1113" t="s">
        <v>659</v>
      </c>
      <c r="C1113" t="s">
        <v>26</v>
      </c>
      <c r="D1113" t="s">
        <v>405</v>
      </c>
      <c r="E1113">
        <v>4</v>
      </c>
      <c r="F1113">
        <v>0</v>
      </c>
      <c r="G1113">
        <v>23</v>
      </c>
      <c r="H1113">
        <v>1</v>
      </c>
      <c r="I1113">
        <v>5.75</v>
      </c>
      <c r="J1113">
        <v>9</v>
      </c>
      <c r="K1113">
        <v>2</v>
      </c>
      <c r="L1113">
        <v>0</v>
      </c>
      <c r="M1113">
        <v>1</v>
      </c>
      <c r="N1113">
        <v>0</v>
      </c>
    </row>
    <row r="1114" spans="1:14" x14ac:dyDescent="0.45">
      <c r="A1114" t="s">
        <v>151</v>
      </c>
      <c r="B1114" t="s">
        <v>659</v>
      </c>
      <c r="C1114" t="s">
        <v>26</v>
      </c>
      <c r="D1114" t="s">
        <v>435</v>
      </c>
      <c r="E1114">
        <v>3</v>
      </c>
      <c r="F1114">
        <v>0</v>
      </c>
      <c r="G1114">
        <v>30</v>
      </c>
      <c r="H1114">
        <v>0</v>
      </c>
      <c r="I1114">
        <v>10</v>
      </c>
      <c r="J1114">
        <v>4</v>
      </c>
      <c r="K1114">
        <v>3</v>
      </c>
      <c r="L1114">
        <v>1</v>
      </c>
      <c r="M1114">
        <v>1</v>
      </c>
      <c r="N1114">
        <v>0</v>
      </c>
    </row>
    <row r="1115" spans="1:14" x14ac:dyDescent="0.45">
      <c r="A1115" t="s">
        <v>151</v>
      </c>
      <c r="B1115" t="s">
        <v>659</v>
      </c>
      <c r="C1115" t="s">
        <v>26</v>
      </c>
      <c r="D1115" t="s">
        <v>384</v>
      </c>
      <c r="E1115">
        <v>1</v>
      </c>
      <c r="F1115">
        <v>0</v>
      </c>
      <c r="G1115">
        <v>12</v>
      </c>
      <c r="H1115">
        <v>0</v>
      </c>
      <c r="I1115">
        <v>12</v>
      </c>
      <c r="J1115">
        <v>2</v>
      </c>
      <c r="K1115">
        <v>1</v>
      </c>
      <c r="L1115">
        <v>1</v>
      </c>
      <c r="M1115">
        <v>0</v>
      </c>
      <c r="N1115">
        <v>0</v>
      </c>
    </row>
    <row r="1116" spans="1:14" x14ac:dyDescent="0.45">
      <c r="A1116" t="s">
        <v>153</v>
      </c>
      <c r="B1116" t="s">
        <v>687</v>
      </c>
      <c r="C1116" t="s">
        <v>19</v>
      </c>
      <c r="D1116" t="s">
        <v>464</v>
      </c>
      <c r="E1116">
        <v>4</v>
      </c>
      <c r="F1116">
        <v>0</v>
      </c>
      <c r="G1116">
        <v>40</v>
      </c>
      <c r="H1116">
        <v>1</v>
      </c>
      <c r="I1116">
        <v>10</v>
      </c>
      <c r="J1116">
        <v>9</v>
      </c>
      <c r="K1116">
        <v>2</v>
      </c>
      <c r="L1116">
        <v>2</v>
      </c>
      <c r="M1116">
        <v>4</v>
      </c>
      <c r="N1116">
        <v>0</v>
      </c>
    </row>
    <row r="1117" spans="1:14" x14ac:dyDescent="0.45">
      <c r="A1117" t="s">
        <v>153</v>
      </c>
      <c r="B1117" t="s">
        <v>687</v>
      </c>
      <c r="C1117" t="s">
        <v>19</v>
      </c>
      <c r="D1117" t="s">
        <v>504</v>
      </c>
      <c r="E1117">
        <v>2</v>
      </c>
      <c r="F1117">
        <v>0</v>
      </c>
      <c r="G1117">
        <v>11</v>
      </c>
      <c r="H1117">
        <v>0</v>
      </c>
      <c r="I1117">
        <v>5.5</v>
      </c>
      <c r="J1117">
        <v>5</v>
      </c>
      <c r="K1117">
        <v>1</v>
      </c>
      <c r="L1117">
        <v>0</v>
      </c>
      <c r="M1117">
        <v>0</v>
      </c>
      <c r="N1117">
        <v>0</v>
      </c>
    </row>
    <row r="1118" spans="1:14" x14ac:dyDescent="0.45">
      <c r="A1118" t="s">
        <v>153</v>
      </c>
      <c r="B1118" t="s">
        <v>687</v>
      </c>
      <c r="C1118" t="s">
        <v>19</v>
      </c>
      <c r="D1118" t="s">
        <v>369</v>
      </c>
      <c r="E1118">
        <v>4</v>
      </c>
      <c r="F1118">
        <v>0</v>
      </c>
      <c r="G1118">
        <v>31</v>
      </c>
      <c r="H1118">
        <v>1</v>
      </c>
      <c r="I1118">
        <v>7.75</v>
      </c>
      <c r="J1118">
        <v>9</v>
      </c>
      <c r="K1118">
        <v>3</v>
      </c>
      <c r="L1118">
        <v>1</v>
      </c>
      <c r="M1118">
        <v>0</v>
      </c>
      <c r="N1118">
        <v>0</v>
      </c>
    </row>
    <row r="1119" spans="1:14" x14ac:dyDescent="0.45">
      <c r="A1119" t="s">
        <v>153</v>
      </c>
      <c r="B1119" t="s">
        <v>687</v>
      </c>
      <c r="C1119" t="s">
        <v>19</v>
      </c>
      <c r="D1119" t="s">
        <v>457</v>
      </c>
      <c r="E1119">
        <v>4</v>
      </c>
      <c r="F1119">
        <v>0</v>
      </c>
      <c r="G1119">
        <v>40</v>
      </c>
      <c r="H1119">
        <v>2</v>
      </c>
      <c r="I1119">
        <v>10</v>
      </c>
      <c r="J1119">
        <v>10</v>
      </c>
      <c r="K1119">
        <v>3</v>
      </c>
      <c r="L1119">
        <v>3</v>
      </c>
      <c r="M1119">
        <v>1</v>
      </c>
      <c r="N1119">
        <v>0</v>
      </c>
    </row>
    <row r="1120" spans="1:14" x14ac:dyDescent="0.45">
      <c r="A1120" t="s">
        <v>153</v>
      </c>
      <c r="B1120" t="s">
        <v>687</v>
      </c>
      <c r="C1120" t="s">
        <v>19</v>
      </c>
      <c r="D1120" t="s">
        <v>392</v>
      </c>
      <c r="E1120">
        <v>4</v>
      </c>
      <c r="F1120">
        <v>0</v>
      </c>
      <c r="G1120">
        <v>36</v>
      </c>
      <c r="H1120">
        <v>0</v>
      </c>
      <c r="I1120">
        <v>9</v>
      </c>
      <c r="J1120">
        <v>5</v>
      </c>
      <c r="K1120">
        <v>4</v>
      </c>
      <c r="L1120">
        <v>1</v>
      </c>
      <c r="M1120">
        <v>0</v>
      </c>
      <c r="N1120">
        <v>0</v>
      </c>
    </row>
    <row r="1121" spans="1:14" x14ac:dyDescent="0.45">
      <c r="A1121" t="s">
        <v>153</v>
      </c>
      <c r="B1121" t="s">
        <v>687</v>
      </c>
      <c r="C1121" t="s">
        <v>19</v>
      </c>
      <c r="D1121" t="s">
        <v>362</v>
      </c>
      <c r="E1121">
        <v>2</v>
      </c>
      <c r="F1121">
        <v>0</v>
      </c>
      <c r="G1121">
        <v>8</v>
      </c>
      <c r="H1121">
        <v>2</v>
      </c>
      <c r="I1121">
        <v>4</v>
      </c>
      <c r="J1121">
        <v>5</v>
      </c>
      <c r="K1121">
        <v>0</v>
      </c>
      <c r="L1121">
        <v>0</v>
      </c>
      <c r="M1121">
        <v>0</v>
      </c>
      <c r="N1121">
        <v>0</v>
      </c>
    </row>
    <row r="1122" spans="1:14" x14ac:dyDescent="0.45">
      <c r="A1122" t="s">
        <v>153</v>
      </c>
      <c r="B1122" t="s">
        <v>687</v>
      </c>
      <c r="C1122" t="s">
        <v>104</v>
      </c>
      <c r="D1122" t="s">
        <v>492</v>
      </c>
      <c r="E1122">
        <v>4</v>
      </c>
      <c r="F1122">
        <v>0</v>
      </c>
      <c r="G1122">
        <v>27</v>
      </c>
      <c r="H1122">
        <v>1</v>
      </c>
      <c r="I1122">
        <v>6.75</v>
      </c>
      <c r="J1122">
        <v>11</v>
      </c>
      <c r="K1122">
        <v>1</v>
      </c>
      <c r="L1122">
        <v>1</v>
      </c>
      <c r="M1122">
        <v>2</v>
      </c>
      <c r="N1122">
        <v>0</v>
      </c>
    </row>
    <row r="1123" spans="1:14" x14ac:dyDescent="0.45">
      <c r="A1123" t="s">
        <v>153</v>
      </c>
      <c r="B1123" t="s">
        <v>687</v>
      </c>
      <c r="C1123" t="s">
        <v>104</v>
      </c>
      <c r="D1123" t="s">
        <v>491</v>
      </c>
      <c r="E1123">
        <v>4</v>
      </c>
      <c r="F1123">
        <v>0</v>
      </c>
      <c r="G1123">
        <v>14</v>
      </c>
      <c r="H1123">
        <v>0</v>
      </c>
      <c r="I1123">
        <v>3.5</v>
      </c>
      <c r="J1123">
        <v>15</v>
      </c>
      <c r="K1123">
        <v>1</v>
      </c>
      <c r="L1123">
        <v>0</v>
      </c>
      <c r="M1123">
        <v>2</v>
      </c>
      <c r="N1123">
        <v>0</v>
      </c>
    </row>
    <row r="1124" spans="1:14" x14ac:dyDescent="0.45">
      <c r="A1124" t="s">
        <v>153</v>
      </c>
      <c r="B1124" t="s">
        <v>687</v>
      </c>
      <c r="C1124" t="s">
        <v>104</v>
      </c>
      <c r="D1124" t="s">
        <v>378</v>
      </c>
      <c r="E1124">
        <v>4</v>
      </c>
      <c r="F1124">
        <v>0</v>
      </c>
      <c r="G1124">
        <v>36</v>
      </c>
      <c r="H1124">
        <v>1</v>
      </c>
      <c r="I1124">
        <v>9</v>
      </c>
      <c r="J1124">
        <v>8</v>
      </c>
      <c r="K1124">
        <v>4</v>
      </c>
      <c r="L1124">
        <v>1</v>
      </c>
      <c r="M1124">
        <v>2</v>
      </c>
      <c r="N1124">
        <v>0</v>
      </c>
    </row>
    <row r="1125" spans="1:14" x14ac:dyDescent="0.45">
      <c r="A1125" t="s">
        <v>153</v>
      </c>
      <c r="B1125" t="s">
        <v>687</v>
      </c>
      <c r="C1125" t="s">
        <v>104</v>
      </c>
      <c r="D1125" t="s">
        <v>366</v>
      </c>
      <c r="E1125">
        <v>4</v>
      </c>
      <c r="F1125">
        <v>0</v>
      </c>
      <c r="G1125">
        <v>19</v>
      </c>
      <c r="H1125">
        <v>3</v>
      </c>
      <c r="I1125">
        <v>4.75</v>
      </c>
      <c r="J1125">
        <v>10</v>
      </c>
      <c r="K1125">
        <v>1</v>
      </c>
      <c r="L1125">
        <v>0</v>
      </c>
      <c r="M1125">
        <v>1</v>
      </c>
      <c r="N1125">
        <v>0</v>
      </c>
    </row>
    <row r="1126" spans="1:14" x14ac:dyDescent="0.45">
      <c r="A1126" t="s">
        <v>153</v>
      </c>
      <c r="B1126" t="s">
        <v>687</v>
      </c>
      <c r="C1126" t="s">
        <v>104</v>
      </c>
      <c r="D1126" t="s">
        <v>407</v>
      </c>
      <c r="E1126">
        <v>3</v>
      </c>
      <c r="F1126">
        <v>0</v>
      </c>
      <c r="G1126">
        <v>28</v>
      </c>
      <c r="H1126">
        <v>1</v>
      </c>
      <c r="I1126">
        <v>9.33</v>
      </c>
      <c r="J1126">
        <v>7</v>
      </c>
      <c r="K1126">
        <v>1</v>
      </c>
      <c r="L1126">
        <v>2</v>
      </c>
      <c r="M1126">
        <v>1</v>
      </c>
      <c r="N1126">
        <v>0</v>
      </c>
    </row>
    <row r="1127" spans="1:14" x14ac:dyDescent="0.45">
      <c r="A1127" t="s">
        <v>153</v>
      </c>
      <c r="B1127" t="s">
        <v>687</v>
      </c>
      <c r="C1127" t="s">
        <v>104</v>
      </c>
      <c r="D1127" t="s">
        <v>521</v>
      </c>
      <c r="E1127">
        <v>1</v>
      </c>
      <c r="F1127">
        <v>0</v>
      </c>
      <c r="G1127">
        <v>6</v>
      </c>
      <c r="H1127">
        <v>1</v>
      </c>
      <c r="I1127">
        <v>6</v>
      </c>
      <c r="J1127">
        <v>1</v>
      </c>
      <c r="K1127">
        <v>0</v>
      </c>
      <c r="L1127">
        <v>0</v>
      </c>
      <c r="M1127">
        <v>0</v>
      </c>
      <c r="N1127">
        <v>0</v>
      </c>
    </row>
    <row r="1128" spans="1:14" x14ac:dyDescent="0.45">
      <c r="A1128" t="s">
        <v>154</v>
      </c>
      <c r="B1128" t="s">
        <v>660</v>
      </c>
      <c r="C1128" t="s">
        <v>20</v>
      </c>
      <c r="D1128" t="s">
        <v>409</v>
      </c>
      <c r="E1128">
        <v>2.1</v>
      </c>
      <c r="F1128">
        <v>0</v>
      </c>
      <c r="G1128">
        <v>8</v>
      </c>
      <c r="H1128">
        <v>1</v>
      </c>
      <c r="I1128">
        <v>3.69</v>
      </c>
      <c r="J1128">
        <v>8</v>
      </c>
      <c r="K1128">
        <v>1</v>
      </c>
      <c r="L1128">
        <v>0</v>
      </c>
      <c r="M1128">
        <v>0</v>
      </c>
      <c r="N1128">
        <v>0</v>
      </c>
    </row>
    <row r="1129" spans="1:14" x14ac:dyDescent="0.45">
      <c r="A1129" t="s">
        <v>154</v>
      </c>
      <c r="B1129" t="s">
        <v>660</v>
      </c>
      <c r="C1129" t="s">
        <v>20</v>
      </c>
      <c r="D1129" t="s">
        <v>484</v>
      </c>
      <c r="E1129">
        <v>4</v>
      </c>
      <c r="F1129">
        <v>0</v>
      </c>
      <c r="G1129">
        <v>25</v>
      </c>
      <c r="H1129">
        <v>3</v>
      </c>
      <c r="I1129">
        <v>6.25</v>
      </c>
      <c r="J1129">
        <v>14</v>
      </c>
      <c r="K1129">
        <v>4</v>
      </c>
      <c r="L1129">
        <v>0</v>
      </c>
      <c r="M1129">
        <v>3</v>
      </c>
      <c r="N1129">
        <v>0</v>
      </c>
    </row>
    <row r="1130" spans="1:14" x14ac:dyDescent="0.45">
      <c r="A1130" t="s">
        <v>154</v>
      </c>
      <c r="B1130" t="s">
        <v>660</v>
      </c>
      <c r="C1130" t="s">
        <v>20</v>
      </c>
      <c r="D1130" t="s">
        <v>483</v>
      </c>
      <c r="E1130">
        <v>3</v>
      </c>
      <c r="F1130">
        <v>0</v>
      </c>
      <c r="G1130">
        <v>10</v>
      </c>
      <c r="H1130">
        <v>3</v>
      </c>
      <c r="I1130">
        <v>3.33</v>
      </c>
      <c r="J1130">
        <v>13</v>
      </c>
      <c r="K1130">
        <v>0</v>
      </c>
      <c r="L1130">
        <v>0</v>
      </c>
      <c r="M1130">
        <v>1</v>
      </c>
      <c r="N1130">
        <v>0</v>
      </c>
    </row>
    <row r="1131" spans="1:14" x14ac:dyDescent="0.45">
      <c r="A1131" t="s">
        <v>154</v>
      </c>
      <c r="B1131" t="s">
        <v>660</v>
      </c>
      <c r="C1131" t="s">
        <v>20</v>
      </c>
      <c r="D1131" t="s">
        <v>466</v>
      </c>
      <c r="E1131">
        <v>3</v>
      </c>
      <c r="F1131">
        <v>0</v>
      </c>
      <c r="G1131">
        <v>12</v>
      </c>
      <c r="H1131">
        <v>2</v>
      </c>
      <c r="I1131">
        <v>4</v>
      </c>
      <c r="J1131">
        <v>12</v>
      </c>
      <c r="K1131">
        <v>0</v>
      </c>
      <c r="L1131">
        <v>0</v>
      </c>
      <c r="M1131">
        <v>2</v>
      </c>
      <c r="N1131">
        <v>0</v>
      </c>
    </row>
    <row r="1132" spans="1:14" x14ac:dyDescent="0.45">
      <c r="A1132" t="s">
        <v>154</v>
      </c>
      <c r="B1132" t="s">
        <v>660</v>
      </c>
      <c r="C1132" t="s">
        <v>20</v>
      </c>
      <c r="D1132" t="s">
        <v>382</v>
      </c>
      <c r="E1132">
        <v>4</v>
      </c>
      <c r="F1132">
        <v>0</v>
      </c>
      <c r="G1132">
        <v>13</v>
      </c>
      <c r="H1132">
        <v>1</v>
      </c>
      <c r="I1132">
        <v>3.25</v>
      </c>
      <c r="J1132">
        <v>19</v>
      </c>
      <c r="K1132">
        <v>1</v>
      </c>
      <c r="L1132">
        <v>0</v>
      </c>
      <c r="M1132">
        <v>1</v>
      </c>
      <c r="N1132">
        <v>1</v>
      </c>
    </row>
    <row r="1133" spans="1:14" x14ac:dyDescent="0.45">
      <c r="A1133" t="s">
        <v>154</v>
      </c>
      <c r="B1133" t="s">
        <v>660</v>
      </c>
      <c r="C1133" t="s">
        <v>13</v>
      </c>
      <c r="D1133" t="s">
        <v>352</v>
      </c>
      <c r="E1133">
        <v>2</v>
      </c>
      <c r="F1133">
        <v>0</v>
      </c>
      <c r="G1133">
        <v>15</v>
      </c>
      <c r="H1133">
        <v>0</v>
      </c>
      <c r="I1133">
        <v>7.5</v>
      </c>
      <c r="J1133">
        <v>6</v>
      </c>
      <c r="K1133">
        <v>1</v>
      </c>
      <c r="L1133">
        <v>1</v>
      </c>
      <c r="M1133">
        <v>1</v>
      </c>
      <c r="N1133">
        <v>0</v>
      </c>
    </row>
    <row r="1134" spans="1:14" x14ac:dyDescent="0.45">
      <c r="A1134" t="s">
        <v>154</v>
      </c>
      <c r="B1134" t="s">
        <v>660</v>
      </c>
      <c r="C1134" t="s">
        <v>13</v>
      </c>
      <c r="D1134" t="s">
        <v>325</v>
      </c>
      <c r="E1134">
        <v>3</v>
      </c>
      <c r="F1134">
        <v>0</v>
      </c>
      <c r="G1134">
        <v>31</v>
      </c>
      <c r="H1134">
        <v>0</v>
      </c>
      <c r="I1134">
        <v>10.33</v>
      </c>
      <c r="J1134">
        <v>7</v>
      </c>
      <c r="K1134">
        <v>6</v>
      </c>
      <c r="L1134">
        <v>0</v>
      </c>
      <c r="M1134">
        <v>0</v>
      </c>
      <c r="N1134">
        <v>0</v>
      </c>
    </row>
    <row r="1135" spans="1:14" x14ac:dyDescent="0.45">
      <c r="A1135" t="s">
        <v>154</v>
      </c>
      <c r="B1135" t="s">
        <v>660</v>
      </c>
      <c r="C1135" t="s">
        <v>13</v>
      </c>
      <c r="D1135" t="s">
        <v>349</v>
      </c>
      <c r="E1135">
        <v>2</v>
      </c>
      <c r="F1135">
        <v>0</v>
      </c>
      <c r="G1135">
        <v>18</v>
      </c>
      <c r="H1135">
        <v>1</v>
      </c>
      <c r="I1135">
        <v>9</v>
      </c>
      <c r="J1135">
        <v>5</v>
      </c>
      <c r="K1135">
        <v>2</v>
      </c>
      <c r="L1135">
        <v>1</v>
      </c>
      <c r="M1135">
        <v>0</v>
      </c>
      <c r="N1135">
        <v>0</v>
      </c>
    </row>
    <row r="1136" spans="1:14" x14ac:dyDescent="0.45">
      <c r="A1136" t="s">
        <v>154</v>
      </c>
      <c r="B1136" t="s">
        <v>660</v>
      </c>
      <c r="C1136" t="s">
        <v>13</v>
      </c>
      <c r="D1136" t="s">
        <v>448</v>
      </c>
      <c r="E1136">
        <v>1</v>
      </c>
      <c r="F1136">
        <v>0</v>
      </c>
      <c r="G1136">
        <v>7</v>
      </c>
      <c r="H1136">
        <v>0</v>
      </c>
      <c r="I1136">
        <v>7</v>
      </c>
      <c r="J1136">
        <v>2</v>
      </c>
      <c r="K1136">
        <v>1</v>
      </c>
      <c r="L1136">
        <v>0</v>
      </c>
      <c r="M1136">
        <v>0</v>
      </c>
      <c r="N1136">
        <v>0</v>
      </c>
    </row>
    <row r="1137" spans="1:14" x14ac:dyDescent="0.45">
      <c r="A1137" t="s">
        <v>156</v>
      </c>
      <c r="B1137" t="s">
        <v>688</v>
      </c>
      <c r="C1137" t="s">
        <v>7</v>
      </c>
      <c r="D1137" t="s">
        <v>515</v>
      </c>
      <c r="E1137">
        <v>4</v>
      </c>
      <c r="F1137">
        <v>0</v>
      </c>
      <c r="G1137">
        <v>31</v>
      </c>
      <c r="H1137">
        <v>1</v>
      </c>
      <c r="I1137">
        <v>7.75</v>
      </c>
      <c r="J1137">
        <v>10</v>
      </c>
      <c r="K1137">
        <v>3</v>
      </c>
      <c r="L1137">
        <v>1</v>
      </c>
      <c r="M1137">
        <v>0</v>
      </c>
      <c r="N1137">
        <v>0</v>
      </c>
    </row>
    <row r="1138" spans="1:14" x14ac:dyDescent="0.45">
      <c r="A1138" t="s">
        <v>156</v>
      </c>
      <c r="B1138" t="s">
        <v>688</v>
      </c>
      <c r="C1138" t="s">
        <v>7</v>
      </c>
      <c r="D1138" t="s">
        <v>415</v>
      </c>
      <c r="E1138">
        <v>4</v>
      </c>
      <c r="F1138">
        <v>0</v>
      </c>
      <c r="G1138">
        <v>24</v>
      </c>
      <c r="H1138">
        <v>3</v>
      </c>
      <c r="I1138">
        <v>6</v>
      </c>
      <c r="J1138">
        <v>11</v>
      </c>
      <c r="K1138">
        <v>2</v>
      </c>
      <c r="L1138">
        <v>0</v>
      </c>
      <c r="M1138">
        <v>2</v>
      </c>
      <c r="N1138">
        <v>0</v>
      </c>
    </row>
    <row r="1139" spans="1:14" x14ac:dyDescent="0.45">
      <c r="A1139" t="s">
        <v>156</v>
      </c>
      <c r="B1139" t="s">
        <v>688</v>
      </c>
      <c r="C1139" t="s">
        <v>7</v>
      </c>
      <c r="D1139" t="s">
        <v>320</v>
      </c>
      <c r="E1139">
        <v>4</v>
      </c>
      <c r="F1139">
        <v>0</v>
      </c>
      <c r="G1139">
        <v>36</v>
      </c>
      <c r="H1139">
        <v>1</v>
      </c>
      <c r="I1139">
        <v>9</v>
      </c>
      <c r="J1139">
        <v>6</v>
      </c>
      <c r="K1139">
        <v>2</v>
      </c>
      <c r="L1139">
        <v>1</v>
      </c>
      <c r="M1139">
        <v>3</v>
      </c>
      <c r="N1139">
        <v>0</v>
      </c>
    </row>
    <row r="1140" spans="1:14" x14ac:dyDescent="0.45">
      <c r="A1140" t="s">
        <v>156</v>
      </c>
      <c r="B1140" t="s">
        <v>688</v>
      </c>
      <c r="C1140" t="s">
        <v>7</v>
      </c>
      <c r="D1140" t="s">
        <v>308</v>
      </c>
      <c r="E1140">
        <v>4</v>
      </c>
      <c r="F1140">
        <v>0</v>
      </c>
      <c r="G1140">
        <v>31</v>
      </c>
      <c r="H1140">
        <v>0</v>
      </c>
      <c r="I1140">
        <v>7.75</v>
      </c>
      <c r="J1140">
        <v>7</v>
      </c>
      <c r="K1140">
        <v>1</v>
      </c>
      <c r="L1140">
        <v>2</v>
      </c>
      <c r="M1140">
        <v>0</v>
      </c>
      <c r="N1140">
        <v>0</v>
      </c>
    </row>
    <row r="1141" spans="1:14" x14ac:dyDescent="0.45">
      <c r="A1141" t="s">
        <v>156</v>
      </c>
      <c r="B1141" t="s">
        <v>688</v>
      </c>
      <c r="C1141" t="s">
        <v>7</v>
      </c>
      <c r="D1141" t="s">
        <v>322</v>
      </c>
      <c r="E1141">
        <v>3</v>
      </c>
      <c r="F1141">
        <v>0</v>
      </c>
      <c r="G1141">
        <v>26</v>
      </c>
      <c r="H1141">
        <v>0</v>
      </c>
      <c r="I1141">
        <v>8.66</v>
      </c>
      <c r="J1141">
        <v>5</v>
      </c>
      <c r="K1141">
        <v>1</v>
      </c>
      <c r="L1141">
        <v>1</v>
      </c>
      <c r="M1141">
        <v>2</v>
      </c>
      <c r="N1141">
        <v>0</v>
      </c>
    </row>
    <row r="1142" spans="1:14" x14ac:dyDescent="0.45">
      <c r="A1142" t="s">
        <v>156</v>
      </c>
      <c r="B1142" t="s">
        <v>688</v>
      </c>
      <c r="C1142" t="s">
        <v>7</v>
      </c>
      <c r="D1142" t="s">
        <v>440</v>
      </c>
      <c r="E1142">
        <v>1</v>
      </c>
      <c r="F1142">
        <v>0</v>
      </c>
      <c r="G1142">
        <v>5</v>
      </c>
      <c r="H1142">
        <v>4</v>
      </c>
      <c r="I1142">
        <v>5</v>
      </c>
      <c r="J1142">
        <v>4</v>
      </c>
      <c r="K1142">
        <v>1</v>
      </c>
      <c r="L1142">
        <v>0</v>
      </c>
      <c r="M1142">
        <v>0</v>
      </c>
      <c r="N1142">
        <v>0</v>
      </c>
    </row>
    <row r="1143" spans="1:14" x14ac:dyDescent="0.45">
      <c r="A1143" t="s">
        <v>156</v>
      </c>
      <c r="B1143" t="s">
        <v>688</v>
      </c>
      <c r="C1143" t="s">
        <v>101</v>
      </c>
      <c r="D1143" t="s">
        <v>403</v>
      </c>
      <c r="E1143">
        <v>4</v>
      </c>
      <c r="F1143">
        <v>0</v>
      </c>
      <c r="G1143">
        <v>20</v>
      </c>
      <c r="H1143">
        <v>2</v>
      </c>
      <c r="I1143">
        <v>5</v>
      </c>
      <c r="J1143">
        <v>16</v>
      </c>
      <c r="K1143">
        <v>2</v>
      </c>
      <c r="L1143">
        <v>1</v>
      </c>
      <c r="M1143">
        <v>1</v>
      </c>
      <c r="N1143">
        <v>0</v>
      </c>
    </row>
    <row r="1144" spans="1:14" x14ac:dyDescent="0.45">
      <c r="A1144" t="s">
        <v>156</v>
      </c>
      <c r="B1144" t="s">
        <v>688</v>
      </c>
      <c r="C1144" t="s">
        <v>101</v>
      </c>
      <c r="D1144" t="s">
        <v>489</v>
      </c>
      <c r="E1144">
        <v>4</v>
      </c>
      <c r="F1144">
        <v>0</v>
      </c>
      <c r="G1144">
        <v>42</v>
      </c>
      <c r="H1144">
        <v>2</v>
      </c>
      <c r="I1144">
        <v>10.5</v>
      </c>
      <c r="J1144">
        <v>10</v>
      </c>
      <c r="K1144">
        <v>3</v>
      </c>
      <c r="L1144">
        <v>3</v>
      </c>
      <c r="M1144">
        <v>2</v>
      </c>
      <c r="N1144">
        <v>1</v>
      </c>
    </row>
    <row r="1145" spans="1:14" x14ac:dyDescent="0.45">
      <c r="A1145" t="s">
        <v>156</v>
      </c>
      <c r="B1145" t="s">
        <v>688</v>
      </c>
      <c r="C1145" t="s">
        <v>101</v>
      </c>
      <c r="D1145" t="s">
        <v>493</v>
      </c>
      <c r="E1145">
        <v>4</v>
      </c>
      <c r="F1145">
        <v>0</v>
      </c>
      <c r="G1145">
        <v>31</v>
      </c>
      <c r="H1145">
        <v>1</v>
      </c>
      <c r="I1145">
        <v>7.75</v>
      </c>
      <c r="J1145">
        <v>12</v>
      </c>
      <c r="K1145">
        <v>2</v>
      </c>
      <c r="L1145">
        <v>2</v>
      </c>
      <c r="M1145">
        <v>1</v>
      </c>
      <c r="N1145">
        <v>0</v>
      </c>
    </row>
    <row r="1146" spans="1:14" x14ac:dyDescent="0.45">
      <c r="A1146" t="s">
        <v>156</v>
      </c>
      <c r="B1146" t="s">
        <v>688</v>
      </c>
      <c r="C1146" t="s">
        <v>101</v>
      </c>
      <c r="D1146" t="s">
        <v>317</v>
      </c>
      <c r="E1146">
        <v>4</v>
      </c>
      <c r="F1146">
        <v>0</v>
      </c>
      <c r="G1146">
        <v>33</v>
      </c>
      <c r="H1146">
        <v>1</v>
      </c>
      <c r="I1146">
        <v>8.25</v>
      </c>
      <c r="J1146">
        <v>13</v>
      </c>
      <c r="K1146">
        <v>2</v>
      </c>
      <c r="L1146">
        <v>3</v>
      </c>
      <c r="M1146">
        <v>1</v>
      </c>
      <c r="N1146">
        <v>0</v>
      </c>
    </row>
    <row r="1147" spans="1:14" x14ac:dyDescent="0.45">
      <c r="A1147" t="s">
        <v>156</v>
      </c>
      <c r="B1147" t="s">
        <v>688</v>
      </c>
      <c r="C1147" t="s">
        <v>101</v>
      </c>
      <c r="D1147" t="s">
        <v>379</v>
      </c>
      <c r="E1147">
        <v>4</v>
      </c>
      <c r="F1147">
        <v>0</v>
      </c>
      <c r="G1147">
        <v>22</v>
      </c>
      <c r="H1147">
        <v>2</v>
      </c>
      <c r="I1147">
        <v>5.5</v>
      </c>
      <c r="J1147">
        <v>11</v>
      </c>
      <c r="K1147">
        <v>2</v>
      </c>
      <c r="L1147">
        <v>0</v>
      </c>
      <c r="M1147">
        <v>0</v>
      </c>
      <c r="N1147">
        <v>0</v>
      </c>
    </row>
    <row r="1148" spans="1:14" x14ac:dyDescent="0.45">
      <c r="A1148" t="s">
        <v>158</v>
      </c>
      <c r="B1148" t="s">
        <v>675</v>
      </c>
      <c r="C1148" t="s">
        <v>10</v>
      </c>
      <c r="D1148" t="s">
        <v>444</v>
      </c>
      <c r="E1148">
        <v>4</v>
      </c>
      <c r="F1148">
        <v>0</v>
      </c>
      <c r="G1148">
        <v>47</v>
      </c>
      <c r="H1148">
        <v>1</v>
      </c>
      <c r="I1148">
        <v>11.75</v>
      </c>
      <c r="J1148">
        <v>12</v>
      </c>
      <c r="K1148">
        <v>4</v>
      </c>
      <c r="L1148">
        <v>4</v>
      </c>
      <c r="M1148">
        <v>1</v>
      </c>
      <c r="N1148">
        <v>0</v>
      </c>
    </row>
    <row r="1149" spans="1:14" x14ac:dyDescent="0.45">
      <c r="A1149" t="s">
        <v>158</v>
      </c>
      <c r="B1149" t="s">
        <v>675</v>
      </c>
      <c r="C1149" t="s">
        <v>10</v>
      </c>
      <c r="D1149" t="s">
        <v>326</v>
      </c>
      <c r="E1149">
        <v>3</v>
      </c>
      <c r="F1149">
        <v>1</v>
      </c>
      <c r="G1149">
        <v>29</v>
      </c>
      <c r="H1149">
        <v>0</v>
      </c>
      <c r="I1149">
        <v>9.66</v>
      </c>
      <c r="J1149">
        <v>8</v>
      </c>
      <c r="K1149">
        <v>2</v>
      </c>
      <c r="L1149">
        <v>2</v>
      </c>
      <c r="M1149">
        <v>2</v>
      </c>
      <c r="N1149">
        <v>0</v>
      </c>
    </row>
    <row r="1150" spans="1:14" x14ac:dyDescent="0.45">
      <c r="A1150" t="s">
        <v>158</v>
      </c>
      <c r="B1150" t="s">
        <v>675</v>
      </c>
      <c r="C1150" t="s">
        <v>10</v>
      </c>
      <c r="D1150" t="s">
        <v>436</v>
      </c>
      <c r="E1150">
        <v>4</v>
      </c>
      <c r="F1150">
        <v>0</v>
      </c>
      <c r="G1150">
        <v>41</v>
      </c>
      <c r="H1150">
        <v>0</v>
      </c>
      <c r="I1150">
        <v>10.25</v>
      </c>
      <c r="J1150">
        <v>7</v>
      </c>
      <c r="K1150">
        <v>3</v>
      </c>
      <c r="L1150">
        <v>3</v>
      </c>
      <c r="M1150">
        <v>0</v>
      </c>
      <c r="N1150">
        <v>0</v>
      </c>
    </row>
    <row r="1151" spans="1:14" x14ac:dyDescent="0.45">
      <c r="A1151" t="s">
        <v>158</v>
      </c>
      <c r="B1151" t="s">
        <v>675</v>
      </c>
      <c r="C1151" t="s">
        <v>10</v>
      </c>
      <c r="D1151" t="s">
        <v>396</v>
      </c>
      <c r="E1151">
        <v>4</v>
      </c>
      <c r="F1151">
        <v>0</v>
      </c>
      <c r="G1151">
        <v>43</v>
      </c>
      <c r="H1151">
        <v>1</v>
      </c>
      <c r="I1151">
        <v>10.75</v>
      </c>
      <c r="J1151">
        <v>6</v>
      </c>
      <c r="K1151">
        <v>6</v>
      </c>
      <c r="L1151">
        <v>1</v>
      </c>
      <c r="M1151">
        <v>0</v>
      </c>
      <c r="N1151">
        <v>0</v>
      </c>
    </row>
    <row r="1152" spans="1:14" x14ac:dyDescent="0.45">
      <c r="A1152" t="s">
        <v>158</v>
      </c>
      <c r="B1152" t="s">
        <v>675</v>
      </c>
      <c r="C1152" t="s">
        <v>10</v>
      </c>
      <c r="D1152" t="s">
        <v>500</v>
      </c>
      <c r="E1152">
        <v>3</v>
      </c>
      <c r="F1152">
        <v>0</v>
      </c>
      <c r="G1152">
        <v>40</v>
      </c>
      <c r="H1152">
        <v>0</v>
      </c>
      <c r="I1152">
        <v>13.33</v>
      </c>
      <c r="J1152">
        <v>3</v>
      </c>
      <c r="K1152">
        <v>3</v>
      </c>
      <c r="L1152">
        <v>3</v>
      </c>
      <c r="M1152">
        <v>1</v>
      </c>
      <c r="N1152">
        <v>0</v>
      </c>
    </row>
    <row r="1153" spans="1:14" x14ac:dyDescent="0.45">
      <c r="A1153" t="s">
        <v>158</v>
      </c>
      <c r="B1153" t="s">
        <v>675</v>
      </c>
      <c r="C1153" t="s">
        <v>10</v>
      </c>
      <c r="D1153" t="s">
        <v>337</v>
      </c>
      <c r="E1153">
        <v>2</v>
      </c>
      <c r="F1153">
        <v>0</v>
      </c>
      <c r="G1153">
        <v>21</v>
      </c>
      <c r="H1153">
        <v>0</v>
      </c>
      <c r="I1153">
        <v>10.5</v>
      </c>
      <c r="J1153">
        <v>5</v>
      </c>
      <c r="K1153">
        <v>3</v>
      </c>
      <c r="L1153">
        <v>1</v>
      </c>
      <c r="M1153">
        <v>0</v>
      </c>
      <c r="N1153">
        <v>0</v>
      </c>
    </row>
    <row r="1154" spans="1:14" x14ac:dyDescent="0.45">
      <c r="A1154" t="s">
        <v>158</v>
      </c>
      <c r="B1154" t="s">
        <v>675</v>
      </c>
      <c r="C1154" t="s">
        <v>23</v>
      </c>
      <c r="D1154" t="s">
        <v>370</v>
      </c>
      <c r="E1154">
        <v>4</v>
      </c>
      <c r="F1154">
        <v>0</v>
      </c>
      <c r="G1154">
        <v>47</v>
      </c>
      <c r="H1154">
        <v>0</v>
      </c>
      <c r="I1154">
        <v>11.75</v>
      </c>
      <c r="J1154">
        <v>10</v>
      </c>
      <c r="K1154">
        <v>4</v>
      </c>
      <c r="L1154">
        <v>4</v>
      </c>
      <c r="M1154">
        <v>1</v>
      </c>
      <c r="N1154">
        <v>0</v>
      </c>
    </row>
    <row r="1155" spans="1:14" x14ac:dyDescent="0.45">
      <c r="A1155" t="s">
        <v>158</v>
      </c>
      <c r="B1155" t="s">
        <v>675</v>
      </c>
      <c r="C1155" t="s">
        <v>23</v>
      </c>
      <c r="D1155" t="s">
        <v>441</v>
      </c>
      <c r="E1155">
        <v>4</v>
      </c>
      <c r="F1155">
        <v>1</v>
      </c>
      <c r="G1155">
        <v>22</v>
      </c>
      <c r="H1155">
        <v>3</v>
      </c>
      <c r="I1155">
        <v>5.5</v>
      </c>
      <c r="J1155">
        <v>14</v>
      </c>
      <c r="K1155">
        <v>4</v>
      </c>
      <c r="L1155">
        <v>0</v>
      </c>
      <c r="M1155">
        <v>0</v>
      </c>
      <c r="N1155">
        <v>0</v>
      </c>
    </row>
    <row r="1156" spans="1:14" x14ac:dyDescent="0.45">
      <c r="A1156" t="s">
        <v>158</v>
      </c>
      <c r="B1156" t="s">
        <v>675</v>
      </c>
      <c r="C1156" t="s">
        <v>23</v>
      </c>
      <c r="D1156" t="s">
        <v>487</v>
      </c>
      <c r="E1156">
        <v>3</v>
      </c>
      <c r="F1156">
        <v>0</v>
      </c>
      <c r="G1156">
        <v>52</v>
      </c>
      <c r="H1156">
        <v>1</v>
      </c>
      <c r="I1156">
        <v>17.329999999999998</v>
      </c>
      <c r="J1156">
        <v>5</v>
      </c>
      <c r="K1156">
        <v>5</v>
      </c>
      <c r="L1156">
        <v>4</v>
      </c>
      <c r="M1156">
        <v>2</v>
      </c>
      <c r="N1156">
        <v>1</v>
      </c>
    </row>
    <row r="1157" spans="1:14" x14ac:dyDescent="0.45">
      <c r="A1157" t="s">
        <v>158</v>
      </c>
      <c r="B1157" t="s">
        <v>675</v>
      </c>
      <c r="C1157" t="s">
        <v>23</v>
      </c>
      <c r="D1157" t="s">
        <v>339</v>
      </c>
      <c r="E1157">
        <v>4</v>
      </c>
      <c r="F1157">
        <v>0</v>
      </c>
      <c r="G1157">
        <v>32</v>
      </c>
      <c r="H1157">
        <v>2</v>
      </c>
      <c r="I1157">
        <v>8</v>
      </c>
      <c r="J1157">
        <v>4</v>
      </c>
      <c r="K1157">
        <v>3</v>
      </c>
      <c r="L1157">
        <v>0</v>
      </c>
      <c r="M1157">
        <v>1</v>
      </c>
      <c r="N1157">
        <v>0</v>
      </c>
    </row>
    <row r="1158" spans="1:14" x14ac:dyDescent="0.45">
      <c r="A1158" t="s">
        <v>158</v>
      </c>
      <c r="B1158" t="s">
        <v>675</v>
      </c>
      <c r="C1158" t="s">
        <v>23</v>
      </c>
      <c r="D1158" t="s">
        <v>353</v>
      </c>
      <c r="E1158">
        <v>4</v>
      </c>
      <c r="F1158">
        <v>0</v>
      </c>
      <c r="G1158">
        <v>28</v>
      </c>
      <c r="H1158">
        <v>1</v>
      </c>
      <c r="I1158">
        <v>7</v>
      </c>
      <c r="J1158">
        <v>8</v>
      </c>
      <c r="K1158">
        <v>0</v>
      </c>
      <c r="L1158">
        <v>2</v>
      </c>
      <c r="M1158">
        <v>1</v>
      </c>
      <c r="N1158">
        <v>0</v>
      </c>
    </row>
    <row r="1159" spans="1:14" x14ac:dyDescent="0.45">
      <c r="A1159" t="s">
        <v>158</v>
      </c>
      <c r="B1159" t="s">
        <v>675</v>
      </c>
      <c r="C1159" t="s">
        <v>23</v>
      </c>
      <c r="D1159" t="s">
        <v>431</v>
      </c>
      <c r="E1159">
        <v>1</v>
      </c>
      <c r="F1159">
        <v>0</v>
      </c>
      <c r="G1159">
        <v>22</v>
      </c>
      <c r="H1159">
        <v>0</v>
      </c>
      <c r="I1159">
        <v>22</v>
      </c>
      <c r="J1159">
        <v>0</v>
      </c>
      <c r="K1159">
        <v>1</v>
      </c>
      <c r="L1159">
        <v>2</v>
      </c>
      <c r="M1159">
        <v>2</v>
      </c>
      <c r="N1159">
        <v>0</v>
      </c>
    </row>
    <row r="1160" spans="1:14" x14ac:dyDescent="0.45">
      <c r="A1160" t="s">
        <v>159</v>
      </c>
      <c r="B1160" t="s">
        <v>689</v>
      </c>
      <c r="C1160" t="s">
        <v>6</v>
      </c>
      <c r="D1160" t="s">
        <v>509</v>
      </c>
      <c r="E1160">
        <v>3</v>
      </c>
      <c r="F1160">
        <v>0</v>
      </c>
      <c r="G1160">
        <v>19</v>
      </c>
      <c r="H1160">
        <v>3</v>
      </c>
      <c r="I1160">
        <v>6.33</v>
      </c>
      <c r="J1160">
        <v>12</v>
      </c>
      <c r="K1160">
        <v>3</v>
      </c>
      <c r="L1160">
        <v>0</v>
      </c>
      <c r="M1160">
        <v>1</v>
      </c>
      <c r="N1160">
        <v>0</v>
      </c>
    </row>
    <row r="1161" spans="1:14" x14ac:dyDescent="0.45">
      <c r="A1161" t="s">
        <v>159</v>
      </c>
      <c r="B1161" t="s">
        <v>689</v>
      </c>
      <c r="C1161" t="s">
        <v>6</v>
      </c>
      <c r="D1161" t="s">
        <v>507</v>
      </c>
      <c r="E1161">
        <v>3</v>
      </c>
      <c r="F1161">
        <v>0</v>
      </c>
      <c r="G1161">
        <v>16</v>
      </c>
      <c r="H1161">
        <v>1</v>
      </c>
      <c r="I1161">
        <v>5.33</v>
      </c>
      <c r="J1161">
        <v>9</v>
      </c>
      <c r="K1161">
        <v>2</v>
      </c>
      <c r="L1161">
        <v>0</v>
      </c>
      <c r="M1161">
        <v>0</v>
      </c>
      <c r="N1161">
        <v>0</v>
      </c>
    </row>
    <row r="1162" spans="1:14" x14ac:dyDescent="0.45">
      <c r="A1162" t="s">
        <v>159</v>
      </c>
      <c r="B1162" t="s">
        <v>689</v>
      </c>
      <c r="C1162" t="s">
        <v>6</v>
      </c>
      <c r="D1162" t="s">
        <v>523</v>
      </c>
      <c r="E1162">
        <v>4</v>
      </c>
      <c r="F1162">
        <v>0</v>
      </c>
      <c r="G1162">
        <v>35</v>
      </c>
      <c r="H1162">
        <v>1</v>
      </c>
      <c r="I1162">
        <v>8.75</v>
      </c>
      <c r="J1162">
        <v>4</v>
      </c>
      <c r="K1162">
        <v>1</v>
      </c>
      <c r="L1162">
        <v>2</v>
      </c>
      <c r="M1162">
        <v>0</v>
      </c>
      <c r="N1162">
        <v>0</v>
      </c>
    </row>
    <row r="1163" spans="1:14" x14ac:dyDescent="0.45">
      <c r="A1163" t="s">
        <v>159</v>
      </c>
      <c r="B1163" t="s">
        <v>689</v>
      </c>
      <c r="C1163" t="s">
        <v>6</v>
      </c>
      <c r="D1163" t="s">
        <v>328</v>
      </c>
      <c r="E1163">
        <v>4</v>
      </c>
      <c r="F1163">
        <v>0</v>
      </c>
      <c r="G1163">
        <v>30</v>
      </c>
      <c r="H1163">
        <v>0</v>
      </c>
      <c r="I1163">
        <v>7.5</v>
      </c>
      <c r="J1163">
        <v>8</v>
      </c>
      <c r="K1163">
        <v>2</v>
      </c>
      <c r="L1163">
        <v>1</v>
      </c>
      <c r="M1163">
        <v>0</v>
      </c>
      <c r="N1163">
        <v>0</v>
      </c>
    </row>
    <row r="1164" spans="1:14" x14ac:dyDescent="0.45">
      <c r="A1164" t="s">
        <v>159</v>
      </c>
      <c r="B1164" t="s">
        <v>689</v>
      </c>
      <c r="C1164" t="s">
        <v>6</v>
      </c>
      <c r="D1164" t="s">
        <v>537</v>
      </c>
      <c r="E1164">
        <v>2</v>
      </c>
      <c r="F1164">
        <v>0</v>
      </c>
      <c r="G1164">
        <v>17</v>
      </c>
      <c r="H1164">
        <v>0</v>
      </c>
      <c r="I1164">
        <v>8.5</v>
      </c>
      <c r="J1164">
        <v>4</v>
      </c>
      <c r="K1164">
        <v>0</v>
      </c>
      <c r="L1164">
        <v>1</v>
      </c>
      <c r="M1164">
        <v>0</v>
      </c>
      <c r="N1164">
        <v>0</v>
      </c>
    </row>
    <row r="1165" spans="1:14" x14ac:dyDescent="0.45">
      <c r="A1165" t="s">
        <v>159</v>
      </c>
      <c r="B1165" t="s">
        <v>689</v>
      </c>
      <c r="C1165" t="s">
        <v>6</v>
      </c>
      <c r="D1165" t="s">
        <v>327</v>
      </c>
      <c r="E1165">
        <v>4</v>
      </c>
      <c r="F1165">
        <v>0</v>
      </c>
      <c r="G1165">
        <v>36</v>
      </c>
      <c r="H1165">
        <v>2</v>
      </c>
      <c r="I1165">
        <v>9</v>
      </c>
      <c r="J1165">
        <v>9</v>
      </c>
      <c r="K1165">
        <v>4</v>
      </c>
      <c r="L1165">
        <v>1</v>
      </c>
      <c r="M1165">
        <v>2</v>
      </c>
      <c r="N1165">
        <v>0</v>
      </c>
    </row>
    <row r="1166" spans="1:14" x14ac:dyDescent="0.45">
      <c r="A1166" t="s">
        <v>159</v>
      </c>
      <c r="B1166" t="s">
        <v>689</v>
      </c>
      <c r="C1166" t="s">
        <v>19</v>
      </c>
      <c r="D1166" t="s">
        <v>464</v>
      </c>
      <c r="E1166">
        <v>4</v>
      </c>
      <c r="F1166">
        <v>0</v>
      </c>
      <c r="G1166">
        <v>30</v>
      </c>
      <c r="H1166">
        <v>4</v>
      </c>
      <c r="I1166">
        <v>7.5</v>
      </c>
      <c r="J1166">
        <v>12</v>
      </c>
      <c r="K1166">
        <v>2</v>
      </c>
      <c r="L1166">
        <v>2</v>
      </c>
      <c r="M1166">
        <v>1</v>
      </c>
      <c r="N1166">
        <v>0</v>
      </c>
    </row>
    <row r="1167" spans="1:14" x14ac:dyDescent="0.45">
      <c r="A1167" t="s">
        <v>159</v>
      </c>
      <c r="B1167" t="s">
        <v>689</v>
      </c>
      <c r="C1167" t="s">
        <v>19</v>
      </c>
      <c r="D1167" t="s">
        <v>369</v>
      </c>
      <c r="E1167">
        <v>4</v>
      </c>
      <c r="F1167">
        <v>0</v>
      </c>
      <c r="G1167">
        <v>29</v>
      </c>
      <c r="H1167">
        <v>0</v>
      </c>
      <c r="I1167">
        <v>7.25</v>
      </c>
      <c r="J1167">
        <v>9</v>
      </c>
      <c r="K1167">
        <v>2</v>
      </c>
      <c r="L1167">
        <v>1</v>
      </c>
      <c r="M1167">
        <v>2</v>
      </c>
      <c r="N1167">
        <v>0</v>
      </c>
    </row>
    <row r="1168" spans="1:14" x14ac:dyDescent="0.45">
      <c r="A1168" t="s">
        <v>159</v>
      </c>
      <c r="B1168" t="s">
        <v>689</v>
      </c>
      <c r="C1168" t="s">
        <v>19</v>
      </c>
      <c r="D1168" t="s">
        <v>457</v>
      </c>
      <c r="E1168">
        <v>4</v>
      </c>
      <c r="F1168">
        <v>0</v>
      </c>
      <c r="G1168">
        <v>25</v>
      </c>
      <c r="H1168">
        <v>1</v>
      </c>
      <c r="I1168">
        <v>6.25</v>
      </c>
      <c r="J1168">
        <v>14</v>
      </c>
      <c r="K1168">
        <v>2</v>
      </c>
      <c r="L1168">
        <v>1</v>
      </c>
      <c r="M1168">
        <v>2</v>
      </c>
      <c r="N1168">
        <v>0</v>
      </c>
    </row>
    <row r="1169" spans="1:14" x14ac:dyDescent="0.45">
      <c r="A1169" t="s">
        <v>159</v>
      </c>
      <c r="B1169" t="s">
        <v>689</v>
      </c>
      <c r="C1169" t="s">
        <v>19</v>
      </c>
      <c r="D1169" t="s">
        <v>392</v>
      </c>
      <c r="E1169">
        <v>4</v>
      </c>
      <c r="F1169">
        <v>0</v>
      </c>
      <c r="G1169">
        <v>48</v>
      </c>
      <c r="H1169">
        <v>2</v>
      </c>
      <c r="I1169">
        <v>12</v>
      </c>
      <c r="J1169">
        <v>5</v>
      </c>
      <c r="K1169">
        <v>4</v>
      </c>
      <c r="L1169">
        <v>3</v>
      </c>
      <c r="M1169">
        <v>1</v>
      </c>
      <c r="N1169">
        <v>0</v>
      </c>
    </row>
    <row r="1170" spans="1:14" x14ac:dyDescent="0.45">
      <c r="A1170" t="s">
        <v>159</v>
      </c>
      <c r="B1170" t="s">
        <v>689</v>
      </c>
      <c r="C1170" t="s">
        <v>19</v>
      </c>
      <c r="D1170" t="s">
        <v>504</v>
      </c>
      <c r="E1170">
        <v>4</v>
      </c>
      <c r="F1170">
        <v>0</v>
      </c>
      <c r="G1170">
        <v>23</v>
      </c>
      <c r="H1170">
        <v>0</v>
      </c>
      <c r="I1170">
        <v>5.75</v>
      </c>
      <c r="J1170">
        <v>11</v>
      </c>
      <c r="K1170">
        <v>1</v>
      </c>
      <c r="L1170">
        <v>1</v>
      </c>
      <c r="M1170">
        <v>1</v>
      </c>
      <c r="N1170">
        <v>0</v>
      </c>
    </row>
    <row r="1171" spans="1:14" x14ac:dyDescent="0.45">
      <c r="A1171" t="s">
        <v>160</v>
      </c>
      <c r="B1171" t="s">
        <v>652</v>
      </c>
      <c r="C1171" t="s">
        <v>10</v>
      </c>
      <c r="D1171" t="s">
        <v>326</v>
      </c>
      <c r="E1171">
        <v>2</v>
      </c>
      <c r="F1171">
        <v>0</v>
      </c>
      <c r="G1171">
        <v>20</v>
      </c>
      <c r="H1171">
        <v>0</v>
      </c>
      <c r="I1171">
        <v>10</v>
      </c>
      <c r="J1171">
        <v>5</v>
      </c>
      <c r="K1171">
        <v>4</v>
      </c>
      <c r="L1171">
        <v>0</v>
      </c>
      <c r="M1171">
        <v>0</v>
      </c>
      <c r="N1171">
        <v>0</v>
      </c>
    </row>
    <row r="1172" spans="1:14" x14ac:dyDescent="0.45">
      <c r="A1172" t="s">
        <v>160</v>
      </c>
      <c r="B1172" t="s">
        <v>652</v>
      </c>
      <c r="C1172" t="s">
        <v>10</v>
      </c>
      <c r="D1172" t="s">
        <v>444</v>
      </c>
      <c r="E1172">
        <v>4</v>
      </c>
      <c r="F1172">
        <v>0</v>
      </c>
      <c r="G1172">
        <v>21</v>
      </c>
      <c r="H1172">
        <v>2</v>
      </c>
      <c r="I1172">
        <v>5.25</v>
      </c>
      <c r="J1172">
        <v>13</v>
      </c>
      <c r="K1172">
        <v>2</v>
      </c>
      <c r="L1172">
        <v>0</v>
      </c>
      <c r="M1172">
        <v>1</v>
      </c>
      <c r="N1172">
        <v>0</v>
      </c>
    </row>
    <row r="1173" spans="1:14" x14ac:dyDescent="0.45">
      <c r="A1173" t="s">
        <v>160</v>
      </c>
      <c r="B1173" t="s">
        <v>652</v>
      </c>
      <c r="C1173" t="s">
        <v>10</v>
      </c>
      <c r="D1173" t="s">
        <v>436</v>
      </c>
      <c r="E1173">
        <v>2</v>
      </c>
      <c r="F1173">
        <v>0</v>
      </c>
      <c r="G1173">
        <v>11</v>
      </c>
      <c r="H1173">
        <v>2</v>
      </c>
      <c r="I1173">
        <v>5.5</v>
      </c>
      <c r="J1173">
        <v>8</v>
      </c>
      <c r="K1173">
        <v>2</v>
      </c>
      <c r="L1173">
        <v>0</v>
      </c>
      <c r="M1173">
        <v>0</v>
      </c>
      <c r="N1173">
        <v>0</v>
      </c>
    </row>
    <row r="1174" spans="1:14" x14ac:dyDescent="0.45">
      <c r="A1174" t="s">
        <v>160</v>
      </c>
      <c r="B1174" t="s">
        <v>652</v>
      </c>
      <c r="C1174" t="s">
        <v>10</v>
      </c>
      <c r="D1174" t="s">
        <v>396</v>
      </c>
      <c r="E1174">
        <v>4</v>
      </c>
      <c r="F1174">
        <v>0</v>
      </c>
      <c r="G1174">
        <v>28</v>
      </c>
      <c r="H1174">
        <v>1</v>
      </c>
      <c r="I1174">
        <v>7</v>
      </c>
      <c r="J1174">
        <v>14</v>
      </c>
      <c r="K1174">
        <v>4</v>
      </c>
      <c r="L1174">
        <v>1</v>
      </c>
      <c r="M1174">
        <v>0</v>
      </c>
      <c r="N1174">
        <v>0</v>
      </c>
    </row>
    <row r="1175" spans="1:14" x14ac:dyDescent="0.45">
      <c r="A1175" t="s">
        <v>160</v>
      </c>
      <c r="B1175" t="s">
        <v>652</v>
      </c>
      <c r="C1175" t="s">
        <v>10</v>
      </c>
      <c r="D1175" t="s">
        <v>337</v>
      </c>
      <c r="E1175">
        <v>4</v>
      </c>
      <c r="F1175">
        <v>0</v>
      </c>
      <c r="G1175">
        <v>10</v>
      </c>
      <c r="H1175">
        <v>2</v>
      </c>
      <c r="I1175">
        <v>2.5</v>
      </c>
      <c r="J1175">
        <v>14</v>
      </c>
      <c r="K1175">
        <v>0</v>
      </c>
      <c r="L1175">
        <v>0</v>
      </c>
      <c r="M1175">
        <v>0</v>
      </c>
      <c r="N1175">
        <v>0</v>
      </c>
    </row>
    <row r="1176" spans="1:14" x14ac:dyDescent="0.45">
      <c r="A1176" t="s">
        <v>160</v>
      </c>
      <c r="B1176" t="s">
        <v>652</v>
      </c>
      <c r="C1176" t="s">
        <v>10</v>
      </c>
      <c r="D1176" t="s">
        <v>500</v>
      </c>
      <c r="E1176">
        <v>4</v>
      </c>
      <c r="F1176">
        <v>0</v>
      </c>
      <c r="G1176">
        <v>24</v>
      </c>
      <c r="H1176">
        <v>2</v>
      </c>
      <c r="I1176">
        <v>6</v>
      </c>
      <c r="J1176">
        <v>9</v>
      </c>
      <c r="K1176">
        <v>3</v>
      </c>
      <c r="L1176">
        <v>0</v>
      </c>
      <c r="M1176">
        <v>0</v>
      </c>
      <c r="N1176">
        <v>0</v>
      </c>
    </row>
    <row r="1177" spans="1:14" x14ac:dyDescent="0.45">
      <c r="A1177" t="s">
        <v>160</v>
      </c>
      <c r="B1177" t="s">
        <v>652</v>
      </c>
      <c r="C1177" t="s">
        <v>26</v>
      </c>
      <c r="D1177" t="s">
        <v>542</v>
      </c>
      <c r="E1177">
        <v>2</v>
      </c>
      <c r="F1177">
        <v>0</v>
      </c>
      <c r="G1177">
        <v>31</v>
      </c>
      <c r="H1177">
        <v>0</v>
      </c>
      <c r="I1177">
        <v>15.5</v>
      </c>
      <c r="J1177">
        <v>2</v>
      </c>
      <c r="K1177">
        <v>5</v>
      </c>
      <c r="L1177">
        <v>1</v>
      </c>
      <c r="M1177">
        <v>0</v>
      </c>
      <c r="N1177">
        <v>0</v>
      </c>
    </row>
    <row r="1178" spans="1:14" x14ac:dyDescent="0.45">
      <c r="A1178" t="s">
        <v>160</v>
      </c>
      <c r="B1178" t="s">
        <v>652</v>
      </c>
      <c r="C1178" t="s">
        <v>26</v>
      </c>
      <c r="D1178" t="s">
        <v>341</v>
      </c>
      <c r="E1178">
        <v>3</v>
      </c>
      <c r="F1178">
        <v>0</v>
      </c>
      <c r="G1178">
        <v>35</v>
      </c>
      <c r="H1178">
        <v>0</v>
      </c>
      <c r="I1178">
        <v>11.66</v>
      </c>
      <c r="J1178">
        <v>5</v>
      </c>
      <c r="K1178">
        <v>5</v>
      </c>
      <c r="L1178">
        <v>1</v>
      </c>
      <c r="M1178">
        <v>1</v>
      </c>
      <c r="N1178">
        <v>0</v>
      </c>
    </row>
    <row r="1179" spans="1:14" x14ac:dyDescent="0.45">
      <c r="A1179" t="s">
        <v>160</v>
      </c>
      <c r="B1179" t="s">
        <v>652</v>
      </c>
      <c r="C1179" t="s">
        <v>26</v>
      </c>
      <c r="D1179" t="s">
        <v>405</v>
      </c>
      <c r="E1179">
        <v>1</v>
      </c>
      <c r="F1179">
        <v>0</v>
      </c>
      <c r="G1179">
        <v>17</v>
      </c>
      <c r="H1179">
        <v>0</v>
      </c>
      <c r="I1179">
        <v>17</v>
      </c>
      <c r="J1179">
        <v>1</v>
      </c>
      <c r="K1179">
        <v>3</v>
      </c>
      <c r="L1179">
        <v>0</v>
      </c>
      <c r="M1179">
        <v>3</v>
      </c>
      <c r="N1179">
        <v>0</v>
      </c>
    </row>
    <row r="1180" spans="1:14" x14ac:dyDescent="0.45">
      <c r="A1180" t="s">
        <v>160</v>
      </c>
      <c r="B1180" t="s">
        <v>652</v>
      </c>
      <c r="C1180" t="s">
        <v>26</v>
      </c>
      <c r="D1180" t="s">
        <v>428</v>
      </c>
      <c r="E1180">
        <v>2</v>
      </c>
      <c r="F1180">
        <v>0</v>
      </c>
      <c r="G1180">
        <v>15</v>
      </c>
      <c r="H1180">
        <v>0</v>
      </c>
      <c r="I1180">
        <v>7.5</v>
      </c>
      <c r="J1180">
        <v>5</v>
      </c>
      <c r="K1180">
        <v>2</v>
      </c>
      <c r="L1180">
        <v>0</v>
      </c>
      <c r="M1180">
        <v>2</v>
      </c>
      <c r="N1180">
        <v>0</v>
      </c>
    </row>
    <row r="1181" spans="1:14" x14ac:dyDescent="0.45">
      <c r="A1181" t="s">
        <v>160</v>
      </c>
      <c r="B1181" t="s">
        <v>652</v>
      </c>
      <c r="C1181" t="s">
        <v>26</v>
      </c>
      <c r="D1181" t="s">
        <v>435</v>
      </c>
      <c r="E1181">
        <v>2.2999999999999998</v>
      </c>
      <c r="F1181">
        <v>0</v>
      </c>
      <c r="G1181">
        <v>21</v>
      </c>
      <c r="H1181">
        <v>1</v>
      </c>
      <c r="I1181">
        <v>8.4</v>
      </c>
      <c r="J1181">
        <v>4</v>
      </c>
      <c r="K1181">
        <v>3</v>
      </c>
      <c r="L1181">
        <v>0</v>
      </c>
      <c r="M1181">
        <v>0</v>
      </c>
      <c r="N1181">
        <v>0</v>
      </c>
    </row>
    <row r="1182" spans="1:14" x14ac:dyDescent="0.45">
      <c r="A1182" t="s">
        <v>161</v>
      </c>
      <c r="B1182" t="s">
        <v>666</v>
      </c>
      <c r="C1182" t="s">
        <v>104</v>
      </c>
      <c r="D1182" t="s">
        <v>491</v>
      </c>
      <c r="E1182">
        <v>3</v>
      </c>
      <c r="F1182">
        <v>0</v>
      </c>
      <c r="G1182">
        <v>31</v>
      </c>
      <c r="H1182">
        <v>2</v>
      </c>
      <c r="I1182">
        <v>10.33</v>
      </c>
      <c r="J1182">
        <v>7</v>
      </c>
      <c r="K1182">
        <v>4</v>
      </c>
      <c r="L1182">
        <v>1</v>
      </c>
      <c r="M1182">
        <v>1</v>
      </c>
      <c r="N1182">
        <v>0</v>
      </c>
    </row>
    <row r="1183" spans="1:14" x14ac:dyDescent="0.45">
      <c r="A1183" t="s">
        <v>161</v>
      </c>
      <c r="B1183" t="s">
        <v>666</v>
      </c>
      <c r="C1183" t="s">
        <v>104</v>
      </c>
      <c r="D1183" t="s">
        <v>340</v>
      </c>
      <c r="E1183">
        <v>4</v>
      </c>
      <c r="F1183">
        <v>0</v>
      </c>
      <c r="G1183">
        <v>33</v>
      </c>
      <c r="H1183">
        <v>0</v>
      </c>
      <c r="I1183">
        <v>8.25</v>
      </c>
      <c r="J1183">
        <v>7</v>
      </c>
      <c r="K1183">
        <v>2</v>
      </c>
      <c r="L1183">
        <v>1</v>
      </c>
      <c r="M1183">
        <v>1</v>
      </c>
      <c r="N1183">
        <v>0</v>
      </c>
    </row>
    <row r="1184" spans="1:14" x14ac:dyDescent="0.45">
      <c r="A1184" t="s">
        <v>161</v>
      </c>
      <c r="B1184" t="s">
        <v>666</v>
      </c>
      <c r="C1184" t="s">
        <v>104</v>
      </c>
      <c r="D1184" t="s">
        <v>366</v>
      </c>
      <c r="E1184">
        <v>4</v>
      </c>
      <c r="F1184">
        <v>0</v>
      </c>
      <c r="G1184">
        <v>29</v>
      </c>
      <c r="H1184">
        <v>1</v>
      </c>
      <c r="I1184">
        <v>7.25</v>
      </c>
      <c r="J1184">
        <v>6</v>
      </c>
      <c r="K1184">
        <v>2</v>
      </c>
      <c r="L1184">
        <v>1</v>
      </c>
      <c r="M1184">
        <v>0</v>
      </c>
      <c r="N1184">
        <v>0</v>
      </c>
    </row>
    <row r="1185" spans="1:14" x14ac:dyDescent="0.45">
      <c r="A1185" t="s">
        <v>161</v>
      </c>
      <c r="B1185" t="s">
        <v>666</v>
      </c>
      <c r="C1185" t="s">
        <v>104</v>
      </c>
      <c r="D1185" t="s">
        <v>407</v>
      </c>
      <c r="E1185">
        <v>4</v>
      </c>
      <c r="F1185">
        <v>0</v>
      </c>
      <c r="G1185">
        <v>47</v>
      </c>
      <c r="H1185">
        <v>0</v>
      </c>
      <c r="I1185">
        <v>11.75</v>
      </c>
      <c r="J1185">
        <v>5</v>
      </c>
      <c r="K1185">
        <v>4</v>
      </c>
      <c r="L1185">
        <v>2</v>
      </c>
      <c r="M1185">
        <v>1</v>
      </c>
      <c r="N1185">
        <v>1</v>
      </c>
    </row>
    <row r="1186" spans="1:14" x14ac:dyDescent="0.45">
      <c r="A1186" t="s">
        <v>161</v>
      </c>
      <c r="B1186" t="s">
        <v>666</v>
      </c>
      <c r="C1186" t="s">
        <v>104</v>
      </c>
      <c r="D1186" t="s">
        <v>378</v>
      </c>
      <c r="E1186">
        <v>4</v>
      </c>
      <c r="F1186">
        <v>0</v>
      </c>
      <c r="G1186">
        <v>25</v>
      </c>
      <c r="H1186">
        <v>2</v>
      </c>
      <c r="I1186">
        <v>6.25</v>
      </c>
      <c r="J1186">
        <v>8</v>
      </c>
      <c r="K1186">
        <v>2</v>
      </c>
      <c r="L1186">
        <v>0</v>
      </c>
      <c r="M1186">
        <v>2</v>
      </c>
      <c r="N1186">
        <v>0</v>
      </c>
    </row>
    <row r="1187" spans="1:14" x14ac:dyDescent="0.45">
      <c r="A1187" t="s">
        <v>161</v>
      </c>
      <c r="B1187" t="s">
        <v>666</v>
      </c>
      <c r="C1187" t="s">
        <v>104</v>
      </c>
      <c r="D1187" t="s">
        <v>331</v>
      </c>
      <c r="E1187">
        <v>1</v>
      </c>
      <c r="F1187">
        <v>0</v>
      </c>
      <c r="G1187">
        <v>14</v>
      </c>
      <c r="H1187">
        <v>0</v>
      </c>
      <c r="I1187">
        <v>14</v>
      </c>
      <c r="J1187">
        <v>0</v>
      </c>
      <c r="K1187">
        <v>2</v>
      </c>
      <c r="L1187">
        <v>0</v>
      </c>
      <c r="M1187">
        <v>1</v>
      </c>
      <c r="N1187">
        <v>0</v>
      </c>
    </row>
    <row r="1188" spans="1:14" x14ac:dyDescent="0.45">
      <c r="A1188" t="s">
        <v>161</v>
      </c>
      <c r="B1188" t="s">
        <v>666</v>
      </c>
      <c r="C1188" t="s">
        <v>13</v>
      </c>
      <c r="D1188" t="s">
        <v>352</v>
      </c>
      <c r="E1188">
        <v>4</v>
      </c>
      <c r="F1188">
        <v>0</v>
      </c>
      <c r="G1188">
        <v>31</v>
      </c>
      <c r="H1188">
        <v>1</v>
      </c>
      <c r="I1188">
        <v>7.75</v>
      </c>
      <c r="J1188">
        <v>12</v>
      </c>
      <c r="K1188">
        <v>6</v>
      </c>
      <c r="L1188">
        <v>0</v>
      </c>
      <c r="M1188">
        <v>1</v>
      </c>
      <c r="N1188">
        <v>0</v>
      </c>
    </row>
    <row r="1189" spans="1:14" x14ac:dyDescent="0.45">
      <c r="A1189" t="s">
        <v>161</v>
      </c>
      <c r="B1189" t="s">
        <v>666</v>
      </c>
      <c r="C1189" t="s">
        <v>13</v>
      </c>
      <c r="D1189" t="s">
        <v>345</v>
      </c>
      <c r="E1189">
        <v>2</v>
      </c>
      <c r="F1189">
        <v>0</v>
      </c>
      <c r="G1189">
        <v>11</v>
      </c>
      <c r="H1189">
        <v>1</v>
      </c>
      <c r="I1189">
        <v>5.5</v>
      </c>
      <c r="J1189">
        <v>6</v>
      </c>
      <c r="K1189">
        <v>1</v>
      </c>
      <c r="L1189">
        <v>0</v>
      </c>
      <c r="M1189">
        <v>1</v>
      </c>
      <c r="N1189">
        <v>0</v>
      </c>
    </row>
    <row r="1190" spans="1:14" x14ac:dyDescent="0.45">
      <c r="A1190" t="s">
        <v>161</v>
      </c>
      <c r="B1190" t="s">
        <v>666</v>
      </c>
      <c r="C1190" t="s">
        <v>13</v>
      </c>
      <c r="D1190" t="s">
        <v>325</v>
      </c>
      <c r="E1190">
        <v>4</v>
      </c>
      <c r="F1190">
        <v>0</v>
      </c>
      <c r="G1190">
        <v>25</v>
      </c>
      <c r="H1190">
        <v>4</v>
      </c>
      <c r="I1190">
        <v>6.25</v>
      </c>
      <c r="J1190">
        <v>10</v>
      </c>
      <c r="K1190">
        <v>1</v>
      </c>
      <c r="L1190">
        <v>1</v>
      </c>
      <c r="M1190">
        <v>2</v>
      </c>
      <c r="N1190">
        <v>0</v>
      </c>
    </row>
    <row r="1191" spans="1:14" x14ac:dyDescent="0.45">
      <c r="A1191" t="s">
        <v>161</v>
      </c>
      <c r="B1191" t="s">
        <v>666</v>
      </c>
      <c r="C1191" t="s">
        <v>13</v>
      </c>
      <c r="D1191" t="s">
        <v>347</v>
      </c>
      <c r="E1191">
        <v>4</v>
      </c>
      <c r="F1191">
        <v>0</v>
      </c>
      <c r="G1191">
        <v>25</v>
      </c>
      <c r="H1191">
        <v>0</v>
      </c>
      <c r="I1191">
        <v>6.25</v>
      </c>
      <c r="J1191">
        <v>10</v>
      </c>
      <c r="K1191">
        <v>1</v>
      </c>
      <c r="L1191">
        <v>1</v>
      </c>
      <c r="M1191">
        <v>0</v>
      </c>
      <c r="N1191">
        <v>0</v>
      </c>
    </row>
    <row r="1192" spans="1:14" x14ac:dyDescent="0.45">
      <c r="A1192" t="s">
        <v>161</v>
      </c>
      <c r="B1192" t="s">
        <v>666</v>
      </c>
      <c r="C1192" t="s">
        <v>13</v>
      </c>
      <c r="D1192" t="s">
        <v>349</v>
      </c>
      <c r="E1192">
        <v>4</v>
      </c>
      <c r="F1192">
        <v>0</v>
      </c>
      <c r="G1192">
        <v>47</v>
      </c>
      <c r="H1192">
        <v>2</v>
      </c>
      <c r="I1192">
        <v>11.75</v>
      </c>
      <c r="J1192">
        <v>7</v>
      </c>
      <c r="K1192">
        <v>4</v>
      </c>
      <c r="L1192">
        <v>2</v>
      </c>
      <c r="M1192">
        <v>3</v>
      </c>
      <c r="N1192">
        <v>0</v>
      </c>
    </row>
    <row r="1193" spans="1:14" x14ac:dyDescent="0.45">
      <c r="A1193" t="s">
        <v>161</v>
      </c>
      <c r="B1193" t="s">
        <v>666</v>
      </c>
      <c r="C1193" t="s">
        <v>13</v>
      </c>
      <c r="D1193" t="s">
        <v>448</v>
      </c>
      <c r="E1193">
        <v>2</v>
      </c>
      <c r="F1193">
        <v>0</v>
      </c>
      <c r="G1193">
        <v>20</v>
      </c>
      <c r="H1193">
        <v>0</v>
      </c>
      <c r="I1193">
        <v>10</v>
      </c>
      <c r="J1193">
        <v>5</v>
      </c>
      <c r="K1193">
        <v>1</v>
      </c>
      <c r="L1193">
        <v>2</v>
      </c>
      <c r="M1193">
        <v>0</v>
      </c>
      <c r="N1193">
        <v>0</v>
      </c>
    </row>
    <row r="1194" spans="1:14" x14ac:dyDescent="0.45">
      <c r="A1194" t="s">
        <v>163</v>
      </c>
      <c r="B1194" t="s">
        <v>681</v>
      </c>
      <c r="C1194" t="s">
        <v>7</v>
      </c>
      <c r="D1194" t="s">
        <v>515</v>
      </c>
      <c r="E1194">
        <v>4</v>
      </c>
      <c r="F1194">
        <v>0</v>
      </c>
      <c r="G1194">
        <v>44</v>
      </c>
      <c r="H1194">
        <v>0</v>
      </c>
      <c r="I1194">
        <v>11</v>
      </c>
      <c r="J1194">
        <v>11</v>
      </c>
      <c r="K1194">
        <v>3</v>
      </c>
      <c r="L1194">
        <v>3</v>
      </c>
      <c r="M1194">
        <v>0</v>
      </c>
      <c r="N1194">
        <v>1</v>
      </c>
    </row>
    <row r="1195" spans="1:14" x14ac:dyDescent="0.45">
      <c r="A1195" t="s">
        <v>163</v>
      </c>
      <c r="B1195" t="s">
        <v>681</v>
      </c>
      <c r="C1195" t="s">
        <v>7</v>
      </c>
      <c r="D1195" t="s">
        <v>320</v>
      </c>
      <c r="E1195">
        <v>4</v>
      </c>
      <c r="F1195">
        <v>0</v>
      </c>
      <c r="G1195">
        <v>34</v>
      </c>
      <c r="H1195">
        <v>1</v>
      </c>
      <c r="I1195">
        <v>8.5</v>
      </c>
      <c r="J1195">
        <v>10</v>
      </c>
      <c r="K1195">
        <v>4</v>
      </c>
      <c r="L1195">
        <v>1</v>
      </c>
      <c r="M1195">
        <v>0</v>
      </c>
      <c r="N1195">
        <v>0</v>
      </c>
    </row>
    <row r="1196" spans="1:14" x14ac:dyDescent="0.45">
      <c r="A1196" t="s">
        <v>163</v>
      </c>
      <c r="B1196" t="s">
        <v>681</v>
      </c>
      <c r="C1196" t="s">
        <v>7</v>
      </c>
      <c r="D1196" t="s">
        <v>322</v>
      </c>
      <c r="E1196">
        <v>2</v>
      </c>
      <c r="F1196">
        <v>0</v>
      </c>
      <c r="G1196">
        <v>30</v>
      </c>
      <c r="H1196">
        <v>0</v>
      </c>
      <c r="I1196">
        <v>15</v>
      </c>
      <c r="J1196">
        <v>1</v>
      </c>
      <c r="K1196">
        <v>1</v>
      </c>
      <c r="L1196">
        <v>2</v>
      </c>
      <c r="M1196">
        <v>1</v>
      </c>
      <c r="N1196">
        <v>0</v>
      </c>
    </row>
    <row r="1197" spans="1:14" x14ac:dyDescent="0.45">
      <c r="A1197" t="s">
        <v>163</v>
      </c>
      <c r="B1197" t="s">
        <v>681</v>
      </c>
      <c r="C1197" t="s">
        <v>7</v>
      </c>
      <c r="D1197" t="s">
        <v>465</v>
      </c>
      <c r="E1197">
        <v>4</v>
      </c>
      <c r="F1197">
        <v>0</v>
      </c>
      <c r="G1197">
        <v>50</v>
      </c>
      <c r="H1197">
        <v>1</v>
      </c>
      <c r="I1197">
        <v>12.5</v>
      </c>
      <c r="J1197">
        <v>4</v>
      </c>
      <c r="K1197">
        <v>7</v>
      </c>
      <c r="L1197">
        <v>1</v>
      </c>
      <c r="M1197">
        <v>2</v>
      </c>
      <c r="N1197">
        <v>0</v>
      </c>
    </row>
    <row r="1198" spans="1:14" x14ac:dyDescent="0.45">
      <c r="A1198" t="s">
        <v>163</v>
      </c>
      <c r="B1198" t="s">
        <v>681</v>
      </c>
      <c r="C1198" t="s">
        <v>7</v>
      </c>
      <c r="D1198" t="s">
        <v>308</v>
      </c>
      <c r="E1198">
        <v>4</v>
      </c>
      <c r="F1198">
        <v>0</v>
      </c>
      <c r="G1198">
        <v>21</v>
      </c>
      <c r="H1198">
        <v>2</v>
      </c>
      <c r="I1198">
        <v>5.25</v>
      </c>
      <c r="J1198">
        <v>11</v>
      </c>
      <c r="K1198">
        <v>0</v>
      </c>
      <c r="L1198">
        <v>1</v>
      </c>
      <c r="M1198">
        <v>2</v>
      </c>
      <c r="N1198">
        <v>0</v>
      </c>
    </row>
    <row r="1199" spans="1:14" x14ac:dyDescent="0.45">
      <c r="A1199" t="s">
        <v>163</v>
      </c>
      <c r="B1199" t="s">
        <v>681</v>
      </c>
      <c r="C1199" t="s">
        <v>7</v>
      </c>
      <c r="D1199" t="s">
        <v>440</v>
      </c>
      <c r="E1199">
        <v>2</v>
      </c>
      <c r="F1199">
        <v>0</v>
      </c>
      <c r="G1199">
        <v>29</v>
      </c>
      <c r="H1199">
        <v>1</v>
      </c>
      <c r="I1199">
        <v>14.5</v>
      </c>
      <c r="J1199">
        <v>3</v>
      </c>
      <c r="K1199">
        <v>3</v>
      </c>
      <c r="L1199">
        <v>2</v>
      </c>
      <c r="M1199">
        <v>1</v>
      </c>
      <c r="N1199">
        <v>0</v>
      </c>
    </row>
    <row r="1200" spans="1:14" x14ac:dyDescent="0.45">
      <c r="A1200" t="s">
        <v>163</v>
      </c>
      <c r="B1200" t="s">
        <v>681</v>
      </c>
      <c r="C1200" t="s">
        <v>23</v>
      </c>
      <c r="D1200" t="s">
        <v>370</v>
      </c>
      <c r="E1200">
        <v>4</v>
      </c>
      <c r="F1200">
        <v>0</v>
      </c>
      <c r="G1200">
        <v>48</v>
      </c>
      <c r="H1200">
        <v>0</v>
      </c>
      <c r="I1200">
        <v>12</v>
      </c>
      <c r="J1200">
        <v>7</v>
      </c>
      <c r="K1200">
        <v>5</v>
      </c>
      <c r="L1200">
        <v>3</v>
      </c>
      <c r="M1200">
        <v>0</v>
      </c>
      <c r="N1200">
        <v>0</v>
      </c>
    </row>
    <row r="1201" spans="1:14" x14ac:dyDescent="0.45">
      <c r="A1201" t="s">
        <v>163</v>
      </c>
      <c r="B1201" t="s">
        <v>681</v>
      </c>
      <c r="C1201" t="s">
        <v>23</v>
      </c>
      <c r="D1201" t="s">
        <v>441</v>
      </c>
      <c r="E1201">
        <v>4</v>
      </c>
      <c r="F1201">
        <v>0</v>
      </c>
      <c r="G1201">
        <v>43</v>
      </c>
      <c r="H1201">
        <v>1</v>
      </c>
      <c r="I1201">
        <v>10.75</v>
      </c>
      <c r="J1201">
        <v>5</v>
      </c>
      <c r="K1201">
        <v>6</v>
      </c>
      <c r="L1201">
        <v>0</v>
      </c>
      <c r="M1201">
        <v>5</v>
      </c>
      <c r="N1201">
        <v>0</v>
      </c>
    </row>
    <row r="1202" spans="1:14" x14ac:dyDescent="0.45">
      <c r="A1202" t="s">
        <v>163</v>
      </c>
      <c r="B1202" t="s">
        <v>681</v>
      </c>
      <c r="C1202" t="s">
        <v>23</v>
      </c>
      <c r="D1202" t="s">
        <v>487</v>
      </c>
      <c r="E1202">
        <v>3.4</v>
      </c>
      <c r="F1202">
        <v>0</v>
      </c>
      <c r="G1202">
        <v>41</v>
      </c>
      <c r="H1202">
        <v>2</v>
      </c>
      <c r="I1202">
        <v>11.18</v>
      </c>
      <c r="J1202">
        <v>6</v>
      </c>
      <c r="K1202">
        <v>2</v>
      </c>
      <c r="L1202">
        <v>2</v>
      </c>
      <c r="M1202">
        <v>4</v>
      </c>
      <c r="N1202">
        <v>0</v>
      </c>
    </row>
    <row r="1203" spans="1:14" x14ac:dyDescent="0.45">
      <c r="A1203" t="s">
        <v>163</v>
      </c>
      <c r="B1203" t="s">
        <v>681</v>
      </c>
      <c r="C1203" t="s">
        <v>23</v>
      </c>
      <c r="D1203" t="s">
        <v>339</v>
      </c>
      <c r="E1203">
        <v>4</v>
      </c>
      <c r="F1203">
        <v>0</v>
      </c>
      <c r="G1203">
        <v>38</v>
      </c>
      <c r="H1203">
        <v>1</v>
      </c>
      <c r="I1203">
        <v>9.5</v>
      </c>
      <c r="J1203">
        <v>8</v>
      </c>
      <c r="K1203">
        <v>1</v>
      </c>
      <c r="L1203">
        <v>3</v>
      </c>
      <c r="M1203">
        <v>0</v>
      </c>
      <c r="N1203">
        <v>0</v>
      </c>
    </row>
    <row r="1204" spans="1:14" x14ac:dyDescent="0.45">
      <c r="A1204" t="s">
        <v>163</v>
      </c>
      <c r="B1204" t="s">
        <v>681</v>
      </c>
      <c r="C1204" t="s">
        <v>23</v>
      </c>
      <c r="D1204" t="s">
        <v>353</v>
      </c>
      <c r="E1204">
        <v>4</v>
      </c>
      <c r="F1204">
        <v>0</v>
      </c>
      <c r="G1204">
        <v>40</v>
      </c>
      <c r="H1204">
        <v>5</v>
      </c>
      <c r="I1204">
        <v>10</v>
      </c>
      <c r="J1204">
        <v>7</v>
      </c>
      <c r="K1204">
        <v>4</v>
      </c>
      <c r="L1204">
        <v>1</v>
      </c>
      <c r="M1204">
        <v>4</v>
      </c>
      <c r="N1204">
        <v>0</v>
      </c>
    </row>
    <row r="1205" spans="1:14" x14ac:dyDescent="0.45">
      <c r="A1205" t="s">
        <v>164</v>
      </c>
      <c r="B1205" t="s">
        <v>674</v>
      </c>
      <c r="C1205" t="s">
        <v>101</v>
      </c>
      <c r="D1205" t="s">
        <v>403</v>
      </c>
      <c r="E1205">
        <v>4</v>
      </c>
      <c r="F1205">
        <v>0</v>
      </c>
      <c r="G1205">
        <v>20</v>
      </c>
      <c r="H1205">
        <v>1</v>
      </c>
      <c r="I1205">
        <v>5</v>
      </c>
      <c r="J1205">
        <v>13</v>
      </c>
      <c r="K1205">
        <v>2</v>
      </c>
      <c r="L1205">
        <v>0</v>
      </c>
      <c r="M1205">
        <v>2</v>
      </c>
      <c r="N1205">
        <v>0</v>
      </c>
    </row>
    <row r="1206" spans="1:14" x14ac:dyDescent="0.45">
      <c r="A1206" t="s">
        <v>164</v>
      </c>
      <c r="B1206" t="s">
        <v>674</v>
      </c>
      <c r="C1206" t="s">
        <v>101</v>
      </c>
      <c r="D1206" t="s">
        <v>489</v>
      </c>
      <c r="E1206">
        <v>4</v>
      </c>
      <c r="F1206">
        <v>0</v>
      </c>
      <c r="G1206">
        <v>40</v>
      </c>
      <c r="H1206">
        <v>1</v>
      </c>
      <c r="I1206">
        <v>10</v>
      </c>
      <c r="J1206">
        <v>8</v>
      </c>
      <c r="K1206">
        <v>3</v>
      </c>
      <c r="L1206">
        <v>2</v>
      </c>
      <c r="M1206">
        <v>1</v>
      </c>
      <c r="N1206">
        <v>1</v>
      </c>
    </row>
    <row r="1207" spans="1:14" x14ac:dyDescent="0.45">
      <c r="A1207" t="s">
        <v>164</v>
      </c>
      <c r="B1207" t="s">
        <v>674</v>
      </c>
      <c r="C1207" t="s">
        <v>101</v>
      </c>
      <c r="D1207" t="s">
        <v>493</v>
      </c>
      <c r="E1207">
        <v>4</v>
      </c>
      <c r="F1207">
        <v>0</v>
      </c>
      <c r="G1207">
        <v>34</v>
      </c>
      <c r="H1207">
        <v>2</v>
      </c>
      <c r="I1207">
        <v>8.5</v>
      </c>
      <c r="J1207">
        <v>10</v>
      </c>
      <c r="K1207">
        <v>1</v>
      </c>
      <c r="L1207">
        <v>3</v>
      </c>
      <c r="M1207">
        <v>1</v>
      </c>
      <c r="N1207">
        <v>0</v>
      </c>
    </row>
    <row r="1208" spans="1:14" x14ac:dyDescent="0.45">
      <c r="A1208" t="s">
        <v>164</v>
      </c>
      <c r="B1208" t="s">
        <v>674</v>
      </c>
      <c r="C1208" t="s">
        <v>101</v>
      </c>
      <c r="D1208" t="s">
        <v>317</v>
      </c>
      <c r="E1208">
        <v>4</v>
      </c>
      <c r="F1208">
        <v>0</v>
      </c>
      <c r="G1208">
        <v>46</v>
      </c>
      <c r="H1208">
        <v>0</v>
      </c>
      <c r="I1208">
        <v>11.5</v>
      </c>
      <c r="J1208">
        <v>5</v>
      </c>
      <c r="K1208">
        <v>4</v>
      </c>
      <c r="L1208">
        <v>3</v>
      </c>
      <c r="M1208">
        <v>0</v>
      </c>
      <c r="N1208">
        <v>0</v>
      </c>
    </row>
    <row r="1209" spans="1:14" x14ac:dyDescent="0.45">
      <c r="A1209" t="s">
        <v>164</v>
      </c>
      <c r="B1209" t="s">
        <v>674</v>
      </c>
      <c r="C1209" t="s">
        <v>101</v>
      </c>
      <c r="D1209" t="s">
        <v>379</v>
      </c>
      <c r="E1209">
        <v>4</v>
      </c>
      <c r="F1209">
        <v>0</v>
      </c>
      <c r="G1209">
        <v>29</v>
      </c>
      <c r="H1209">
        <v>0</v>
      </c>
      <c r="I1209">
        <v>7.25</v>
      </c>
      <c r="J1209">
        <v>5</v>
      </c>
      <c r="K1209">
        <v>1</v>
      </c>
      <c r="L1209">
        <v>1</v>
      </c>
      <c r="M1209">
        <v>0</v>
      </c>
      <c r="N1209">
        <v>0</v>
      </c>
    </row>
    <row r="1210" spans="1:14" x14ac:dyDescent="0.45">
      <c r="A1210" t="s">
        <v>164</v>
      </c>
      <c r="B1210" t="s">
        <v>674</v>
      </c>
      <c r="C1210" t="s">
        <v>6</v>
      </c>
      <c r="D1210" t="s">
        <v>509</v>
      </c>
      <c r="E1210">
        <v>3</v>
      </c>
      <c r="F1210">
        <v>0</v>
      </c>
      <c r="G1210">
        <v>18</v>
      </c>
      <c r="H1210">
        <v>1</v>
      </c>
      <c r="I1210">
        <v>6</v>
      </c>
      <c r="J1210">
        <v>10</v>
      </c>
      <c r="K1210">
        <v>3</v>
      </c>
      <c r="L1210">
        <v>0</v>
      </c>
      <c r="M1210">
        <v>1</v>
      </c>
      <c r="N1210">
        <v>0</v>
      </c>
    </row>
    <row r="1211" spans="1:14" x14ac:dyDescent="0.45">
      <c r="A1211" t="s">
        <v>164</v>
      </c>
      <c r="B1211" t="s">
        <v>674</v>
      </c>
      <c r="C1211" t="s">
        <v>6</v>
      </c>
      <c r="D1211" t="s">
        <v>523</v>
      </c>
      <c r="E1211">
        <v>4</v>
      </c>
      <c r="F1211">
        <v>0</v>
      </c>
      <c r="G1211">
        <v>24</v>
      </c>
      <c r="H1211">
        <v>2</v>
      </c>
      <c r="I1211">
        <v>6</v>
      </c>
      <c r="J1211">
        <v>8</v>
      </c>
      <c r="K1211">
        <v>1</v>
      </c>
      <c r="L1211">
        <v>1</v>
      </c>
      <c r="M1211">
        <v>0</v>
      </c>
      <c r="N1211">
        <v>0</v>
      </c>
    </row>
    <row r="1212" spans="1:14" x14ac:dyDescent="0.45">
      <c r="A1212" t="s">
        <v>164</v>
      </c>
      <c r="B1212" t="s">
        <v>674</v>
      </c>
      <c r="C1212" t="s">
        <v>6</v>
      </c>
      <c r="D1212" t="s">
        <v>406</v>
      </c>
      <c r="E1212">
        <v>3.5</v>
      </c>
      <c r="F1212">
        <v>0</v>
      </c>
      <c r="G1212">
        <v>58</v>
      </c>
      <c r="H1212">
        <v>0</v>
      </c>
      <c r="I1212">
        <v>15.13</v>
      </c>
      <c r="J1212">
        <v>4</v>
      </c>
      <c r="K1212">
        <v>5</v>
      </c>
      <c r="L1212">
        <v>4</v>
      </c>
      <c r="M1212">
        <v>0</v>
      </c>
      <c r="N1212">
        <v>1</v>
      </c>
    </row>
    <row r="1213" spans="1:14" x14ac:dyDescent="0.45">
      <c r="A1213" t="s">
        <v>164</v>
      </c>
      <c r="B1213" t="s">
        <v>674</v>
      </c>
      <c r="C1213" t="s">
        <v>6</v>
      </c>
      <c r="D1213" t="s">
        <v>328</v>
      </c>
      <c r="E1213">
        <v>3</v>
      </c>
      <c r="F1213">
        <v>0</v>
      </c>
      <c r="G1213">
        <v>25</v>
      </c>
      <c r="H1213">
        <v>1</v>
      </c>
      <c r="I1213">
        <v>8.33</v>
      </c>
      <c r="J1213">
        <v>6</v>
      </c>
      <c r="K1213">
        <v>1</v>
      </c>
      <c r="L1213">
        <v>2</v>
      </c>
      <c r="M1213">
        <v>0</v>
      </c>
      <c r="N1213">
        <v>0</v>
      </c>
    </row>
    <row r="1214" spans="1:14" x14ac:dyDescent="0.45">
      <c r="A1214" t="s">
        <v>164</v>
      </c>
      <c r="B1214" t="s">
        <v>674</v>
      </c>
      <c r="C1214" t="s">
        <v>6</v>
      </c>
      <c r="D1214" t="s">
        <v>299</v>
      </c>
      <c r="E1214">
        <v>2</v>
      </c>
      <c r="F1214">
        <v>0</v>
      </c>
      <c r="G1214">
        <v>17</v>
      </c>
      <c r="H1214">
        <v>0</v>
      </c>
      <c r="I1214">
        <v>8.5</v>
      </c>
      <c r="J1214">
        <v>3</v>
      </c>
      <c r="K1214">
        <v>1</v>
      </c>
      <c r="L1214">
        <v>1</v>
      </c>
      <c r="M1214">
        <v>0</v>
      </c>
      <c r="N1214">
        <v>0</v>
      </c>
    </row>
    <row r="1215" spans="1:14" x14ac:dyDescent="0.45">
      <c r="A1215" t="s">
        <v>164</v>
      </c>
      <c r="B1215" t="s">
        <v>674</v>
      </c>
      <c r="C1215" t="s">
        <v>6</v>
      </c>
      <c r="D1215" t="s">
        <v>327</v>
      </c>
      <c r="E1215">
        <v>4</v>
      </c>
      <c r="F1215">
        <v>1</v>
      </c>
      <c r="G1215">
        <v>23</v>
      </c>
      <c r="H1215">
        <v>3</v>
      </c>
      <c r="I1215">
        <v>5.75</v>
      </c>
      <c r="J1215">
        <v>12</v>
      </c>
      <c r="K1215">
        <v>1</v>
      </c>
      <c r="L1215">
        <v>1</v>
      </c>
      <c r="M1215">
        <v>0</v>
      </c>
      <c r="N1215">
        <v>0</v>
      </c>
    </row>
    <row r="1216" spans="1:14" x14ac:dyDescent="0.45">
      <c r="A1216" t="s">
        <v>165</v>
      </c>
      <c r="B1216" t="s">
        <v>645</v>
      </c>
      <c r="C1216" t="s">
        <v>20</v>
      </c>
      <c r="D1216" t="s">
        <v>409</v>
      </c>
      <c r="E1216">
        <v>4</v>
      </c>
      <c r="F1216">
        <v>0</v>
      </c>
      <c r="G1216">
        <v>22</v>
      </c>
      <c r="H1216">
        <v>3</v>
      </c>
      <c r="I1216">
        <v>5.5</v>
      </c>
      <c r="J1216">
        <v>13</v>
      </c>
      <c r="K1216">
        <v>1</v>
      </c>
      <c r="L1216">
        <v>1</v>
      </c>
      <c r="M1216">
        <v>0</v>
      </c>
      <c r="N1216">
        <v>0</v>
      </c>
    </row>
    <row r="1217" spans="1:14" x14ac:dyDescent="0.45">
      <c r="A1217" t="s">
        <v>165</v>
      </c>
      <c r="B1217" t="s">
        <v>645</v>
      </c>
      <c r="C1217" t="s">
        <v>20</v>
      </c>
      <c r="D1217" t="s">
        <v>484</v>
      </c>
      <c r="E1217">
        <v>4</v>
      </c>
      <c r="F1217">
        <v>0</v>
      </c>
      <c r="G1217">
        <v>35</v>
      </c>
      <c r="H1217">
        <v>0</v>
      </c>
      <c r="I1217">
        <v>8.75</v>
      </c>
      <c r="J1217">
        <v>11</v>
      </c>
      <c r="K1217">
        <v>5</v>
      </c>
      <c r="L1217">
        <v>1</v>
      </c>
      <c r="M1217">
        <v>1</v>
      </c>
      <c r="N1217">
        <v>0</v>
      </c>
    </row>
    <row r="1218" spans="1:14" x14ac:dyDescent="0.45">
      <c r="A1218" t="s">
        <v>165</v>
      </c>
      <c r="B1218" t="s">
        <v>645</v>
      </c>
      <c r="C1218" t="s">
        <v>20</v>
      </c>
      <c r="D1218" t="s">
        <v>483</v>
      </c>
      <c r="E1218">
        <v>4</v>
      </c>
      <c r="F1218">
        <v>0</v>
      </c>
      <c r="G1218">
        <v>38</v>
      </c>
      <c r="H1218">
        <v>1</v>
      </c>
      <c r="I1218">
        <v>9.5</v>
      </c>
      <c r="J1218">
        <v>8</v>
      </c>
      <c r="K1218">
        <v>3</v>
      </c>
      <c r="L1218">
        <v>1</v>
      </c>
      <c r="M1218">
        <v>4</v>
      </c>
      <c r="N1218">
        <v>0</v>
      </c>
    </row>
    <row r="1219" spans="1:14" x14ac:dyDescent="0.45">
      <c r="A1219" t="s">
        <v>165</v>
      </c>
      <c r="B1219" t="s">
        <v>645</v>
      </c>
      <c r="C1219" t="s">
        <v>20</v>
      </c>
      <c r="D1219" t="s">
        <v>466</v>
      </c>
      <c r="E1219">
        <v>4</v>
      </c>
      <c r="F1219">
        <v>0</v>
      </c>
      <c r="G1219">
        <v>28</v>
      </c>
      <c r="H1219">
        <v>1</v>
      </c>
      <c r="I1219">
        <v>7</v>
      </c>
      <c r="J1219">
        <v>10</v>
      </c>
      <c r="K1219">
        <v>1</v>
      </c>
      <c r="L1219">
        <v>2</v>
      </c>
      <c r="M1219">
        <v>1</v>
      </c>
      <c r="N1219">
        <v>0</v>
      </c>
    </row>
    <row r="1220" spans="1:14" x14ac:dyDescent="0.45">
      <c r="A1220" t="s">
        <v>165</v>
      </c>
      <c r="B1220" t="s">
        <v>645</v>
      </c>
      <c r="C1220" t="s">
        <v>20</v>
      </c>
      <c r="D1220" t="s">
        <v>382</v>
      </c>
      <c r="E1220">
        <v>4</v>
      </c>
      <c r="F1220">
        <v>1</v>
      </c>
      <c r="G1220">
        <v>28</v>
      </c>
      <c r="H1220">
        <v>4</v>
      </c>
      <c r="I1220">
        <v>7</v>
      </c>
      <c r="J1220">
        <v>15</v>
      </c>
      <c r="K1220">
        <v>3</v>
      </c>
      <c r="L1220">
        <v>2</v>
      </c>
      <c r="M1220">
        <v>0</v>
      </c>
      <c r="N1220">
        <v>0</v>
      </c>
    </row>
    <row r="1221" spans="1:14" x14ac:dyDescent="0.45">
      <c r="A1221" t="s">
        <v>165</v>
      </c>
      <c r="B1221" t="s">
        <v>645</v>
      </c>
      <c r="C1221" t="s">
        <v>26</v>
      </c>
      <c r="D1221" t="s">
        <v>542</v>
      </c>
      <c r="E1221">
        <v>3.5</v>
      </c>
      <c r="F1221">
        <v>0</v>
      </c>
      <c r="G1221">
        <v>35</v>
      </c>
      <c r="H1221">
        <v>0</v>
      </c>
      <c r="I1221">
        <v>9.1300000000000008</v>
      </c>
      <c r="J1221">
        <v>9</v>
      </c>
      <c r="K1221">
        <v>5</v>
      </c>
      <c r="L1221">
        <v>1</v>
      </c>
      <c r="M1221">
        <v>0</v>
      </c>
      <c r="N1221">
        <v>0</v>
      </c>
    </row>
    <row r="1222" spans="1:14" x14ac:dyDescent="0.45">
      <c r="A1222" t="s">
        <v>165</v>
      </c>
      <c r="B1222" t="s">
        <v>645</v>
      </c>
      <c r="C1222" t="s">
        <v>26</v>
      </c>
      <c r="D1222" t="s">
        <v>341</v>
      </c>
      <c r="E1222">
        <v>4</v>
      </c>
      <c r="F1222">
        <v>0</v>
      </c>
      <c r="G1222">
        <v>29</v>
      </c>
      <c r="H1222">
        <v>1</v>
      </c>
      <c r="I1222">
        <v>7.25</v>
      </c>
      <c r="J1222">
        <v>9</v>
      </c>
      <c r="K1222">
        <v>3</v>
      </c>
      <c r="L1222">
        <v>0</v>
      </c>
      <c r="M1222">
        <v>0</v>
      </c>
      <c r="N1222">
        <v>0</v>
      </c>
    </row>
    <row r="1223" spans="1:14" x14ac:dyDescent="0.45">
      <c r="A1223" t="s">
        <v>165</v>
      </c>
      <c r="B1223" t="s">
        <v>645</v>
      </c>
      <c r="C1223" t="s">
        <v>26</v>
      </c>
      <c r="D1223" t="s">
        <v>405</v>
      </c>
      <c r="E1223">
        <v>4</v>
      </c>
      <c r="F1223">
        <v>0</v>
      </c>
      <c r="G1223">
        <v>32</v>
      </c>
      <c r="H1223">
        <v>0</v>
      </c>
      <c r="I1223">
        <v>8</v>
      </c>
      <c r="J1223">
        <v>7</v>
      </c>
      <c r="K1223">
        <v>3</v>
      </c>
      <c r="L1223">
        <v>0</v>
      </c>
      <c r="M1223">
        <v>2</v>
      </c>
      <c r="N1223">
        <v>0</v>
      </c>
    </row>
    <row r="1224" spans="1:14" x14ac:dyDescent="0.45">
      <c r="A1224" t="s">
        <v>165</v>
      </c>
      <c r="B1224" t="s">
        <v>645</v>
      </c>
      <c r="C1224" t="s">
        <v>26</v>
      </c>
      <c r="D1224" t="s">
        <v>435</v>
      </c>
      <c r="E1224">
        <v>4</v>
      </c>
      <c r="F1224">
        <v>0</v>
      </c>
      <c r="G1224">
        <v>28</v>
      </c>
      <c r="H1224">
        <v>2</v>
      </c>
      <c r="I1224">
        <v>7</v>
      </c>
      <c r="J1224">
        <v>7</v>
      </c>
      <c r="K1224">
        <v>1</v>
      </c>
      <c r="L1224">
        <v>0</v>
      </c>
      <c r="M1224">
        <v>1</v>
      </c>
      <c r="N1224">
        <v>0</v>
      </c>
    </row>
    <row r="1225" spans="1:14" x14ac:dyDescent="0.45">
      <c r="A1225" t="s">
        <v>165</v>
      </c>
      <c r="B1225" t="s">
        <v>645</v>
      </c>
      <c r="C1225" t="s">
        <v>26</v>
      </c>
      <c r="D1225" t="s">
        <v>543</v>
      </c>
      <c r="E1225">
        <v>1</v>
      </c>
      <c r="F1225">
        <v>0</v>
      </c>
      <c r="G1225">
        <v>8</v>
      </c>
      <c r="H1225">
        <v>0</v>
      </c>
      <c r="I1225">
        <v>8</v>
      </c>
      <c r="J1225">
        <v>3</v>
      </c>
      <c r="K1225">
        <v>0</v>
      </c>
      <c r="L1225">
        <v>1</v>
      </c>
      <c r="M1225">
        <v>0</v>
      </c>
      <c r="N1225">
        <v>0</v>
      </c>
    </row>
    <row r="1226" spans="1:14" x14ac:dyDescent="0.45">
      <c r="A1226" t="s">
        <v>165</v>
      </c>
      <c r="B1226" t="s">
        <v>645</v>
      </c>
      <c r="C1226" t="s">
        <v>26</v>
      </c>
      <c r="D1226" t="s">
        <v>384</v>
      </c>
      <c r="E1226">
        <v>2</v>
      </c>
      <c r="F1226">
        <v>0</v>
      </c>
      <c r="G1226">
        <v>19</v>
      </c>
      <c r="H1226">
        <v>0</v>
      </c>
      <c r="I1226">
        <v>9.5</v>
      </c>
      <c r="J1226">
        <v>3</v>
      </c>
      <c r="K1226">
        <v>0</v>
      </c>
      <c r="L1226">
        <v>2</v>
      </c>
      <c r="M1226">
        <v>0</v>
      </c>
      <c r="N1226">
        <v>0</v>
      </c>
    </row>
    <row r="1227" spans="1:14" x14ac:dyDescent="0.45">
      <c r="A1227" t="s">
        <v>167</v>
      </c>
      <c r="B1227" t="s">
        <v>655</v>
      </c>
      <c r="C1227" t="s">
        <v>10</v>
      </c>
      <c r="D1227" t="s">
        <v>396</v>
      </c>
      <c r="E1227">
        <v>4</v>
      </c>
      <c r="F1227">
        <v>0</v>
      </c>
      <c r="G1227">
        <v>48</v>
      </c>
      <c r="H1227">
        <v>0</v>
      </c>
      <c r="I1227">
        <v>12</v>
      </c>
      <c r="J1227">
        <v>8</v>
      </c>
      <c r="K1227">
        <v>7</v>
      </c>
      <c r="L1227">
        <v>2</v>
      </c>
      <c r="M1227">
        <v>1</v>
      </c>
      <c r="N1227">
        <v>0</v>
      </c>
    </row>
    <row r="1228" spans="1:14" x14ac:dyDescent="0.45">
      <c r="A1228" t="s">
        <v>167</v>
      </c>
      <c r="B1228" t="s">
        <v>655</v>
      </c>
      <c r="C1228" t="s">
        <v>10</v>
      </c>
      <c r="D1228" t="s">
        <v>326</v>
      </c>
      <c r="E1228">
        <v>4</v>
      </c>
      <c r="F1228">
        <v>0</v>
      </c>
      <c r="G1228">
        <v>27</v>
      </c>
      <c r="H1228">
        <v>1</v>
      </c>
      <c r="I1228">
        <v>6.75</v>
      </c>
      <c r="J1228">
        <v>14</v>
      </c>
      <c r="K1228">
        <v>3</v>
      </c>
      <c r="L1228">
        <v>1</v>
      </c>
      <c r="M1228">
        <v>1</v>
      </c>
      <c r="N1228">
        <v>0</v>
      </c>
    </row>
    <row r="1229" spans="1:14" x14ac:dyDescent="0.45">
      <c r="A1229" t="s">
        <v>167</v>
      </c>
      <c r="B1229" t="s">
        <v>655</v>
      </c>
      <c r="C1229" t="s">
        <v>10</v>
      </c>
      <c r="D1229" t="s">
        <v>444</v>
      </c>
      <c r="E1229">
        <v>4</v>
      </c>
      <c r="F1229">
        <v>0</v>
      </c>
      <c r="G1229">
        <v>36</v>
      </c>
      <c r="H1229">
        <v>1</v>
      </c>
      <c r="I1229">
        <v>9</v>
      </c>
      <c r="J1229">
        <v>9</v>
      </c>
      <c r="K1229">
        <v>3</v>
      </c>
      <c r="L1229">
        <v>2</v>
      </c>
      <c r="M1229">
        <v>0</v>
      </c>
      <c r="N1229">
        <v>0</v>
      </c>
    </row>
    <row r="1230" spans="1:14" x14ac:dyDescent="0.45">
      <c r="A1230" t="s">
        <v>167</v>
      </c>
      <c r="B1230" t="s">
        <v>655</v>
      </c>
      <c r="C1230" t="s">
        <v>10</v>
      </c>
      <c r="D1230" t="s">
        <v>337</v>
      </c>
      <c r="E1230">
        <v>4</v>
      </c>
      <c r="F1230">
        <v>0</v>
      </c>
      <c r="G1230">
        <v>29</v>
      </c>
      <c r="H1230">
        <v>1</v>
      </c>
      <c r="I1230">
        <v>7.25</v>
      </c>
      <c r="J1230">
        <v>7</v>
      </c>
      <c r="K1230">
        <v>3</v>
      </c>
      <c r="L1230">
        <v>0</v>
      </c>
      <c r="M1230">
        <v>1</v>
      </c>
      <c r="N1230">
        <v>0</v>
      </c>
    </row>
    <row r="1231" spans="1:14" x14ac:dyDescent="0.45">
      <c r="A1231" t="s">
        <v>167</v>
      </c>
      <c r="B1231" t="s">
        <v>655</v>
      </c>
      <c r="C1231" t="s">
        <v>10</v>
      </c>
      <c r="D1231" t="s">
        <v>500</v>
      </c>
      <c r="E1231">
        <v>4</v>
      </c>
      <c r="F1231">
        <v>0</v>
      </c>
      <c r="G1231">
        <v>46</v>
      </c>
      <c r="H1231">
        <v>1</v>
      </c>
      <c r="I1231">
        <v>11.5</v>
      </c>
      <c r="J1231">
        <v>7</v>
      </c>
      <c r="K1231">
        <v>3</v>
      </c>
      <c r="L1231">
        <v>3</v>
      </c>
      <c r="M1231">
        <v>3</v>
      </c>
      <c r="N1231">
        <v>0</v>
      </c>
    </row>
    <row r="1232" spans="1:14" x14ac:dyDescent="0.45">
      <c r="A1232" t="s">
        <v>167</v>
      </c>
      <c r="B1232" t="s">
        <v>655</v>
      </c>
      <c r="C1232" t="s">
        <v>13</v>
      </c>
      <c r="D1232" t="s">
        <v>345</v>
      </c>
      <c r="E1232">
        <v>2</v>
      </c>
      <c r="F1232">
        <v>0</v>
      </c>
      <c r="G1232">
        <v>14</v>
      </c>
      <c r="H1232">
        <v>0</v>
      </c>
      <c r="I1232">
        <v>7</v>
      </c>
      <c r="J1232">
        <v>4</v>
      </c>
      <c r="K1232">
        <v>0</v>
      </c>
      <c r="L1232">
        <v>1</v>
      </c>
      <c r="M1232">
        <v>0</v>
      </c>
      <c r="N1232">
        <v>0</v>
      </c>
    </row>
    <row r="1233" spans="1:14" x14ac:dyDescent="0.45">
      <c r="A1233" t="s">
        <v>167</v>
      </c>
      <c r="B1233" t="s">
        <v>655</v>
      </c>
      <c r="C1233" t="s">
        <v>13</v>
      </c>
      <c r="D1233" t="s">
        <v>352</v>
      </c>
      <c r="E1233">
        <v>4</v>
      </c>
      <c r="F1233">
        <v>0</v>
      </c>
      <c r="G1233">
        <v>31</v>
      </c>
      <c r="H1233">
        <v>2</v>
      </c>
      <c r="I1233">
        <v>7.75</v>
      </c>
      <c r="J1233">
        <v>10</v>
      </c>
      <c r="K1233">
        <v>1</v>
      </c>
      <c r="L1233">
        <v>2</v>
      </c>
      <c r="M1233">
        <v>0</v>
      </c>
      <c r="N1233">
        <v>0</v>
      </c>
    </row>
    <row r="1234" spans="1:14" x14ac:dyDescent="0.45">
      <c r="A1234" t="s">
        <v>167</v>
      </c>
      <c r="B1234" t="s">
        <v>655</v>
      </c>
      <c r="C1234" t="s">
        <v>13</v>
      </c>
      <c r="D1234" t="s">
        <v>325</v>
      </c>
      <c r="E1234">
        <v>4</v>
      </c>
      <c r="F1234">
        <v>0</v>
      </c>
      <c r="G1234">
        <v>28</v>
      </c>
      <c r="H1234">
        <v>3</v>
      </c>
      <c r="I1234">
        <v>7</v>
      </c>
      <c r="J1234">
        <v>12</v>
      </c>
      <c r="K1234">
        <v>3</v>
      </c>
      <c r="L1234">
        <v>1</v>
      </c>
      <c r="M1234">
        <v>1</v>
      </c>
      <c r="N1234">
        <v>0</v>
      </c>
    </row>
    <row r="1235" spans="1:14" x14ac:dyDescent="0.45">
      <c r="A1235" t="s">
        <v>167</v>
      </c>
      <c r="B1235" t="s">
        <v>655</v>
      </c>
      <c r="C1235" t="s">
        <v>13</v>
      </c>
      <c r="D1235" t="s">
        <v>347</v>
      </c>
      <c r="E1235">
        <v>2</v>
      </c>
      <c r="F1235">
        <v>0</v>
      </c>
      <c r="G1235">
        <v>19</v>
      </c>
      <c r="H1235">
        <v>0</v>
      </c>
      <c r="I1235">
        <v>9.5</v>
      </c>
      <c r="J1235">
        <v>3</v>
      </c>
      <c r="K1235">
        <v>1</v>
      </c>
      <c r="L1235">
        <v>1</v>
      </c>
      <c r="M1235">
        <v>2</v>
      </c>
      <c r="N1235">
        <v>0</v>
      </c>
    </row>
    <row r="1236" spans="1:14" x14ac:dyDescent="0.45">
      <c r="A1236" t="s">
        <v>167</v>
      </c>
      <c r="B1236" t="s">
        <v>655</v>
      </c>
      <c r="C1236" t="s">
        <v>13</v>
      </c>
      <c r="D1236" t="s">
        <v>349</v>
      </c>
      <c r="E1236">
        <v>4</v>
      </c>
      <c r="F1236">
        <v>0</v>
      </c>
      <c r="G1236">
        <v>40</v>
      </c>
      <c r="H1236">
        <v>0</v>
      </c>
      <c r="I1236">
        <v>10</v>
      </c>
      <c r="J1236">
        <v>5</v>
      </c>
      <c r="K1236">
        <v>3</v>
      </c>
      <c r="L1236">
        <v>2</v>
      </c>
      <c r="M1236">
        <v>1</v>
      </c>
      <c r="N1236">
        <v>0</v>
      </c>
    </row>
    <row r="1237" spans="1:14" x14ac:dyDescent="0.45">
      <c r="A1237" t="s">
        <v>167</v>
      </c>
      <c r="B1237" t="s">
        <v>655</v>
      </c>
      <c r="C1237" t="s">
        <v>13</v>
      </c>
      <c r="D1237" t="s">
        <v>448</v>
      </c>
      <c r="E1237">
        <v>4</v>
      </c>
      <c r="F1237">
        <v>0</v>
      </c>
      <c r="G1237">
        <v>40</v>
      </c>
      <c r="H1237">
        <v>1</v>
      </c>
      <c r="I1237">
        <v>10</v>
      </c>
      <c r="J1237">
        <v>9</v>
      </c>
      <c r="K1237">
        <v>3</v>
      </c>
      <c r="L1237">
        <v>3</v>
      </c>
      <c r="M1237">
        <v>0</v>
      </c>
      <c r="N1237">
        <v>0</v>
      </c>
    </row>
    <row r="1238" spans="1:14" x14ac:dyDescent="0.45">
      <c r="A1238" t="s">
        <v>168</v>
      </c>
      <c r="B1238" t="s">
        <v>687</v>
      </c>
      <c r="C1238" t="s">
        <v>19</v>
      </c>
      <c r="D1238" t="s">
        <v>502</v>
      </c>
      <c r="E1238">
        <v>1</v>
      </c>
      <c r="F1238">
        <v>0</v>
      </c>
      <c r="G1238">
        <v>7</v>
      </c>
      <c r="H1238">
        <v>0</v>
      </c>
      <c r="I1238">
        <v>7</v>
      </c>
      <c r="J1238">
        <v>2</v>
      </c>
      <c r="K1238">
        <v>1</v>
      </c>
      <c r="L1238">
        <v>0</v>
      </c>
      <c r="M1238">
        <v>0</v>
      </c>
      <c r="N1238">
        <v>0</v>
      </c>
    </row>
    <row r="1239" spans="1:14" x14ac:dyDescent="0.45">
      <c r="A1239" t="s">
        <v>168</v>
      </c>
      <c r="B1239" t="s">
        <v>687</v>
      </c>
      <c r="C1239" t="s">
        <v>19</v>
      </c>
      <c r="D1239" t="s">
        <v>392</v>
      </c>
      <c r="E1239">
        <v>4</v>
      </c>
      <c r="F1239">
        <v>0</v>
      </c>
      <c r="G1239">
        <v>32</v>
      </c>
      <c r="H1239">
        <v>2</v>
      </c>
      <c r="I1239">
        <v>8</v>
      </c>
      <c r="J1239">
        <v>8</v>
      </c>
      <c r="K1239">
        <v>3</v>
      </c>
      <c r="L1239">
        <v>1</v>
      </c>
      <c r="M1239">
        <v>1</v>
      </c>
      <c r="N1239">
        <v>0</v>
      </c>
    </row>
    <row r="1240" spans="1:14" x14ac:dyDescent="0.45">
      <c r="A1240" t="s">
        <v>168</v>
      </c>
      <c r="B1240" t="s">
        <v>687</v>
      </c>
      <c r="C1240" t="s">
        <v>19</v>
      </c>
      <c r="D1240" t="s">
        <v>473</v>
      </c>
      <c r="E1240">
        <v>4</v>
      </c>
      <c r="F1240">
        <v>0</v>
      </c>
      <c r="G1240">
        <v>33</v>
      </c>
      <c r="H1240">
        <v>1</v>
      </c>
      <c r="I1240">
        <v>8.25</v>
      </c>
      <c r="J1240">
        <v>8</v>
      </c>
      <c r="K1240">
        <v>2</v>
      </c>
      <c r="L1240">
        <v>2</v>
      </c>
      <c r="M1240">
        <v>0</v>
      </c>
      <c r="N1240">
        <v>0</v>
      </c>
    </row>
    <row r="1241" spans="1:14" x14ac:dyDescent="0.45">
      <c r="A1241" t="s">
        <v>168</v>
      </c>
      <c r="B1241" t="s">
        <v>687</v>
      </c>
      <c r="C1241" t="s">
        <v>19</v>
      </c>
      <c r="D1241" t="s">
        <v>369</v>
      </c>
      <c r="E1241">
        <v>4</v>
      </c>
      <c r="F1241">
        <v>0</v>
      </c>
      <c r="G1241">
        <v>24</v>
      </c>
      <c r="H1241">
        <v>0</v>
      </c>
      <c r="I1241">
        <v>6</v>
      </c>
      <c r="J1241">
        <v>9</v>
      </c>
      <c r="K1241">
        <v>1</v>
      </c>
      <c r="L1241">
        <v>0</v>
      </c>
      <c r="M1241">
        <v>2</v>
      </c>
      <c r="N1241">
        <v>0</v>
      </c>
    </row>
    <row r="1242" spans="1:14" x14ac:dyDescent="0.45">
      <c r="A1242" t="s">
        <v>168</v>
      </c>
      <c r="B1242" t="s">
        <v>687</v>
      </c>
      <c r="C1242" t="s">
        <v>19</v>
      </c>
      <c r="D1242" t="s">
        <v>544</v>
      </c>
      <c r="E1242">
        <v>3</v>
      </c>
      <c r="F1242">
        <v>0</v>
      </c>
      <c r="G1242">
        <v>54</v>
      </c>
      <c r="H1242">
        <v>0</v>
      </c>
      <c r="I1242">
        <v>18</v>
      </c>
      <c r="J1242">
        <v>3</v>
      </c>
      <c r="K1242">
        <v>9</v>
      </c>
      <c r="L1242">
        <v>2</v>
      </c>
      <c r="M1242">
        <v>1</v>
      </c>
      <c r="N1242">
        <v>0</v>
      </c>
    </row>
    <row r="1243" spans="1:14" x14ac:dyDescent="0.45">
      <c r="A1243" t="s">
        <v>168</v>
      </c>
      <c r="B1243" t="s">
        <v>687</v>
      </c>
      <c r="C1243" t="s">
        <v>19</v>
      </c>
      <c r="D1243" t="s">
        <v>427</v>
      </c>
      <c r="E1243">
        <v>4</v>
      </c>
      <c r="F1243">
        <v>0</v>
      </c>
      <c r="G1243">
        <v>46</v>
      </c>
      <c r="H1243">
        <v>1</v>
      </c>
      <c r="I1243">
        <v>11.5</v>
      </c>
      <c r="J1243">
        <v>6</v>
      </c>
      <c r="K1243">
        <v>4</v>
      </c>
      <c r="L1243">
        <v>3</v>
      </c>
      <c r="M1243">
        <v>0</v>
      </c>
      <c r="N1243">
        <v>0</v>
      </c>
    </row>
    <row r="1244" spans="1:14" x14ac:dyDescent="0.45">
      <c r="A1244" t="s">
        <v>168</v>
      </c>
      <c r="B1244" t="s">
        <v>687</v>
      </c>
      <c r="C1244" t="s">
        <v>104</v>
      </c>
      <c r="D1244" t="s">
        <v>378</v>
      </c>
      <c r="E1244">
        <v>4</v>
      </c>
      <c r="F1244">
        <v>0</v>
      </c>
      <c r="G1244">
        <v>34</v>
      </c>
      <c r="H1244">
        <v>1</v>
      </c>
      <c r="I1244">
        <v>8.5</v>
      </c>
      <c r="J1244">
        <v>7</v>
      </c>
      <c r="K1244">
        <v>2</v>
      </c>
      <c r="L1244">
        <v>1</v>
      </c>
      <c r="M1244">
        <v>2</v>
      </c>
      <c r="N1244">
        <v>0</v>
      </c>
    </row>
    <row r="1245" spans="1:14" x14ac:dyDescent="0.45">
      <c r="A1245" t="s">
        <v>168</v>
      </c>
      <c r="B1245" t="s">
        <v>687</v>
      </c>
      <c r="C1245" t="s">
        <v>104</v>
      </c>
      <c r="D1245" t="s">
        <v>491</v>
      </c>
      <c r="E1245">
        <v>4</v>
      </c>
      <c r="F1245">
        <v>0</v>
      </c>
      <c r="G1245">
        <v>48</v>
      </c>
      <c r="H1245">
        <v>1</v>
      </c>
      <c r="I1245">
        <v>12</v>
      </c>
      <c r="J1245">
        <v>11</v>
      </c>
      <c r="K1245">
        <v>3</v>
      </c>
      <c r="L1245">
        <v>4</v>
      </c>
      <c r="M1245">
        <v>1</v>
      </c>
      <c r="N1245">
        <v>0</v>
      </c>
    </row>
    <row r="1246" spans="1:14" x14ac:dyDescent="0.45">
      <c r="A1246" t="s">
        <v>168</v>
      </c>
      <c r="B1246" t="s">
        <v>687</v>
      </c>
      <c r="C1246" t="s">
        <v>104</v>
      </c>
      <c r="D1246" t="s">
        <v>340</v>
      </c>
      <c r="E1246">
        <v>4</v>
      </c>
      <c r="F1246">
        <v>0</v>
      </c>
      <c r="G1246">
        <v>30</v>
      </c>
      <c r="H1246">
        <v>3</v>
      </c>
      <c r="I1246">
        <v>7.5</v>
      </c>
      <c r="J1246">
        <v>14</v>
      </c>
      <c r="K1246">
        <v>6</v>
      </c>
      <c r="L1246">
        <v>0</v>
      </c>
      <c r="M1246">
        <v>1</v>
      </c>
      <c r="N1246">
        <v>0</v>
      </c>
    </row>
    <row r="1247" spans="1:14" x14ac:dyDescent="0.45">
      <c r="A1247" t="s">
        <v>168</v>
      </c>
      <c r="B1247" t="s">
        <v>687</v>
      </c>
      <c r="C1247" t="s">
        <v>104</v>
      </c>
      <c r="D1247" t="s">
        <v>407</v>
      </c>
      <c r="E1247">
        <v>4</v>
      </c>
      <c r="F1247">
        <v>0</v>
      </c>
      <c r="G1247">
        <v>34</v>
      </c>
      <c r="H1247">
        <v>1</v>
      </c>
      <c r="I1247">
        <v>8.5</v>
      </c>
      <c r="J1247">
        <v>4</v>
      </c>
      <c r="K1247">
        <v>4</v>
      </c>
      <c r="L1247">
        <v>0</v>
      </c>
      <c r="M1247">
        <v>1</v>
      </c>
      <c r="N1247">
        <v>0</v>
      </c>
    </row>
    <row r="1248" spans="1:14" x14ac:dyDescent="0.45">
      <c r="A1248" t="s">
        <v>168</v>
      </c>
      <c r="B1248" t="s">
        <v>687</v>
      </c>
      <c r="C1248" t="s">
        <v>104</v>
      </c>
      <c r="D1248" t="s">
        <v>331</v>
      </c>
      <c r="E1248">
        <v>2</v>
      </c>
      <c r="F1248">
        <v>0</v>
      </c>
      <c r="G1248">
        <v>13</v>
      </c>
      <c r="H1248">
        <v>1</v>
      </c>
      <c r="I1248">
        <v>6.5</v>
      </c>
      <c r="J1248">
        <v>4</v>
      </c>
      <c r="K1248">
        <v>1</v>
      </c>
      <c r="L1248">
        <v>0</v>
      </c>
      <c r="M1248">
        <v>0</v>
      </c>
      <c r="N1248">
        <v>0</v>
      </c>
    </row>
    <row r="1249" spans="1:14" x14ac:dyDescent="0.45">
      <c r="A1249" t="s">
        <v>168</v>
      </c>
      <c r="B1249" t="s">
        <v>687</v>
      </c>
      <c r="C1249" t="s">
        <v>104</v>
      </c>
      <c r="D1249" t="s">
        <v>366</v>
      </c>
      <c r="E1249">
        <v>2</v>
      </c>
      <c r="F1249">
        <v>0</v>
      </c>
      <c r="G1249">
        <v>16</v>
      </c>
      <c r="H1249">
        <v>0</v>
      </c>
      <c r="I1249">
        <v>8</v>
      </c>
      <c r="J1249">
        <v>2</v>
      </c>
      <c r="K1249">
        <v>2</v>
      </c>
      <c r="L1249">
        <v>0</v>
      </c>
      <c r="M1249">
        <v>0</v>
      </c>
      <c r="N1249">
        <v>0</v>
      </c>
    </row>
    <row r="1250" spans="1:14" x14ac:dyDescent="0.45">
      <c r="A1250" t="s">
        <v>169</v>
      </c>
      <c r="B1250" t="s">
        <v>662</v>
      </c>
      <c r="C1250" t="s">
        <v>20</v>
      </c>
      <c r="D1250" t="s">
        <v>409</v>
      </c>
      <c r="E1250">
        <v>4</v>
      </c>
      <c r="F1250">
        <v>0</v>
      </c>
      <c r="G1250">
        <v>37</v>
      </c>
      <c r="H1250">
        <v>1</v>
      </c>
      <c r="I1250">
        <v>9.25</v>
      </c>
      <c r="J1250">
        <v>13</v>
      </c>
      <c r="K1250">
        <v>4</v>
      </c>
      <c r="L1250">
        <v>2</v>
      </c>
      <c r="M1250">
        <v>1</v>
      </c>
      <c r="N1250">
        <v>0</v>
      </c>
    </row>
    <row r="1251" spans="1:14" x14ac:dyDescent="0.45">
      <c r="A1251" t="s">
        <v>169</v>
      </c>
      <c r="B1251" t="s">
        <v>662</v>
      </c>
      <c r="C1251" t="s">
        <v>20</v>
      </c>
      <c r="D1251" t="s">
        <v>484</v>
      </c>
      <c r="E1251">
        <v>4</v>
      </c>
      <c r="F1251">
        <v>0</v>
      </c>
      <c r="G1251">
        <v>26</v>
      </c>
      <c r="H1251">
        <v>1</v>
      </c>
      <c r="I1251">
        <v>6.5</v>
      </c>
      <c r="J1251">
        <v>12</v>
      </c>
      <c r="K1251">
        <v>2</v>
      </c>
      <c r="L1251">
        <v>1</v>
      </c>
      <c r="M1251">
        <v>1</v>
      </c>
      <c r="N1251">
        <v>0</v>
      </c>
    </row>
    <row r="1252" spans="1:14" x14ac:dyDescent="0.45">
      <c r="A1252" t="s">
        <v>169</v>
      </c>
      <c r="B1252" t="s">
        <v>662</v>
      </c>
      <c r="C1252" t="s">
        <v>20</v>
      </c>
      <c r="D1252" t="s">
        <v>483</v>
      </c>
      <c r="E1252">
        <v>4</v>
      </c>
      <c r="F1252">
        <v>0</v>
      </c>
      <c r="G1252">
        <v>37</v>
      </c>
      <c r="H1252">
        <v>3</v>
      </c>
      <c r="I1252">
        <v>9.25</v>
      </c>
      <c r="J1252">
        <v>11</v>
      </c>
      <c r="K1252">
        <v>4</v>
      </c>
      <c r="L1252">
        <v>2</v>
      </c>
      <c r="M1252">
        <v>0</v>
      </c>
      <c r="N1252">
        <v>0</v>
      </c>
    </row>
    <row r="1253" spans="1:14" x14ac:dyDescent="0.45">
      <c r="A1253" t="s">
        <v>169</v>
      </c>
      <c r="B1253" t="s">
        <v>662</v>
      </c>
      <c r="C1253" t="s">
        <v>20</v>
      </c>
      <c r="D1253" t="s">
        <v>382</v>
      </c>
      <c r="E1253">
        <v>4</v>
      </c>
      <c r="F1253">
        <v>0</v>
      </c>
      <c r="G1253">
        <v>27</v>
      </c>
      <c r="H1253">
        <v>2</v>
      </c>
      <c r="I1253">
        <v>6.75</v>
      </c>
      <c r="J1253">
        <v>15</v>
      </c>
      <c r="K1253">
        <v>1</v>
      </c>
      <c r="L1253">
        <v>2</v>
      </c>
      <c r="M1253">
        <v>0</v>
      </c>
      <c r="N1253">
        <v>0</v>
      </c>
    </row>
    <row r="1254" spans="1:14" x14ac:dyDescent="0.45">
      <c r="A1254" t="s">
        <v>169</v>
      </c>
      <c r="B1254" t="s">
        <v>662</v>
      </c>
      <c r="C1254" t="s">
        <v>20</v>
      </c>
      <c r="D1254" t="s">
        <v>522</v>
      </c>
      <c r="E1254">
        <v>1</v>
      </c>
      <c r="F1254">
        <v>0</v>
      </c>
      <c r="G1254">
        <v>10</v>
      </c>
      <c r="H1254">
        <v>0</v>
      </c>
      <c r="I1254">
        <v>10</v>
      </c>
      <c r="J1254">
        <v>1</v>
      </c>
      <c r="K1254">
        <v>1</v>
      </c>
      <c r="L1254">
        <v>0</v>
      </c>
      <c r="M1254">
        <v>1</v>
      </c>
      <c r="N1254">
        <v>0</v>
      </c>
    </row>
    <row r="1255" spans="1:14" x14ac:dyDescent="0.45">
      <c r="A1255" t="s">
        <v>169</v>
      </c>
      <c r="B1255" t="s">
        <v>662</v>
      </c>
      <c r="C1255" t="s">
        <v>20</v>
      </c>
      <c r="D1255" t="s">
        <v>466</v>
      </c>
      <c r="E1255">
        <v>3</v>
      </c>
      <c r="F1255">
        <v>0</v>
      </c>
      <c r="G1255">
        <v>32</v>
      </c>
      <c r="H1255">
        <v>1</v>
      </c>
      <c r="I1255">
        <v>10.66</v>
      </c>
      <c r="J1255">
        <v>6</v>
      </c>
      <c r="K1255">
        <v>3</v>
      </c>
      <c r="L1255">
        <v>2</v>
      </c>
      <c r="M1255">
        <v>0</v>
      </c>
      <c r="N1255">
        <v>0</v>
      </c>
    </row>
    <row r="1256" spans="1:14" x14ac:dyDescent="0.45">
      <c r="A1256" t="s">
        <v>169</v>
      </c>
      <c r="B1256" t="s">
        <v>662</v>
      </c>
      <c r="C1256" t="s">
        <v>7</v>
      </c>
      <c r="D1256" t="s">
        <v>515</v>
      </c>
      <c r="E1256">
        <v>4</v>
      </c>
      <c r="F1256">
        <v>0</v>
      </c>
      <c r="G1256">
        <v>31</v>
      </c>
      <c r="H1256">
        <v>0</v>
      </c>
      <c r="I1256">
        <v>7.75</v>
      </c>
      <c r="J1256">
        <v>10</v>
      </c>
      <c r="K1256">
        <v>5</v>
      </c>
      <c r="L1256">
        <v>0</v>
      </c>
      <c r="M1256">
        <v>1</v>
      </c>
      <c r="N1256">
        <v>0</v>
      </c>
    </row>
    <row r="1257" spans="1:14" x14ac:dyDescent="0.45">
      <c r="A1257" t="s">
        <v>169</v>
      </c>
      <c r="B1257" t="s">
        <v>662</v>
      </c>
      <c r="C1257" t="s">
        <v>7</v>
      </c>
      <c r="D1257" t="s">
        <v>465</v>
      </c>
      <c r="E1257">
        <v>3.5</v>
      </c>
      <c r="F1257">
        <v>0</v>
      </c>
      <c r="G1257">
        <v>40</v>
      </c>
      <c r="H1257">
        <v>1</v>
      </c>
      <c r="I1257">
        <v>10.43</v>
      </c>
      <c r="J1257">
        <v>8</v>
      </c>
      <c r="K1257">
        <v>3</v>
      </c>
      <c r="L1257">
        <v>2</v>
      </c>
      <c r="M1257">
        <v>2</v>
      </c>
      <c r="N1257">
        <v>0</v>
      </c>
    </row>
    <row r="1258" spans="1:14" x14ac:dyDescent="0.45">
      <c r="A1258" t="s">
        <v>169</v>
      </c>
      <c r="B1258" t="s">
        <v>662</v>
      </c>
      <c r="C1258" t="s">
        <v>7</v>
      </c>
      <c r="D1258" t="s">
        <v>440</v>
      </c>
      <c r="E1258">
        <v>2</v>
      </c>
      <c r="F1258">
        <v>0</v>
      </c>
      <c r="G1258">
        <v>20</v>
      </c>
      <c r="H1258">
        <v>2</v>
      </c>
      <c r="I1258">
        <v>10</v>
      </c>
      <c r="J1258">
        <v>6</v>
      </c>
      <c r="K1258">
        <v>1</v>
      </c>
      <c r="L1258">
        <v>2</v>
      </c>
      <c r="M1258">
        <v>1</v>
      </c>
      <c r="N1258">
        <v>0</v>
      </c>
    </row>
    <row r="1259" spans="1:14" x14ac:dyDescent="0.45">
      <c r="A1259" t="s">
        <v>169</v>
      </c>
      <c r="B1259" t="s">
        <v>662</v>
      </c>
      <c r="C1259" t="s">
        <v>7</v>
      </c>
      <c r="D1259" t="s">
        <v>545</v>
      </c>
      <c r="E1259">
        <v>1</v>
      </c>
      <c r="F1259">
        <v>0</v>
      </c>
      <c r="G1259">
        <v>13</v>
      </c>
      <c r="H1259">
        <v>0</v>
      </c>
      <c r="I1259">
        <v>13</v>
      </c>
      <c r="J1259">
        <v>1</v>
      </c>
      <c r="K1259">
        <v>1</v>
      </c>
      <c r="L1259">
        <v>1</v>
      </c>
      <c r="M1259">
        <v>0</v>
      </c>
      <c r="N1259">
        <v>0</v>
      </c>
    </row>
    <row r="1260" spans="1:14" x14ac:dyDescent="0.45">
      <c r="A1260" t="s">
        <v>169</v>
      </c>
      <c r="B1260" t="s">
        <v>662</v>
      </c>
      <c r="C1260" t="s">
        <v>7</v>
      </c>
      <c r="D1260" t="s">
        <v>322</v>
      </c>
      <c r="E1260">
        <v>3</v>
      </c>
      <c r="F1260">
        <v>0</v>
      </c>
      <c r="G1260">
        <v>45</v>
      </c>
      <c r="H1260">
        <v>0</v>
      </c>
      <c r="I1260">
        <v>15</v>
      </c>
      <c r="J1260">
        <v>2</v>
      </c>
      <c r="K1260">
        <v>3</v>
      </c>
      <c r="L1260">
        <v>4</v>
      </c>
      <c r="M1260">
        <v>0</v>
      </c>
      <c r="N1260">
        <v>0</v>
      </c>
    </row>
    <row r="1261" spans="1:14" x14ac:dyDescent="0.45">
      <c r="A1261" t="s">
        <v>169</v>
      </c>
      <c r="B1261" t="s">
        <v>662</v>
      </c>
      <c r="C1261" t="s">
        <v>7</v>
      </c>
      <c r="D1261" t="s">
        <v>308</v>
      </c>
      <c r="E1261">
        <v>4</v>
      </c>
      <c r="F1261">
        <v>0</v>
      </c>
      <c r="G1261">
        <v>23</v>
      </c>
      <c r="H1261">
        <v>0</v>
      </c>
      <c r="I1261">
        <v>5.75</v>
      </c>
      <c r="J1261">
        <v>8</v>
      </c>
      <c r="K1261">
        <v>0</v>
      </c>
      <c r="L1261">
        <v>1</v>
      </c>
      <c r="M1261">
        <v>0</v>
      </c>
      <c r="N1261">
        <v>0</v>
      </c>
    </row>
    <row r="1262" spans="1:14" x14ac:dyDescent="0.45">
      <c r="A1262" t="s">
        <v>171</v>
      </c>
      <c r="B1262" t="s">
        <v>690</v>
      </c>
      <c r="C1262" t="s">
        <v>23</v>
      </c>
      <c r="D1262" t="s">
        <v>365</v>
      </c>
      <c r="E1262">
        <v>3</v>
      </c>
      <c r="F1262">
        <v>0</v>
      </c>
      <c r="G1262">
        <v>29</v>
      </c>
      <c r="H1262">
        <v>0</v>
      </c>
      <c r="I1262">
        <v>9.66</v>
      </c>
      <c r="J1262">
        <v>5</v>
      </c>
      <c r="K1262">
        <v>5</v>
      </c>
      <c r="L1262">
        <v>0</v>
      </c>
      <c r="M1262">
        <v>0</v>
      </c>
      <c r="N1262">
        <v>0</v>
      </c>
    </row>
    <row r="1263" spans="1:14" x14ac:dyDescent="0.45">
      <c r="A1263" t="s">
        <v>171</v>
      </c>
      <c r="B1263" t="s">
        <v>690</v>
      </c>
      <c r="C1263" t="s">
        <v>23</v>
      </c>
      <c r="D1263" t="s">
        <v>441</v>
      </c>
      <c r="E1263">
        <v>4</v>
      </c>
      <c r="F1263">
        <v>0</v>
      </c>
      <c r="G1263">
        <v>35</v>
      </c>
      <c r="H1263">
        <v>0</v>
      </c>
      <c r="I1263">
        <v>8.75</v>
      </c>
      <c r="J1263">
        <v>11</v>
      </c>
      <c r="K1263">
        <v>5</v>
      </c>
      <c r="L1263">
        <v>1</v>
      </c>
      <c r="M1263">
        <v>1</v>
      </c>
      <c r="N1263">
        <v>1</v>
      </c>
    </row>
    <row r="1264" spans="1:14" x14ac:dyDescent="0.45">
      <c r="A1264" t="s">
        <v>171</v>
      </c>
      <c r="B1264" t="s">
        <v>690</v>
      </c>
      <c r="C1264" t="s">
        <v>23</v>
      </c>
      <c r="D1264" t="s">
        <v>527</v>
      </c>
      <c r="E1264">
        <v>4</v>
      </c>
      <c r="F1264">
        <v>0</v>
      </c>
      <c r="G1264">
        <v>51</v>
      </c>
      <c r="H1264">
        <v>1</v>
      </c>
      <c r="I1264">
        <v>12.75</v>
      </c>
      <c r="J1264">
        <v>6</v>
      </c>
      <c r="K1264">
        <v>9</v>
      </c>
      <c r="L1264">
        <v>1</v>
      </c>
      <c r="M1264">
        <v>0</v>
      </c>
      <c r="N1264">
        <v>0</v>
      </c>
    </row>
    <row r="1265" spans="1:14" x14ac:dyDescent="0.45">
      <c r="A1265" t="s">
        <v>171</v>
      </c>
      <c r="B1265" t="s">
        <v>690</v>
      </c>
      <c r="C1265" t="s">
        <v>23</v>
      </c>
      <c r="D1265" t="s">
        <v>353</v>
      </c>
      <c r="E1265">
        <v>4</v>
      </c>
      <c r="F1265">
        <v>0</v>
      </c>
      <c r="G1265">
        <v>32</v>
      </c>
      <c r="H1265">
        <v>1</v>
      </c>
      <c r="I1265">
        <v>8</v>
      </c>
      <c r="J1265">
        <v>6</v>
      </c>
      <c r="K1265">
        <v>1</v>
      </c>
      <c r="L1265">
        <v>2</v>
      </c>
      <c r="M1265">
        <v>1</v>
      </c>
      <c r="N1265">
        <v>0</v>
      </c>
    </row>
    <row r="1266" spans="1:14" x14ac:dyDescent="0.45">
      <c r="A1266" t="s">
        <v>171</v>
      </c>
      <c r="B1266" t="s">
        <v>690</v>
      </c>
      <c r="C1266" t="s">
        <v>23</v>
      </c>
      <c r="D1266" t="s">
        <v>431</v>
      </c>
      <c r="E1266">
        <v>1</v>
      </c>
      <c r="F1266">
        <v>0</v>
      </c>
      <c r="G1266">
        <v>12</v>
      </c>
      <c r="H1266">
        <v>1</v>
      </c>
      <c r="I1266">
        <v>12</v>
      </c>
      <c r="J1266">
        <v>2</v>
      </c>
      <c r="K1266">
        <v>1</v>
      </c>
      <c r="L1266">
        <v>1</v>
      </c>
      <c r="M1266">
        <v>0</v>
      </c>
      <c r="N1266">
        <v>0</v>
      </c>
    </row>
    <row r="1267" spans="1:14" x14ac:dyDescent="0.45">
      <c r="A1267" t="s">
        <v>171</v>
      </c>
      <c r="B1267" t="s">
        <v>690</v>
      </c>
      <c r="C1267" t="s">
        <v>23</v>
      </c>
      <c r="D1267" t="s">
        <v>339</v>
      </c>
      <c r="E1267">
        <v>4</v>
      </c>
      <c r="F1267">
        <v>0</v>
      </c>
      <c r="G1267">
        <v>33</v>
      </c>
      <c r="H1267">
        <v>0</v>
      </c>
      <c r="I1267">
        <v>8.25</v>
      </c>
      <c r="J1267">
        <v>9</v>
      </c>
      <c r="K1267">
        <v>1</v>
      </c>
      <c r="L1267">
        <v>2</v>
      </c>
      <c r="M1267">
        <v>1</v>
      </c>
      <c r="N1267">
        <v>0</v>
      </c>
    </row>
    <row r="1268" spans="1:14" x14ac:dyDescent="0.45">
      <c r="A1268" t="s">
        <v>171</v>
      </c>
      <c r="B1268" t="s">
        <v>690</v>
      </c>
      <c r="C1268" t="s">
        <v>101</v>
      </c>
      <c r="D1268" t="s">
        <v>403</v>
      </c>
      <c r="E1268">
        <v>4</v>
      </c>
      <c r="F1268">
        <v>0</v>
      </c>
      <c r="G1268">
        <v>39</v>
      </c>
      <c r="H1268">
        <v>1</v>
      </c>
      <c r="I1268">
        <v>9.75</v>
      </c>
      <c r="J1268">
        <v>6</v>
      </c>
      <c r="K1268">
        <v>4</v>
      </c>
      <c r="L1268">
        <v>1</v>
      </c>
      <c r="M1268">
        <v>0</v>
      </c>
      <c r="N1268">
        <v>0</v>
      </c>
    </row>
    <row r="1269" spans="1:14" x14ac:dyDescent="0.45">
      <c r="A1269" t="s">
        <v>171</v>
      </c>
      <c r="B1269" t="s">
        <v>690</v>
      </c>
      <c r="C1269" t="s">
        <v>101</v>
      </c>
      <c r="D1269" t="s">
        <v>489</v>
      </c>
      <c r="E1269">
        <v>4</v>
      </c>
      <c r="F1269">
        <v>0</v>
      </c>
      <c r="G1269">
        <v>40</v>
      </c>
      <c r="H1269">
        <v>3</v>
      </c>
      <c r="I1269">
        <v>10</v>
      </c>
      <c r="J1269">
        <v>13</v>
      </c>
      <c r="K1269">
        <v>6</v>
      </c>
      <c r="L1269">
        <v>2</v>
      </c>
      <c r="M1269">
        <v>0</v>
      </c>
      <c r="N1269">
        <v>0</v>
      </c>
    </row>
    <row r="1270" spans="1:14" x14ac:dyDescent="0.45">
      <c r="A1270" t="s">
        <v>171</v>
      </c>
      <c r="B1270" t="s">
        <v>690</v>
      </c>
      <c r="C1270" t="s">
        <v>101</v>
      </c>
      <c r="D1270" t="s">
        <v>379</v>
      </c>
      <c r="E1270">
        <v>4</v>
      </c>
      <c r="F1270">
        <v>0</v>
      </c>
      <c r="G1270">
        <v>24</v>
      </c>
      <c r="H1270">
        <v>0</v>
      </c>
      <c r="I1270">
        <v>6</v>
      </c>
      <c r="J1270">
        <v>11</v>
      </c>
      <c r="K1270">
        <v>1</v>
      </c>
      <c r="L1270">
        <v>1</v>
      </c>
      <c r="M1270">
        <v>0</v>
      </c>
      <c r="N1270">
        <v>0</v>
      </c>
    </row>
    <row r="1271" spans="1:14" x14ac:dyDescent="0.45">
      <c r="A1271" t="s">
        <v>171</v>
      </c>
      <c r="B1271" t="s">
        <v>690</v>
      </c>
      <c r="C1271" t="s">
        <v>101</v>
      </c>
      <c r="D1271" t="s">
        <v>317</v>
      </c>
      <c r="E1271">
        <v>4</v>
      </c>
      <c r="F1271">
        <v>0</v>
      </c>
      <c r="G1271">
        <v>23</v>
      </c>
      <c r="H1271">
        <v>3</v>
      </c>
      <c r="I1271">
        <v>5.75</v>
      </c>
      <c r="J1271">
        <v>12</v>
      </c>
      <c r="K1271">
        <v>0</v>
      </c>
      <c r="L1271">
        <v>2</v>
      </c>
      <c r="M1271">
        <v>0</v>
      </c>
      <c r="N1271">
        <v>0</v>
      </c>
    </row>
    <row r="1272" spans="1:14" x14ac:dyDescent="0.45">
      <c r="A1272" t="s">
        <v>171</v>
      </c>
      <c r="B1272" t="s">
        <v>690</v>
      </c>
      <c r="C1272" t="s">
        <v>101</v>
      </c>
      <c r="D1272" t="s">
        <v>390</v>
      </c>
      <c r="E1272">
        <v>1</v>
      </c>
      <c r="F1272">
        <v>0</v>
      </c>
      <c r="G1272">
        <v>9</v>
      </c>
      <c r="H1272">
        <v>0</v>
      </c>
      <c r="I1272">
        <v>9</v>
      </c>
      <c r="J1272">
        <v>2</v>
      </c>
      <c r="K1272">
        <v>0</v>
      </c>
      <c r="L1272">
        <v>1</v>
      </c>
      <c r="M1272">
        <v>0</v>
      </c>
      <c r="N1272">
        <v>0</v>
      </c>
    </row>
    <row r="1273" spans="1:14" x14ac:dyDescent="0.45">
      <c r="A1273" t="s">
        <v>171</v>
      </c>
      <c r="B1273" t="s">
        <v>690</v>
      </c>
      <c r="C1273" t="s">
        <v>101</v>
      </c>
      <c r="D1273" t="s">
        <v>361</v>
      </c>
      <c r="E1273">
        <v>2.2999999999999998</v>
      </c>
      <c r="F1273">
        <v>0</v>
      </c>
      <c r="G1273">
        <v>18</v>
      </c>
      <c r="H1273">
        <v>1</v>
      </c>
      <c r="I1273">
        <v>7.2</v>
      </c>
      <c r="J1273">
        <v>4</v>
      </c>
      <c r="K1273">
        <v>1</v>
      </c>
      <c r="L1273">
        <v>0</v>
      </c>
      <c r="M1273">
        <v>2</v>
      </c>
      <c r="N1273">
        <v>0</v>
      </c>
    </row>
    <row r="1274" spans="1:14" x14ac:dyDescent="0.45">
      <c r="A1274" t="s">
        <v>171</v>
      </c>
      <c r="B1274" t="s">
        <v>690</v>
      </c>
      <c r="C1274" t="s">
        <v>101</v>
      </c>
      <c r="D1274" t="s">
        <v>460</v>
      </c>
      <c r="E1274">
        <v>0.3</v>
      </c>
      <c r="F1274">
        <v>0</v>
      </c>
      <c r="G1274">
        <v>1</v>
      </c>
      <c r="H1274">
        <v>0</v>
      </c>
      <c r="I1274">
        <v>2</v>
      </c>
      <c r="J1274">
        <v>2</v>
      </c>
      <c r="K1274">
        <v>0</v>
      </c>
      <c r="L1274">
        <v>0</v>
      </c>
      <c r="M1274">
        <v>0</v>
      </c>
      <c r="N1274">
        <v>0</v>
      </c>
    </row>
    <row r="1275" spans="1:14" x14ac:dyDescent="0.45">
      <c r="A1275" t="s">
        <v>173</v>
      </c>
      <c r="B1275" t="s">
        <v>641</v>
      </c>
      <c r="C1275" t="s">
        <v>19</v>
      </c>
      <c r="D1275" t="s">
        <v>546</v>
      </c>
      <c r="E1275">
        <v>4</v>
      </c>
      <c r="F1275">
        <v>0</v>
      </c>
      <c r="G1275">
        <v>47</v>
      </c>
      <c r="H1275">
        <v>2</v>
      </c>
      <c r="I1275">
        <v>11.75</v>
      </c>
      <c r="J1275">
        <v>7</v>
      </c>
      <c r="K1275">
        <v>3</v>
      </c>
      <c r="L1275">
        <v>3</v>
      </c>
      <c r="M1275">
        <v>2</v>
      </c>
      <c r="N1275">
        <v>0</v>
      </c>
    </row>
    <row r="1276" spans="1:14" x14ac:dyDescent="0.45">
      <c r="A1276" t="s">
        <v>173</v>
      </c>
      <c r="B1276" t="s">
        <v>641</v>
      </c>
      <c r="C1276" t="s">
        <v>19</v>
      </c>
      <c r="D1276" t="s">
        <v>392</v>
      </c>
      <c r="E1276">
        <v>4</v>
      </c>
      <c r="F1276">
        <v>0</v>
      </c>
      <c r="G1276">
        <v>44</v>
      </c>
      <c r="H1276">
        <v>1</v>
      </c>
      <c r="I1276">
        <v>11</v>
      </c>
      <c r="J1276">
        <v>8</v>
      </c>
      <c r="K1276">
        <v>3</v>
      </c>
      <c r="L1276">
        <v>3</v>
      </c>
      <c r="M1276">
        <v>1</v>
      </c>
      <c r="N1276">
        <v>0</v>
      </c>
    </row>
    <row r="1277" spans="1:14" x14ac:dyDescent="0.45">
      <c r="A1277" t="s">
        <v>173</v>
      </c>
      <c r="B1277" t="s">
        <v>641</v>
      </c>
      <c r="C1277" t="s">
        <v>19</v>
      </c>
      <c r="D1277" t="s">
        <v>369</v>
      </c>
      <c r="E1277">
        <v>4</v>
      </c>
      <c r="F1277">
        <v>0</v>
      </c>
      <c r="G1277">
        <v>28</v>
      </c>
      <c r="H1277">
        <v>1</v>
      </c>
      <c r="I1277">
        <v>7</v>
      </c>
      <c r="J1277">
        <v>6</v>
      </c>
      <c r="K1277">
        <v>2</v>
      </c>
      <c r="L1277">
        <v>0</v>
      </c>
      <c r="M1277">
        <v>2</v>
      </c>
      <c r="N1277">
        <v>0</v>
      </c>
    </row>
    <row r="1278" spans="1:14" x14ac:dyDescent="0.45">
      <c r="A1278" t="s">
        <v>173</v>
      </c>
      <c r="B1278" t="s">
        <v>641</v>
      </c>
      <c r="C1278" t="s">
        <v>19</v>
      </c>
      <c r="D1278" t="s">
        <v>473</v>
      </c>
      <c r="E1278">
        <v>4</v>
      </c>
      <c r="F1278">
        <v>0</v>
      </c>
      <c r="G1278">
        <v>34</v>
      </c>
      <c r="H1278">
        <v>1</v>
      </c>
      <c r="I1278">
        <v>8.5</v>
      </c>
      <c r="J1278">
        <v>7</v>
      </c>
      <c r="K1278">
        <v>2</v>
      </c>
      <c r="L1278">
        <v>2</v>
      </c>
      <c r="M1278">
        <v>0</v>
      </c>
      <c r="N1278">
        <v>0</v>
      </c>
    </row>
    <row r="1279" spans="1:14" x14ac:dyDescent="0.45">
      <c r="A1279" t="s">
        <v>173</v>
      </c>
      <c r="B1279" t="s">
        <v>641</v>
      </c>
      <c r="C1279" t="s">
        <v>19</v>
      </c>
      <c r="D1279" t="s">
        <v>544</v>
      </c>
      <c r="E1279">
        <v>4</v>
      </c>
      <c r="F1279">
        <v>0</v>
      </c>
      <c r="G1279">
        <v>37</v>
      </c>
      <c r="H1279">
        <v>0</v>
      </c>
      <c r="I1279">
        <v>9.25</v>
      </c>
      <c r="J1279">
        <v>6</v>
      </c>
      <c r="K1279">
        <v>4</v>
      </c>
      <c r="L1279">
        <v>1</v>
      </c>
      <c r="M1279">
        <v>2</v>
      </c>
      <c r="N1279">
        <v>0</v>
      </c>
    </row>
    <row r="1280" spans="1:14" x14ac:dyDescent="0.45">
      <c r="A1280" t="s">
        <v>173</v>
      </c>
      <c r="B1280" t="s">
        <v>641</v>
      </c>
      <c r="C1280" t="s">
        <v>26</v>
      </c>
      <c r="D1280" t="s">
        <v>542</v>
      </c>
      <c r="E1280">
        <v>4</v>
      </c>
      <c r="F1280">
        <v>0</v>
      </c>
      <c r="G1280">
        <v>43</v>
      </c>
      <c r="H1280">
        <v>1</v>
      </c>
      <c r="I1280">
        <v>10.75</v>
      </c>
      <c r="J1280">
        <v>9</v>
      </c>
      <c r="K1280">
        <v>2</v>
      </c>
      <c r="L1280">
        <v>4</v>
      </c>
      <c r="M1280">
        <v>2</v>
      </c>
      <c r="N1280">
        <v>0</v>
      </c>
    </row>
    <row r="1281" spans="1:14" x14ac:dyDescent="0.45">
      <c r="A1281" t="s">
        <v>173</v>
      </c>
      <c r="B1281" t="s">
        <v>641</v>
      </c>
      <c r="C1281" t="s">
        <v>26</v>
      </c>
      <c r="D1281" t="s">
        <v>341</v>
      </c>
      <c r="E1281">
        <v>4</v>
      </c>
      <c r="F1281">
        <v>0</v>
      </c>
      <c r="G1281">
        <v>29</v>
      </c>
      <c r="H1281">
        <v>2</v>
      </c>
      <c r="I1281">
        <v>7.25</v>
      </c>
      <c r="J1281">
        <v>15</v>
      </c>
      <c r="K1281">
        <v>3</v>
      </c>
      <c r="L1281">
        <v>2</v>
      </c>
      <c r="M1281">
        <v>0</v>
      </c>
      <c r="N1281">
        <v>0</v>
      </c>
    </row>
    <row r="1282" spans="1:14" x14ac:dyDescent="0.45">
      <c r="A1282" t="s">
        <v>173</v>
      </c>
      <c r="B1282" t="s">
        <v>641</v>
      </c>
      <c r="C1282" t="s">
        <v>26</v>
      </c>
      <c r="D1282" t="s">
        <v>405</v>
      </c>
      <c r="E1282">
        <v>4</v>
      </c>
      <c r="F1282">
        <v>0</v>
      </c>
      <c r="G1282">
        <v>29</v>
      </c>
      <c r="H1282">
        <v>0</v>
      </c>
      <c r="I1282">
        <v>7.25</v>
      </c>
      <c r="J1282">
        <v>11</v>
      </c>
      <c r="K1282">
        <v>2</v>
      </c>
      <c r="L1282">
        <v>1</v>
      </c>
      <c r="M1282">
        <v>0</v>
      </c>
      <c r="N1282">
        <v>1</v>
      </c>
    </row>
    <row r="1283" spans="1:14" x14ac:dyDescent="0.45">
      <c r="A1283" t="s">
        <v>173</v>
      </c>
      <c r="B1283" t="s">
        <v>641</v>
      </c>
      <c r="C1283" t="s">
        <v>26</v>
      </c>
      <c r="D1283" t="s">
        <v>543</v>
      </c>
      <c r="E1283">
        <v>3</v>
      </c>
      <c r="F1283">
        <v>0</v>
      </c>
      <c r="G1283">
        <v>30</v>
      </c>
      <c r="H1283">
        <v>4</v>
      </c>
      <c r="I1283">
        <v>10</v>
      </c>
      <c r="J1283">
        <v>9</v>
      </c>
      <c r="K1283">
        <v>1</v>
      </c>
      <c r="L1283">
        <v>3</v>
      </c>
      <c r="M1283">
        <v>2</v>
      </c>
      <c r="N1283">
        <v>0</v>
      </c>
    </row>
    <row r="1284" spans="1:14" x14ac:dyDescent="0.45">
      <c r="A1284" t="s">
        <v>173</v>
      </c>
      <c r="B1284" t="s">
        <v>641</v>
      </c>
      <c r="C1284" t="s">
        <v>26</v>
      </c>
      <c r="D1284" t="s">
        <v>384</v>
      </c>
      <c r="E1284">
        <v>1</v>
      </c>
      <c r="F1284">
        <v>0</v>
      </c>
      <c r="G1284">
        <v>11</v>
      </c>
      <c r="H1284">
        <v>0</v>
      </c>
      <c r="I1284">
        <v>11</v>
      </c>
      <c r="J1284">
        <v>1</v>
      </c>
      <c r="K1284">
        <v>2</v>
      </c>
      <c r="L1284">
        <v>0</v>
      </c>
      <c r="M1284">
        <v>0</v>
      </c>
      <c r="N1284">
        <v>0</v>
      </c>
    </row>
    <row r="1285" spans="1:14" x14ac:dyDescent="0.45">
      <c r="A1285" t="s">
        <v>173</v>
      </c>
      <c r="B1285" t="s">
        <v>641</v>
      </c>
      <c r="C1285" t="s">
        <v>26</v>
      </c>
      <c r="D1285" t="s">
        <v>435</v>
      </c>
      <c r="E1285">
        <v>4</v>
      </c>
      <c r="F1285">
        <v>0</v>
      </c>
      <c r="G1285">
        <v>44</v>
      </c>
      <c r="H1285">
        <v>0</v>
      </c>
      <c r="I1285">
        <v>11</v>
      </c>
      <c r="J1285">
        <v>6</v>
      </c>
      <c r="K1285">
        <v>2</v>
      </c>
      <c r="L1285">
        <v>4</v>
      </c>
      <c r="M1285">
        <v>0</v>
      </c>
      <c r="N1285">
        <v>0</v>
      </c>
    </row>
    <row r="1286" spans="1:14" x14ac:dyDescent="0.45">
      <c r="A1286" t="s">
        <v>175</v>
      </c>
      <c r="B1286" t="s">
        <v>657</v>
      </c>
      <c r="C1286" t="s">
        <v>13</v>
      </c>
      <c r="D1286" t="s">
        <v>352</v>
      </c>
      <c r="E1286">
        <v>4</v>
      </c>
      <c r="F1286">
        <v>0</v>
      </c>
      <c r="G1286">
        <v>37</v>
      </c>
      <c r="H1286">
        <v>0</v>
      </c>
      <c r="I1286">
        <v>9.25</v>
      </c>
      <c r="J1286">
        <v>11</v>
      </c>
      <c r="K1286">
        <v>4</v>
      </c>
      <c r="L1286">
        <v>2</v>
      </c>
      <c r="M1286">
        <v>0</v>
      </c>
      <c r="N1286">
        <v>1</v>
      </c>
    </row>
    <row r="1287" spans="1:14" x14ac:dyDescent="0.45">
      <c r="A1287" t="s">
        <v>175</v>
      </c>
      <c r="B1287" t="s">
        <v>657</v>
      </c>
      <c r="C1287" t="s">
        <v>13</v>
      </c>
      <c r="D1287" t="s">
        <v>325</v>
      </c>
      <c r="E1287">
        <v>4</v>
      </c>
      <c r="F1287">
        <v>0</v>
      </c>
      <c r="G1287">
        <v>33</v>
      </c>
      <c r="H1287">
        <v>1</v>
      </c>
      <c r="I1287">
        <v>8.25</v>
      </c>
      <c r="J1287">
        <v>12</v>
      </c>
      <c r="K1287">
        <v>1</v>
      </c>
      <c r="L1287">
        <v>3</v>
      </c>
      <c r="M1287">
        <v>1</v>
      </c>
      <c r="N1287">
        <v>0</v>
      </c>
    </row>
    <row r="1288" spans="1:14" x14ac:dyDescent="0.45">
      <c r="A1288" t="s">
        <v>175</v>
      </c>
      <c r="B1288" t="s">
        <v>657</v>
      </c>
      <c r="C1288" t="s">
        <v>13</v>
      </c>
      <c r="D1288" t="s">
        <v>547</v>
      </c>
      <c r="E1288">
        <v>4</v>
      </c>
      <c r="F1288">
        <v>0</v>
      </c>
      <c r="G1288">
        <v>58</v>
      </c>
      <c r="H1288">
        <v>0</v>
      </c>
      <c r="I1288">
        <v>14.5</v>
      </c>
      <c r="J1288">
        <v>6</v>
      </c>
      <c r="K1288">
        <v>5</v>
      </c>
      <c r="L1288">
        <v>4</v>
      </c>
      <c r="M1288">
        <v>4</v>
      </c>
      <c r="N1288">
        <v>0</v>
      </c>
    </row>
    <row r="1289" spans="1:14" x14ac:dyDescent="0.45">
      <c r="A1289" t="s">
        <v>175</v>
      </c>
      <c r="B1289" t="s">
        <v>657</v>
      </c>
      <c r="C1289" t="s">
        <v>13</v>
      </c>
      <c r="D1289" t="s">
        <v>345</v>
      </c>
      <c r="E1289">
        <v>3</v>
      </c>
      <c r="F1289">
        <v>0</v>
      </c>
      <c r="G1289">
        <v>29</v>
      </c>
      <c r="H1289">
        <v>0</v>
      </c>
      <c r="I1289">
        <v>9.66</v>
      </c>
      <c r="J1289">
        <v>9</v>
      </c>
      <c r="K1289">
        <v>0</v>
      </c>
      <c r="L1289">
        <v>4</v>
      </c>
      <c r="M1289">
        <v>0</v>
      </c>
      <c r="N1289">
        <v>0</v>
      </c>
    </row>
    <row r="1290" spans="1:14" x14ac:dyDescent="0.45">
      <c r="A1290" t="s">
        <v>175</v>
      </c>
      <c r="B1290" t="s">
        <v>657</v>
      </c>
      <c r="C1290" t="s">
        <v>13</v>
      </c>
      <c r="D1290" t="s">
        <v>347</v>
      </c>
      <c r="E1290">
        <v>2</v>
      </c>
      <c r="F1290">
        <v>0</v>
      </c>
      <c r="G1290">
        <v>18</v>
      </c>
      <c r="H1290">
        <v>0</v>
      </c>
      <c r="I1290">
        <v>9</v>
      </c>
      <c r="J1290">
        <v>1</v>
      </c>
      <c r="K1290">
        <v>0</v>
      </c>
      <c r="L1290">
        <v>1</v>
      </c>
      <c r="M1290">
        <v>0</v>
      </c>
      <c r="N1290">
        <v>0</v>
      </c>
    </row>
    <row r="1291" spans="1:14" x14ac:dyDescent="0.45">
      <c r="A1291" t="s">
        <v>175</v>
      </c>
      <c r="B1291" t="s">
        <v>657</v>
      </c>
      <c r="C1291" t="s">
        <v>13</v>
      </c>
      <c r="D1291" t="s">
        <v>448</v>
      </c>
      <c r="E1291">
        <v>3</v>
      </c>
      <c r="F1291">
        <v>0</v>
      </c>
      <c r="G1291">
        <v>35</v>
      </c>
      <c r="H1291">
        <v>2</v>
      </c>
      <c r="I1291">
        <v>11.66</v>
      </c>
      <c r="J1291">
        <v>6</v>
      </c>
      <c r="K1291">
        <v>2</v>
      </c>
      <c r="L1291">
        <v>3</v>
      </c>
      <c r="M1291">
        <v>1</v>
      </c>
      <c r="N1291">
        <v>0</v>
      </c>
    </row>
    <row r="1292" spans="1:14" x14ac:dyDescent="0.45">
      <c r="A1292" t="s">
        <v>175</v>
      </c>
      <c r="B1292" t="s">
        <v>657</v>
      </c>
      <c r="C1292" t="s">
        <v>6</v>
      </c>
      <c r="D1292" t="s">
        <v>299</v>
      </c>
      <c r="E1292">
        <v>3</v>
      </c>
      <c r="F1292">
        <v>0</v>
      </c>
      <c r="G1292">
        <v>19</v>
      </c>
      <c r="H1292">
        <v>0</v>
      </c>
      <c r="I1292">
        <v>6.33</v>
      </c>
      <c r="J1292">
        <v>8</v>
      </c>
      <c r="K1292">
        <v>3</v>
      </c>
      <c r="L1292">
        <v>0</v>
      </c>
      <c r="M1292">
        <v>0</v>
      </c>
      <c r="N1292">
        <v>0</v>
      </c>
    </row>
    <row r="1293" spans="1:14" x14ac:dyDescent="0.45">
      <c r="A1293" t="s">
        <v>175</v>
      </c>
      <c r="B1293" t="s">
        <v>657</v>
      </c>
      <c r="C1293" t="s">
        <v>6</v>
      </c>
      <c r="D1293" t="s">
        <v>509</v>
      </c>
      <c r="E1293">
        <v>3</v>
      </c>
      <c r="F1293">
        <v>0</v>
      </c>
      <c r="G1293">
        <v>40</v>
      </c>
      <c r="H1293">
        <v>1</v>
      </c>
      <c r="I1293">
        <v>13.33</v>
      </c>
      <c r="J1293">
        <v>4</v>
      </c>
      <c r="K1293">
        <v>2</v>
      </c>
      <c r="L1293">
        <v>2</v>
      </c>
      <c r="M1293">
        <v>2</v>
      </c>
      <c r="N1293">
        <v>0</v>
      </c>
    </row>
    <row r="1294" spans="1:14" x14ac:dyDescent="0.45">
      <c r="A1294" t="s">
        <v>175</v>
      </c>
      <c r="B1294" t="s">
        <v>657</v>
      </c>
      <c r="C1294" t="s">
        <v>6</v>
      </c>
      <c r="D1294" t="s">
        <v>523</v>
      </c>
      <c r="E1294">
        <v>4</v>
      </c>
      <c r="F1294">
        <v>0</v>
      </c>
      <c r="G1294">
        <v>33</v>
      </c>
      <c r="H1294">
        <v>4</v>
      </c>
      <c r="I1294">
        <v>8.25</v>
      </c>
      <c r="J1294">
        <v>10</v>
      </c>
      <c r="K1294">
        <v>1</v>
      </c>
      <c r="L1294">
        <v>3</v>
      </c>
      <c r="M1294">
        <v>0</v>
      </c>
      <c r="N1294">
        <v>0</v>
      </c>
    </row>
    <row r="1295" spans="1:14" x14ac:dyDescent="0.45">
      <c r="A1295" t="s">
        <v>175</v>
      </c>
      <c r="B1295" t="s">
        <v>657</v>
      </c>
      <c r="C1295" t="s">
        <v>6</v>
      </c>
      <c r="D1295" t="s">
        <v>328</v>
      </c>
      <c r="E1295">
        <v>4</v>
      </c>
      <c r="F1295">
        <v>0</v>
      </c>
      <c r="G1295">
        <v>39</v>
      </c>
      <c r="H1295">
        <v>3</v>
      </c>
      <c r="I1295">
        <v>9.75</v>
      </c>
      <c r="J1295">
        <v>10</v>
      </c>
      <c r="K1295">
        <v>4</v>
      </c>
      <c r="L1295">
        <v>2</v>
      </c>
      <c r="M1295">
        <v>0</v>
      </c>
      <c r="N1295">
        <v>0</v>
      </c>
    </row>
    <row r="1296" spans="1:14" x14ac:dyDescent="0.45">
      <c r="A1296" t="s">
        <v>175</v>
      </c>
      <c r="B1296" t="s">
        <v>657</v>
      </c>
      <c r="C1296" t="s">
        <v>6</v>
      </c>
      <c r="D1296" t="s">
        <v>406</v>
      </c>
      <c r="E1296">
        <v>2</v>
      </c>
      <c r="F1296">
        <v>0</v>
      </c>
      <c r="G1296">
        <v>20</v>
      </c>
      <c r="H1296">
        <v>0</v>
      </c>
      <c r="I1296">
        <v>10</v>
      </c>
      <c r="J1296">
        <v>2</v>
      </c>
      <c r="K1296">
        <v>3</v>
      </c>
      <c r="L1296">
        <v>0</v>
      </c>
      <c r="M1296">
        <v>0</v>
      </c>
      <c r="N1296">
        <v>0</v>
      </c>
    </row>
    <row r="1297" spans="1:14" x14ac:dyDescent="0.45">
      <c r="A1297" t="s">
        <v>175</v>
      </c>
      <c r="B1297" t="s">
        <v>657</v>
      </c>
      <c r="C1297" t="s">
        <v>6</v>
      </c>
      <c r="D1297" t="s">
        <v>327</v>
      </c>
      <c r="E1297">
        <v>4</v>
      </c>
      <c r="F1297">
        <v>0</v>
      </c>
      <c r="G1297">
        <v>42</v>
      </c>
      <c r="H1297">
        <v>1</v>
      </c>
      <c r="I1297">
        <v>10.5</v>
      </c>
      <c r="J1297">
        <v>6</v>
      </c>
      <c r="K1297">
        <v>4</v>
      </c>
      <c r="L1297">
        <v>0</v>
      </c>
      <c r="M1297">
        <v>6</v>
      </c>
      <c r="N1297">
        <v>1</v>
      </c>
    </row>
    <row r="1298" spans="1:14" x14ac:dyDescent="0.45">
      <c r="A1298" t="s">
        <v>176</v>
      </c>
      <c r="B1298" t="s">
        <v>691</v>
      </c>
      <c r="C1298" t="s">
        <v>20</v>
      </c>
      <c r="D1298" t="s">
        <v>409</v>
      </c>
      <c r="E1298">
        <v>4</v>
      </c>
      <c r="F1298">
        <v>0</v>
      </c>
      <c r="G1298">
        <v>37</v>
      </c>
      <c r="H1298">
        <v>2</v>
      </c>
      <c r="I1298">
        <v>9.25</v>
      </c>
      <c r="J1298">
        <v>10</v>
      </c>
      <c r="K1298">
        <v>3</v>
      </c>
      <c r="L1298">
        <v>0</v>
      </c>
      <c r="M1298">
        <v>4</v>
      </c>
      <c r="N1298">
        <v>0</v>
      </c>
    </row>
    <row r="1299" spans="1:14" x14ac:dyDescent="0.45">
      <c r="A1299" t="s">
        <v>176</v>
      </c>
      <c r="B1299" t="s">
        <v>691</v>
      </c>
      <c r="C1299" t="s">
        <v>20</v>
      </c>
      <c r="D1299" t="s">
        <v>484</v>
      </c>
      <c r="E1299">
        <v>4</v>
      </c>
      <c r="F1299">
        <v>0</v>
      </c>
      <c r="G1299">
        <v>27</v>
      </c>
      <c r="H1299">
        <v>1</v>
      </c>
      <c r="I1299">
        <v>6.75</v>
      </c>
      <c r="J1299">
        <v>8</v>
      </c>
      <c r="K1299">
        <v>3</v>
      </c>
      <c r="L1299">
        <v>0</v>
      </c>
      <c r="M1299">
        <v>2</v>
      </c>
      <c r="N1299">
        <v>0</v>
      </c>
    </row>
    <row r="1300" spans="1:14" x14ac:dyDescent="0.45">
      <c r="A1300" t="s">
        <v>176</v>
      </c>
      <c r="B1300" t="s">
        <v>691</v>
      </c>
      <c r="C1300" t="s">
        <v>20</v>
      </c>
      <c r="D1300" t="s">
        <v>467</v>
      </c>
      <c r="E1300">
        <v>3</v>
      </c>
      <c r="F1300">
        <v>0</v>
      </c>
      <c r="G1300">
        <v>14</v>
      </c>
      <c r="H1300">
        <v>0</v>
      </c>
      <c r="I1300">
        <v>4.66</v>
      </c>
      <c r="J1300">
        <v>7</v>
      </c>
      <c r="K1300">
        <v>1</v>
      </c>
      <c r="L1300">
        <v>0</v>
      </c>
      <c r="M1300">
        <v>0</v>
      </c>
      <c r="N1300">
        <v>0</v>
      </c>
    </row>
    <row r="1301" spans="1:14" x14ac:dyDescent="0.45">
      <c r="A1301" t="s">
        <v>176</v>
      </c>
      <c r="B1301" t="s">
        <v>691</v>
      </c>
      <c r="C1301" t="s">
        <v>20</v>
      </c>
      <c r="D1301" t="s">
        <v>483</v>
      </c>
      <c r="E1301">
        <v>4</v>
      </c>
      <c r="F1301">
        <v>0</v>
      </c>
      <c r="G1301">
        <v>34</v>
      </c>
      <c r="H1301">
        <v>2</v>
      </c>
      <c r="I1301">
        <v>8.5</v>
      </c>
      <c r="J1301">
        <v>8</v>
      </c>
      <c r="K1301">
        <v>4</v>
      </c>
      <c r="L1301">
        <v>1</v>
      </c>
      <c r="M1301">
        <v>1</v>
      </c>
      <c r="N1301">
        <v>0</v>
      </c>
    </row>
    <row r="1302" spans="1:14" x14ac:dyDescent="0.45">
      <c r="A1302" t="s">
        <v>176</v>
      </c>
      <c r="B1302" t="s">
        <v>691</v>
      </c>
      <c r="C1302" t="s">
        <v>20</v>
      </c>
      <c r="D1302" t="s">
        <v>382</v>
      </c>
      <c r="E1302">
        <v>4</v>
      </c>
      <c r="F1302">
        <v>0</v>
      </c>
      <c r="G1302">
        <v>39</v>
      </c>
      <c r="H1302">
        <v>1</v>
      </c>
      <c r="I1302">
        <v>9.75</v>
      </c>
      <c r="J1302">
        <v>8</v>
      </c>
      <c r="K1302">
        <v>5</v>
      </c>
      <c r="L1302">
        <v>0</v>
      </c>
      <c r="M1302">
        <v>1</v>
      </c>
      <c r="N1302">
        <v>0</v>
      </c>
    </row>
    <row r="1303" spans="1:14" x14ac:dyDescent="0.45">
      <c r="A1303" t="s">
        <v>176</v>
      </c>
      <c r="B1303" t="s">
        <v>691</v>
      </c>
      <c r="C1303" t="s">
        <v>20</v>
      </c>
      <c r="D1303" t="s">
        <v>401</v>
      </c>
      <c r="E1303">
        <v>1</v>
      </c>
      <c r="F1303">
        <v>0</v>
      </c>
      <c r="G1303">
        <v>9</v>
      </c>
      <c r="H1303">
        <v>0</v>
      </c>
      <c r="I1303">
        <v>9</v>
      </c>
      <c r="J1303">
        <v>2</v>
      </c>
      <c r="K1303">
        <v>0</v>
      </c>
      <c r="L1303">
        <v>1</v>
      </c>
      <c r="M1303">
        <v>0</v>
      </c>
      <c r="N1303">
        <v>0</v>
      </c>
    </row>
    <row r="1304" spans="1:14" x14ac:dyDescent="0.45">
      <c r="A1304" t="s">
        <v>176</v>
      </c>
      <c r="B1304" t="s">
        <v>691</v>
      </c>
      <c r="C1304" t="s">
        <v>101</v>
      </c>
      <c r="D1304" t="s">
        <v>403</v>
      </c>
      <c r="E1304">
        <v>4</v>
      </c>
      <c r="F1304">
        <v>0</v>
      </c>
      <c r="G1304">
        <v>32</v>
      </c>
      <c r="H1304">
        <v>0</v>
      </c>
      <c r="I1304">
        <v>8</v>
      </c>
      <c r="J1304">
        <v>8</v>
      </c>
      <c r="K1304">
        <v>3</v>
      </c>
      <c r="L1304">
        <v>1</v>
      </c>
      <c r="M1304">
        <v>0</v>
      </c>
      <c r="N1304">
        <v>0</v>
      </c>
    </row>
    <row r="1305" spans="1:14" x14ac:dyDescent="0.45">
      <c r="A1305" t="s">
        <v>176</v>
      </c>
      <c r="B1305" t="s">
        <v>691</v>
      </c>
      <c r="C1305" t="s">
        <v>101</v>
      </c>
      <c r="D1305" t="s">
        <v>361</v>
      </c>
      <c r="E1305">
        <v>4</v>
      </c>
      <c r="F1305">
        <v>0</v>
      </c>
      <c r="G1305">
        <v>27</v>
      </c>
      <c r="H1305">
        <v>1</v>
      </c>
      <c r="I1305">
        <v>6.75</v>
      </c>
      <c r="J1305">
        <v>10</v>
      </c>
      <c r="K1305">
        <v>0</v>
      </c>
      <c r="L1305">
        <v>2</v>
      </c>
      <c r="M1305">
        <v>0</v>
      </c>
      <c r="N1305">
        <v>0</v>
      </c>
    </row>
    <row r="1306" spans="1:14" x14ac:dyDescent="0.45">
      <c r="A1306" t="s">
        <v>176</v>
      </c>
      <c r="B1306" t="s">
        <v>691</v>
      </c>
      <c r="C1306" t="s">
        <v>101</v>
      </c>
      <c r="D1306" t="s">
        <v>317</v>
      </c>
      <c r="E1306">
        <v>4</v>
      </c>
      <c r="F1306">
        <v>0</v>
      </c>
      <c r="G1306">
        <v>46</v>
      </c>
      <c r="H1306">
        <v>0</v>
      </c>
      <c r="I1306">
        <v>11.5</v>
      </c>
      <c r="J1306">
        <v>9</v>
      </c>
      <c r="K1306">
        <v>6</v>
      </c>
      <c r="L1306">
        <v>2</v>
      </c>
      <c r="M1306">
        <v>2</v>
      </c>
      <c r="N1306">
        <v>0</v>
      </c>
    </row>
    <row r="1307" spans="1:14" x14ac:dyDescent="0.45">
      <c r="A1307" t="s">
        <v>176</v>
      </c>
      <c r="B1307" t="s">
        <v>691</v>
      </c>
      <c r="C1307" t="s">
        <v>101</v>
      </c>
      <c r="D1307" t="s">
        <v>379</v>
      </c>
      <c r="E1307">
        <v>4</v>
      </c>
      <c r="F1307">
        <v>0</v>
      </c>
      <c r="G1307">
        <v>28</v>
      </c>
      <c r="H1307">
        <v>1</v>
      </c>
      <c r="I1307">
        <v>7</v>
      </c>
      <c r="J1307">
        <v>6</v>
      </c>
      <c r="K1307">
        <v>2</v>
      </c>
      <c r="L1307">
        <v>0</v>
      </c>
      <c r="M1307">
        <v>0</v>
      </c>
      <c r="N1307">
        <v>0</v>
      </c>
    </row>
    <row r="1308" spans="1:14" x14ac:dyDescent="0.45">
      <c r="A1308" t="s">
        <v>176</v>
      </c>
      <c r="B1308" t="s">
        <v>691</v>
      </c>
      <c r="C1308" t="s">
        <v>101</v>
      </c>
      <c r="D1308" t="s">
        <v>548</v>
      </c>
      <c r="E1308">
        <v>2.1</v>
      </c>
      <c r="F1308">
        <v>0</v>
      </c>
      <c r="G1308">
        <v>22</v>
      </c>
      <c r="H1308">
        <v>0</v>
      </c>
      <c r="I1308">
        <v>10.15</v>
      </c>
      <c r="J1308">
        <v>4</v>
      </c>
      <c r="K1308">
        <v>1</v>
      </c>
      <c r="L1308">
        <v>1</v>
      </c>
      <c r="M1308">
        <v>1</v>
      </c>
      <c r="N1308">
        <v>0</v>
      </c>
    </row>
    <row r="1309" spans="1:14" x14ac:dyDescent="0.45">
      <c r="A1309" t="s">
        <v>176</v>
      </c>
      <c r="B1309" t="s">
        <v>691</v>
      </c>
      <c r="C1309" t="s">
        <v>101</v>
      </c>
      <c r="D1309" t="s">
        <v>390</v>
      </c>
      <c r="E1309">
        <v>1</v>
      </c>
      <c r="F1309">
        <v>0</v>
      </c>
      <c r="G1309">
        <v>10</v>
      </c>
      <c r="H1309">
        <v>0</v>
      </c>
      <c r="I1309">
        <v>10</v>
      </c>
      <c r="J1309">
        <v>1</v>
      </c>
      <c r="K1309">
        <v>0</v>
      </c>
      <c r="L1309">
        <v>1</v>
      </c>
      <c r="M1309">
        <v>0</v>
      </c>
      <c r="N1309">
        <v>0</v>
      </c>
    </row>
    <row r="1310" spans="1:14" x14ac:dyDescent="0.45">
      <c r="A1310" t="s">
        <v>177</v>
      </c>
      <c r="B1310" t="s">
        <v>673</v>
      </c>
      <c r="C1310" t="s">
        <v>104</v>
      </c>
      <c r="D1310" t="s">
        <v>491</v>
      </c>
      <c r="E1310">
        <v>4</v>
      </c>
      <c r="F1310">
        <v>0</v>
      </c>
      <c r="G1310">
        <v>22</v>
      </c>
      <c r="H1310">
        <v>0</v>
      </c>
      <c r="I1310">
        <v>5.5</v>
      </c>
      <c r="J1310">
        <v>14</v>
      </c>
      <c r="K1310">
        <v>2</v>
      </c>
      <c r="L1310">
        <v>0</v>
      </c>
      <c r="M1310">
        <v>2</v>
      </c>
      <c r="N1310">
        <v>0</v>
      </c>
    </row>
    <row r="1311" spans="1:14" x14ac:dyDescent="0.45">
      <c r="A1311" t="s">
        <v>177</v>
      </c>
      <c r="B1311" t="s">
        <v>673</v>
      </c>
      <c r="C1311" t="s">
        <v>104</v>
      </c>
      <c r="D1311" t="s">
        <v>378</v>
      </c>
      <c r="E1311">
        <v>4</v>
      </c>
      <c r="F1311">
        <v>0</v>
      </c>
      <c r="G1311">
        <v>50</v>
      </c>
      <c r="H1311">
        <v>2</v>
      </c>
      <c r="I1311">
        <v>12.5</v>
      </c>
      <c r="J1311">
        <v>9</v>
      </c>
      <c r="K1311">
        <v>3</v>
      </c>
      <c r="L1311">
        <v>5</v>
      </c>
      <c r="M1311">
        <v>0</v>
      </c>
      <c r="N1311">
        <v>0</v>
      </c>
    </row>
    <row r="1312" spans="1:14" x14ac:dyDescent="0.45">
      <c r="A1312" t="s">
        <v>177</v>
      </c>
      <c r="B1312" t="s">
        <v>673</v>
      </c>
      <c r="C1312" t="s">
        <v>104</v>
      </c>
      <c r="D1312" t="s">
        <v>407</v>
      </c>
      <c r="E1312">
        <v>4</v>
      </c>
      <c r="F1312">
        <v>0</v>
      </c>
      <c r="G1312">
        <v>29</v>
      </c>
      <c r="H1312">
        <v>0</v>
      </c>
      <c r="I1312">
        <v>7.25</v>
      </c>
      <c r="J1312">
        <v>7</v>
      </c>
      <c r="K1312">
        <v>3</v>
      </c>
      <c r="L1312">
        <v>0</v>
      </c>
      <c r="M1312">
        <v>3</v>
      </c>
      <c r="N1312">
        <v>0</v>
      </c>
    </row>
    <row r="1313" spans="1:14" x14ac:dyDescent="0.45">
      <c r="A1313" t="s">
        <v>177</v>
      </c>
      <c r="B1313" t="s">
        <v>673</v>
      </c>
      <c r="C1313" t="s">
        <v>104</v>
      </c>
      <c r="D1313" t="s">
        <v>340</v>
      </c>
      <c r="E1313">
        <v>4</v>
      </c>
      <c r="F1313">
        <v>0</v>
      </c>
      <c r="G1313">
        <v>31</v>
      </c>
      <c r="H1313">
        <v>1</v>
      </c>
      <c r="I1313">
        <v>7.75</v>
      </c>
      <c r="J1313">
        <v>9</v>
      </c>
      <c r="K1313">
        <v>1</v>
      </c>
      <c r="L1313">
        <v>2</v>
      </c>
      <c r="M1313">
        <v>1</v>
      </c>
      <c r="N1313">
        <v>0</v>
      </c>
    </row>
    <row r="1314" spans="1:14" x14ac:dyDescent="0.45">
      <c r="A1314" t="s">
        <v>177</v>
      </c>
      <c r="B1314" t="s">
        <v>673</v>
      </c>
      <c r="C1314" t="s">
        <v>104</v>
      </c>
      <c r="D1314" t="s">
        <v>516</v>
      </c>
      <c r="E1314">
        <v>4</v>
      </c>
      <c r="F1314">
        <v>0</v>
      </c>
      <c r="G1314">
        <v>30</v>
      </c>
      <c r="H1314">
        <v>2</v>
      </c>
      <c r="I1314">
        <v>7.5</v>
      </c>
      <c r="J1314">
        <v>11</v>
      </c>
      <c r="K1314">
        <v>0</v>
      </c>
      <c r="L1314">
        <v>3</v>
      </c>
      <c r="M1314">
        <v>0</v>
      </c>
      <c r="N1314">
        <v>0</v>
      </c>
    </row>
    <row r="1315" spans="1:14" x14ac:dyDescent="0.45">
      <c r="A1315" t="s">
        <v>177</v>
      </c>
      <c r="B1315" t="s">
        <v>673</v>
      </c>
      <c r="C1315" t="s">
        <v>23</v>
      </c>
      <c r="D1315" t="s">
        <v>370</v>
      </c>
      <c r="E1315">
        <v>4</v>
      </c>
      <c r="F1315">
        <v>0</v>
      </c>
      <c r="G1315">
        <v>30</v>
      </c>
      <c r="H1315">
        <v>2</v>
      </c>
      <c r="I1315">
        <v>7.5</v>
      </c>
      <c r="J1315">
        <v>12</v>
      </c>
      <c r="K1315">
        <v>4</v>
      </c>
      <c r="L1315">
        <v>0</v>
      </c>
      <c r="M1315">
        <v>1</v>
      </c>
      <c r="N1315">
        <v>0</v>
      </c>
    </row>
    <row r="1316" spans="1:14" x14ac:dyDescent="0.45">
      <c r="A1316" t="s">
        <v>177</v>
      </c>
      <c r="B1316" t="s">
        <v>673</v>
      </c>
      <c r="C1316" t="s">
        <v>23</v>
      </c>
      <c r="D1316" t="s">
        <v>441</v>
      </c>
      <c r="E1316">
        <v>4</v>
      </c>
      <c r="F1316">
        <v>0</v>
      </c>
      <c r="G1316">
        <v>35</v>
      </c>
      <c r="H1316">
        <v>1</v>
      </c>
      <c r="I1316">
        <v>8.75</v>
      </c>
      <c r="J1316">
        <v>13</v>
      </c>
      <c r="K1316">
        <v>4</v>
      </c>
      <c r="L1316">
        <v>2</v>
      </c>
      <c r="M1316">
        <v>1</v>
      </c>
      <c r="N1316">
        <v>0</v>
      </c>
    </row>
    <row r="1317" spans="1:14" x14ac:dyDescent="0.45">
      <c r="A1317" t="s">
        <v>177</v>
      </c>
      <c r="B1317" t="s">
        <v>673</v>
      </c>
      <c r="C1317" t="s">
        <v>23</v>
      </c>
      <c r="D1317" t="s">
        <v>339</v>
      </c>
      <c r="E1317">
        <v>4</v>
      </c>
      <c r="F1317">
        <v>0</v>
      </c>
      <c r="G1317">
        <v>20</v>
      </c>
      <c r="H1317">
        <v>0</v>
      </c>
      <c r="I1317">
        <v>5</v>
      </c>
      <c r="J1317">
        <v>5</v>
      </c>
      <c r="K1317">
        <v>0</v>
      </c>
      <c r="L1317">
        <v>0</v>
      </c>
      <c r="M1317">
        <v>0</v>
      </c>
      <c r="N1317">
        <v>0</v>
      </c>
    </row>
    <row r="1318" spans="1:14" x14ac:dyDescent="0.45">
      <c r="A1318" t="s">
        <v>177</v>
      </c>
      <c r="B1318" t="s">
        <v>673</v>
      </c>
      <c r="C1318" t="s">
        <v>23</v>
      </c>
      <c r="D1318" t="s">
        <v>527</v>
      </c>
      <c r="E1318">
        <v>4</v>
      </c>
      <c r="F1318">
        <v>0</v>
      </c>
      <c r="G1318">
        <v>35</v>
      </c>
      <c r="H1318">
        <v>1</v>
      </c>
      <c r="I1318">
        <v>8.75</v>
      </c>
      <c r="J1318">
        <v>8</v>
      </c>
      <c r="K1318">
        <v>2</v>
      </c>
      <c r="L1318">
        <v>2</v>
      </c>
      <c r="M1318">
        <v>0</v>
      </c>
      <c r="N1318">
        <v>0</v>
      </c>
    </row>
    <row r="1319" spans="1:14" x14ac:dyDescent="0.45">
      <c r="A1319" t="s">
        <v>177</v>
      </c>
      <c r="B1319" t="s">
        <v>673</v>
      </c>
      <c r="C1319" t="s">
        <v>23</v>
      </c>
      <c r="D1319" t="s">
        <v>353</v>
      </c>
      <c r="E1319">
        <v>4</v>
      </c>
      <c r="F1319">
        <v>0</v>
      </c>
      <c r="G1319">
        <v>41</v>
      </c>
      <c r="H1319">
        <v>4</v>
      </c>
      <c r="I1319">
        <v>10.25</v>
      </c>
      <c r="J1319">
        <v>7</v>
      </c>
      <c r="K1319">
        <v>3</v>
      </c>
      <c r="L1319">
        <v>2</v>
      </c>
      <c r="M1319">
        <v>2</v>
      </c>
      <c r="N1319">
        <v>0</v>
      </c>
    </row>
    <row r="1320" spans="1:14" x14ac:dyDescent="0.45">
      <c r="A1320" t="s">
        <v>179</v>
      </c>
      <c r="B1320" t="s">
        <v>624</v>
      </c>
      <c r="C1320" t="s">
        <v>7</v>
      </c>
      <c r="D1320" t="s">
        <v>515</v>
      </c>
      <c r="E1320">
        <v>4</v>
      </c>
      <c r="F1320">
        <v>0</v>
      </c>
      <c r="G1320">
        <v>48</v>
      </c>
      <c r="H1320">
        <v>1</v>
      </c>
      <c r="I1320">
        <v>12</v>
      </c>
      <c r="J1320">
        <v>8</v>
      </c>
      <c r="K1320">
        <v>5</v>
      </c>
      <c r="L1320">
        <v>3</v>
      </c>
      <c r="M1320">
        <v>0</v>
      </c>
      <c r="N1320">
        <v>1</v>
      </c>
    </row>
    <row r="1321" spans="1:14" x14ac:dyDescent="0.45">
      <c r="A1321" t="s">
        <v>179</v>
      </c>
      <c r="B1321" t="s">
        <v>624</v>
      </c>
      <c r="C1321" t="s">
        <v>7</v>
      </c>
      <c r="D1321" t="s">
        <v>549</v>
      </c>
      <c r="E1321">
        <v>1</v>
      </c>
      <c r="F1321">
        <v>0</v>
      </c>
      <c r="G1321">
        <v>10</v>
      </c>
      <c r="H1321">
        <v>0</v>
      </c>
      <c r="I1321">
        <v>10</v>
      </c>
      <c r="J1321">
        <v>2</v>
      </c>
      <c r="K1321">
        <v>2</v>
      </c>
      <c r="L1321">
        <v>0</v>
      </c>
      <c r="M1321">
        <v>0</v>
      </c>
      <c r="N1321">
        <v>0</v>
      </c>
    </row>
    <row r="1322" spans="1:14" x14ac:dyDescent="0.45">
      <c r="A1322" t="s">
        <v>179</v>
      </c>
      <c r="B1322" t="s">
        <v>624</v>
      </c>
      <c r="C1322" t="s">
        <v>7</v>
      </c>
      <c r="D1322" t="s">
        <v>465</v>
      </c>
      <c r="E1322">
        <v>4</v>
      </c>
      <c r="F1322">
        <v>0</v>
      </c>
      <c r="G1322">
        <v>51</v>
      </c>
      <c r="H1322">
        <v>0</v>
      </c>
      <c r="I1322">
        <v>12.75</v>
      </c>
      <c r="J1322">
        <v>5</v>
      </c>
      <c r="K1322">
        <v>4</v>
      </c>
      <c r="L1322">
        <v>3</v>
      </c>
      <c r="M1322">
        <v>2</v>
      </c>
      <c r="N1322">
        <v>0</v>
      </c>
    </row>
    <row r="1323" spans="1:14" x14ac:dyDescent="0.45">
      <c r="A1323" t="s">
        <v>179</v>
      </c>
      <c r="B1323" t="s">
        <v>624</v>
      </c>
      <c r="C1323" t="s">
        <v>7</v>
      </c>
      <c r="D1323" t="s">
        <v>322</v>
      </c>
      <c r="E1323">
        <v>4</v>
      </c>
      <c r="F1323">
        <v>0</v>
      </c>
      <c r="G1323">
        <v>44</v>
      </c>
      <c r="H1323">
        <v>1</v>
      </c>
      <c r="I1323">
        <v>11</v>
      </c>
      <c r="J1323">
        <v>8</v>
      </c>
      <c r="K1323">
        <v>3</v>
      </c>
      <c r="L1323">
        <v>3</v>
      </c>
      <c r="M1323">
        <v>0</v>
      </c>
      <c r="N1323">
        <v>2</v>
      </c>
    </row>
    <row r="1324" spans="1:14" x14ac:dyDescent="0.45">
      <c r="A1324" t="s">
        <v>179</v>
      </c>
      <c r="B1324" t="s">
        <v>624</v>
      </c>
      <c r="C1324" t="s">
        <v>7</v>
      </c>
      <c r="D1324" t="s">
        <v>308</v>
      </c>
      <c r="E1324">
        <v>4</v>
      </c>
      <c r="F1324">
        <v>0</v>
      </c>
      <c r="G1324">
        <v>21</v>
      </c>
      <c r="H1324">
        <v>2</v>
      </c>
      <c r="I1324">
        <v>5.25</v>
      </c>
      <c r="J1324">
        <v>12</v>
      </c>
      <c r="K1324">
        <v>3</v>
      </c>
      <c r="L1324">
        <v>0</v>
      </c>
      <c r="M1324">
        <v>0</v>
      </c>
      <c r="N1324">
        <v>0</v>
      </c>
    </row>
    <row r="1325" spans="1:14" x14ac:dyDescent="0.45">
      <c r="A1325" t="s">
        <v>179</v>
      </c>
      <c r="B1325" t="s">
        <v>624</v>
      </c>
      <c r="C1325" t="s">
        <v>7</v>
      </c>
      <c r="D1325" t="s">
        <v>440</v>
      </c>
      <c r="E1325">
        <v>2</v>
      </c>
      <c r="F1325">
        <v>0</v>
      </c>
      <c r="G1325">
        <v>16</v>
      </c>
      <c r="H1325">
        <v>1</v>
      </c>
      <c r="I1325">
        <v>8</v>
      </c>
      <c r="J1325">
        <v>3</v>
      </c>
      <c r="K1325">
        <v>0</v>
      </c>
      <c r="L1325">
        <v>1</v>
      </c>
      <c r="M1325">
        <v>0</v>
      </c>
      <c r="N1325">
        <v>0</v>
      </c>
    </row>
    <row r="1326" spans="1:14" x14ac:dyDescent="0.45">
      <c r="A1326" t="s">
        <v>179</v>
      </c>
      <c r="B1326" t="s">
        <v>624</v>
      </c>
      <c r="C1326" t="s">
        <v>7</v>
      </c>
      <c r="D1326" t="s">
        <v>304</v>
      </c>
      <c r="E1326">
        <v>1</v>
      </c>
      <c r="F1326">
        <v>0</v>
      </c>
      <c r="G1326">
        <v>14</v>
      </c>
      <c r="H1326">
        <v>0</v>
      </c>
      <c r="I1326">
        <v>14</v>
      </c>
      <c r="J1326">
        <v>0</v>
      </c>
      <c r="K1326">
        <v>1</v>
      </c>
      <c r="L1326">
        <v>1</v>
      </c>
      <c r="M1326">
        <v>0</v>
      </c>
      <c r="N1326">
        <v>0</v>
      </c>
    </row>
    <row r="1327" spans="1:14" x14ac:dyDescent="0.45">
      <c r="A1327" t="s">
        <v>179</v>
      </c>
      <c r="B1327" t="s">
        <v>624</v>
      </c>
      <c r="C1327" t="s">
        <v>10</v>
      </c>
      <c r="D1327" t="s">
        <v>396</v>
      </c>
      <c r="E1327">
        <v>4</v>
      </c>
      <c r="F1327">
        <v>0</v>
      </c>
      <c r="G1327">
        <v>21</v>
      </c>
      <c r="H1327">
        <v>0</v>
      </c>
      <c r="I1327">
        <v>5.25</v>
      </c>
      <c r="J1327">
        <v>13</v>
      </c>
      <c r="K1327">
        <v>2</v>
      </c>
      <c r="L1327">
        <v>0</v>
      </c>
      <c r="M1327">
        <v>0</v>
      </c>
      <c r="N1327">
        <v>0</v>
      </c>
    </row>
    <row r="1328" spans="1:14" x14ac:dyDescent="0.45">
      <c r="A1328" t="s">
        <v>179</v>
      </c>
      <c r="B1328" t="s">
        <v>624</v>
      </c>
      <c r="C1328" t="s">
        <v>10</v>
      </c>
      <c r="D1328" t="s">
        <v>326</v>
      </c>
      <c r="E1328">
        <v>2.4</v>
      </c>
      <c r="F1328">
        <v>0</v>
      </c>
      <c r="G1328">
        <v>30</v>
      </c>
      <c r="H1328">
        <v>2</v>
      </c>
      <c r="I1328">
        <v>11.25</v>
      </c>
      <c r="J1328">
        <v>5</v>
      </c>
      <c r="K1328">
        <v>3</v>
      </c>
      <c r="L1328">
        <v>2</v>
      </c>
      <c r="M1328">
        <v>0</v>
      </c>
      <c r="N1328">
        <v>0</v>
      </c>
    </row>
    <row r="1329" spans="1:14" x14ac:dyDescent="0.45">
      <c r="A1329" t="s">
        <v>179</v>
      </c>
      <c r="B1329" t="s">
        <v>624</v>
      </c>
      <c r="C1329" t="s">
        <v>10</v>
      </c>
      <c r="D1329" t="s">
        <v>444</v>
      </c>
      <c r="E1329">
        <v>4</v>
      </c>
      <c r="F1329">
        <v>0</v>
      </c>
      <c r="G1329">
        <v>25</v>
      </c>
      <c r="H1329">
        <v>3</v>
      </c>
      <c r="I1329">
        <v>6.25</v>
      </c>
      <c r="J1329">
        <v>13</v>
      </c>
      <c r="K1329">
        <v>4</v>
      </c>
      <c r="L1329">
        <v>0</v>
      </c>
      <c r="M1329">
        <v>0</v>
      </c>
      <c r="N1329">
        <v>0</v>
      </c>
    </row>
    <row r="1330" spans="1:14" x14ac:dyDescent="0.45">
      <c r="A1330" t="s">
        <v>179</v>
      </c>
      <c r="B1330" t="s">
        <v>624</v>
      </c>
      <c r="C1330" t="s">
        <v>10</v>
      </c>
      <c r="D1330" t="s">
        <v>337</v>
      </c>
      <c r="E1330">
        <v>3</v>
      </c>
      <c r="F1330">
        <v>0</v>
      </c>
      <c r="G1330">
        <v>32</v>
      </c>
      <c r="H1330">
        <v>0</v>
      </c>
      <c r="I1330">
        <v>10.66</v>
      </c>
      <c r="J1330">
        <v>4</v>
      </c>
      <c r="K1330">
        <v>2</v>
      </c>
      <c r="L1330">
        <v>2</v>
      </c>
      <c r="M1330">
        <v>0</v>
      </c>
      <c r="N1330">
        <v>0</v>
      </c>
    </row>
    <row r="1331" spans="1:14" x14ac:dyDescent="0.45">
      <c r="A1331" t="s">
        <v>179</v>
      </c>
      <c r="B1331" t="s">
        <v>624</v>
      </c>
      <c r="C1331" t="s">
        <v>10</v>
      </c>
      <c r="D1331" t="s">
        <v>500</v>
      </c>
      <c r="E1331">
        <v>4</v>
      </c>
      <c r="F1331">
        <v>0</v>
      </c>
      <c r="G1331">
        <v>35</v>
      </c>
      <c r="H1331">
        <v>4</v>
      </c>
      <c r="I1331">
        <v>8.75</v>
      </c>
      <c r="J1331">
        <v>8</v>
      </c>
      <c r="K1331">
        <v>2</v>
      </c>
      <c r="L1331">
        <v>2</v>
      </c>
      <c r="M1331">
        <v>2</v>
      </c>
      <c r="N1331">
        <v>0</v>
      </c>
    </row>
    <row r="1332" spans="1:14" x14ac:dyDescent="0.45">
      <c r="A1332" t="s">
        <v>179</v>
      </c>
      <c r="B1332" t="s">
        <v>624</v>
      </c>
      <c r="C1332" t="s">
        <v>10</v>
      </c>
      <c r="D1332" t="s">
        <v>499</v>
      </c>
      <c r="E1332">
        <v>1</v>
      </c>
      <c r="F1332">
        <v>0</v>
      </c>
      <c r="G1332">
        <v>17</v>
      </c>
      <c r="H1332">
        <v>0</v>
      </c>
      <c r="I1332">
        <v>17</v>
      </c>
      <c r="J1332">
        <v>0</v>
      </c>
      <c r="K1332">
        <v>1</v>
      </c>
      <c r="L1332">
        <v>1</v>
      </c>
      <c r="M1332">
        <v>1</v>
      </c>
      <c r="N1332">
        <v>0</v>
      </c>
    </row>
    <row r="1333" spans="1:14" x14ac:dyDescent="0.45">
      <c r="A1333" t="s">
        <v>179</v>
      </c>
      <c r="B1333" t="s">
        <v>624</v>
      </c>
      <c r="C1333" t="s">
        <v>10</v>
      </c>
      <c r="D1333" t="s">
        <v>436</v>
      </c>
      <c r="E1333">
        <v>1</v>
      </c>
      <c r="F1333">
        <v>0</v>
      </c>
      <c r="G1333">
        <v>8</v>
      </c>
      <c r="H1333">
        <v>1</v>
      </c>
      <c r="I1333">
        <v>8</v>
      </c>
      <c r="J1333">
        <v>3</v>
      </c>
      <c r="K1333">
        <v>0</v>
      </c>
      <c r="L1333">
        <v>1</v>
      </c>
      <c r="M1333">
        <v>0</v>
      </c>
      <c r="N1333">
        <v>0</v>
      </c>
    </row>
    <row r="1334" spans="1:14" x14ac:dyDescent="0.45">
      <c r="A1334" t="s">
        <v>180</v>
      </c>
      <c r="B1334" t="s">
        <v>663</v>
      </c>
      <c r="C1334" t="s">
        <v>13</v>
      </c>
      <c r="D1334" t="s">
        <v>550</v>
      </c>
      <c r="E1334">
        <v>2</v>
      </c>
      <c r="F1334">
        <v>0</v>
      </c>
      <c r="G1334">
        <v>8</v>
      </c>
      <c r="H1334">
        <v>0</v>
      </c>
      <c r="I1334">
        <v>4</v>
      </c>
      <c r="J1334">
        <v>8</v>
      </c>
      <c r="K1334">
        <v>1</v>
      </c>
      <c r="L1334">
        <v>0</v>
      </c>
      <c r="M1334">
        <v>0</v>
      </c>
      <c r="N1334">
        <v>0</v>
      </c>
    </row>
    <row r="1335" spans="1:14" x14ac:dyDescent="0.45">
      <c r="A1335" t="s">
        <v>180</v>
      </c>
      <c r="B1335" t="s">
        <v>663</v>
      </c>
      <c r="C1335" t="s">
        <v>13</v>
      </c>
      <c r="D1335" t="s">
        <v>352</v>
      </c>
      <c r="E1335">
        <v>4</v>
      </c>
      <c r="F1335">
        <v>0</v>
      </c>
      <c r="G1335">
        <v>51</v>
      </c>
      <c r="H1335">
        <v>0</v>
      </c>
      <c r="I1335">
        <v>12.75</v>
      </c>
      <c r="J1335">
        <v>10</v>
      </c>
      <c r="K1335">
        <v>3</v>
      </c>
      <c r="L1335">
        <v>4</v>
      </c>
      <c r="M1335">
        <v>1</v>
      </c>
      <c r="N1335">
        <v>1</v>
      </c>
    </row>
    <row r="1336" spans="1:14" x14ac:dyDescent="0.45">
      <c r="A1336" t="s">
        <v>180</v>
      </c>
      <c r="B1336" t="s">
        <v>663</v>
      </c>
      <c r="C1336" t="s">
        <v>13</v>
      </c>
      <c r="D1336" t="s">
        <v>448</v>
      </c>
      <c r="E1336">
        <v>4</v>
      </c>
      <c r="F1336">
        <v>0</v>
      </c>
      <c r="G1336">
        <v>28</v>
      </c>
      <c r="H1336">
        <v>2</v>
      </c>
      <c r="I1336">
        <v>7</v>
      </c>
      <c r="J1336">
        <v>10</v>
      </c>
      <c r="K1336">
        <v>3</v>
      </c>
      <c r="L1336">
        <v>1</v>
      </c>
      <c r="M1336">
        <v>0</v>
      </c>
      <c r="N1336">
        <v>0</v>
      </c>
    </row>
    <row r="1337" spans="1:14" x14ac:dyDescent="0.45">
      <c r="A1337" t="s">
        <v>180</v>
      </c>
      <c r="B1337" t="s">
        <v>663</v>
      </c>
      <c r="C1337" t="s">
        <v>13</v>
      </c>
      <c r="D1337" t="s">
        <v>547</v>
      </c>
      <c r="E1337">
        <v>4</v>
      </c>
      <c r="F1337">
        <v>1</v>
      </c>
      <c r="G1337">
        <v>20</v>
      </c>
      <c r="H1337">
        <v>1</v>
      </c>
      <c r="I1337">
        <v>5</v>
      </c>
      <c r="J1337">
        <v>14</v>
      </c>
      <c r="K1337">
        <v>3</v>
      </c>
      <c r="L1337">
        <v>0</v>
      </c>
      <c r="M1337">
        <v>0</v>
      </c>
      <c r="N1337">
        <v>0</v>
      </c>
    </row>
    <row r="1338" spans="1:14" x14ac:dyDescent="0.45">
      <c r="A1338" t="s">
        <v>180</v>
      </c>
      <c r="B1338" t="s">
        <v>663</v>
      </c>
      <c r="C1338" t="s">
        <v>13</v>
      </c>
      <c r="D1338" t="s">
        <v>349</v>
      </c>
      <c r="E1338">
        <v>4</v>
      </c>
      <c r="F1338">
        <v>0</v>
      </c>
      <c r="G1338">
        <v>23</v>
      </c>
      <c r="H1338">
        <v>2</v>
      </c>
      <c r="I1338">
        <v>5.75</v>
      </c>
      <c r="J1338">
        <v>14</v>
      </c>
      <c r="K1338">
        <v>2</v>
      </c>
      <c r="L1338">
        <v>1</v>
      </c>
      <c r="M1338">
        <v>0</v>
      </c>
      <c r="N1338">
        <v>0</v>
      </c>
    </row>
    <row r="1339" spans="1:14" x14ac:dyDescent="0.45">
      <c r="A1339" t="s">
        <v>180</v>
      </c>
      <c r="B1339" t="s">
        <v>663</v>
      </c>
      <c r="C1339" t="s">
        <v>13</v>
      </c>
      <c r="D1339" t="s">
        <v>347</v>
      </c>
      <c r="E1339">
        <v>2</v>
      </c>
      <c r="F1339">
        <v>0</v>
      </c>
      <c r="G1339">
        <v>19</v>
      </c>
      <c r="H1339">
        <v>0</v>
      </c>
      <c r="I1339">
        <v>9.5</v>
      </c>
      <c r="J1339">
        <v>4</v>
      </c>
      <c r="K1339">
        <v>2</v>
      </c>
      <c r="L1339">
        <v>1</v>
      </c>
      <c r="M1339">
        <v>0</v>
      </c>
      <c r="N1339">
        <v>0</v>
      </c>
    </row>
    <row r="1340" spans="1:14" x14ac:dyDescent="0.45">
      <c r="A1340" t="s">
        <v>180</v>
      </c>
      <c r="B1340" t="s">
        <v>663</v>
      </c>
      <c r="C1340" t="s">
        <v>19</v>
      </c>
      <c r="D1340" t="s">
        <v>546</v>
      </c>
      <c r="E1340">
        <v>4</v>
      </c>
      <c r="F1340">
        <v>1</v>
      </c>
      <c r="G1340">
        <v>29</v>
      </c>
      <c r="H1340">
        <v>0</v>
      </c>
      <c r="I1340">
        <v>7.25</v>
      </c>
      <c r="J1340">
        <v>11</v>
      </c>
      <c r="K1340">
        <v>3</v>
      </c>
      <c r="L1340">
        <v>1</v>
      </c>
      <c r="M1340">
        <v>1</v>
      </c>
      <c r="N1340">
        <v>0</v>
      </c>
    </row>
    <row r="1341" spans="1:14" x14ac:dyDescent="0.45">
      <c r="A1341" t="s">
        <v>180</v>
      </c>
      <c r="B1341" t="s">
        <v>663</v>
      </c>
      <c r="C1341" t="s">
        <v>19</v>
      </c>
      <c r="D1341" t="s">
        <v>392</v>
      </c>
      <c r="E1341">
        <v>4</v>
      </c>
      <c r="F1341">
        <v>0</v>
      </c>
      <c r="G1341">
        <v>30</v>
      </c>
      <c r="H1341">
        <v>1</v>
      </c>
      <c r="I1341">
        <v>7.5</v>
      </c>
      <c r="J1341">
        <v>10</v>
      </c>
      <c r="K1341">
        <v>0</v>
      </c>
      <c r="L1341">
        <v>3</v>
      </c>
      <c r="M1341">
        <v>0</v>
      </c>
      <c r="N1341">
        <v>0</v>
      </c>
    </row>
    <row r="1342" spans="1:14" x14ac:dyDescent="0.45">
      <c r="A1342" t="s">
        <v>180</v>
      </c>
      <c r="B1342" t="s">
        <v>663</v>
      </c>
      <c r="C1342" t="s">
        <v>19</v>
      </c>
      <c r="D1342" t="s">
        <v>369</v>
      </c>
      <c r="E1342">
        <v>4</v>
      </c>
      <c r="F1342">
        <v>0</v>
      </c>
      <c r="G1342">
        <v>31</v>
      </c>
      <c r="H1342">
        <v>0</v>
      </c>
      <c r="I1342">
        <v>7.75</v>
      </c>
      <c r="J1342">
        <v>8</v>
      </c>
      <c r="K1342">
        <v>1</v>
      </c>
      <c r="L1342">
        <v>1</v>
      </c>
      <c r="M1342">
        <v>0</v>
      </c>
      <c r="N1342">
        <v>0</v>
      </c>
    </row>
    <row r="1343" spans="1:14" x14ac:dyDescent="0.45">
      <c r="A1343" t="s">
        <v>180</v>
      </c>
      <c r="B1343" t="s">
        <v>663</v>
      </c>
      <c r="C1343" t="s">
        <v>19</v>
      </c>
      <c r="D1343" t="s">
        <v>473</v>
      </c>
      <c r="E1343">
        <v>3</v>
      </c>
      <c r="F1343">
        <v>0</v>
      </c>
      <c r="G1343">
        <v>26</v>
      </c>
      <c r="H1343">
        <v>0</v>
      </c>
      <c r="I1343">
        <v>8.66</v>
      </c>
      <c r="J1343">
        <v>8</v>
      </c>
      <c r="K1343">
        <v>3</v>
      </c>
      <c r="L1343">
        <v>1</v>
      </c>
      <c r="M1343">
        <v>1</v>
      </c>
      <c r="N1343">
        <v>0</v>
      </c>
    </row>
    <row r="1344" spans="1:14" x14ac:dyDescent="0.45">
      <c r="A1344" t="s">
        <v>180</v>
      </c>
      <c r="B1344" t="s">
        <v>663</v>
      </c>
      <c r="C1344" t="s">
        <v>19</v>
      </c>
      <c r="D1344" t="s">
        <v>362</v>
      </c>
      <c r="E1344">
        <v>3</v>
      </c>
      <c r="F1344">
        <v>0</v>
      </c>
      <c r="G1344">
        <v>24</v>
      </c>
      <c r="H1344">
        <v>0</v>
      </c>
      <c r="I1344">
        <v>8</v>
      </c>
      <c r="J1344">
        <v>3</v>
      </c>
      <c r="K1344">
        <v>1</v>
      </c>
      <c r="L1344">
        <v>1</v>
      </c>
      <c r="M1344">
        <v>1</v>
      </c>
      <c r="N1344">
        <v>0</v>
      </c>
    </row>
    <row r="1345" spans="1:14" x14ac:dyDescent="0.45">
      <c r="A1345" t="s">
        <v>180</v>
      </c>
      <c r="B1345" t="s">
        <v>663</v>
      </c>
      <c r="C1345" t="s">
        <v>19</v>
      </c>
      <c r="D1345" t="s">
        <v>501</v>
      </c>
      <c r="E1345">
        <v>0.3</v>
      </c>
      <c r="F1345">
        <v>0</v>
      </c>
      <c r="G1345">
        <v>8</v>
      </c>
      <c r="H1345">
        <v>1</v>
      </c>
      <c r="I1345">
        <v>16</v>
      </c>
      <c r="J1345">
        <v>1</v>
      </c>
      <c r="K1345">
        <v>2</v>
      </c>
      <c r="L1345">
        <v>0</v>
      </c>
      <c r="M1345">
        <v>0</v>
      </c>
      <c r="N1345">
        <v>0</v>
      </c>
    </row>
    <row r="1346" spans="1:14" x14ac:dyDescent="0.45">
      <c r="A1346" t="s">
        <v>181</v>
      </c>
      <c r="B1346" t="s">
        <v>682</v>
      </c>
      <c r="C1346" t="s">
        <v>20</v>
      </c>
      <c r="D1346" t="s">
        <v>409</v>
      </c>
      <c r="E1346">
        <v>4</v>
      </c>
      <c r="F1346">
        <v>0</v>
      </c>
      <c r="G1346">
        <v>36</v>
      </c>
      <c r="H1346">
        <v>1</v>
      </c>
      <c r="I1346">
        <v>9</v>
      </c>
      <c r="J1346">
        <v>9</v>
      </c>
      <c r="K1346">
        <v>3</v>
      </c>
      <c r="L1346">
        <v>0</v>
      </c>
      <c r="M1346">
        <v>4</v>
      </c>
      <c r="N1346">
        <v>0</v>
      </c>
    </row>
    <row r="1347" spans="1:14" x14ac:dyDescent="0.45">
      <c r="A1347" t="s">
        <v>181</v>
      </c>
      <c r="B1347" t="s">
        <v>682</v>
      </c>
      <c r="C1347" t="s">
        <v>20</v>
      </c>
      <c r="D1347" t="s">
        <v>484</v>
      </c>
      <c r="E1347">
        <v>4</v>
      </c>
      <c r="F1347">
        <v>0</v>
      </c>
      <c r="G1347">
        <v>30</v>
      </c>
      <c r="H1347">
        <v>1</v>
      </c>
      <c r="I1347">
        <v>7.5</v>
      </c>
      <c r="J1347">
        <v>11</v>
      </c>
      <c r="K1347">
        <v>4</v>
      </c>
      <c r="L1347">
        <v>0</v>
      </c>
      <c r="M1347">
        <v>0</v>
      </c>
      <c r="N1347">
        <v>0</v>
      </c>
    </row>
    <row r="1348" spans="1:14" x14ac:dyDescent="0.45">
      <c r="A1348" t="s">
        <v>181</v>
      </c>
      <c r="B1348" t="s">
        <v>682</v>
      </c>
      <c r="C1348" t="s">
        <v>20</v>
      </c>
      <c r="D1348" t="s">
        <v>467</v>
      </c>
      <c r="E1348">
        <v>4</v>
      </c>
      <c r="F1348">
        <v>0</v>
      </c>
      <c r="G1348">
        <v>21</v>
      </c>
      <c r="H1348">
        <v>2</v>
      </c>
      <c r="I1348">
        <v>5.25</v>
      </c>
      <c r="J1348">
        <v>7</v>
      </c>
      <c r="K1348">
        <v>1</v>
      </c>
      <c r="L1348">
        <v>0</v>
      </c>
      <c r="M1348">
        <v>0</v>
      </c>
      <c r="N1348">
        <v>0</v>
      </c>
    </row>
    <row r="1349" spans="1:14" x14ac:dyDescent="0.45">
      <c r="A1349" t="s">
        <v>181</v>
      </c>
      <c r="B1349" t="s">
        <v>682</v>
      </c>
      <c r="C1349" t="s">
        <v>20</v>
      </c>
      <c r="D1349" t="s">
        <v>483</v>
      </c>
      <c r="E1349">
        <v>4</v>
      </c>
      <c r="F1349">
        <v>0</v>
      </c>
      <c r="G1349">
        <v>30</v>
      </c>
      <c r="H1349">
        <v>2</v>
      </c>
      <c r="I1349">
        <v>7.5</v>
      </c>
      <c r="J1349">
        <v>6</v>
      </c>
      <c r="K1349">
        <v>2</v>
      </c>
      <c r="L1349">
        <v>1</v>
      </c>
      <c r="M1349">
        <v>1</v>
      </c>
      <c r="N1349">
        <v>0</v>
      </c>
    </row>
    <row r="1350" spans="1:14" x14ac:dyDescent="0.45">
      <c r="A1350" t="s">
        <v>181</v>
      </c>
      <c r="B1350" t="s">
        <v>682</v>
      </c>
      <c r="C1350" t="s">
        <v>20</v>
      </c>
      <c r="D1350" t="s">
        <v>382</v>
      </c>
      <c r="E1350">
        <v>3</v>
      </c>
      <c r="F1350">
        <v>0</v>
      </c>
      <c r="G1350">
        <v>29</v>
      </c>
      <c r="H1350">
        <v>0</v>
      </c>
      <c r="I1350">
        <v>9.66</v>
      </c>
      <c r="J1350">
        <v>8</v>
      </c>
      <c r="K1350">
        <v>4</v>
      </c>
      <c r="L1350">
        <v>1</v>
      </c>
      <c r="M1350">
        <v>0</v>
      </c>
      <c r="N1350">
        <v>0</v>
      </c>
    </row>
    <row r="1351" spans="1:14" x14ac:dyDescent="0.45">
      <c r="A1351" t="s">
        <v>181</v>
      </c>
      <c r="B1351" t="s">
        <v>682</v>
      </c>
      <c r="C1351" t="s">
        <v>20</v>
      </c>
      <c r="D1351" t="s">
        <v>401</v>
      </c>
      <c r="E1351">
        <v>1</v>
      </c>
      <c r="F1351">
        <v>0</v>
      </c>
      <c r="G1351">
        <v>8</v>
      </c>
      <c r="H1351">
        <v>1</v>
      </c>
      <c r="I1351">
        <v>8</v>
      </c>
      <c r="J1351">
        <v>3</v>
      </c>
      <c r="K1351">
        <v>0</v>
      </c>
      <c r="L1351">
        <v>1</v>
      </c>
      <c r="M1351">
        <v>0</v>
      </c>
      <c r="N1351">
        <v>0</v>
      </c>
    </row>
    <row r="1352" spans="1:14" x14ac:dyDescent="0.45">
      <c r="A1352" t="s">
        <v>181</v>
      </c>
      <c r="B1352" t="s">
        <v>682</v>
      </c>
      <c r="C1352" t="s">
        <v>6</v>
      </c>
      <c r="D1352" t="s">
        <v>509</v>
      </c>
      <c r="E1352">
        <v>4</v>
      </c>
      <c r="F1352">
        <v>0</v>
      </c>
      <c r="G1352">
        <v>30</v>
      </c>
      <c r="H1352">
        <v>1</v>
      </c>
      <c r="I1352">
        <v>7.5</v>
      </c>
      <c r="J1352">
        <v>11</v>
      </c>
      <c r="K1352">
        <v>2</v>
      </c>
      <c r="L1352">
        <v>2</v>
      </c>
      <c r="M1352">
        <v>0</v>
      </c>
      <c r="N1352">
        <v>0</v>
      </c>
    </row>
    <row r="1353" spans="1:14" x14ac:dyDescent="0.45">
      <c r="A1353" t="s">
        <v>181</v>
      </c>
      <c r="B1353" t="s">
        <v>682</v>
      </c>
      <c r="C1353" t="s">
        <v>6</v>
      </c>
      <c r="D1353" t="s">
        <v>523</v>
      </c>
      <c r="E1353">
        <v>4</v>
      </c>
      <c r="F1353">
        <v>0</v>
      </c>
      <c r="G1353">
        <v>31</v>
      </c>
      <c r="H1353">
        <v>0</v>
      </c>
      <c r="I1353">
        <v>7.75</v>
      </c>
      <c r="J1353">
        <v>8</v>
      </c>
      <c r="K1353">
        <v>3</v>
      </c>
      <c r="L1353">
        <v>1</v>
      </c>
      <c r="M1353">
        <v>0</v>
      </c>
      <c r="N1353">
        <v>0</v>
      </c>
    </row>
    <row r="1354" spans="1:14" x14ac:dyDescent="0.45">
      <c r="A1354" t="s">
        <v>181</v>
      </c>
      <c r="B1354" t="s">
        <v>682</v>
      </c>
      <c r="C1354" t="s">
        <v>6</v>
      </c>
      <c r="D1354" t="s">
        <v>406</v>
      </c>
      <c r="E1354">
        <v>3</v>
      </c>
      <c r="F1354">
        <v>0</v>
      </c>
      <c r="G1354">
        <v>34</v>
      </c>
      <c r="H1354">
        <v>0</v>
      </c>
      <c r="I1354">
        <v>11.33</v>
      </c>
      <c r="J1354">
        <v>5</v>
      </c>
      <c r="K1354">
        <v>3</v>
      </c>
      <c r="L1354">
        <v>2</v>
      </c>
      <c r="M1354">
        <v>0</v>
      </c>
      <c r="N1354">
        <v>1</v>
      </c>
    </row>
    <row r="1355" spans="1:14" x14ac:dyDescent="0.45">
      <c r="A1355" t="s">
        <v>181</v>
      </c>
      <c r="B1355" t="s">
        <v>682</v>
      </c>
      <c r="C1355" t="s">
        <v>6</v>
      </c>
      <c r="D1355" t="s">
        <v>328</v>
      </c>
      <c r="E1355">
        <v>3</v>
      </c>
      <c r="F1355">
        <v>0</v>
      </c>
      <c r="G1355">
        <v>21</v>
      </c>
      <c r="H1355">
        <v>0</v>
      </c>
      <c r="I1355">
        <v>7</v>
      </c>
      <c r="J1355">
        <v>4</v>
      </c>
      <c r="K1355">
        <v>1</v>
      </c>
      <c r="L1355">
        <v>0</v>
      </c>
      <c r="M1355">
        <v>0</v>
      </c>
      <c r="N1355">
        <v>0</v>
      </c>
    </row>
    <row r="1356" spans="1:14" x14ac:dyDescent="0.45">
      <c r="A1356" t="s">
        <v>181</v>
      </c>
      <c r="B1356" t="s">
        <v>682</v>
      </c>
      <c r="C1356" t="s">
        <v>6</v>
      </c>
      <c r="D1356" t="s">
        <v>299</v>
      </c>
      <c r="E1356">
        <v>1</v>
      </c>
      <c r="F1356">
        <v>0</v>
      </c>
      <c r="G1356">
        <v>10</v>
      </c>
      <c r="H1356">
        <v>0</v>
      </c>
      <c r="I1356">
        <v>10</v>
      </c>
      <c r="J1356">
        <v>1</v>
      </c>
      <c r="K1356">
        <v>0</v>
      </c>
      <c r="L1356">
        <v>1</v>
      </c>
      <c r="M1356">
        <v>0</v>
      </c>
      <c r="N1356">
        <v>0</v>
      </c>
    </row>
    <row r="1357" spans="1:14" x14ac:dyDescent="0.45">
      <c r="A1357" t="s">
        <v>181</v>
      </c>
      <c r="B1357" t="s">
        <v>682</v>
      </c>
      <c r="C1357" t="s">
        <v>6</v>
      </c>
      <c r="D1357" t="s">
        <v>327</v>
      </c>
      <c r="E1357">
        <v>2.4</v>
      </c>
      <c r="F1357">
        <v>0</v>
      </c>
      <c r="G1357">
        <v>29</v>
      </c>
      <c r="H1357">
        <v>1</v>
      </c>
      <c r="I1357">
        <v>10.87</v>
      </c>
      <c r="J1357">
        <v>4</v>
      </c>
      <c r="K1357">
        <v>4</v>
      </c>
      <c r="L1357">
        <v>0</v>
      </c>
      <c r="M1357">
        <v>3</v>
      </c>
      <c r="N1357">
        <v>0</v>
      </c>
    </row>
    <row r="1358" spans="1:14" x14ac:dyDescent="0.45">
      <c r="A1358" t="s">
        <v>182</v>
      </c>
      <c r="B1358" t="s">
        <v>692</v>
      </c>
      <c r="C1358" t="s">
        <v>101</v>
      </c>
      <c r="D1358" t="s">
        <v>403</v>
      </c>
      <c r="E1358">
        <v>4</v>
      </c>
      <c r="F1358">
        <v>0</v>
      </c>
      <c r="G1358">
        <v>36</v>
      </c>
      <c r="H1358">
        <v>1</v>
      </c>
      <c r="I1358">
        <v>9</v>
      </c>
      <c r="J1358">
        <v>11</v>
      </c>
      <c r="K1358">
        <v>4</v>
      </c>
      <c r="L1358">
        <v>2</v>
      </c>
      <c r="M1358">
        <v>0</v>
      </c>
      <c r="N1358">
        <v>0</v>
      </c>
    </row>
    <row r="1359" spans="1:14" x14ac:dyDescent="0.45">
      <c r="A1359" t="s">
        <v>182</v>
      </c>
      <c r="B1359" t="s">
        <v>692</v>
      </c>
      <c r="C1359" t="s">
        <v>101</v>
      </c>
      <c r="D1359" t="s">
        <v>361</v>
      </c>
      <c r="E1359">
        <v>4</v>
      </c>
      <c r="F1359">
        <v>0</v>
      </c>
      <c r="G1359">
        <v>36</v>
      </c>
      <c r="H1359">
        <v>1</v>
      </c>
      <c r="I1359">
        <v>9</v>
      </c>
      <c r="J1359">
        <v>10</v>
      </c>
      <c r="K1359">
        <v>4</v>
      </c>
      <c r="L1359">
        <v>1</v>
      </c>
      <c r="M1359">
        <v>1</v>
      </c>
      <c r="N1359">
        <v>0</v>
      </c>
    </row>
    <row r="1360" spans="1:14" x14ac:dyDescent="0.45">
      <c r="A1360" t="s">
        <v>182</v>
      </c>
      <c r="B1360" t="s">
        <v>692</v>
      </c>
      <c r="C1360" t="s">
        <v>101</v>
      </c>
      <c r="D1360" t="s">
        <v>317</v>
      </c>
      <c r="E1360">
        <v>4</v>
      </c>
      <c r="F1360">
        <v>0</v>
      </c>
      <c r="G1360">
        <v>33</v>
      </c>
      <c r="H1360">
        <v>1</v>
      </c>
      <c r="I1360">
        <v>8.25</v>
      </c>
      <c r="J1360">
        <v>10</v>
      </c>
      <c r="K1360">
        <v>5</v>
      </c>
      <c r="L1360">
        <v>0</v>
      </c>
      <c r="M1360">
        <v>1</v>
      </c>
      <c r="N1360">
        <v>0</v>
      </c>
    </row>
    <row r="1361" spans="1:14" x14ac:dyDescent="0.45">
      <c r="A1361" t="s">
        <v>182</v>
      </c>
      <c r="B1361" t="s">
        <v>692</v>
      </c>
      <c r="C1361" t="s">
        <v>101</v>
      </c>
      <c r="D1361" t="s">
        <v>379</v>
      </c>
      <c r="E1361">
        <v>4</v>
      </c>
      <c r="F1361">
        <v>0</v>
      </c>
      <c r="G1361">
        <v>22</v>
      </c>
      <c r="H1361">
        <v>3</v>
      </c>
      <c r="I1361">
        <v>5.5</v>
      </c>
      <c r="J1361">
        <v>10</v>
      </c>
      <c r="K1361">
        <v>0</v>
      </c>
      <c r="L1361">
        <v>1</v>
      </c>
      <c r="M1361">
        <v>0</v>
      </c>
      <c r="N1361">
        <v>0</v>
      </c>
    </row>
    <row r="1362" spans="1:14" x14ac:dyDescent="0.45">
      <c r="A1362" t="s">
        <v>182</v>
      </c>
      <c r="B1362" t="s">
        <v>692</v>
      </c>
      <c r="C1362" t="s">
        <v>101</v>
      </c>
      <c r="D1362" t="s">
        <v>548</v>
      </c>
      <c r="E1362">
        <v>3</v>
      </c>
      <c r="F1362">
        <v>0</v>
      </c>
      <c r="G1362">
        <v>37</v>
      </c>
      <c r="H1362">
        <v>2</v>
      </c>
      <c r="I1362">
        <v>12.33</v>
      </c>
      <c r="J1362">
        <v>4</v>
      </c>
      <c r="K1362">
        <v>4</v>
      </c>
      <c r="L1362">
        <v>2</v>
      </c>
      <c r="M1362">
        <v>1</v>
      </c>
      <c r="N1362">
        <v>0</v>
      </c>
    </row>
    <row r="1363" spans="1:14" x14ac:dyDescent="0.45">
      <c r="A1363" t="s">
        <v>182</v>
      </c>
      <c r="B1363" t="s">
        <v>692</v>
      </c>
      <c r="C1363" t="s">
        <v>101</v>
      </c>
      <c r="D1363" t="s">
        <v>390</v>
      </c>
      <c r="E1363">
        <v>1</v>
      </c>
      <c r="F1363">
        <v>0</v>
      </c>
      <c r="G1363">
        <v>24</v>
      </c>
      <c r="H1363">
        <v>0</v>
      </c>
      <c r="I1363">
        <v>24</v>
      </c>
      <c r="J1363">
        <v>0</v>
      </c>
      <c r="K1363">
        <v>1</v>
      </c>
      <c r="L1363">
        <v>3</v>
      </c>
      <c r="M1363">
        <v>0</v>
      </c>
      <c r="N1363">
        <v>0</v>
      </c>
    </row>
    <row r="1364" spans="1:14" x14ac:dyDescent="0.45">
      <c r="A1364" t="s">
        <v>182</v>
      </c>
      <c r="B1364" t="s">
        <v>692</v>
      </c>
      <c r="C1364" t="s">
        <v>26</v>
      </c>
      <c r="D1364" t="s">
        <v>542</v>
      </c>
      <c r="E1364">
        <v>4</v>
      </c>
      <c r="F1364">
        <v>0</v>
      </c>
      <c r="G1364">
        <v>34</v>
      </c>
      <c r="H1364">
        <v>0</v>
      </c>
      <c r="I1364">
        <v>8.5</v>
      </c>
      <c r="J1364">
        <v>5</v>
      </c>
      <c r="K1364">
        <v>5</v>
      </c>
      <c r="L1364">
        <v>0</v>
      </c>
      <c r="M1364">
        <v>0</v>
      </c>
      <c r="N1364">
        <v>0</v>
      </c>
    </row>
    <row r="1365" spans="1:14" x14ac:dyDescent="0.45">
      <c r="A1365" t="s">
        <v>182</v>
      </c>
      <c r="B1365" t="s">
        <v>692</v>
      </c>
      <c r="C1365" t="s">
        <v>26</v>
      </c>
      <c r="D1365" t="s">
        <v>405</v>
      </c>
      <c r="E1365">
        <v>4</v>
      </c>
      <c r="F1365">
        <v>0</v>
      </c>
      <c r="G1365">
        <v>31</v>
      </c>
      <c r="H1365">
        <v>0</v>
      </c>
      <c r="I1365">
        <v>7.75</v>
      </c>
      <c r="J1365">
        <v>10</v>
      </c>
      <c r="K1365">
        <v>5</v>
      </c>
      <c r="L1365">
        <v>0</v>
      </c>
      <c r="M1365">
        <v>1</v>
      </c>
      <c r="N1365">
        <v>0</v>
      </c>
    </row>
    <row r="1366" spans="1:14" x14ac:dyDescent="0.45">
      <c r="A1366" t="s">
        <v>182</v>
      </c>
      <c r="B1366" t="s">
        <v>692</v>
      </c>
      <c r="C1366" t="s">
        <v>26</v>
      </c>
      <c r="D1366" t="s">
        <v>341</v>
      </c>
      <c r="E1366">
        <v>4</v>
      </c>
      <c r="F1366">
        <v>0</v>
      </c>
      <c r="G1366">
        <v>35</v>
      </c>
      <c r="H1366">
        <v>2</v>
      </c>
      <c r="I1366">
        <v>8.75</v>
      </c>
      <c r="J1366">
        <v>7</v>
      </c>
      <c r="K1366">
        <v>5</v>
      </c>
      <c r="L1366">
        <v>0</v>
      </c>
      <c r="M1366">
        <v>0</v>
      </c>
      <c r="N1366">
        <v>1</v>
      </c>
    </row>
    <row r="1367" spans="1:14" x14ac:dyDescent="0.45">
      <c r="A1367" t="s">
        <v>182</v>
      </c>
      <c r="B1367" t="s">
        <v>692</v>
      </c>
      <c r="C1367" t="s">
        <v>26</v>
      </c>
      <c r="D1367" t="s">
        <v>435</v>
      </c>
      <c r="E1367">
        <v>4</v>
      </c>
      <c r="F1367">
        <v>0</v>
      </c>
      <c r="G1367">
        <v>41</v>
      </c>
      <c r="H1367">
        <v>1</v>
      </c>
      <c r="I1367">
        <v>10.25</v>
      </c>
      <c r="J1367">
        <v>6</v>
      </c>
      <c r="K1367">
        <v>3</v>
      </c>
      <c r="L1367">
        <v>1</v>
      </c>
      <c r="M1367">
        <v>1</v>
      </c>
      <c r="N1367">
        <v>0</v>
      </c>
    </row>
    <row r="1368" spans="1:14" x14ac:dyDescent="0.45">
      <c r="A1368" t="s">
        <v>182</v>
      </c>
      <c r="B1368" t="s">
        <v>692</v>
      </c>
      <c r="C1368" t="s">
        <v>26</v>
      </c>
      <c r="D1368" t="s">
        <v>543</v>
      </c>
      <c r="E1368">
        <v>3</v>
      </c>
      <c r="F1368">
        <v>0</v>
      </c>
      <c r="G1368">
        <v>35</v>
      </c>
      <c r="H1368">
        <v>0</v>
      </c>
      <c r="I1368">
        <v>11.66</v>
      </c>
      <c r="J1368">
        <v>5</v>
      </c>
      <c r="K1368">
        <v>2</v>
      </c>
      <c r="L1368">
        <v>3</v>
      </c>
      <c r="M1368">
        <v>1</v>
      </c>
      <c r="N1368">
        <v>0</v>
      </c>
    </row>
    <row r="1369" spans="1:14" x14ac:dyDescent="0.45">
      <c r="A1369" t="s">
        <v>182</v>
      </c>
      <c r="B1369" t="s">
        <v>692</v>
      </c>
      <c r="C1369" t="s">
        <v>26</v>
      </c>
      <c r="D1369" t="s">
        <v>384</v>
      </c>
      <c r="E1369">
        <v>1</v>
      </c>
      <c r="F1369">
        <v>0</v>
      </c>
      <c r="G1369">
        <v>12</v>
      </c>
      <c r="H1369">
        <v>0</v>
      </c>
      <c r="I1369">
        <v>12</v>
      </c>
      <c r="J1369">
        <v>1</v>
      </c>
      <c r="K1369">
        <v>2</v>
      </c>
      <c r="L1369">
        <v>0</v>
      </c>
      <c r="M1369">
        <v>0</v>
      </c>
      <c r="N1369">
        <v>0</v>
      </c>
    </row>
    <row r="1370" spans="1:14" x14ac:dyDescent="0.45">
      <c r="A1370" t="s">
        <v>183</v>
      </c>
      <c r="B1370" t="s">
        <v>693</v>
      </c>
      <c r="C1370" t="s">
        <v>104</v>
      </c>
      <c r="D1370" t="s">
        <v>378</v>
      </c>
      <c r="E1370">
        <v>4</v>
      </c>
      <c r="F1370">
        <v>0</v>
      </c>
      <c r="G1370">
        <v>30</v>
      </c>
      <c r="H1370">
        <v>0</v>
      </c>
      <c r="I1370">
        <v>7.5</v>
      </c>
      <c r="J1370">
        <v>8</v>
      </c>
      <c r="K1370">
        <v>1</v>
      </c>
      <c r="L1370">
        <v>1</v>
      </c>
      <c r="M1370">
        <v>3</v>
      </c>
      <c r="N1370">
        <v>0</v>
      </c>
    </row>
    <row r="1371" spans="1:14" x14ac:dyDescent="0.45">
      <c r="A1371" t="s">
        <v>183</v>
      </c>
      <c r="B1371" t="s">
        <v>693</v>
      </c>
      <c r="C1371" t="s">
        <v>104</v>
      </c>
      <c r="D1371" t="s">
        <v>516</v>
      </c>
      <c r="E1371">
        <v>4</v>
      </c>
      <c r="F1371">
        <v>1</v>
      </c>
      <c r="G1371">
        <v>23</v>
      </c>
      <c r="H1371">
        <v>1</v>
      </c>
      <c r="I1371">
        <v>5.75</v>
      </c>
      <c r="J1371">
        <v>15</v>
      </c>
      <c r="K1371">
        <v>3</v>
      </c>
      <c r="L1371">
        <v>1</v>
      </c>
      <c r="M1371">
        <v>0</v>
      </c>
      <c r="N1371">
        <v>0</v>
      </c>
    </row>
    <row r="1372" spans="1:14" x14ac:dyDescent="0.45">
      <c r="A1372" t="s">
        <v>183</v>
      </c>
      <c r="B1372" t="s">
        <v>693</v>
      </c>
      <c r="C1372" t="s">
        <v>104</v>
      </c>
      <c r="D1372" t="s">
        <v>340</v>
      </c>
      <c r="E1372">
        <v>3</v>
      </c>
      <c r="F1372">
        <v>0</v>
      </c>
      <c r="G1372">
        <v>32</v>
      </c>
      <c r="H1372">
        <v>0</v>
      </c>
      <c r="I1372">
        <v>10.66</v>
      </c>
      <c r="J1372">
        <v>5</v>
      </c>
      <c r="K1372">
        <v>6</v>
      </c>
      <c r="L1372">
        <v>0</v>
      </c>
      <c r="M1372">
        <v>0</v>
      </c>
      <c r="N1372">
        <v>0</v>
      </c>
    </row>
    <row r="1373" spans="1:14" x14ac:dyDescent="0.45">
      <c r="A1373" t="s">
        <v>183</v>
      </c>
      <c r="B1373" t="s">
        <v>693</v>
      </c>
      <c r="C1373" t="s">
        <v>104</v>
      </c>
      <c r="D1373" t="s">
        <v>407</v>
      </c>
      <c r="E1373">
        <v>4</v>
      </c>
      <c r="F1373">
        <v>0</v>
      </c>
      <c r="G1373">
        <v>22</v>
      </c>
      <c r="H1373">
        <v>2</v>
      </c>
      <c r="I1373">
        <v>5.5</v>
      </c>
      <c r="J1373">
        <v>12</v>
      </c>
      <c r="K1373">
        <v>3</v>
      </c>
      <c r="L1373">
        <v>0</v>
      </c>
      <c r="M1373">
        <v>0</v>
      </c>
      <c r="N1373">
        <v>0</v>
      </c>
    </row>
    <row r="1374" spans="1:14" x14ac:dyDescent="0.45">
      <c r="A1374" t="s">
        <v>183</v>
      </c>
      <c r="B1374" t="s">
        <v>693</v>
      </c>
      <c r="C1374" t="s">
        <v>104</v>
      </c>
      <c r="D1374" t="s">
        <v>551</v>
      </c>
      <c r="E1374">
        <v>3</v>
      </c>
      <c r="F1374">
        <v>0</v>
      </c>
      <c r="G1374">
        <v>28</v>
      </c>
      <c r="H1374">
        <v>0</v>
      </c>
      <c r="I1374">
        <v>9.33</v>
      </c>
      <c r="J1374">
        <v>8</v>
      </c>
      <c r="K1374">
        <v>2</v>
      </c>
      <c r="L1374">
        <v>2</v>
      </c>
      <c r="M1374">
        <v>1</v>
      </c>
      <c r="N1374">
        <v>0</v>
      </c>
    </row>
    <row r="1375" spans="1:14" x14ac:dyDescent="0.45">
      <c r="A1375" t="s">
        <v>183</v>
      </c>
      <c r="B1375" t="s">
        <v>693</v>
      </c>
      <c r="C1375" t="s">
        <v>104</v>
      </c>
      <c r="D1375" t="s">
        <v>366</v>
      </c>
      <c r="E1375">
        <v>2</v>
      </c>
      <c r="F1375">
        <v>0</v>
      </c>
      <c r="G1375">
        <v>12</v>
      </c>
      <c r="H1375">
        <v>0</v>
      </c>
      <c r="I1375">
        <v>6</v>
      </c>
      <c r="J1375">
        <v>2</v>
      </c>
      <c r="K1375">
        <v>0</v>
      </c>
      <c r="L1375">
        <v>0</v>
      </c>
      <c r="M1375">
        <v>0</v>
      </c>
      <c r="N1375">
        <v>0</v>
      </c>
    </row>
    <row r="1376" spans="1:14" x14ac:dyDescent="0.45">
      <c r="A1376" t="s">
        <v>183</v>
      </c>
      <c r="B1376" t="s">
        <v>693</v>
      </c>
      <c r="C1376" t="s">
        <v>10</v>
      </c>
      <c r="D1376" t="s">
        <v>396</v>
      </c>
      <c r="E1376">
        <v>4</v>
      </c>
      <c r="F1376">
        <v>0</v>
      </c>
      <c r="G1376">
        <v>26</v>
      </c>
      <c r="H1376">
        <v>0</v>
      </c>
      <c r="I1376">
        <v>6.5</v>
      </c>
      <c r="J1376">
        <v>8</v>
      </c>
      <c r="K1376">
        <v>0</v>
      </c>
      <c r="L1376">
        <v>1</v>
      </c>
      <c r="M1376">
        <v>2</v>
      </c>
      <c r="N1376">
        <v>0</v>
      </c>
    </row>
    <row r="1377" spans="1:14" x14ac:dyDescent="0.45">
      <c r="A1377" t="s">
        <v>183</v>
      </c>
      <c r="B1377" t="s">
        <v>693</v>
      </c>
      <c r="C1377" t="s">
        <v>10</v>
      </c>
      <c r="D1377" t="s">
        <v>436</v>
      </c>
      <c r="E1377">
        <v>4</v>
      </c>
      <c r="F1377">
        <v>0</v>
      </c>
      <c r="G1377">
        <v>21</v>
      </c>
      <c r="H1377">
        <v>1</v>
      </c>
      <c r="I1377">
        <v>5.25</v>
      </c>
      <c r="J1377">
        <v>10</v>
      </c>
      <c r="K1377">
        <v>1</v>
      </c>
      <c r="L1377">
        <v>0</v>
      </c>
      <c r="M1377">
        <v>0</v>
      </c>
      <c r="N1377">
        <v>0</v>
      </c>
    </row>
    <row r="1378" spans="1:14" x14ac:dyDescent="0.45">
      <c r="A1378" t="s">
        <v>183</v>
      </c>
      <c r="B1378" t="s">
        <v>693</v>
      </c>
      <c r="C1378" t="s">
        <v>10</v>
      </c>
      <c r="D1378" t="s">
        <v>326</v>
      </c>
      <c r="E1378">
        <v>3.4</v>
      </c>
      <c r="F1378">
        <v>0</v>
      </c>
      <c r="G1378">
        <v>29</v>
      </c>
      <c r="H1378">
        <v>1</v>
      </c>
      <c r="I1378">
        <v>7.9</v>
      </c>
      <c r="J1378">
        <v>9</v>
      </c>
      <c r="K1378">
        <v>3</v>
      </c>
      <c r="L1378">
        <v>1</v>
      </c>
      <c r="M1378">
        <v>0</v>
      </c>
      <c r="N1378">
        <v>0</v>
      </c>
    </row>
    <row r="1379" spans="1:14" x14ac:dyDescent="0.45">
      <c r="A1379" t="s">
        <v>183</v>
      </c>
      <c r="B1379" t="s">
        <v>693</v>
      </c>
      <c r="C1379" t="s">
        <v>10</v>
      </c>
      <c r="D1379" t="s">
        <v>338</v>
      </c>
      <c r="E1379">
        <v>2.2000000000000002</v>
      </c>
      <c r="F1379">
        <v>0</v>
      </c>
      <c r="G1379">
        <v>35</v>
      </c>
      <c r="H1379">
        <v>0</v>
      </c>
      <c r="I1379">
        <v>15</v>
      </c>
      <c r="J1379">
        <v>2</v>
      </c>
      <c r="K1379">
        <v>3</v>
      </c>
      <c r="L1379">
        <v>2</v>
      </c>
      <c r="M1379">
        <v>0</v>
      </c>
      <c r="N1379">
        <v>2</v>
      </c>
    </row>
    <row r="1380" spans="1:14" x14ac:dyDescent="0.45">
      <c r="A1380" t="s">
        <v>183</v>
      </c>
      <c r="B1380" t="s">
        <v>693</v>
      </c>
      <c r="C1380" t="s">
        <v>10</v>
      </c>
      <c r="D1380" t="s">
        <v>337</v>
      </c>
      <c r="E1380">
        <v>2</v>
      </c>
      <c r="F1380">
        <v>0</v>
      </c>
      <c r="G1380">
        <v>11</v>
      </c>
      <c r="H1380">
        <v>0</v>
      </c>
      <c r="I1380">
        <v>5.5</v>
      </c>
      <c r="J1380">
        <v>5</v>
      </c>
      <c r="K1380">
        <v>1</v>
      </c>
      <c r="L1380">
        <v>0</v>
      </c>
      <c r="M1380">
        <v>0</v>
      </c>
      <c r="N1380">
        <v>0</v>
      </c>
    </row>
    <row r="1381" spans="1:14" x14ac:dyDescent="0.45">
      <c r="A1381" t="s">
        <v>183</v>
      </c>
      <c r="B1381" t="s">
        <v>693</v>
      </c>
      <c r="C1381" t="s">
        <v>10</v>
      </c>
      <c r="D1381" t="s">
        <v>500</v>
      </c>
      <c r="E1381">
        <v>3.4</v>
      </c>
      <c r="F1381">
        <v>0</v>
      </c>
      <c r="G1381">
        <v>31</v>
      </c>
      <c r="H1381">
        <v>2</v>
      </c>
      <c r="I1381">
        <v>8.4499999999999993</v>
      </c>
      <c r="J1381">
        <v>6</v>
      </c>
      <c r="K1381">
        <v>3</v>
      </c>
      <c r="L1381">
        <v>1</v>
      </c>
      <c r="M1381">
        <v>0</v>
      </c>
      <c r="N1381">
        <v>0</v>
      </c>
    </row>
    <row r="1382" spans="1:14" x14ac:dyDescent="0.45">
      <c r="A1382" t="s">
        <v>184</v>
      </c>
      <c r="B1382" t="s">
        <v>648</v>
      </c>
      <c r="C1382" t="s">
        <v>7</v>
      </c>
      <c r="D1382" t="s">
        <v>515</v>
      </c>
      <c r="E1382">
        <v>4</v>
      </c>
      <c r="F1382">
        <v>0</v>
      </c>
      <c r="G1382">
        <v>25</v>
      </c>
      <c r="H1382">
        <v>1</v>
      </c>
      <c r="I1382">
        <v>6.25</v>
      </c>
      <c r="J1382">
        <v>12</v>
      </c>
      <c r="K1382">
        <v>2</v>
      </c>
      <c r="L1382">
        <v>1</v>
      </c>
      <c r="M1382">
        <v>0</v>
      </c>
      <c r="N1382">
        <v>0</v>
      </c>
    </row>
    <row r="1383" spans="1:14" x14ac:dyDescent="0.45">
      <c r="A1383" t="s">
        <v>184</v>
      </c>
      <c r="B1383" t="s">
        <v>648</v>
      </c>
      <c r="C1383" t="s">
        <v>7</v>
      </c>
      <c r="D1383" t="s">
        <v>549</v>
      </c>
      <c r="E1383">
        <v>3</v>
      </c>
      <c r="F1383">
        <v>0</v>
      </c>
      <c r="G1383">
        <v>18</v>
      </c>
      <c r="H1383">
        <v>0</v>
      </c>
      <c r="I1383">
        <v>6</v>
      </c>
      <c r="J1383">
        <v>6</v>
      </c>
      <c r="K1383">
        <v>2</v>
      </c>
      <c r="L1383">
        <v>0</v>
      </c>
      <c r="M1383">
        <v>0</v>
      </c>
      <c r="N1383">
        <v>0</v>
      </c>
    </row>
    <row r="1384" spans="1:14" x14ac:dyDescent="0.45">
      <c r="A1384" t="s">
        <v>184</v>
      </c>
      <c r="B1384" t="s">
        <v>648</v>
      </c>
      <c r="C1384" t="s">
        <v>7</v>
      </c>
      <c r="D1384" t="s">
        <v>465</v>
      </c>
      <c r="E1384">
        <v>4</v>
      </c>
      <c r="F1384">
        <v>0</v>
      </c>
      <c r="G1384">
        <v>49</v>
      </c>
      <c r="H1384">
        <v>2</v>
      </c>
      <c r="I1384">
        <v>12.25</v>
      </c>
      <c r="J1384">
        <v>9</v>
      </c>
      <c r="K1384">
        <v>2</v>
      </c>
      <c r="L1384">
        <v>5</v>
      </c>
      <c r="M1384">
        <v>1</v>
      </c>
      <c r="N1384">
        <v>0</v>
      </c>
    </row>
    <row r="1385" spans="1:14" x14ac:dyDescent="0.45">
      <c r="A1385" t="s">
        <v>184</v>
      </c>
      <c r="B1385" t="s">
        <v>648</v>
      </c>
      <c r="C1385" t="s">
        <v>7</v>
      </c>
      <c r="D1385" t="s">
        <v>308</v>
      </c>
      <c r="E1385">
        <v>4</v>
      </c>
      <c r="F1385">
        <v>0</v>
      </c>
      <c r="G1385">
        <v>26</v>
      </c>
      <c r="H1385">
        <v>0</v>
      </c>
      <c r="I1385">
        <v>6.5</v>
      </c>
      <c r="J1385">
        <v>8</v>
      </c>
      <c r="K1385">
        <v>1</v>
      </c>
      <c r="L1385">
        <v>1</v>
      </c>
      <c r="M1385">
        <v>0</v>
      </c>
      <c r="N1385">
        <v>0</v>
      </c>
    </row>
    <row r="1386" spans="1:14" x14ac:dyDescent="0.45">
      <c r="A1386" t="s">
        <v>184</v>
      </c>
      <c r="B1386" t="s">
        <v>648</v>
      </c>
      <c r="C1386" t="s">
        <v>7</v>
      </c>
      <c r="D1386" t="s">
        <v>322</v>
      </c>
      <c r="E1386">
        <v>4</v>
      </c>
      <c r="F1386">
        <v>0</v>
      </c>
      <c r="G1386">
        <v>32</v>
      </c>
      <c r="H1386">
        <v>1</v>
      </c>
      <c r="I1386">
        <v>8</v>
      </c>
      <c r="J1386">
        <v>8</v>
      </c>
      <c r="K1386">
        <v>2</v>
      </c>
      <c r="L1386">
        <v>2</v>
      </c>
      <c r="M1386">
        <v>0</v>
      </c>
      <c r="N1386">
        <v>0</v>
      </c>
    </row>
    <row r="1387" spans="1:14" x14ac:dyDescent="0.45">
      <c r="A1387" t="s">
        <v>184</v>
      </c>
      <c r="B1387" t="s">
        <v>648</v>
      </c>
      <c r="C1387" t="s">
        <v>7</v>
      </c>
      <c r="D1387" t="s">
        <v>440</v>
      </c>
      <c r="E1387">
        <v>1</v>
      </c>
      <c r="F1387">
        <v>0</v>
      </c>
      <c r="G1387">
        <v>9</v>
      </c>
      <c r="H1387">
        <v>0</v>
      </c>
      <c r="I1387">
        <v>9</v>
      </c>
      <c r="J1387">
        <v>3</v>
      </c>
      <c r="K1387">
        <v>2</v>
      </c>
      <c r="L1387">
        <v>0</v>
      </c>
      <c r="M1387">
        <v>0</v>
      </c>
      <c r="N1387">
        <v>0</v>
      </c>
    </row>
    <row r="1388" spans="1:14" x14ac:dyDescent="0.45">
      <c r="A1388" t="s">
        <v>184</v>
      </c>
      <c r="B1388" t="s">
        <v>648</v>
      </c>
      <c r="C1388" t="s">
        <v>19</v>
      </c>
      <c r="D1388" t="s">
        <v>546</v>
      </c>
      <c r="E1388">
        <v>3</v>
      </c>
      <c r="F1388">
        <v>0</v>
      </c>
      <c r="G1388">
        <v>15</v>
      </c>
      <c r="H1388">
        <v>0</v>
      </c>
      <c r="I1388">
        <v>5</v>
      </c>
      <c r="J1388">
        <v>11</v>
      </c>
      <c r="K1388">
        <v>1</v>
      </c>
      <c r="L1388">
        <v>1</v>
      </c>
      <c r="M1388">
        <v>0</v>
      </c>
      <c r="N1388">
        <v>0</v>
      </c>
    </row>
    <row r="1389" spans="1:14" x14ac:dyDescent="0.45">
      <c r="A1389" t="s">
        <v>184</v>
      </c>
      <c r="B1389" t="s">
        <v>648</v>
      </c>
      <c r="C1389" t="s">
        <v>19</v>
      </c>
      <c r="D1389" t="s">
        <v>464</v>
      </c>
      <c r="E1389">
        <v>3</v>
      </c>
      <c r="F1389">
        <v>0</v>
      </c>
      <c r="G1389">
        <v>50</v>
      </c>
      <c r="H1389">
        <v>1</v>
      </c>
      <c r="I1389">
        <v>16.66</v>
      </c>
      <c r="J1389">
        <v>4</v>
      </c>
      <c r="K1389">
        <v>4</v>
      </c>
      <c r="L1389">
        <v>4</v>
      </c>
      <c r="M1389">
        <v>0</v>
      </c>
      <c r="N1389">
        <v>1</v>
      </c>
    </row>
    <row r="1390" spans="1:14" x14ac:dyDescent="0.45">
      <c r="A1390" t="s">
        <v>184</v>
      </c>
      <c r="B1390" t="s">
        <v>648</v>
      </c>
      <c r="C1390" t="s">
        <v>19</v>
      </c>
      <c r="D1390" t="s">
        <v>369</v>
      </c>
      <c r="E1390">
        <v>3</v>
      </c>
      <c r="F1390">
        <v>0</v>
      </c>
      <c r="G1390">
        <v>26</v>
      </c>
      <c r="H1390">
        <v>0</v>
      </c>
      <c r="I1390">
        <v>8.66</v>
      </c>
      <c r="J1390">
        <v>7</v>
      </c>
      <c r="K1390">
        <v>3</v>
      </c>
      <c r="L1390">
        <v>1</v>
      </c>
      <c r="M1390">
        <v>0</v>
      </c>
      <c r="N1390">
        <v>0</v>
      </c>
    </row>
    <row r="1391" spans="1:14" x14ac:dyDescent="0.45">
      <c r="A1391" t="s">
        <v>184</v>
      </c>
      <c r="B1391" t="s">
        <v>648</v>
      </c>
      <c r="C1391" t="s">
        <v>19</v>
      </c>
      <c r="D1391" t="s">
        <v>544</v>
      </c>
      <c r="E1391">
        <v>3</v>
      </c>
      <c r="F1391">
        <v>0</v>
      </c>
      <c r="G1391">
        <v>38</v>
      </c>
      <c r="H1391">
        <v>2</v>
      </c>
      <c r="I1391">
        <v>12.66</v>
      </c>
      <c r="J1391">
        <v>5</v>
      </c>
      <c r="K1391">
        <v>4</v>
      </c>
      <c r="L1391">
        <v>2</v>
      </c>
      <c r="M1391">
        <v>0</v>
      </c>
      <c r="N1391">
        <v>0</v>
      </c>
    </row>
    <row r="1392" spans="1:14" x14ac:dyDescent="0.45">
      <c r="A1392" t="s">
        <v>184</v>
      </c>
      <c r="B1392" t="s">
        <v>648</v>
      </c>
      <c r="C1392" t="s">
        <v>19</v>
      </c>
      <c r="D1392" t="s">
        <v>502</v>
      </c>
      <c r="E1392">
        <v>1</v>
      </c>
      <c r="F1392">
        <v>0</v>
      </c>
      <c r="G1392">
        <v>6</v>
      </c>
      <c r="H1392">
        <v>0</v>
      </c>
      <c r="I1392">
        <v>6</v>
      </c>
      <c r="J1392">
        <v>3</v>
      </c>
      <c r="K1392">
        <v>1</v>
      </c>
      <c r="L1392">
        <v>0</v>
      </c>
      <c r="M1392">
        <v>0</v>
      </c>
      <c r="N1392">
        <v>0</v>
      </c>
    </row>
    <row r="1393" spans="1:14" x14ac:dyDescent="0.45">
      <c r="A1393" t="s">
        <v>184</v>
      </c>
      <c r="B1393" t="s">
        <v>648</v>
      </c>
      <c r="C1393" t="s">
        <v>19</v>
      </c>
      <c r="D1393" t="s">
        <v>473</v>
      </c>
      <c r="E1393">
        <v>3</v>
      </c>
      <c r="F1393">
        <v>0</v>
      </c>
      <c r="G1393">
        <v>25</v>
      </c>
      <c r="H1393">
        <v>2</v>
      </c>
      <c r="I1393">
        <v>8.33</v>
      </c>
      <c r="J1393">
        <v>8</v>
      </c>
      <c r="K1393">
        <v>0</v>
      </c>
      <c r="L1393">
        <v>3</v>
      </c>
      <c r="M1393">
        <v>0</v>
      </c>
      <c r="N1393">
        <v>0</v>
      </c>
    </row>
    <row r="1394" spans="1:14" x14ac:dyDescent="0.45">
      <c r="A1394" t="s">
        <v>185</v>
      </c>
      <c r="B1394" t="s">
        <v>640</v>
      </c>
      <c r="C1394" t="s">
        <v>13</v>
      </c>
      <c r="D1394" t="s">
        <v>352</v>
      </c>
      <c r="E1394">
        <v>4</v>
      </c>
      <c r="F1394">
        <v>0</v>
      </c>
      <c r="G1394">
        <v>43</v>
      </c>
      <c r="H1394">
        <v>0</v>
      </c>
      <c r="I1394">
        <v>10.75</v>
      </c>
      <c r="J1394">
        <v>8</v>
      </c>
      <c r="K1394">
        <v>1</v>
      </c>
      <c r="L1394">
        <v>4</v>
      </c>
      <c r="M1394">
        <v>2</v>
      </c>
      <c r="N1394">
        <v>0</v>
      </c>
    </row>
    <row r="1395" spans="1:14" x14ac:dyDescent="0.45">
      <c r="A1395" t="s">
        <v>185</v>
      </c>
      <c r="B1395" t="s">
        <v>640</v>
      </c>
      <c r="C1395" t="s">
        <v>13</v>
      </c>
      <c r="D1395" t="s">
        <v>550</v>
      </c>
      <c r="E1395">
        <v>4</v>
      </c>
      <c r="F1395">
        <v>0</v>
      </c>
      <c r="G1395">
        <v>29</v>
      </c>
      <c r="H1395">
        <v>1</v>
      </c>
      <c r="I1395">
        <v>7.25</v>
      </c>
      <c r="J1395">
        <v>8</v>
      </c>
      <c r="K1395">
        <v>2</v>
      </c>
      <c r="L1395">
        <v>1</v>
      </c>
      <c r="M1395">
        <v>0</v>
      </c>
      <c r="N1395">
        <v>0</v>
      </c>
    </row>
    <row r="1396" spans="1:14" x14ac:dyDescent="0.45">
      <c r="A1396" t="s">
        <v>185</v>
      </c>
      <c r="B1396" t="s">
        <v>640</v>
      </c>
      <c r="C1396" t="s">
        <v>13</v>
      </c>
      <c r="D1396" t="s">
        <v>547</v>
      </c>
      <c r="E1396">
        <v>4</v>
      </c>
      <c r="F1396">
        <v>0</v>
      </c>
      <c r="G1396">
        <v>44</v>
      </c>
      <c r="H1396">
        <v>0</v>
      </c>
      <c r="I1396">
        <v>11</v>
      </c>
      <c r="J1396">
        <v>6</v>
      </c>
      <c r="K1396">
        <v>0</v>
      </c>
      <c r="L1396">
        <v>4</v>
      </c>
      <c r="M1396">
        <v>0</v>
      </c>
      <c r="N1396">
        <v>1</v>
      </c>
    </row>
    <row r="1397" spans="1:14" x14ac:dyDescent="0.45">
      <c r="A1397" t="s">
        <v>185</v>
      </c>
      <c r="B1397" t="s">
        <v>640</v>
      </c>
      <c r="C1397" t="s">
        <v>13</v>
      </c>
      <c r="D1397" t="s">
        <v>448</v>
      </c>
      <c r="E1397">
        <v>4</v>
      </c>
      <c r="F1397">
        <v>0</v>
      </c>
      <c r="G1397">
        <v>32</v>
      </c>
      <c r="H1397">
        <v>1</v>
      </c>
      <c r="I1397">
        <v>8</v>
      </c>
      <c r="J1397">
        <v>10</v>
      </c>
      <c r="K1397">
        <v>2</v>
      </c>
      <c r="L1397">
        <v>2</v>
      </c>
      <c r="M1397">
        <v>0</v>
      </c>
      <c r="N1397">
        <v>0</v>
      </c>
    </row>
    <row r="1398" spans="1:14" x14ac:dyDescent="0.45">
      <c r="A1398" t="s">
        <v>185</v>
      </c>
      <c r="B1398" t="s">
        <v>640</v>
      </c>
      <c r="C1398" t="s">
        <v>13</v>
      </c>
      <c r="D1398" t="s">
        <v>349</v>
      </c>
      <c r="E1398">
        <v>4</v>
      </c>
      <c r="F1398">
        <v>0</v>
      </c>
      <c r="G1398">
        <v>18</v>
      </c>
      <c r="H1398">
        <v>1</v>
      </c>
      <c r="I1398">
        <v>4.5</v>
      </c>
      <c r="J1398">
        <v>11</v>
      </c>
      <c r="K1398">
        <v>1</v>
      </c>
      <c r="L1398">
        <v>0</v>
      </c>
      <c r="M1398">
        <v>2</v>
      </c>
      <c r="N1398">
        <v>0</v>
      </c>
    </row>
    <row r="1399" spans="1:14" x14ac:dyDescent="0.45">
      <c r="A1399" t="s">
        <v>185</v>
      </c>
      <c r="B1399" t="s">
        <v>640</v>
      </c>
      <c r="C1399" t="s">
        <v>23</v>
      </c>
      <c r="D1399" t="s">
        <v>370</v>
      </c>
      <c r="E1399">
        <v>4</v>
      </c>
      <c r="F1399">
        <v>0</v>
      </c>
      <c r="G1399">
        <v>34</v>
      </c>
      <c r="H1399">
        <v>2</v>
      </c>
      <c r="I1399">
        <v>8.5</v>
      </c>
      <c r="J1399">
        <v>9</v>
      </c>
      <c r="K1399">
        <v>4</v>
      </c>
      <c r="L1399">
        <v>1</v>
      </c>
      <c r="M1399">
        <v>0</v>
      </c>
      <c r="N1399">
        <v>0</v>
      </c>
    </row>
    <row r="1400" spans="1:14" x14ac:dyDescent="0.45">
      <c r="A1400" t="s">
        <v>185</v>
      </c>
      <c r="B1400" t="s">
        <v>640</v>
      </c>
      <c r="C1400" t="s">
        <v>23</v>
      </c>
      <c r="D1400" t="s">
        <v>441</v>
      </c>
      <c r="E1400">
        <v>4</v>
      </c>
      <c r="F1400">
        <v>0</v>
      </c>
      <c r="G1400">
        <v>40</v>
      </c>
      <c r="H1400">
        <v>0</v>
      </c>
      <c r="I1400">
        <v>10</v>
      </c>
      <c r="J1400">
        <v>9</v>
      </c>
      <c r="K1400">
        <v>6</v>
      </c>
      <c r="L1400">
        <v>1</v>
      </c>
      <c r="M1400">
        <v>2</v>
      </c>
      <c r="N1400">
        <v>0</v>
      </c>
    </row>
    <row r="1401" spans="1:14" x14ac:dyDescent="0.45">
      <c r="A1401" t="s">
        <v>185</v>
      </c>
      <c r="B1401" t="s">
        <v>640</v>
      </c>
      <c r="C1401" t="s">
        <v>23</v>
      </c>
      <c r="D1401" t="s">
        <v>339</v>
      </c>
      <c r="E1401">
        <v>4</v>
      </c>
      <c r="F1401">
        <v>0</v>
      </c>
      <c r="G1401">
        <v>39</v>
      </c>
      <c r="H1401">
        <v>0</v>
      </c>
      <c r="I1401">
        <v>9.75</v>
      </c>
      <c r="J1401">
        <v>10</v>
      </c>
      <c r="K1401">
        <v>5</v>
      </c>
      <c r="L1401">
        <v>1</v>
      </c>
      <c r="M1401">
        <v>3</v>
      </c>
      <c r="N1401">
        <v>1</v>
      </c>
    </row>
    <row r="1402" spans="1:14" x14ac:dyDescent="0.45">
      <c r="A1402" t="s">
        <v>185</v>
      </c>
      <c r="B1402" t="s">
        <v>640</v>
      </c>
      <c r="C1402" t="s">
        <v>23</v>
      </c>
      <c r="D1402" t="s">
        <v>353</v>
      </c>
      <c r="E1402">
        <v>4</v>
      </c>
      <c r="F1402">
        <v>0</v>
      </c>
      <c r="G1402">
        <v>15</v>
      </c>
      <c r="H1402">
        <v>2</v>
      </c>
      <c r="I1402">
        <v>3.75</v>
      </c>
      <c r="J1402">
        <v>12</v>
      </c>
      <c r="K1402">
        <v>1</v>
      </c>
      <c r="L1402">
        <v>0</v>
      </c>
      <c r="M1402">
        <v>0</v>
      </c>
      <c r="N1402">
        <v>0</v>
      </c>
    </row>
    <row r="1403" spans="1:14" x14ac:dyDescent="0.45">
      <c r="A1403" t="s">
        <v>185</v>
      </c>
      <c r="B1403" t="s">
        <v>640</v>
      </c>
      <c r="C1403" t="s">
        <v>23</v>
      </c>
      <c r="D1403" t="s">
        <v>449</v>
      </c>
      <c r="E1403">
        <v>3</v>
      </c>
      <c r="F1403">
        <v>0</v>
      </c>
      <c r="G1403">
        <v>36</v>
      </c>
      <c r="H1403">
        <v>1</v>
      </c>
      <c r="I1403">
        <v>12</v>
      </c>
      <c r="J1403">
        <v>2</v>
      </c>
      <c r="K1403">
        <v>4</v>
      </c>
      <c r="L1403">
        <v>1</v>
      </c>
      <c r="M1403">
        <v>1</v>
      </c>
      <c r="N1403">
        <v>0</v>
      </c>
    </row>
    <row r="1404" spans="1:14" x14ac:dyDescent="0.45">
      <c r="A1404" t="s">
        <v>185</v>
      </c>
      <c r="B1404" t="s">
        <v>640</v>
      </c>
      <c r="C1404" t="s">
        <v>23</v>
      </c>
      <c r="D1404" t="s">
        <v>383</v>
      </c>
      <c r="E1404">
        <v>0.1</v>
      </c>
      <c r="F1404">
        <v>0</v>
      </c>
      <c r="G1404">
        <v>6</v>
      </c>
      <c r="H1404">
        <v>0</v>
      </c>
      <c r="I1404">
        <v>36</v>
      </c>
      <c r="J1404">
        <v>0</v>
      </c>
      <c r="K1404">
        <v>0</v>
      </c>
      <c r="L1404">
        <v>1</v>
      </c>
      <c r="M1404">
        <v>0</v>
      </c>
      <c r="N1404">
        <v>0</v>
      </c>
    </row>
    <row r="1405" spans="1:14" x14ac:dyDescent="0.45">
      <c r="A1405" t="s">
        <v>186</v>
      </c>
      <c r="B1405" t="s">
        <v>694</v>
      </c>
      <c r="C1405" t="s">
        <v>20</v>
      </c>
      <c r="D1405" t="s">
        <v>409</v>
      </c>
      <c r="E1405">
        <v>4</v>
      </c>
      <c r="F1405">
        <v>0</v>
      </c>
      <c r="G1405">
        <v>25</v>
      </c>
      <c r="H1405">
        <v>0</v>
      </c>
      <c r="I1405">
        <v>6.25</v>
      </c>
      <c r="J1405">
        <v>7</v>
      </c>
      <c r="K1405">
        <v>1</v>
      </c>
      <c r="L1405">
        <v>0</v>
      </c>
      <c r="M1405">
        <v>0</v>
      </c>
      <c r="N1405">
        <v>0</v>
      </c>
    </row>
    <row r="1406" spans="1:14" x14ac:dyDescent="0.45">
      <c r="A1406" t="s">
        <v>186</v>
      </c>
      <c r="B1406" t="s">
        <v>694</v>
      </c>
      <c r="C1406" t="s">
        <v>20</v>
      </c>
      <c r="D1406" t="s">
        <v>467</v>
      </c>
      <c r="E1406">
        <v>4</v>
      </c>
      <c r="F1406">
        <v>0</v>
      </c>
      <c r="G1406">
        <v>28</v>
      </c>
      <c r="H1406">
        <v>2</v>
      </c>
      <c r="I1406">
        <v>7</v>
      </c>
      <c r="J1406">
        <v>10</v>
      </c>
      <c r="K1406">
        <v>3</v>
      </c>
      <c r="L1406">
        <v>1</v>
      </c>
      <c r="M1406">
        <v>0</v>
      </c>
      <c r="N1406">
        <v>0</v>
      </c>
    </row>
    <row r="1407" spans="1:14" x14ac:dyDescent="0.45">
      <c r="A1407" t="s">
        <v>186</v>
      </c>
      <c r="B1407" t="s">
        <v>694</v>
      </c>
      <c r="C1407" t="s">
        <v>20</v>
      </c>
      <c r="D1407" t="s">
        <v>494</v>
      </c>
      <c r="E1407">
        <v>4</v>
      </c>
      <c r="F1407">
        <v>0</v>
      </c>
      <c r="G1407">
        <v>42</v>
      </c>
      <c r="H1407">
        <v>2</v>
      </c>
      <c r="I1407">
        <v>10.5</v>
      </c>
      <c r="J1407">
        <v>10</v>
      </c>
      <c r="K1407">
        <v>3</v>
      </c>
      <c r="L1407">
        <v>3</v>
      </c>
      <c r="M1407">
        <v>1</v>
      </c>
      <c r="N1407">
        <v>0</v>
      </c>
    </row>
    <row r="1408" spans="1:14" x14ac:dyDescent="0.45">
      <c r="A1408" t="s">
        <v>186</v>
      </c>
      <c r="B1408" t="s">
        <v>694</v>
      </c>
      <c r="C1408" t="s">
        <v>20</v>
      </c>
      <c r="D1408" t="s">
        <v>382</v>
      </c>
      <c r="E1408">
        <v>3</v>
      </c>
      <c r="F1408">
        <v>0</v>
      </c>
      <c r="G1408">
        <v>39</v>
      </c>
      <c r="H1408">
        <v>0</v>
      </c>
      <c r="I1408">
        <v>13</v>
      </c>
      <c r="J1408">
        <v>4</v>
      </c>
      <c r="K1408">
        <v>5</v>
      </c>
      <c r="L1408">
        <v>2</v>
      </c>
      <c r="M1408">
        <v>0</v>
      </c>
      <c r="N1408">
        <v>0</v>
      </c>
    </row>
    <row r="1409" spans="1:14" x14ac:dyDescent="0.45">
      <c r="A1409" t="s">
        <v>186</v>
      </c>
      <c r="B1409" t="s">
        <v>694</v>
      </c>
      <c r="C1409" t="s">
        <v>20</v>
      </c>
      <c r="D1409" t="s">
        <v>376</v>
      </c>
      <c r="E1409">
        <v>1</v>
      </c>
      <c r="F1409">
        <v>0</v>
      </c>
      <c r="G1409">
        <v>8</v>
      </c>
      <c r="H1409">
        <v>0</v>
      </c>
      <c r="I1409">
        <v>8</v>
      </c>
      <c r="J1409">
        <v>1</v>
      </c>
      <c r="K1409">
        <v>1</v>
      </c>
      <c r="L1409">
        <v>0</v>
      </c>
      <c r="M1409">
        <v>0</v>
      </c>
      <c r="N1409">
        <v>0</v>
      </c>
    </row>
    <row r="1410" spans="1:14" x14ac:dyDescent="0.45">
      <c r="A1410" t="s">
        <v>186</v>
      </c>
      <c r="B1410" t="s">
        <v>694</v>
      </c>
      <c r="C1410" t="s">
        <v>20</v>
      </c>
      <c r="D1410" t="s">
        <v>483</v>
      </c>
      <c r="E1410">
        <v>4</v>
      </c>
      <c r="F1410">
        <v>0</v>
      </c>
      <c r="G1410">
        <v>26</v>
      </c>
      <c r="H1410">
        <v>2</v>
      </c>
      <c r="I1410">
        <v>6.5</v>
      </c>
      <c r="J1410">
        <v>6</v>
      </c>
      <c r="K1410">
        <v>1</v>
      </c>
      <c r="L1410">
        <v>0</v>
      </c>
      <c r="M1410">
        <v>0</v>
      </c>
      <c r="N1410">
        <v>0</v>
      </c>
    </row>
    <row r="1411" spans="1:14" x14ac:dyDescent="0.45">
      <c r="A1411" t="s">
        <v>186</v>
      </c>
      <c r="B1411" t="s">
        <v>694</v>
      </c>
      <c r="C1411" t="s">
        <v>104</v>
      </c>
      <c r="D1411" t="s">
        <v>378</v>
      </c>
      <c r="E1411">
        <v>4</v>
      </c>
      <c r="F1411">
        <v>0</v>
      </c>
      <c r="G1411">
        <v>34</v>
      </c>
      <c r="H1411">
        <v>3</v>
      </c>
      <c r="I1411">
        <v>8.5</v>
      </c>
      <c r="J1411">
        <v>8</v>
      </c>
      <c r="K1411">
        <v>3</v>
      </c>
      <c r="L1411">
        <v>1</v>
      </c>
      <c r="M1411">
        <v>2</v>
      </c>
      <c r="N1411">
        <v>0</v>
      </c>
    </row>
    <row r="1412" spans="1:14" x14ac:dyDescent="0.45">
      <c r="A1412" t="s">
        <v>186</v>
      </c>
      <c r="B1412" t="s">
        <v>694</v>
      </c>
      <c r="C1412" t="s">
        <v>104</v>
      </c>
      <c r="D1412" t="s">
        <v>366</v>
      </c>
      <c r="E1412">
        <v>4</v>
      </c>
      <c r="F1412">
        <v>0</v>
      </c>
      <c r="G1412">
        <v>27</v>
      </c>
      <c r="H1412">
        <v>2</v>
      </c>
      <c r="I1412">
        <v>6.75</v>
      </c>
      <c r="J1412">
        <v>8</v>
      </c>
      <c r="K1412">
        <v>0</v>
      </c>
      <c r="L1412">
        <v>2</v>
      </c>
      <c r="M1412">
        <v>0</v>
      </c>
      <c r="N1412">
        <v>0</v>
      </c>
    </row>
    <row r="1413" spans="1:14" x14ac:dyDescent="0.45">
      <c r="A1413" t="s">
        <v>186</v>
      </c>
      <c r="B1413" t="s">
        <v>694</v>
      </c>
      <c r="C1413" t="s">
        <v>104</v>
      </c>
      <c r="D1413" t="s">
        <v>340</v>
      </c>
      <c r="E1413">
        <v>4</v>
      </c>
      <c r="F1413">
        <v>0</v>
      </c>
      <c r="G1413">
        <v>24</v>
      </c>
      <c r="H1413">
        <v>4</v>
      </c>
      <c r="I1413">
        <v>6</v>
      </c>
      <c r="J1413">
        <v>15</v>
      </c>
      <c r="K1413">
        <v>2</v>
      </c>
      <c r="L1413">
        <v>1</v>
      </c>
      <c r="M1413">
        <v>1</v>
      </c>
      <c r="N1413">
        <v>0</v>
      </c>
    </row>
    <row r="1414" spans="1:14" x14ac:dyDescent="0.45">
      <c r="A1414" t="s">
        <v>186</v>
      </c>
      <c r="B1414" t="s">
        <v>694</v>
      </c>
      <c r="C1414" t="s">
        <v>104</v>
      </c>
      <c r="D1414" t="s">
        <v>551</v>
      </c>
      <c r="E1414">
        <v>4</v>
      </c>
      <c r="F1414">
        <v>0</v>
      </c>
      <c r="G1414">
        <v>39</v>
      </c>
      <c r="H1414">
        <v>0</v>
      </c>
      <c r="I1414">
        <v>9.75</v>
      </c>
      <c r="J1414">
        <v>6</v>
      </c>
      <c r="K1414">
        <v>5</v>
      </c>
      <c r="L1414">
        <v>1</v>
      </c>
      <c r="M1414">
        <v>1</v>
      </c>
      <c r="N1414">
        <v>0</v>
      </c>
    </row>
    <row r="1415" spans="1:14" x14ac:dyDescent="0.45">
      <c r="A1415" t="s">
        <v>186</v>
      </c>
      <c r="B1415" t="s">
        <v>694</v>
      </c>
      <c r="C1415" t="s">
        <v>104</v>
      </c>
      <c r="D1415" t="s">
        <v>407</v>
      </c>
      <c r="E1415">
        <v>4</v>
      </c>
      <c r="F1415">
        <v>0</v>
      </c>
      <c r="G1415">
        <v>29</v>
      </c>
      <c r="H1415">
        <v>0</v>
      </c>
      <c r="I1415">
        <v>7.25</v>
      </c>
      <c r="J1415">
        <v>5</v>
      </c>
      <c r="K1415">
        <v>2</v>
      </c>
      <c r="L1415">
        <v>0</v>
      </c>
      <c r="M1415">
        <v>1</v>
      </c>
      <c r="N1415">
        <v>1</v>
      </c>
    </row>
    <row r="1416" spans="1:14" x14ac:dyDescent="0.45">
      <c r="A1416" t="s">
        <v>187</v>
      </c>
      <c r="B1416" t="s">
        <v>659</v>
      </c>
      <c r="C1416" t="s">
        <v>6</v>
      </c>
      <c r="D1416" t="s">
        <v>509</v>
      </c>
      <c r="E1416">
        <v>4</v>
      </c>
      <c r="F1416">
        <v>0</v>
      </c>
      <c r="G1416">
        <v>52</v>
      </c>
      <c r="H1416">
        <v>1</v>
      </c>
      <c r="I1416">
        <v>13</v>
      </c>
      <c r="J1416">
        <v>11</v>
      </c>
      <c r="K1416">
        <v>5</v>
      </c>
      <c r="L1416">
        <v>4</v>
      </c>
      <c r="M1416">
        <v>3</v>
      </c>
      <c r="N1416">
        <v>0</v>
      </c>
    </row>
    <row r="1417" spans="1:14" x14ac:dyDescent="0.45">
      <c r="A1417" t="s">
        <v>187</v>
      </c>
      <c r="B1417" t="s">
        <v>659</v>
      </c>
      <c r="C1417" t="s">
        <v>6</v>
      </c>
      <c r="D1417" t="s">
        <v>406</v>
      </c>
      <c r="E1417">
        <v>4</v>
      </c>
      <c r="F1417">
        <v>0</v>
      </c>
      <c r="G1417">
        <v>23</v>
      </c>
      <c r="H1417">
        <v>2</v>
      </c>
      <c r="I1417">
        <v>5.75</v>
      </c>
      <c r="J1417">
        <v>12</v>
      </c>
      <c r="K1417">
        <v>0</v>
      </c>
      <c r="L1417">
        <v>1</v>
      </c>
      <c r="M1417">
        <v>1</v>
      </c>
      <c r="N1417">
        <v>0</v>
      </c>
    </row>
    <row r="1418" spans="1:14" x14ac:dyDescent="0.45">
      <c r="A1418" t="s">
        <v>187</v>
      </c>
      <c r="B1418" t="s">
        <v>659</v>
      </c>
      <c r="C1418" t="s">
        <v>6</v>
      </c>
      <c r="D1418" t="s">
        <v>327</v>
      </c>
      <c r="E1418">
        <v>3</v>
      </c>
      <c r="F1418">
        <v>0</v>
      </c>
      <c r="G1418">
        <v>32</v>
      </c>
      <c r="H1418">
        <v>1</v>
      </c>
      <c r="I1418">
        <v>10.66</v>
      </c>
      <c r="J1418">
        <v>8</v>
      </c>
      <c r="K1418">
        <v>3</v>
      </c>
      <c r="L1418">
        <v>2</v>
      </c>
      <c r="M1418">
        <v>2</v>
      </c>
      <c r="N1418">
        <v>0</v>
      </c>
    </row>
    <row r="1419" spans="1:14" x14ac:dyDescent="0.45">
      <c r="A1419" t="s">
        <v>187</v>
      </c>
      <c r="B1419" t="s">
        <v>659</v>
      </c>
      <c r="C1419" t="s">
        <v>6</v>
      </c>
      <c r="D1419" t="s">
        <v>328</v>
      </c>
      <c r="E1419">
        <v>4</v>
      </c>
      <c r="F1419">
        <v>0</v>
      </c>
      <c r="G1419">
        <v>34</v>
      </c>
      <c r="H1419">
        <v>1</v>
      </c>
      <c r="I1419">
        <v>8.5</v>
      </c>
      <c r="J1419">
        <v>10</v>
      </c>
      <c r="K1419">
        <v>2</v>
      </c>
      <c r="L1419">
        <v>2</v>
      </c>
      <c r="M1419">
        <v>3</v>
      </c>
      <c r="N1419">
        <v>0</v>
      </c>
    </row>
    <row r="1420" spans="1:14" x14ac:dyDescent="0.45">
      <c r="A1420" t="s">
        <v>187</v>
      </c>
      <c r="B1420" t="s">
        <v>659</v>
      </c>
      <c r="C1420" t="s">
        <v>6</v>
      </c>
      <c r="D1420" t="s">
        <v>537</v>
      </c>
      <c r="E1420">
        <v>4</v>
      </c>
      <c r="F1420">
        <v>0</v>
      </c>
      <c r="G1420">
        <v>30</v>
      </c>
      <c r="H1420">
        <v>2</v>
      </c>
      <c r="I1420">
        <v>7.5</v>
      </c>
      <c r="J1420">
        <v>11</v>
      </c>
      <c r="K1420">
        <v>2</v>
      </c>
      <c r="L1420">
        <v>1</v>
      </c>
      <c r="M1420">
        <v>4</v>
      </c>
      <c r="N1420">
        <v>0</v>
      </c>
    </row>
    <row r="1421" spans="1:14" x14ac:dyDescent="0.45">
      <c r="A1421" t="s">
        <v>187</v>
      </c>
      <c r="B1421" t="s">
        <v>659</v>
      </c>
      <c r="C1421" t="s">
        <v>6</v>
      </c>
      <c r="D1421" t="s">
        <v>299</v>
      </c>
      <c r="E1421">
        <v>1</v>
      </c>
      <c r="F1421">
        <v>0</v>
      </c>
      <c r="G1421">
        <v>8</v>
      </c>
      <c r="H1421">
        <v>0</v>
      </c>
      <c r="I1421">
        <v>8</v>
      </c>
      <c r="J1421">
        <v>3</v>
      </c>
      <c r="K1421">
        <v>0</v>
      </c>
      <c r="L1421">
        <v>1</v>
      </c>
      <c r="M1421">
        <v>0</v>
      </c>
      <c r="N1421">
        <v>0</v>
      </c>
    </row>
    <row r="1422" spans="1:14" x14ac:dyDescent="0.45">
      <c r="A1422" t="s">
        <v>187</v>
      </c>
      <c r="B1422" t="s">
        <v>659</v>
      </c>
      <c r="C1422" t="s">
        <v>26</v>
      </c>
      <c r="D1422" t="s">
        <v>542</v>
      </c>
      <c r="E1422">
        <v>4</v>
      </c>
      <c r="F1422">
        <v>0</v>
      </c>
      <c r="G1422">
        <v>21</v>
      </c>
      <c r="H1422">
        <v>2</v>
      </c>
      <c r="I1422">
        <v>5.25</v>
      </c>
      <c r="J1422">
        <v>14</v>
      </c>
      <c r="K1422">
        <v>3</v>
      </c>
      <c r="L1422">
        <v>0</v>
      </c>
      <c r="M1422">
        <v>1</v>
      </c>
      <c r="N1422">
        <v>0</v>
      </c>
    </row>
    <row r="1423" spans="1:14" x14ac:dyDescent="0.45">
      <c r="A1423" t="s">
        <v>187</v>
      </c>
      <c r="B1423" t="s">
        <v>659</v>
      </c>
      <c r="C1423" t="s">
        <v>26</v>
      </c>
      <c r="D1423" t="s">
        <v>341</v>
      </c>
      <c r="E1423">
        <v>3</v>
      </c>
      <c r="F1423">
        <v>0</v>
      </c>
      <c r="G1423">
        <v>28</v>
      </c>
      <c r="H1423">
        <v>1</v>
      </c>
      <c r="I1423">
        <v>9.33</v>
      </c>
      <c r="J1423">
        <v>11</v>
      </c>
      <c r="K1423">
        <v>2</v>
      </c>
      <c r="L1423">
        <v>2</v>
      </c>
      <c r="M1423">
        <v>0</v>
      </c>
      <c r="N1423">
        <v>2</v>
      </c>
    </row>
    <row r="1424" spans="1:14" x14ac:dyDescent="0.45">
      <c r="A1424" t="s">
        <v>187</v>
      </c>
      <c r="B1424" t="s">
        <v>659</v>
      </c>
      <c r="C1424" t="s">
        <v>26</v>
      </c>
      <c r="D1424" t="s">
        <v>405</v>
      </c>
      <c r="E1424">
        <v>2</v>
      </c>
      <c r="F1424">
        <v>0</v>
      </c>
      <c r="G1424">
        <v>13</v>
      </c>
      <c r="H1424">
        <v>1</v>
      </c>
      <c r="I1424">
        <v>6.5</v>
      </c>
      <c r="J1424">
        <v>5</v>
      </c>
      <c r="K1424">
        <v>2</v>
      </c>
      <c r="L1424">
        <v>0</v>
      </c>
      <c r="M1424">
        <v>0</v>
      </c>
      <c r="N1424">
        <v>0</v>
      </c>
    </row>
    <row r="1425" spans="1:14" x14ac:dyDescent="0.45">
      <c r="A1425" t="s">
        <v>187</v>
      </c>
      <c r="B1425" t="s">
        <v>659</v>
      </c>
      <c r="C1425" t="s">
        <v>26</v>
      </c>
      <c r="D1425" t="s">
        <v>543</v>
      </c>
      <c r="E1425">
        <v>2</v>
      </c>
      <c r="F1425">
        <v>0</v>
      </c>
      <c r="G1425">
        <v>14</v>
      </c>
      <c r="H1425">
        <v>1</v>
      </c>
      <c r="I1425">
        <v>7</v>
      </c>
      <c r="J1425">
        <v>6</v>
      </c>
      <c r="K1425">
        <v>1</v>
      </c>
      <c r="L1425">
        <v>1</v>
      </c>
      <c r="M1425">
        <v>0</v>
      </c>
      <c r="N1425">
        <v>0</v>
      </c>
    </row>
    <row r="1426" spans="1:14" x14ac:dyDescent="0.45">
      <c r="A1426" t="s">
        <v>187</v>
      </c>
      <c r="B1426" t="s">
        <v>659</v>
      </c>
      <c r="C1426" t="s">
        <v>26</v>
      </c>
      <c r="D1426" t="s">
        <v>435</v>
      </c>
      <c r="E1426">
        <v>4</v>
      </c>
      <c r="F1426">
        <v>0</v>
      </c>
      <c r="G1426">
        <v>25</v>
      </c>
      <c r="H1426">
        <v>3</v>
      </c>
      <c r="I1426">
        <v>6.25</v>
      </c>
      <c r="J1426">
        <v>9</v>
      </c>
      <c r="K1426">
        <v>1</v>
      </c>
      <c r="L1426">
        <v>1</v>
      </c>
      <c r="M1426">
        <v>0</v>
      </c>
      <c r="N1426">
        <v>0</v>
      </c>
    </row>
    <row r="1427" spans="1:14" x14ac:dyDescent="0.45">
      <c r="A1427" t="s">
        <v>187</v>
      </c>
      <c r="B1427" t="s">
        <v>659</v>
      </c>
      <c r="C1427" t="s">
        <v>26</v>
      </c>
      <c r="D1427" t="s">
        <v>384</v>
      </c>
      <c r="E1427">
        <v>3</v>
      </c>
      <c r="F1427">
        <v>0</v>
      </c>
      <c r="G1427">
        <v>25</v>
      </c>
      <c r="H1427">
        <v>2</v>
      </c>
      <c r="I1427">
        <v>8.33</v>
      </c>
      <c r="J1427">
        <v>7</v>
      </c>
      <c r="K1427">
        <v>2</v>
      </c>
      <c r="L1427">
        <v>1</v>
      </c>
      <c r="M1427">
        <v>1</v>
      </c>
      <c r="N1427">
        <v>0</v>
      </c>
    </row>
    <row r="1428" spans="1:14" x14ac:dyDescent="0.45">
      <c r="A1428" t="s">
        <v>188</v>
      </c>
      <c r="B1428" t="s">
        <v>695</v>
      </c>
      <c r="C1428" t="s">
        <v>10</v>
      </c>
      <c r="D1428" t="s">
        <v>396</v>
      </c>
      <c r="E1428">
        <v>4</v>
      </c>
      <c r="F1428">
        <v>0</v>
      </c>
      <c r="G1428">
        <v>23</v>
      </c>
      <c r="H1428">
        <v>3</v>
      </c>
      <c r="I1428">
        <v>5.75</v>
      </c>
      <c r="J1428">
        <v>7</v>
      </c>
      <c r="K1428">
        <v>1</v>
      </c>
      <c r="L1428">
        <v>0</v>
      </c>
      <c r="M1428">
        <v>1</v>
      </c>
      <c r="N1428">
        <v>0</v>
      </c>
    </row>
    <row r="1429" spans="1:14" x14ac:dyDescent="0.45">
      <c r="A1429" t="s">
        <v>188</v>
      </c>
      <c r="B1429" t="s">
        <v>695</v>
      </c>
      <c r="C1429" t="s">
        <v>10</v>
      </c>
      <c r="D1429" t="s">
        <v>326</v>
      </c>
      <c r="E1429">
        <v>4</v>
      </c>
      <c r="F1429">
        <v>0</v>
      </c>
      <c r="G1429">
        <v>42</v>
      </c>
      <c r="H1429">
        <v>0</v>
      </c>
      <c r="I1429">
        <v>10.5</v>
      </c>
      <c r="J1429">
        <v>6</v>
      </c>
      <c r="K1429">
        <v>4</v>
      </c>
      <c r="L1429">
        <v>1</v>
      </c>
      <c r="M1429">
        <v>2</v>
      </c>
      <c r="N1429">
        <v>1</v>
      </c>
    </row>
    <row r="1430" spans="1:14" x14ac:dyDescent="0.45">
      <c r="A1430" t="s">
        <v>188</v>
      </c>
      <c r="B1430" t="s">
        <v>695</v>
      </c>
      <c r="C1430" t="s">
        <v>10</v>
      </c>
      <c r="D1430" t="s">
        <v>444</v>
      </c>
      <c r="E1430">
        <v>4</v>
      </c>
      <c r="F1430">
        <v>0</v>
      </c>
      <c r="G1430">
        <v>34</v>
      </c>
      <c r="H1430">
        <v>2</v>
      </c>
      <c r="I1430">
        <v>8.5</v>
      </c>
      <c r="J1430">
        <v>7</v>
      </c>
      <c r="K1430">
        <v>5</v>
      </c>
      <c r="L1430">
        <v>0</v>
      </c>
      <c r="M1430">
        <v>0</v>
      </c>
      <c r="N1430">
        <v>0</v>
      </c>
    </row>
    <row r="1431" spans="1:14" x14ac:dyDescent="0.45">
      <c r="A1431" t="s">
        <v>188</v>
      </c>
      <c r="B1431" t="s">
        <v>695</v>
      </c>
      <c r="C1431" t="s">
        <v>10</v>
      </c>
      <c r="D1431" t="s">
        <v>337</v>
      </c>
      <c r="E1431">
        <v>4</v>
      </c>
      <c r="F1431">
        <v>0</v>
      </c>
      <c r="G1431">
        <v>37</v>
      </c>
      <c r="H1431">
        <v>0</v>
      </c>
      <c r="I1431">
        <v>9.25</v>
      </c>
      <c r="J1431">
        <v>7</v>
      </c>
      <c r="K1431">
        <v>1</v>
      </c>
      <c r="L1431">
        <v>3</v>
      </c>
      <c r="M1431">
        <v>0</v>
      </c>
      <c r="N1431">
        <v>0</v>
      </c>
    </row>
    <row r="1432" spans="1:14" x14ac:dyDescent="0.45">
      <c r="A1432" t="s">
        <v>188</v>
      </c>
      <c r="B1432" t="s">
        <v>695</v>
      </c>
      <c r="C1432" t="s">
        <v>10</v>
      </c>
      <c r="D1432" t="s">
        <v>500</v>
      </c>
      <c r="E1432">
        <v>4</v>
      </c>
      <c r="F1432">
        <v>0</v>
      </c>
      <c r="G1432">
        <v>32</v>
      </c>
      <c r="H1432">
        <v>1</v>
      </c>
      <c r="I1432">
        <v>8</v>
      </c>
      <c r="J1432">
        <v>10</v>
      </c>
      <c r="K1432">
        <v>3</v>
      </c>
      <c r="L1432">
        <v>1</v>
      </c>
      <c r="M1432">
        <v>0</v>
      </c>
      <c r="N1432">
        <v>0</v>
      </c>
    </row>
    <row r="1433" spans="1:14" x14ac:dyDescent="0.45">
      <c r="A1433" t="s">
        <v>188</v>
      </c>
      <c r="B1433" t="s">
        <v>695</v>
      </c>
      <c r="C1433" t="s">
        <v>101</v>
      </c>
      <c r="D1433" t="s">
        <v>403</v>
      </c>
      <c r="E1433">
        <v>4</v>
      </c>
      <c r="F1433">
        <v>0</v>
      </c>
      <c r="G1433">
        <v>30</v>
      </c>
      <c r="H1433">
        <v>2</v>
      </c>
      <c r="I1433">
        <v>7.5</v>
      </c>
      <c r="J1433">
        <v>10</v>
      </c>
      <c r="K1433">
        <v>5</v>
      </c>
      <c r="L1433">
        <v>0</v>
      </c>
      <c r="M1433">
        <v>0</v>
      </c>
      <c r="N1433">
        <v>0</v>
      </c>
    </row>
    <row r="1434" spans="1:14" x14ac:dyDescent="0.45">
      <c r="A1434" t="s">
        <v>188</v>
      </c>
      <c r="B1434" t="s">
        <v>695</v>
      </c>
      <c r="C1434" t="s">
        <v>101</v>
      </c>
      <c r="D1434" t="s">
        <v>361</v>
      </c>
      <c r="E1434">
        <v>4</v>
      </c>
      <c r="F1434">
        <v>0</v>
      </c>
      <c r="G1434">
        <v>22</v>
      </c>
      <c r="H1434">
        <v>1</v>
      </c>
      <c r="I1434">
        <v>5.5</v>
      </c>
      <c r="J1434">
        <v>11</v>
      </c>
      <c r="K1434">
        <v>2</v>
      </c>
      <c r="L1434">
        <v>0</v>
      </c>
      <c r="M1434">
        <v>0</v>
      </c>
      <c r="N1434">
        <v>0</v>
      </c>
    </row>
    <row r="1435" spans="1:14" x14ac:dyDescent="0.45">
      <c r="A1435" t="s">
        <v>188</v>
      </c>
      <c r="B1435" t="s">
        <v>695</v>
      </c>
      <c r="C1435" t="s">
        <v>101</v>
      </c>
      <c r="D1435" t="s">
        <v>317</v>
      </c>
      <c r="E1435">
        <v>4</v>
      </c>
      <c r="F1435">
        <v>0</v>
      </c>
      <c r="G1435">
        <v>28</v>
      </c>
      <c r="H1435">
        <v>4</v>
      </c>
      <c r="I1435">
        <v>7</v>
      </c>
      <c r="J1435">
        <v>12</v>
      </c>
      <c r="K1435">
        <v>5</v>
      </c>
      <c r="L1435">
        <v>0</v>
      </c>
      <c r="M1435">
        <v>1</v>
      </c>
      <c r="N1435">
        <v>0</v>
      </c>
    </row>
    <row r="1436" spans="1:14" x14ac:dyDescent="0.45">
      <c r="A1436" t="s">
        <v>188</v>
      </c>
      <c r="B1436" t="s">
        <v>695</v>
      </c>
      <c r="C1436" t="s">
        <v>101</v>
      </c>
      <c r="D1436" t="s">
        <v>379</v>
      </c>
      <c r="E1436">
        <v>4</v>
      </c>
      <c r="F1436">
        <v>0</v>
      </c>
      <c r="G1436">
        <v>30</v>
      </c>
      <c r="H1436">
        <v>1</v>
      </c>
      <c r="I1436">
        <v>7.5</v>
      </c>
      <c r="J1436">
        <v>9</v>
      </c>
      <c r="K1436">
        <v>1</v>
      </c>
      <c r="L1436">
        <v>1</v>
      </c>
      <c r="M1436">
        <v>1</v>
      </c>
      <c r="N1436">
        <v>0</v>
      </c>
    </row>
    <row r="1437" spans="1:14" x14ac:dyDescent="0.45">
      <c r="A1437" t="s">
        <v>188</v>
      </c>
      <c r="B1437" t="s">
        <v>695</v>
      </c>
      <c r="C1437" t="s">
        <v>101</v>
      </c>
      <c r="D1437" t="s">
        <v>553</v>
      </c>
      <c r="E1437">
        <v>1</v>
      </c>
      <c r="F1437">
        <v>0</v>
      </c>
      <c r="G1437">
        <v>7</v>
      </c>
      <c r="H1437">
        <v>0</v>
      </c>
      <c r="I1437">
        <v>7</v>
      </c>
      <c r="J1437">
        <v>2</v>
      </c>
      <c r="K1437">
        <v>1</v>
      </c>
      <c r="L1437">
        <v>0</v>
      </c>
      <c r="M1437">
        <v>0</v>
      </c>
      <c r="N1437">
        <v>0</v>
      </c>
    </row>
    <row r="1438" spans="1:14" x14ac:dyDescent="0.45">
      <c r="A1438" t="s">
        <v>188</v>
      </c>
      <c r="B1438" t="s">
        <v>695</v>
      </c>
      <c r="C1438" t="s">
        <v>101</v>
      </c>
      <c r="D1438" t="s">
        <v>460</v>
      </c>
      <c r="E1438">
        <v>1</v>
      </c>
      <c r="F1438">
        <v>0</v>
      </c>
      <c r="G1438">
        <v>14</v>
      </c>
      <c r="H1438">
        <v>0</v>
      </c>
      <c r="I1438">
        <v>14</v>
      </c>
      <c r="J1438">
        <v>2</v>
      </c>
      <c r="K1438">
        <v>3</v>
      </c>
      <c r="L1438">
        <v>0</v>
      </c>
      <c r="M1438">
        <v>1</v>
      </c>
      <c r="N1438">
        <v>0</v>
      </c>
    </row>
    <row r="1439" spans="1:14" x14ac:dyDescent="0.45">
      <c r="A1439" t="s">
        <v>188</v>
      </c>
      <c r="B1439" t="s">
        <v>695</v>
      </c>
      <c r="C1439" t="s">
        <v>101</v>
      </c>
      <c r="D1439" t="s">
        <v>390</v>
      </c>
      <c r="E1439">
        <v>2</v>
      </c>
      <c r="F1439">
        <v>0</v>
      </c>
      <c r="G1439">
        <v>22</v>
      </c>
      <c r="H1439">
        <v>0</v>
      </c>
      <c r="I1439">
        <v>11</v>
      </c>
      <c r="J1439">
        <v>3</v>
      </c>
      <c r="K1439">
        <v>1</v>
      </c>
      <c r="L1439">
        <v>2</v>
      </c>
      <c r="M1439">
        <v>0</v>
      </c>
      <c r="N1439">
        <v>0</v>
      </c>
    </row>
    <row r="1440" spans="1:14" x14ac:dyDescent="0.45">
      <c r="A1440" t="s">
        <v>189</v>
      </c>
      <c r="B1440" t="s">
        <v>632</v>
      </c>
      <c r="C1440" t="s">
        <v>19</v>
      </c>
      <c r="D1440" t="s">
        <v>369</v>
      </c>
      <c r="E1440">
        <v>4</v>
      </c>
      <c r="F1440">
        <v>0</v>
      </c>
      <c r="G1440">
        <v>17</v>
      </c>
      <c r="H1440">
        <v>3</v>
      </c>
      <c r="I1440">
        <v>4.25</v>
      </c>
      <c r="J1440">
        <v>16</v>
      </c>
      <c r="K1440">
        <v>3</v>
      </c>
      <c r="L1440">
        <v>0</v>
      </c>
      <c r="M1440">
        <v>0</v>
      </c>
      <c r="N1440">
        <v>0</v>
      </c>
    </row>
    <row r="1441" spans="1:14" x14ac:dyDescent="0.45">
      <c r="A1441" t="s">
        <v>189</v>
      </c>
      <c r="B1441" t="s">
        <v>632</v>
      </c>
      <c r="C1441" t="s">
        <v>19</v>
      </c>
      <c r="D1441" t="s">
        <v>464</v>
      </c>
      <c r="E1441">
        <v>4</v>
      </c>
      <c r="F1441">
        <v>0</v>
      </c>
      <c r="G1441">
        <v>32</v>
      </c>
      <c r="H1441">
        <v>0</v>
      </c>
      <c r="I1441">
        <v>8</v>
      </c>
      <c r="J1441">
        <v>10</v>
      </c>
      <c r="K1441">
        <v>2</v>
      </c>
      <c r="L1441">
        <v>2</v>
      </c>
      <c r="M1441">
        <v>2</v>
      </c>
      <c r="N1441">
        <v>0</v>
      </c>
    </row>
    <row r="1442" spans="1:14" x14ac:dyDescent="0.45">
      <c r="A1442" t="s">
        <v>189</v>
      </c>
      <c r="B1442" t="s">
        <v>632</v>
      </c>
      <c r="C1442" t="s">
        <v>19</v>
      </c>
      <c r="D1442" t="s">
        <v>546</v>
      </c>
      <c r="E1442">
        <v>1</v>
      </c>
      <c r="F1442">
        <v>0</v>
      </c>
      <c r="G1442">
        <v>26</v>
      </c>
      <c r="H1442">
        <v>0</v>
      </c>
      <c r="I1442">
        <v>26</v>
      </c>
      <c r="J1442">
        <v>1</v>
      </c>
      <c r="K1442">
        <v>2</v>
      </c>
      <c r="L1442">
        <v>3</v>
      </c>
      <c r="M1442">
        <v>0</v>
      </c>
      <c r="N1442">
        <v>0</v>
      </c>
    </row>
    <row r="1443" spans="1:14" x14ac:dyDescent="0.45">
      <c r="A1443" t="s">
        <v>189</v>
      </c>
      <c r="B1443" t="s">
        <v>632</v>
      </c>
      <c r="C1443" t="s">
        <v>19</v>
      </c>
      <c r="D1443" t="s">
        <v>473</v>
      </c>
      <c r="E1443">
        <v>3</v>
      </c>
      <c r="F1443">
        <v>0</v>
      </c>
      <c r="G1443">
        <v>32</v>
      </c>
      <c r="H1443">
        <v>0</v>
      </c>
      <c r="I1443">
        <v>10.66</v>
      </c>
      <c r="J1443">
        <v>6</v>
      </c>
      <c r="K1443">
        <v>2</v>
      </c>
      <c r="L1443">
        <v>2</v>
      </c>
      <c r="M1443">
        <v>3</v>
      </c>
      <c r="N1443">
        <v>0</v>
      </c>
    </row>
    <row r="1444" spans="1:14" x14ac:dyDescent="0.45">
      <c r="A1444" t="s">
        <v>189</v>
      </c>
      <c r="B1444" t="s">
        <v>632</v>
      </c>
      <c r="C1444" t="s">
        <v>19</v>
      </c>
      <c r="D1444" t="s">
        <v>544</v>
      </c>
      <c r="E1444">
        <v>4</v>
      </c>
      <c r="F1444">
        <v>0</v>
      </c>
      <c r="G1444">
        <v>35</v>
      </c>
      <c r="H1444">
        <v>3</v>
      </c>
      <c r="I1444">
        <v>8.75</v>
      </c>
      <c r="J1444">
        <v>10</v>
      </c>
      <c r="K1444">
        <v>3</v>
      </c>
      <c r="L1444">
        <v>2</v>
      </c>
      <c r="M1444">
        <v>0</v>
      </c>
      <c r="N1444">
        <v>0</v>
      </c>
    </row>
    <row r="1445" spans="1:14" x14ac:dyDescent="0.45">
      <c r="A1445" t="s">
        <v>189</v>
      </c>
      <c r="B1445" t="s">
        <v>632</v>
      </c>
      <c r="C1445" t="s">
        <v>19</v>
      </c>
      <c r="D1445" t="s">
        <v>362</v>
      </c>
      <c r="E1445">
        <v>4</v>
      </c>
      <c r="F1445">
        <v>0</v>
      </c>
      <c r="G1445">
        <v>46</v>
      </c>
      <c r="H1445">
        <v>1</v>
      </c>
      <c r="I1445">
        <v>11.5</v>
      </c>
      <c r="J1445">
        <v>5</v>
      </c>
      <c r="K1445">
        <v>5</v>
      </c>
      <c r="L1445">
        <v>2</v>
      </c>
      <c r="M1445">
        <v>1</v>
      </c>
      <c r="N1445">
        <v>0</v>
      </c>
    </row>
    <row r="1446" spans="1:14" x14ac:dyDescent="0.45">
      <c r="A1446" t="s">
        <v>189</v>
      </c>
      <c r="B1446" t="s">
        <v>632</v>
      </c>
      <c r="C1446" t="s">
        <v>23</v>
      </c>
      <c r="D1446" t="s">
        <v>370</v>
      </c>
      <c r="E1446">
        <v>4</v>
      </c>
      <c r="F1446">
        <v>0</v>
      </c>
      <c r="G1446">
        <v>29</v>
      </c>
      <c r="H1446">
        <v>1</v>
      </c>
      <c r="I1446">
        <v>7.25</v>
      </c>
      <c r="J1446">
        <v>11</v>
      </c>
      <c r="K1446">
        <v>3</v>
      </c>
      <c r="L1446">
        <v>1</v>
      </c>
      <c r="M1446">
        <v>1</v>
      </c>
      <c r="N1446">
        <v>0</v>
      </c>
    </row>
    <row r="1447" spans="1:14" x14ac:dyDescent="0.45">
      <c r="A1447" t="s">
        <v>189</v>
      </c>
      <c r="B1447" t="s">
        <v>632</v>
      </c>
      <c r="C1447" t="s">
        <v>23</v>
      </c>
      <c r="D1447" t="s">
        <v>441</v>
      </c>
      <c r="E1447">
        <v>4</v>
      </c>
      <c r="F1447">
        <v>0</v>
      </c>
      <c r="G1447">
        <v>37</v>
      </c>
      <c r="H1447">
        <v>1</v>
      </c>
      <c r="I1447">
        <v>9.25</v>
      </c>
      <c r="J1447">
        <v>13</v>
      </c>
      <c r="K1447">
        <v>4</v>
      </c>
      <c r="L1447">
        <v>1</v>
      </c>
      <c r="M1447">
        <v>5</v>
      </c>
      <c r="N1447">
        <v>1</v>
      </c>
    </row>
    <row r="1448" spans="1:14" x14ac:dyDescent="0.45">
      <c r="A1448" t="s">
        <v>189</v>
      </c>
      <c r="B1448" t="s">
        <v>632</v>
      </c>
      <c r="C1448" t="s">
        <v>23</v>
      </c>
      <c r="D1448" t="s">
        <v>449</v>
      </c>
      <c r="E1448">
        <v>3</v>
      </c>
      <c r="F1448">
        <v>0</v>
      </c>
      <c r="G1448">
        <v>36</v>
      </c>
      <c r="H1448">
        <v>2</v>
      </c>
      <c r="I1448">
        <v>12</v>
      </c>
      <c r="J1448">
        <v>8</v>
      </c>
      <c r="K1448">
        <v>4</v>
      </c>
      <c r="L1448">
        <v>2</v>
      </c>
      <c r="M1448">
        <v>1</v>
      </c>
      <c r="N1448">
        <v>1</v>
      </c>
    </row>
    <row r="1449" spans="1:14" x14ac:dyDescent="0.45">
      <c r="A1449" t="s">
        <v>189</v>
      </c>
      <c r="B1449" t="s">
        <v>632</v>
      </c>
      <c r="C1449" t="s">
        <v>23</v>
      </c>
      <c r="D1449" t="s">
        <v>339</v>
      </c>
      <c r="E1449">
        <v>4</v>
      </c>
      <c r="F1449">
        <v>0</v>
      </c>
      <c r="G1449">
        <v>30</v>
      </c>
      <c r="H1449">
        <v>1</v>
      </c>
      <c r="I1449">
        <v>7.5</v>
      </c>
      <c r="J1449">
        <v>6</v>
      </c>
      <c r="K1449">
        <v>0</v>
      </c>
      <c r="L1449">
        <v>2</v>
      </c>
      <c r="M1449">
        <v>0</v>
      </c>
      <c r="N1449">
        <v>0</v>
      </c>
    </row>
    <row r="1450" spans="1:14" x14ac:dyDescent="0.45">
      <c r="A1450" t="s">
        <v>189</v>
      </c>
      <c r="B1450" t="s">
        <v>632</v>
      </c>
      <c r="C1450" t="s">
        <v>23</v>
      </c>
      <c r="D1450" t="s">
        <v>353</v>
      </c>
      <c r="E1450">
        <v>4</v>
      </c>
      <c r="F1450">
        <v>0</v>
      </c>
      <c r="G1450">
        <v>26</v>
      </c>
      <c r="H1450">
        <v>2</v>
      </c>
      <c r="I1450">
        <v>6.5</v>
      </c>
      <c r="J1450">
        <v>11</v>
      </c>
      <c r="K1450">
        <v>2</v>
      </c>
      <c r="L1450">
        <v>1</v>
      </c>
      <c r="M1450">
        <v>1</v>
      </c>
      <c r="N1450">
        <v>0</v>
      </c>
    </row>
    <row r="1451" spans="1:14" x14ac:dyDescent="0.45">
      <c r="A1451" t="s">
        <v>189</v>
      </c>
      <c r="B1451" t="s">
        <v>632</v>
      </c>
      <c r="C1451" t="s">
        <v>23</v>
      </c>
      <c r="D1451" t="s">
        <v>431</v>
      </c>
      <c r="E1451">
        <v>1</v>
      </c>
      <c r="F1451">
        <v>0</v>
      </c>
      <c r="G1451">
        <v>11</v>
      </c>
      <c r="H1451">
        <v>0</v>
      </c>
      <c r="I1451">
        <v>11</v>
      </c>
      <c r="J1451">
        <v>1</v>
      </c>
      <c r="K1451">
        <v>0</v>
      </c>
      <c r="L1451">
        <v>1</v>
      </c>
      <c r="M1451">
        <v>0</v>
      </c>
      <c r="N1451">
        <v>0</v>
      </c>
    </row>
    <row r="1452" spans="1:14" x14ac:dyDescent="0.45">
      <c r="A1452" t="s">
        <v>190</v>
      </c>
      <c r="B1452" t="s">
        <v>656</v>
      </c>
      <c r="C1452" t="s">
        <v>7</v>
      </c>
      <c r="D1452" t="s">
        <v>515</v>
      </c>
      <c r="E1452">
        <v>4</v>
      </c>
      <c r="F1452">
        <v>1</v>
      </c>
      <c r="G1452">
        <v>23</v>
      </c>
      <c r="H1452">
        <v>4</v>
      </c>
      <c r="I1452">
        <v>5.75</v>
      </c>
      <c r="J1452">
        <v>13</v>
      </c>
      <c r="K1452">
        <v>2</v>
      </c>
      <c r="L1452">
        <v>1</v>
      </c>
      <c r="M1452">
        <v>0</v>
      </c>
      <c r="N1452">
        <v>1</v>
      </c>
    </row>
    <row r="1453" spans="1:14" x14ac:dyDescent="0.45">
      <c r="A1453" t="s">
        <v>190</v>
      </c>
      <c r="B1453" t="s">
        <v>656</v>
      </c>
      <c r="C1453" t="s">
        <v>7</v>
      </c>
      <c r="D1453" t="s">
        <v>415</v>
      </c>
      <c r="E1453">
        <v>4</v>
      </c>
      <c r="F1453">
        <v>0</v>
      </c>
      <c r="G1453">
        <v>36</v>
      </c>
      <c r="H1453">
        <v>2</v>
      </c>
      <c r="I1453">
        <v>9</v>
      </c>
      <c r="J1453">
        <v>14</v>
      </c>
      <c r="K1453">
        <v>5</v>
      </c>
      <c r="L1453">
        <v>2</v>
      </c>
      <c r="M1453">
        <v>0</v>
      </c>
      <c r="N1453">
        <v>1</v>
      </c>
    </row>
    <row r="1454" spans="1:14" x14ac:dyDescent="0.45">
      <c r="A1454" t="s">
        <v>190</v>
      </c>
      <c r="B1454" t="s">
        <v>656</v>
      </c>
      <c r="C1454" t="s">
        <v>7</v>
      </c>
      <c r="D1454" t="s">
        <v>320</v>
      </c>
      <c r="E1454">
        <v>2</v>
      </c>
      <c r="F1454">
        <v>0</v>
      </c>
      <c r="G1454">
        <v>39</v>
      </c>
      <c r="H1454">
        <v>1</v>
      </c>
      <c r="I1454">
        <v>19.5</v>
      </c>
      <c r="J1454">
        <v>4</v>
      </c>
      <c r="K1454">
        <v>3</v>
      </c>
      <c r="L1454">
        <v>4</v>
      </c>
      <c r="M1454">
        <v>2</v>
      </c>
      <c r="N1454">
        <v>0</v>
      </c>
    </row>
    <row r="1455" spans="1:14" x14ac:dyDescent="0.45">
      <c r="A1455" t="s">
        <v>190</v>
      </c>
      <c r="B1455" t="s">
        <v>656</v>
      </c>
      <c r="C1455" t="s">
        <v>7</v>
      </c>
      <c r="D1455" t="s">
        <v>322</v>
      </c>
      <c r="E1455">
        <v>4</v>
      </c>
      <c r="F1455">
        <v>0</v>
      </c>
      <c r="G1455">
        <v>14</v>
      </c>
      <c r="H1455">
        <v>0</v>
      </c>
      <c r="I1455">
        <v>3.5</v>
      </c>
      <c r="J1455">
        <v>14</v>
      </c>
      <c r="K1455">
        <v>0</v>
      </c>
      <c r="L1455">
        <v>0</v>
      </c>
      <c r="M1455">
        <v>2</v>
      </c>
      <c r="N1455">
        <v>0</v>
      </c>
    </row>
    <row r="1456" spans="1:14" x14ac:dyDescent="0.45">
      <c r="A1456" t="s">
        <v>190</v>
      </c>
      <c r="B1456" t="s">
        <v>656</v>
      </c>
      <c r="C1456" t="s">
        <v>7</v>
      </c>
      <c r="D1456" t="s">
        <v>308</v>
      </c>
      <c r="E1456">
        <v>4</v>
      </c>
      <c r="F1456">
        <v>0</v>
      </c>
      <c r="G1456">
        <v>23</v>
      </c>
      <c r="H1456">
        <v>1</v>
      </c>
      <c r="I1456">
        <v>5.75</v>
      </c>
      <c r="J1456">
        <v>13</v>
      </c>
      <c r="K1456">
        <v>1</v>
      </c>
      <c r="L1456">
        <v>1</v>
      </c>
      <c r="M1456">
        <v>2</v>
      </c>
      <c r="N1456">
        <v>0</v>
      </c>
    </row>
    <row r="1457" spans="1:14" x14ac:dyDescent="0.45">
      <c r="A1457" t="s">
        <v>190</v>
      </c>
      <c r="B1457" t="s">
        <v>656</v>
      </c>
      <c r="C1457" t="s">
        <v>7</v>
      </c>
      <c r="D1457" t="s">
        <v>440</v>
      </c>
      <c r="E1457">
        <v>0.2</v>
      </c>
      <c r="F1457">
        <v>0</v>
      </c>
      <c r="G1457">
        <v>0</v>
      </c>
      <c r="H1457">
        <v>1</v>
      </c>
      <c r="I1457">
        <v>0</v>
      </c>
      <c r="J1457">
        <v>2</v>
      </c>
      <c r="K1457">
        <v>0</v>
      </c>
      <c r="L1457">
        <v>0</v>
      </c>
      <c r="M1457">
        <v>0</v>
      </c>
      <c r="N1457">
        <v>0</v>
      </c>
    </row>
    <row r="1458" spans="1:14" x14ac:dyDescent="0.45">
      <c r="A1458" t="s">
        <v>190</v>
      </c>
      <c r="B1458" t="s">
        <v>656</v>
      </c>
      <c r="C1458" t="s">
        <v>26</v>
      </c>
      <c r="D1458" t="s">
        <v>405</v>
      </c>
      <c r="E1458">
        <v>3</v>
      </c>
      <c r="F1458">
        <v>0</v>
      </c>
      <c r="G1458">
        <v>32</v>
      </c>
      <c r="H1458">
        <v>0</v>
      </c>
      <c r="I1458">
        <v>10.66</v>
      </c>
      <c r="J1458">
        <v>9</v>
      </c>
      <c r="K1458">
        <v>5</v>
      </c>
      <c r="L1458">
        <v>1</v>
      </c>
      <c r="M1458">
        <v>0</v>
      </c>
      <c r="N1458">
        <v>1</v>
      </c>
    </row>
    <row r="1459" spans="1:14" x14ac:dyDescent="0.45">
      <c r="A1459" t="s">
        <v>190</v>
      </c>
      <c r="B1459" t="s">
        <v>656</v>
      </c>
      <c r="C1459" t="s">
        <v>26</v>
      </c>
      <c r="D1459" t="s">
        <v>341</v>
      </c>
      <c r="E1459">
        <v>3</v>
      </c>
      <c r="F1459">
        <v>0</v>
      </c>
      <c r="G1459">
        <v>23</v>
      </c>
      <c r="H1459">
        <v>1</v>
      </c>
      <c r="I1459">
        <v>7.66</v>
      </c>
      <c r="J1459">
        <v>8</v>
      </c>
      <c r="K1459">
        <v>3</v>
      </c>
      <c r="L1459">
        <v>0</v>
      </c>
      <c r="M1459">
        <v>1</v>
      </c>
      <c r="N1459">
        <v>0</v>
      </c>
    </row>
    <row r="1460" spans="1:14" x14ac:dyDescent="0.45">
      <c r="A1460" t="s">
        <v>190</v>
      </c>
      <c r="B1460" t="s">
        <v>656</v>
      </c>
      <c r="C1460" t="s">
        <v>26</v>
      </c>
      <c r="D1460" t="s">
        <v>543</v>
      </c>
      <c r="E1460">
        <v>2</v>
      </c>
      <c r="F1460">
        <v>0</v>
      </c>
      <c r="G1460">
        <v>39</v>
      </c>
      <c r="H1460">
        <v>1</v>
      </c>
      <c r="I1460">
        <v>19.5</v>
      </c>
      <c r="J1460">
        <v>4</v>
      </c>
      <c r="K1460">
        <v>3</v>
      </c>
      <c r="L1460">
        <v>4</v>
      </c>
      <c r="M1460">
        <v>0</v>
      </c>
      <c r="N1460">
        <v>1</v>
      </c>
    </row>
    <row r="1461" spans="1:14" x14ac:dyDescent="0.45">
      <c r="A1461" t="s">
        <v>190</v>
      </c>
      <c r="B1461" t="s">
        <v>656</v>
      </c>
      <c r="C1461" t="s">
        <v>26</v>
      </c>
      <c r="D1461" t="s">
        <v>435</v>
      </c>
      <c r="E1461">
        <v>4</v>
      </c>
      <c r="F1461">
        <v>1</v>
      </c>
      <c r="G1461">
        <v>13</v>
      </c>
      <c r="H1461">
        <v>2</v>
      </c>
      <c r="I1461">
        <v>3.25</v>
      </c>
      <c r="J1461">
        <v>13</v>
      </c>
      <c r="K1461">
        <v>0</v>
      </c>
      <c r="L1461">
        <v>0</v>
      </c>
      <c r="M1461">
        <v>1</v>
      </c>
      <c r="N1461">
        <v>0</v>
      </c>
    </row>
    <row r="1462" spans="1:14" x14ac:dyDescent="0.45">
      <c r="A1462" t="s">
        <v>190</v>
      </c>
      <c r="B1462" t="s">
        <v>656</v>
      </c>
      <c r="C1462" t="s">
        <v>26</v>
      </c>
      <c r="D1462" t="s">
        <v>404</v>
      </c>
      <c r="E1462">
        <v>2</v>
      </c>
      <c r="F1462">
        <v>0</v>
      </c>
      <c r="G1462">
        <v>20</v>
      </c>
      <c r="H1462">
        <v>0</v>
      </c>
      <c r="I1462">
        <v>10</v>
      </c>
      <c r="J1462">
        <v>4</v>
      </c>
      <c r="K1462">
        <v>0</v>
      </c>
      <c r="L1462">
        <v>2</v>
      </c>
      <c r="M1462">
        <v>1</v>
      </c>
      <c r="N1462">
        <v>0</v>
      </c>
    </row>
    <row r="1463" spans="1:14" x14ac:dyDescent="0.45">
      <c r="A1463" t="s">
        <v>190</v>
      </c>
      <c r="B1463" t="s">
        <v>656</v>
      </c>
      <c r="C1463" t="s">
        <v>26</v>
      </c>
      <c r="D1463" t="s">
        <v>384</v>
      </c>
      <c r="E1463">
        <v>0.3</v>
      </c>
      <c r="F1463">
        <v>0</v>
      </c>
      <c r="G1463">
        <v>13</v>
      </c>
      <c r="H1463">
        <v>0</v>
      </c>
      <c r="I1463">
        <v>26</v>
      </c>
      <c r="J1463">
        <v>0</v>
      </c>
      <c r="K1463">
        <v>0</v>
      </c>
      <c r="L1463">
        <v>2</v>
      </c>
      <c r="M1463">
        <v>0</v>
      </c>
      <c r="N1463">
        <v>0</v>
      </c>
    </row>
    <row r="1464" spans="1:14" x14ac:dyDescent="0.45">
      <c r="A1464" t="s">
        <v>191</v>
      </c>
      <c r="B1464" t="s">
        <v>696</v>
      </c>
      <c r="C1464" t="s">
        <v>104</v>
      </c>
      <c r="D1464" t="s">
        <v>340</v>
      </c>
      <c r="E1464">
        <v>4</v>
      </c>
      <c r="F1464">
        <v>0</v>
      </c>
      <c r="G1464">
        <v>38</v>
      </c>
      <c r="H1464">
        <v>2</v>
      </c>
      <c r="I1464">
        <v>9.5</v>
      </c>
      <c r="J1464">
        <v>12</v>
      </c>
      <c r="K1464">
        <v>5</v>
      </c>
      <c r="L1464">
        <v>2</v>
      </c>
      <c r="M1464">
        <v>0</v>
      </c>
      <c r="N1464">
        <v>0</v>
      </c>
    </row>
    <row r="1465" spans="1:14" x14ac:dyDescent="0.45">
      <c r="A1465" t="s">
        <v>191</v>
      </c>
      <c r="B1465" t="s">
        <v>696</v>
      </c>
      <c r="C1465" t="s">
        <v>104</v>
      </c>
      <c r="D1465" t="s">
        <v>491</v>
      </c>
      <c r="E1465">
        <v>4</v>
      </c>
      <c r="F1465">
        <v>0</v>
      </c>
      <c r="G1465">
        <v>49</v>
      </c>
      <c r="H1465">
        <v>0</v>
      </c>
      <c r="I1465">
        <v>12.25</v>
      </c>
      <c r="J1465">
        <v>6</v>
      </c>
      <c r="K1465">
        <v>6</v>
      </c>
      <c r="L1465">
        <v>2</v>
      </c>
      <c r="M1465">
        <v>1</v>
      </c>
      <c r="N1465">
        <v>0</v>
      </c>
    </row>
    <row r="1466" spans="1:14" x14ac:dyDescent="0.45">
      <c r="A1466" t="s">
        <v>191</v>
      </c>
      <c r="B1466" t="s">
        <v>696</v>
      </c>
      <c r="C1466" t="s">
        <v>104</v>
      </c>
      <c r="D1466" t="s">
        <v>551</v>
      </c>
      <c r="E1466">
        <v>4</v>
      </c>
      <c r="F1466">
        <v>0</v>
      </c>
      <c r="G1466">
        <v>40</v>
      </c>
      <c r="H1466">
        <v>2</v>
      </c>
      <c r="I1466">
        <v>10</v>
      </c>
      <c r="J1466">
        <v>10</v>
      </c>
      <c r="K1466">
        <v>6</v>
      </c>
      <c r="L1466">
        <v>1</v>
      </c>
      <c r="M1466">
        <v>1</v>
      </c>
      <c r="N1466">
        <v>0</v>
      </c>
    </row>
    <row r="1467" spans="1:14" x14ac:dyDescent="0.45">
      <c r="A1467" t="s">
        <v>191</v>
      </c>
      <c r="B1467" t="s">
        <v>696</v>
      </c>
      <c r="C1467" t="s">
        <v>104</v>
      </c>
      <c r="D1467" t="s">
        <v>366</v>
      </c>
      <c r="E1467">
        <v>3</v>
      </c>
      <c r="F1467">
        <v>0</v>
      </c>
      <c r="G1467">
        <v>36</v>
      </c>
      <c r="H1467">
        <v>0</v>
      </c>
      <c r="I1467">
        <v>12</v>
      </c>
      <c r="J1467">
        <v>3</v>
      </c>
      <c r="K1467">
        <v>3</v>
      </c>
      <c r="L1467">
        <v>2</v>
      </c>
      <c r="M1467">
        <v>1</v>
      </c>
      <c r="N1467">
        <v>0</v>
      </c>
    </row>
    <row r="1468" spans="1:14" x14ac:dyDescent="0.45">
      <c r="A1468" t="s">
        <v>191</v>
      </c>
      <c r="B1468" t="s">
        <v>696</v>
      </c>
      <c r="C1468" t="s">
        <v>104</v>
      </c>
      <c r="D1468" t="s">
        <v>407</v>
      </c>
      <c r="E1468">
        <v>4</v>
      </c>
      <c r="F1468">
        <v>0</v>
      </c>
      <c r="G1468">
        <v>24</v>
      </c>
      <c r="H1468">
        <v>2</v>
      </c>
      <c r="I1468">
        <v>6</v>
      </c>
      <c r="J1468">
        <v>11</v>
      </c>
      <c r="K1468">
        <v>3</v>
      </c>
      <c r="L1468">
        <v>0</v>
      </c>
      <c r="M1468">
        <v>0</v>
      </c>
      <c r="N1468">
        <v>0</v>
      </c>
    </row>
    <row r="1469" spans="1:14" x14ac:dyDescent="0.45">
      <c r="A1469" t="s">
        <v>191</v>
      </c>
      <c r="B1469" t="s">
        <v>696</v>
      </c>
      <c r="C1469" t="s">
        <v>104</v>
      </c>
      <c r="D1469" t="s">
        <v>426</v>
      </c>
      <c r="E1469">
        <v>1</v>
      </c>
      <c r="F1469">
        <v>0</v>
      </c>
      <c r="G1469">
        <v>12</v>
      </c>
      <c r="H1469">
        <v>0</v>
      </c>
      <c r="I1469">
        <v>12</v>
      </c>
      <c r="J1469">
        <v>2</v>
      </c>
      <c r="K1469">
        <v>1</v>
      </c>
      <c r="L1469">
        <v>1</v>
      </c>
      <c r="M1469">
        <v>0</v>
      </c>
      <c r="N1469">
        <v>0</v>
      </c>
    </row>
    <row r="1470" spans="1:14" x14ac:dyDescent="0.45">
      <c r="A1470" t="s">
        <v>191</v>
      </c>
      <c r="B1470" t="s">
        <v>696</v>
      </c>
      <c r="C1470" t="s">
        <v>6</v>
      </c>
      <c r="D1470" t="s">
        <v>509</v>
      </c>
      <c r="E1470">
        <v>3.3</v>
      </c>
      <c r="F1470">
        <v>0</v>
      </c>
      <c r="G1470">
        <v>39</v>
      </c>
      <c r="H1470">
        <v>0</v>
      </c>
      <c r="I1470">
        <v>11.14</v>
      </c>
      <c r="J1470">
        <v>8</v>
      </c>
      <c r="K1470">
        <v>4</v>
      </c>
      <c r="L1470">
        <v>2</v>
      </c>
      <c r="M1470">
        <v>3</v>
      </c>
      <c r="N1470">
        <v>0</v>
      </c>
    </row>
    <row r="1471" spans="1:14" x14ac:dyDescent="0.45">
      <c r="A1471" t="s">
        <v>191</v>
      </c>
      <c r="B1471" t="s">
        <v>696</v>
      </c>
      <c r="C1471" t="s">
        <v>6</v>
      </c>
      <c r="D1471" t="s">
        <v>555</v>
      </c>
      <c r="E1471">
        <v>4</v>
      </c>
      <c r="F1471">
        <v>0</v>
      </c>
      <c r="G1471">
        <v>40</v>
      </c>
      <c r="H1471">
        <v>1</v>
      </c>
      <c r="I1471">
        <v>10</v>
      </c>
      <c r="J1471">
        <v>9</v>
      </c>
      <c r="K1471">
        <v>6</v>
      </c>
      <c r="L1471">
        <v>1</v>
      </c>
      <c r="M1471">
        <v>1</v>
      </c>
      <c r="N1471">
        <v>0</v>
      </c>
    </row>
    <row r="1472" spans="1:14" x14ac:dyDescent="0.45">
      <c r="A1472" t="s">
        <v>191</v>
      </c>
      <c r="B1472" t="s">
        <v>696</v>
      </c>
      <c r="C1472" t="s">
        <v>6</v>
      </c>
      <c r="D1472" t="s">
        <v>327</v>
      </c>
      <c r="E1472">
        <v>4</v>
      </c>
      <c r="F1472">
        <v>0</v>
      </c>
      <c r="G1472">
        <v>35</v>
      </c>
      <c r="H1472">
        <v>1</v>
      </c>
      <c r="I1472">
        <v>8.75</v>
      </c>
      <c r="J1472">
        <v>6</v>
      </c>
      <c r="K1472">
        <v>2</v>
      </c>
      <c r="L1472">
        <v>1</v>
      </c>
      <c r="M1472">
        <v>3</v>
      </c>
      <c r="N1472">
        <v>0</v>
      </c>
    </row>
    <row r="1473" spans="1:14" x14ac:dyDescent="0.45">
      <c r="A1473" t="s">
        <v>191</v>
      </c>
      <c r="B1473" t="s">
        <v>696</v>
      </c>
      <c r="C1473" t="s">
        <v>6</v>
      </c>
      <c r="D1473" t="s">
        <v>328</v>
      </c>
      <c r="E1473">
        <v>2</v>
      </c>
      <c r="F1473">
        <v>0</v>
      </c>
      <c r="G1473">
        <v>21</v>
      </c>
      <c r="H1473">
        <v>0</v>
      </c>
      <c r="I1473">
        <v>10.5</v>
      </c>
      <c r="J1473">
        <v>3</v>
      </c>
      <c r="K1473">
        <v>2</v>
      </c>
      <c r="L1473">
        <v>1</v>
      </c>
      <c r="M1473">
        <v>0</v>
      </c>
      <c r="N1473">
        <v>0</v>
      </c>
    </row>
    <row r="1474" spans="1:14" x14ac:dyDescent="0.45">
      <c r="A1474" t="s">
        <v>191</v>
      </c>
      <c r="B1474" t="s">
        <v>696</v>
      </c>
      <c r="C1474" t="s">
        <v>6</v>
      </c>
      <c r="D1474" t="s">
        <v>299</v>
      </c>
      <c r="E1474">
        <v>1</v>
      </c>
      <c r="F1474">
        <v>0</v>
      </c>
      <c r="G1474">
        <v>14</v>
      </c>
      <c r="H1474">
        <v>0</v>
      </c>
      <c r="I1474">
        <v>14</v>
      </c>
      <c r="J1474">
        <v>1</v>
      </c>
      <c r="K1474">
        <v>1</v>
      </c>
      <c r="L1474">
        <v>1</v>
      </c>
      <c r="M1474">
        <v>0</v>
      </c>
      <c r="N1474">
        <v>0</v>
      </c>
    </row>
    <row r="1475" spans="1:14" x14ac:dyDescent="0.45">
      <c r="A1475" t="s">
        <v>191</v>
      </c>
      <c r="B1475" t="s">
        <v>696</v>
      </c>
      <c r="C1475" t="s">
        <v>6</v>
      </c>
      <c r="D1475" t="s">
        <v>537</v>
      </c>
      <c r="E1475">
        <v>4</v>
      </c>
      <c r="F1475">
        <v>0</v>
      </c>
      <c r="G1475">
        <v>31</v>
      </c>
      <c r="H1475">
        <v>2</v>
      </c>
      <c r="I1475">
        <v>7.75</v>
      </c>
      <c r="J1475">
        <v>9</v>
      </c>
      <c r="K1475">
        <v>1</v>
      </c>
      <c r="L1475">
        <v>1</v>
      </c>
      <c r="M1475">
        <v>3</v>
      </c>
      <c r="N1475">
        <v>0</v>
      </c>
    </row>
    <row r="1476" spans="1:14" x14ac:dyDescent="0.45">
      <c r="A1476" t="s">
        <v>191</v>
      </c>
      <c r="B1476" t="s">
        <v>696</v>
      </c>
      <c r="C1476" t="s">
        <v>6</v>
      </c>
      <c r="D1476" t="s">
        <v>387</v>
      </c>
      <c r="E1476">
        <v>1</v>
      </c>
      <c r="F1476">
        <v>0</v>
      </c>
      <c r="G1476">
        <v>25</v>
      </c>
      <c r="H1476">
        <v>0</v>
      </c>
      <c r="I1476">
        <v>25</v>
      </c>
      <c r="J1476">
        <v>0</v>
      </c>
      <c r="K1476">
        <v>2</v>
      </c>
      <c r="L1476">
        <v>2</v>
      </c>
      <c r="M1476">
        <v>2</v>
      </c>
      <c r="N1476">
        <v>0</v>
      </c>
    </row>
    <row r="1477" spans="1:14" x14ac:dyDescent="0.45">
      <c r="A1477" t="s">
        <v>192</v>
      </c>
      <c r="B1477" t="s">
        <v>697</v>
      </c>
      <c r="C1477" t="s">
        <v>13</v>
      </c>
      <c r="D1477" t="s">
        <v>550</v>
      </c>
      <c r="E1477">
        <v>2</v>
      </c>
      <c r="F1477">
        <v>0</v>
      </c>
      <c r="G1477">
        <v>7</v>
      </c>
      <c r="H1477">
        <v>0</v>
      </c>
      <c r="I1477">
        <v>3.5</v>
      </c>
      <c r="J1477">
        <v>6</v>
      </c>
      <c r="K1477">
        <v>0</v>
      </c>
      <c r="L1477">
        <v>0</v>
      </c>
      <c r="M1477">
        <v>0</v>
      </c>
      <c r="N1477">
        <v>0</v>
      </c>
    </row>
    <row r="1478" spans="1:14" x14ac:dyDescent="0.45">
      <c r="A1478" t="s">
        <v>192</v>
      </c>
      <c r="B1478" t="s">
        <v>697</v>
      </c>
      <c r="C1478" t="s">
        <v>13</v>
      </c>
      <c r="D1478" t="s">
        <v>352</v>
      </c>
      <c r="E1478">
        <v>4</v>
      </c>
      <c r="F1478">
        <v>0</v>
      </c>
      <c r="G1478">
        <v>25</v>
      </c>
      <c r="H1478">
        <v>1</v>
      </c>
      <c r="I1478">
        <v>6.25</v>
      </c>
      <c r="J1478">
        <v>13</v>
      </c>
      <c r="K1478">
        <v>4</v>
      </c>
      <c r="L1478">
        <v>0</v>
      </c>
      <c r="M1478">
        <v>0</v>
      </c>
      <c r="N1478">
        <v>0</v>
      </c>
    </row>
    <row r="1479" spans="1:14" x14ac:dyDescent="0.45">
      <c r="A1479" t="s">
        <v>192</v>
      </c>
      <c r="B1479" t="s">
        <v>697</v>
      </c>
      <c r="C1479" t="s">
        <v>13</v>
      </c>
      <c r="D1479" t="s">
        <v>547</v>
      </c>
      <c r="E1479">
        <v>3.5</v>
      </c>
      <c r="F1479">
        <v>0</v>
      </c>
      <c r="G1479">
        <v>45</v>
      </c>
      <c r="H1479">
        <v>3</v>
      </c>
      <c r="I1479">
        <v>11.73</v>
      </c>
      <c r="J1479">
        <v>10</v>
      </c>
      <c r="K1479">
        <v>5</v>
      </c>
      <c r="L1479">
        <v>3</v>
      </c>
      <c r="M1479">
        <v>0</v>
      </c>
      <c r="N1479">
        <v>1</v>
      </c>
    </row>
    <row r="1480" spans="1:14" x14ac:dyDescent="0.45">
      <c r="A1480" t="s">
        <v>192</v>
      </c>
      <c r="B1480" t="s">
        <v>697</v>
      </c>
      <c r="C1480" t="s">
        <v>13</v>
      </c>
      <c r="D1480" t="s">
        <v>448</v>
      </c>
      <c r="E1480">
        <v>4</v>
      </c>
      <c r="F1480">
        <v>0</v>
      </c>
      <c r="G1480">
        <v>20</v>
      </c>
      <c r="H1480">
        <v>4</v>
      </c>
      <c r="I1480">
        <v>5</v>
      </c>
      <c r="J1480">
        <v>15</v>
      </c>
      <c r="K1480">
        <v>0</v>
      </c>
      <c r="L1480">
        <v>2</v>
      </c>
      <c r="M1480">
        <v>0</v>
      </c>
      <c r="N1480">
        <v>0</v>
      </c>
    </row>
    <row r="1481" spans="1:14" x14ac:dyDescent="0.45">
      <c r="A1481" t="s">
        <v>192</v>
      </c>
      <c r="B1481" t="s">
        <v>697</v>
      </c>
      <c r="C1481" t="s">
        <v>13</v>
      </c>
      <c r="D1481" t="s">
        <v>349</v>
      </c>
      <c r="E1481">
        <v>4</v>
      </c>
      <c r="F1481">
        <v>2</v>
      </c>
      <c r="G1481">
        <v>11</v>
      </c>
      <c r="H1481">
        <v>2</v>
      </c>
      <c r="I1481">
        <v>2.75</v>
      </c>
      <c r="J1481">
        <v>19</v>
      </c>
      <c r="K1481">
        <v>2</v>
      </c>
      <c r="L1481">
        <v>0</v>
      </c>
      <c r="M1481">
        <v>0</v>
      </c>
      <c r="N1481">
        <v>0</v>
      </c>
    </row>
    <row r="1482" spans="1:14" x14ac:dyDescent="0.45">
      <c r="A1482" t="s">
        <v>192</v>
      </c>
      <c r="B1482" t="s">
        <v>697</v>
      </c>
      <c r="C1482" t="s">
        <v>13</v>
      </c>
      <c r="D1482" t="s">
        <v>347</v>
      </c>
      <c r="E1482">
        <v>1</v>
      </c>
      <c r="F1482">
        <v>0</v>
      </c>
      <c r="G1482">
        <v>16</v>
      </c>
      <c r="H1482">
        <v>0</v>
      </c>
      <c r="I1482">
        <v>16</v>
      </c>
      <c r="J1482">
        <v>2</v>
      </c>
      <c r="K1482">
        <v>0</v>
      </c>
      <c r="L1482">
        <v>2</v>
      </c>
      <c r="M1482">
        <v>1</v>
      </c>
      <c r="N1482">
        <v>0</v>
      </c>
    </row>
    <row r="1483" spans="1:14" x14ac:dyDescent="0.45">
      <c r="A1483" t="s">
        <v>192</v>
      </c>
      <c r="B1483" t="s">
        <v>697</v>
      </c>
      <c r="C1483" t="s">
        <v>7</v>
      </c>
      <c r="D1483" t="s">
        <v>515</v>
      </c>
      <c r="E1483">
        <v>4</v>
      </c>
      <c r="F1483">
        <v>0</v>
      </c>
      <c r="G1483">
        <v>16</v>
      </c>
      <c r="H1483">
        <v>2</v>
      </c>
      <c r="I1483">
        <v>4</v>
      </c>
      <c r="J1483">
        <v>14</v>
      </c>
      <c r="K1483">
        <v>2</v>
      </c>
      <c r="L1483">
        <v>0</v>
      </c>
      <c r="M1483">
        <v>0</v>
      </c>
      <c r="N1483">
        <v>0</v>
      </c>
    </row>
    <row r="1484" spans="1:14" x14ac:dyDescent="0.45">
      <c r="A1484" t="s">
        <v>192</v>
      </c>
      <c r="B1484" t="s">
        <v>697</v>
      </c>
      <c r="C1484" t="s">
        <v>7</v>
      </c>
      <c r="D1484" t="s">
        <v>415</v>
      </c>
      <c r="E1484">
        <v>4</v>
      </c>
      <c r="F1484">
        <v>0</v>
      </c>
      <c r="G1484">
        <v>20</v>
      </c>
      <c r="H1484">
        <v>3</v>
      </c>
      <c r="I1484">
        <v>5</v>
      </c>
      <c r="J1484">
        <v>16</v>
      </c>
      <c r="K1484">
        <v>2</v>
      </c>
      <c r="L1484">
        <v>0</v>
      </c>
      <c r="M1484">
        <v>2</v>
      </c>
      <c r="N1484">
        <v>0</v>
      </c>
    </row>
    <row r="1485" spans="1:14" x14ac:dyDescent="0.45">
      <c r="A1485" t="s">
        <v>192</v>
      </c>
      <c r="B1485" t="s">
        <v>697</v>
      </c>
      <c r="C1485" t="s">
        <v>7</v>
      </c>
      <c r="D1485" t="s">
        <v>440</v>
      </c>
      <c r="E1485">
        <v>2.2000000000000002</v>
      </c>
      <c r="F1485">
        <v>0</v>
      </c>
      <c r="G1485">
        <v>36</v>
      </c>
      <c r="H1485">
        <v>0</v>
      </c>
      <c r="I1485">
        <v>15.42</v>
      </c>
      <c r="J1485">
        <v>6</v>
      </c>
      <c r="K1485">
        <v>2</v>
      </c>
      <c r="L1485">
        <v>3</v>
      </c>
      <c r="M1485">
        <v>1</v>
      </c>
      <c r="N1485">
        <v>1</v>
      </c>
    </row>
    <row r="1486" spans="1:14" x14ac:dyDescent="0.45">
      <c r="A1486" t="s">
        <v>192</v>
      </c>
      <c r="B1486" t="s">
        <v>697</v>
      </c>
      <c r="C1486" t="s">
        <v>7</v>
      </c>
      <c r="D1486" t="s">
        <v>308</v>
      </c>
      <c r="E1486">
        <v>4</v>
      </c>
      <c r="F1486">
        <v>0</v>
      </c>
      <c r="G1486">
        <v>12</v>
      </c>
      <c r="H1486">
        <v>1</v>
      </c>
      <c r="I1486">
        <v>3</v>
      </c>
      <c r="J1486">
        <v>13</v>
      </c>
      <c r="K1486">
        <v>0</v>
      </c>
      <c r="L1486">
        <v>0</v>
      </c>
      <c r="M1486">
        <v>0</v>
      </c>
      <c r="N1486">
        <v>0</v>
      </c>
    </row>
    <row r="1487" spans="1:14" x14ac:dyDescent="0.45">
      <c r="A1487" t="s">
        <v>192</v>
      </c>
      <c r="B1487" t="s">
        <v>697</v>
      </c>
      <c r="C1487" t="s">
        <v>7</v>
      </c>
      <c r="D1487" t="s">
        <v>322</v>
      </c>
      <c r="E1487">
        <v>4</v>
      </c>
      <c r="F1487">
        <v>0</v>
      </c>
      <c r="G1487">
        <v>33</v>
      </c>
      <c r="H1487">
        <v>1</v>
      </c>
      <c r="I1487">
        <v>8.25</v>
      </c>
      <c r="J1487">
        <v>11</v>
      </c>
      <c r="K1487">
        <v>3</v>
      </c>
      <c r="L1487">
        <v>2</v>
      </c>
      <c r="M1487">
        <v>1</v>
      </c>
      <c r="N1487">
        <v>0</v>
      </c>
    </row>
    <row r="1488" spans="1:14" x14ac:dyDescent="0.45">
      <c r="A1488" t="s">
        <v>192</v>
      </c>
      <c r="B1488" t="s">
        <v>697</v>
      </c>
      <c r="C1488" t="s">
        <v>7</v>
      </c>
      <c r="D1488" t="s">
        <v>304</v>
      </c>
      <c r="E1488">
        <v>1</v>
      </c>
      <c r="F1488">
        <v>0</v>
      </c>
      <c r="G1488">
        <v>10</v>
      </c>
      <c r="H1488">
        <v>0</v>
      </c>
      <c r="I1488">
        <v>10</v>
      </c>
      <c r="J1488">
        <v>2</v>
      </c>
      <c r="K1488">
        <v>2</v>
      </c>
      <c r="L1488">
        <v>0</v>
      </c>
      <c r="M1488">
        <v>0</v>
      </c>
      <c r="N1488">
        <v>0</v>
      </c>
    </row>
    <row r="1489" spans="1:14" x14ac:dyDescent="0.45">
      <c r="A1489" t="s">
        <v>194</v>
      </c>
      <c r="B1489" t="s">
        <v>642</v>
      </c>
      <c r="C1489" t="s">
        <v>20</v>
      </c>
      <c r="D1489" t="s">
        <v>409</v>
      </c>
      <c r="E1489">
        <v>4</v>
      </c>
      <c r="F1489">
        <v>0</v>
      </c>
      <c r="G1489">
        <v>29</v>
      </c>
      <c r="H1489">
        <v>1</v>
      </c>
      <c r="I1489">
        <v>7.25</v>
      </c>
      <c r="J1489">
        <v>14</v>
      </c>
      <c r="K1489">
        <v>2</v>
      </c>
      <c r="L1489">
        <v>2</v>
      </c>
      <c r="M1489">
        <v>1</v>
      </c>
      <c r="N1489">
        <v>2</v>
      </c>
    </row>
    <row r="1490" spans="1:14" x14ac:dyDescent="0.45">
      <c r="A1490" t="s">
        <v>194</v>
      </c>
      <c r="B1490" t="s">
        <v>642</v>
      </c>
      <c r="C1490" t="s">
        <v>20</v>
      </c>
      <c r="D1490" t="s">
        <v>494</v>
      </c>
      <c r="E1490">
        <v>4</v>
      </c>
      <c r="F1490">
        <v>0</v>
      </c>
      <c r="G1490">
        <v>33</v>
      </c>
      <c r="H1490">
        <v>1</v>
      </c>
      <c r="I1490">
        <v>8.25</v>
      </c>
      <c r="J1490">
        <v>12</v>
      </c>
      <c r="K1490">
        <v>3</v>
      </c>
      <c r="L1490">
        <v>2</v>
      </c>
      <c r="M1490">
        <v>1</v>
      </c>
      <c r="N1490">
        <v>0</v>
      </c>
    </row>
    <row r="1491" spans="1:14" x14ac:dyDescent="0.45">
      <c r="A1491" t="s">
        <v>194</v>
      </c>
      <c r="B1491" t="s">
        <v>642</v>
      </c>
      <c r="C1491" t="s">
        <v>20</v>
      </c>
      <c r="D1491" t="s">
        <v>382</v>
      </c>
      <c r="E1491">
        <v>4</v>
      </c>
      <c r="F1491">
        <v>0</v>
      </c>
      <c r="G1491">
        <v>39</v>
      </c>
      <c r="H1491">
        <v>2</v>
      </c>
      <c r="I1491">
        <v>9.75</v>
      </c>
      <c r="J1491">
        <v>12</v>
      </c>
      <c r="K1491">
        <v>4</v>
      </c>
      <c r="L1491">
        <v>2</v>
      </c>
      <c r="M1491">
        <v>2</v>
      </c>
      <c r="N1491">
        <v>1</v>
      </c>
    </row>
    <row r="1492" spans="1:14" x14ac:dyDescent="0.45">
      <c r="A1492" t="s">
        <v>194</v>
      </c>
      <c r="B1492" t="s">
        <v>642</v>
      </c>
      <c r="C1492" t="s">
        <v>20</v>
      </c>
      <c r="D1492" t="s">
        <v>467</v>
      </c>
      <c r="E1492">
        <v>3</v>
      </c>
      <c r="F1492">
        <v>0</v>
      </c>
      <c r="G1492">
        <v>47</v>
      </c>
      <c r="H1492">
        <v>0</v>
      </c>
      <c r="I1492">
        <v>15.66</v>
      </c>
      <c r="J1492">
        <v>3</v>
      </c>
      <c r="K1492">
        <v>1</v>
      </c>
      <c r="L1492">
        <v>5</v>
      </c>
      <c r="M1492">
        <v>0</v>
      </c>
      <c r="N1492">
        <v>1</v>
      </c>
    </row>
    <row r="1493" spans="1:14" x14ac:dyDescent="0.45">
      <c r="A1493" t="s">
        <v>194</v>
      </c>
      <c r="B1493" t="s">
        <v>642</v>
      </c>
      <c r="C1493" t="s">
        <v>20</v>
      </c>
      <c r="D1493" t="s">
        <v>483</v>
      </c>
      <c r="E1493">
        <v>4</v>
      </c>
      <c r="F1493">
        <v>0</v>
      </c>
      <c r="G1493">
        <v>43</v>
      </c>
      <c r="H1493">
        <v>2</v>
      </c>
      <c r="I1493">
        <v>10.75</v>
      </c>
      <c r="J1493">
        <v>8</v>
      </c>
      <c r="K1493">
        <v>5</v>
      </c>
      <c r="L1493">
        <v>2</v>
      </c>
      <c r="M1493">
        <v>2</v>
      </c>
      <c r="N1493">
        <v>0</v>
      </c>
    </row>
    <row r="1494" spans="1:14" x14ac:dyDescent="0.45">
      <c r="A1494" t="s">
        <v>194</v>
      </c>
      <c r="B1494" t="s">
        <v>642</v>
      </c>
      <c r="C1494" t="s">
        <v>20</v>
      </c>
      <c r="D1494" t="s">
        <v>373</v>
      </c>
      <c r="E1494">
        <v>1</v>
      </c>
      <c r="F1494">
        <v>0</v>
      </c>
      <c r="G1494">
        <v>15</v>
      </c>
      <c r="H1494">
        <v>0</v>
      </c>
      <c r="I1494">
        <v>15</v>
      </c>
      <c r="J1494">
        <v>1</v>
      </c>
      <c r="K1494">
        <v>1</v>
      </c>
      <c r="L1494">
        <v>1</v>
      </c>
      <c r="M1494">
        <v>0</v>
      </c>
      <c r="N1494">
        <v>0</v>
      </c>
    </row>
    <row r="1495" spans="1:14" x14ac:dyDescent="0.45">
      <c r="A1495" t="s">
        <v>194</v>
      </c>
      <c r="B1495" t="s">
        <v>642</v>
      </c>
      <c r="C1495" t="s">
        <v>23</v>
      </c>
      <c r="D1495" t="s">
        <v>370</v>
      </c>
      <c r="E1495">
        <v>4</v>
      </c>
      <c r="F1495">
        <v>1</v>
      </c>
      <c r="G1495">
        <v>23</v>
      </c>
      <c r="H1495">
        <v>2</v>
      </c>
      <c r="I1495">
        <v>5.75</v>
      </c>
      <c r="J1495">
        <v>16</v>
      </c>
      <c r="K1495">
        <v>2</v>
      </c>
      <c r="L1495">
        <v>1</v>
      </c>
      <c r="M1495">
        <v>3</v>
      </c>
      <c r="N1495">
        <v>0</v>
      </c>
    </row>
    <row r="1496" spans="1:14" x14ac:dyDescent="0.45">
      <c r="A1496" t="s">
        <v>194</v>
      </c>
      <c r="B1496" t="s">
        <v>642</v>
      </c>
      <c r="C1496" t="s">
        <v>23</v>
      </c>
      <c r="D1496" t="s">
        <v>441</v>
      </c>
      <c r="E1496">
        <v>4</v>
      </c>
      <c r="F1496">
        <v>1</v>
      </c>
      <c r="G1496">
        <v>16</v>
      </c>
      <c r="H1496">
        <v>2</v>
      </c>
      <c r="I1496">
        <v>4</v>
      </c>
      <c r="J1496">
        <v>16</v>
      </c>
      <c r="K1496">
        <v>1</v>
      </c>
      <c r="L1496">
        <v>1</v>
      </c>
      <c r="M1496">
        <v>0</v>
      </c>
      <c r="N1496">
        <v>0</v>
      </c>
    </row>
    <row r="1497" spans="1:14" x14ac:dyDescent="0.45">
      <c r="A1497" t="s">
        <v>194</v>
      </c>
      <c r="B1497" t="s">
        <v>642</v>
      </c>
      <c r="C1497" t="s">
        <v>23</v>
      </c>
      <c r="D1497" t="s">
        <v>367</v>
      </c>
      <c r="E1497">
        <v>3</v>
      </c>
      <c r="F1497">
        <v>0</v>
      </c>
      <c r="G1497">
        <v>48</v>
      </c>
      <c r="H1497">
        <v>0</v>
      </c>
      <c r="I1497">
        <v>16</v>
      </c>
      <c r="J1497">
        <v>4</v>
      </c>
      <c r="K1497">
        <v>5</v>
      </c>
      <c r="L1497">
        <v>3</v>
      </c>
      <c r="M1497">
        <v>1</v>
      </c>
      <c r="N1497">
        <v>1</v>
      </c>
    </row>
    <row r="1498" spans="1:14" x14ac:dyDescent="0.45">
      <c r="A1498" t="s">
        <v>194</v>
      </c>
      <c r="B1498" t="s">
        <v>642</v>
      </c>
      <c r="C1498" t="s">
        <v>23</v>
      </c>
      <c r="D1498" t="s">
        <v>339</v>
      </c>
      <c r="E1498">
        <v>4</v>
      </c>
      <c r="F1498">
        <v>0</v>
      </c>
      <c r="G1498">
        <v>21</v>
      </c>
      <c r="H1498">
        <v>0</v>
      </c>
      <c r="I1498">
        <v>5.25</v>
      </c>
      <c r="J1498">
        <v>8</v>
      </c>
      <c r="K1498">
        <v>1</v>
      </c>
      <c r="L1498">
        <v>0</v>
      </c>
      <c r="M1498">
        <v>0</v>
      </c>
      <c r="N1498">
        <v>0</v>
      </c>
    </row>
    <row r="1499" spans="1:14" x14ac:dyDescent="0.45">
      <c r="A1499" t="s">
        <v>194</v>
      </c>
      <c r="B1499" t="s">
        <v>642</v>
      </c>
      <c r="C1499" t="s">
        <v>23</v>
      </c>
      <c r="D1499" t="s">
        <v>353</v>
      </c>
      <c r="E1499">
        <v>4</v>
      </c>
      <c r="F1499">
        <v>0</v>
      </c>
      <c r="G1499">
        <v>22</v>
      </c>
      <c r="H1499">
        <v>3</v>
      </c>
      <c r="I1499">
        <v>5.5</v>
      </c>
      <c r="J1499">
        <v>8</v>
      </c>
      <c r="K1499">
        <v>1</v>
      </c>
      <c r="L1499">
        <v>0</v>
      </c>
      <c r="M1499">
        <v>0</v>
      </c>
      <c r="N1499">
        <v>0</v>
      </c>
    </row>
    <row r="1500" spans="1:14" x14ac:dyDescent="0.45">
      <c r="A1500" t="s">
        <v>194</v>
      </c>
      <c r="B1500" t="s">
        <v>642</v>
      </c>
      <c r="C1500" t="s">
        <v>23</v>
      </c>
      <c r="D1500" t="s">
        <v>431</v>
      </c>
      <c r="E1500">
        <v>1</v>
      </c>
      <c r="F1500">
        <v>0</v>
      </c>
      <c r="G1500">
        <v>14</v>
      </c>
      <c r="H1500">
        <v>0</v>
      </c>
      <c r="I1500">
        <v>14</v>
      </c>
      <c r="J1500">
        <v>0</v>
      </c>
      <c r="K1500">
        <v>1</v>
      </c>
      <c r="L1500">
        <v>1</v>
      </c>
      <c r="M1500">
        <v>0</v>
      </c>
      <c r="N1500">
        <v>0</v>
      </c>
    </row>
    <row r="1501" spans="1:14" x14ac:dyDescent="0.45">
      <c r="A1501" t="s">
        <v>195</v>
      </c>
      <c r="B1501" t="s">
        <v>698</v>
      </c>
      <c r="C1501" t="s">
        <v>101</v>
      </c>
      <c r="D1501" t="s">
        <v>403</v>
      </c>
      <c r="E1501">
        <v>4</v>
      </c>
      <c r="F1501">
        <v>0</v>
      </c>
      <c r="G1501">
        <v>25</v>
      </c>
      <c r="H1501">
        <v>3</v>
      </c>
      <c r="I1501">
        <v>6.25</v>
      </c>
      <c r="J1501">
        <v>13</v>
      </c>
      <c r="K1501">
        <v>4</v>
      </c>
      <c r="L1501">
        <v>0</v>
      </c>
      <c r="M1501">
        <v>0</v>
      </c>
      <c r="N1501">
        <v>0</v>
      </c>
    </row>
    <row r="1502" spans="1:14" x14ac:dyDescent="0.45">
      <c r="A1502" t="s">
        <v>195</v>
      </c>
      <c r="B1502" t="s">
        <v>698</v>
      </c>
      <c r="C1502" t="s">
        <v>101</v>
      </c>
      <c r="D1502" t="s">
        <v>553</v>
      </c>
      <c r="E1502">
        <v>4</v>
      </c>
      <c r="F1502">
        <v>0</v>
      </c>
      <c r="G1502">
        <v>45</v>
      </c>
      <c r="H1502">
        <v>2</v>
      </c>
      <c r="I1502">
        <v>11.25</v>
      </c>
      <c r="J1502">
        <v>5</v>
      </c>
      <c r="K1502">
        <v>6</v>
      </c>
      <c r="L1502">
        <v>1</v>
      </c>
      <c r="M1502">
        <v>3</v>
      </c>
      <c r="N1502">
        <v>0</v>
      </c>
    </row>
    <row r="1503" spans="1:14" x14ac:dyDescent="0.45">
      <c r="A1503" t="s">
        <v>195</v>
      </c>
      <c r="B1503" t="s">
        <v>698</v>
      </c>
      <c r="C1503" t="s">
        <v>101</v>
      </c>
      <c r="D1503" t="s">
        <v>317</v>
      </c>
      <c r="E1503">
        <v>4</v>
      </c>
      <c r="F1503">
        <v>0</v>
      </c>
      <c r="G1503">
        <v>24</v>
      </c>
      <c r="H1503">
        <v>0</v>
      </c>
      <c r="I1503">
        <v>6</v>
      </c>
      <c r="J1503">
        <v>11</v>
      </c>
      <c r="K1503">
        <v>1</v>
      </c>
      <c r="L1503">
        <v>1</v>
      </c>
      <c r="M1503">
        <v>1</v>
      </c>
      <c r="N1503">
        <v>0</v>
      </c>
    </row>
    <row r="1504" spans="1:14" x14ac:dyDescent="0.45">
      <c r="A1504" t="s">
        <v>195</v>
      </c>
      <c r="B1504" t="s">
        <v>698</v>
      </c>
      <c r="C1504" t="s">
        <v>101</v>
      </c>
      <c r="D1504" t="s">
        <v>361</v>
      </c>
      <c r="E1504">
        <v>4</v>
      </c>
      <c r="F1504">
        <v>0</v>
      </c>
      <c r="G1504">
        <v>37</v>
      </c>
      <c r="H1504">
        <v>0</v>
      </c>
      <c r="I1504">
        <v>9.25</v>
      </c>
      <c r="J1504">
        <v>10</v>
      </c>
      <c r="K1504">
        <v>6</v>
      </c>
      <c r="L1504">
        <v>1</v>
      </c>
      <c r="M1504">
        <v>0</v>
      </c>
      <c r="N1504">
        <v>0</v>
      </c>
    </row>
    <row r="1505" spans="1:14" x14ac:dyDescent="0.45">
      <c r="A1505" t="s">
        <v>195</v>
      </c>
      <c r="B1505" t="s">
        <v>698</v>
      </c>
      <c r="C1505" t="s">
        <v>101</v>
      </c>
      <c r="D1505" t="s">
        <v>379</v>
      </c>
      <c r="E1505">
        <v>4</v>
      </c>
      <c r="F1505">
        <v>0</v>
      </c>
      <c r="G1505">
        <v>27</v>
      </c>
      <c r="H1505">
        <v>1</v>
      </c>
      <c r="I1505">
        <v>6.75</v>
      </c>
      <c r="J1505">
        <v>8</v>
      </c>
      <c r="K1505">
        <v>0</v>
      </c>
      <c r="L1505">
        <v>2</v>
      </c>
      <c r="M1505">
        <v>0</v>
      </c>
      <c r="N1505">
        <v>0</v>
      </c>
    </row>
    <row r="1506" spans="1:14" x14ac:dyDescent="0.45">
      <c r="A1506" t="s">
        <v>195</v>
      </c>
      <c r="B1506" t="s">
        <v>698</v>
      </c>
      <c r="C1506" t="s">
        <v>104</v>
      </c>
      <c r="D1506" t="s">
        <v>491</v>
      </c>
      <c r="E1506">
        <v>3</v>
      </c>
      <c r="F1506">
        <v>0</v>
      </c>
      <c r="G1506">
        <v>22</v>
      </c>
      <c r="H1506">
        <v>2</v>
      </c>
      <c r="I1506">
        <v>7.33</v>
      </c>
      <c r="J1506">
        <v>11</v>
      </c>
      <c r="K1506">
        <v>4</v>
      </c>
      <c r="L1506">
        <v>0</v>
      </c>
      <c r="M1506">
        <v>1</v>
      </c>
      <c r="N1506">
        <v>0</v>
      </c>
    </row>
    <row r="1507" spans="1:14" x14ac:dyDescent="0.45">
      <c r="A1507" t="s">
        <v>195</v>
      </c>
      <c r="B1507" t="s">
        <v>698</v>
      </c>
      <c r="C1507" t="s">
        <v>104</v>
      </c>
      <c r="D1507" t="s">
        <v>340</v>
      </c>
      <c r="E1507">
        <v>3.4</v>
      </c>
      <c r="F1507">
        <v>0</v>
      </c>
      <c r="G1507">
        <v>33</v>
      </c>
      <c r="H1507">
        <v>1</v>
      </c>
      <c r="I1507">
        <v>9</v>
      </c>
      <c r="J1507">
        <v>10</v>
      </c>
      <c r="K1507">
        <v>5</v>
      </c>
      <c r="L1507">
        <v>1</v>
      </c>
      <c r="M1507">
        <v>0</v>
      </c>
      <c r="N1507">
        <v>0</v>
      </c>
    </row>
    <row r="1508" spans="1:14" x14ac:dyDescent="0.45">
      <c r="A1508" t="s">
        <v>195</v>
      </c>
      <c r="B1508" t="s">
        <v>698</v>
      </c>
      <c r="C1508" t="s">
        <v>104</v>
      </c>
      <c r="D1508" t="s">
        <v>492</v>
      </c>
      <c r="E1508">
        <v>2</v>
      </c>
      <c r="F1508">
        <v>0</v>
      </c>
      <c r="G1508">
        <v>18</v>
      </c>
      <c r="H1508">
        <v>0</v>
      </c>
      <c r="I1508">
        <v>9</v>
      </c>
      <c r="J1508">
        <v>4</v>
      </c>
      <c r="K1508">
        <v>3</v>
      </c>
      <c r="L1508">
        <v>0</v>
      </c>
      <c r="M1508">
        <v>0</v>
      </c>
      <c r="N1508">
        <v>0</v>
      </c>
    </row>
    <row r="1509" spans="1:14" x14ac:dyDescent="0.45">
      <c r="A1509" t="s">
        <v>195</v>
      </c>
      <c r="B1509" t="s">
        <v>698</v>
      </c>
      <c r="C1509" t="s">
        <v>104</v>
      </c>
      <c r="D1509" t="s">
        <v>407</v>
      </c>
      <c r="E1509">
        <v>4</v>
      </c>
      <c r="F1509">
        <v>0</v>
      </c>
      <c r="G1509">
        <v>34</v>
      </c>
      <c r="H1509">
        <v>0</v>
      </c>
      <c r="I1509">
        <v>8.5</v>
      </c>
      <c r="J1509">
        <v>11</v>
      </c>
      <c r="K1509">
        <v>3</v>
      </c>
      <c r="L1509">
        <v>2</v>
      </c>
      <c r="M1509">
        <v>2</v>
      </c>
      <c r="N1509">
        <v>0</v>
      </c>
    </row>
    <row r="1510" spans="1:14" x14ac:dyDescent="0.45">
      <c r="A1510" t="s">
        <v>195</v>
      </c>
      <c r="B1510" t="s">
        <v>698</v>
      </c>
      <c r="C1510" t="s">
        <v>104</v>
      </c>
      <c r="D1510" t="s">
        <v>366</v>
      </c>
      <c r="E1510">
        <v>4</v>
      </c>
      <c r="F1510">
        <v>0</v>
      </c>
      <c r="G1510">
        <v>17</v>
      </c>
      <c r="H1510">
        <v>1</v>
      </c>
      <c r="I1510">
        <v>4.25</v>
      </c>
      <c r="J1510">
        <v>12</v>
      </c>
      <c r="K1510">
        <v>1</v>
      </c>
      <c r="L1510">
        <v>0</v>
      </c>
      <c r="M1510">
        <v>0</v>
      </c>
      <c r="N1510">
        <v>0</v>
      </c>
    </row>
    <row r="1511" spans="1:14" x14ac:dyDescent="0.45">
      <c r="A1511" t="s">
        <v>195</v>
      </c>
      <c r="B1511" t="s">
        <v>698</v>
      </c>
      <c r="C1511" t="s">
        <v>104</v>
      </c>
      <c r="D1511" t="s">
        <v>426</v>
      </c>
      <c r="E1511">
        <v>3</v>
      </c>
      <c r="F1511">
        <v>0</v>
      </c>
      <c r="G1511">
        <v>31</v>
      </c>
      <c r="H1511">
        <v>1</v>
      </c>
      <c r="I1511">
        <v>10.33</v>
      </c>
      <c r="J1511">
        <v>3</v>
      </c>
      <c r="K1511">
        <v>2</v>
      </c>
      <c r="L1511">
        <v>2</v>
      </c>
      <c r="M1511">
        <v>0</v>
      </c>
      <c r="N1511">
        <v>0</v>
      </c>
    </row>
    <row r="1512" spans="1:14" x14ac:dyDescent="0.45">
      <c r="A1512" t="s">
        <v>196</v>
      </c>
      <c r="B1512" t="s">
        <v>635</v>
      </c>
      <c r="C1512" t="s">
        <v>26</v>
      </c>
      <c r="D1512" t="s">
        <v>429</v>
      </c>
      <c r="E1512">
        <v>4</v>
      </c>
      <c r="F1512">
        <v>0</v>
      </c>
      <c r="G1512">
        <v>37</v>
      </c>
      <c r="H1512">
        <v>0</v>
      </c>
      <c r="I1512">
        <v>9.25</v>
      </c>
      <c r="J1512">
        <v>10</v>
      </c>
      <c r="K1512">
        <v>4</v>
      </c>
      <c r="L1512">
        <v>2</v>
      </c>
      <c r="M1512">
        <v>0</v>
      </c>
      <c r="N1512">
        <v>0</v>
      </c>
    </row>
    <row r="1513" spans="1:14" x14ac:dyDescent="0.45">
      <c r="A1513" t="s">
        <v>196</v>
      </c>
      <c r="B1513" t="s">
        <v>635</v>
      </c>
      <c r="C1513" t="s">
        <v>26</v>
      </c>
      <c r="D1513" t="s">
        <v>405</v>
      </c>
      <c r="E1513">
        <v>4</v>
      </c>
      <c r="F1513">
        <v>0</v>
      </c>
      <c r="G1513">
        <v>31</v>
      </c>
      <c r="H1513">
        <v>1</v>
      </c>
      <c r="I1513">
        <v>7.75</v>
      </c>
      <c r="J1513">
        <v>11</v>
      </c>
      <c r="K1513">
        <v>0</v>
      </c>
      <c r="L1513">
        <v>2</v>
      </c>
      <c r="M1513">
        <v>3</v>
      </c>
      <c r="N1513">
        <v>0</v>
      </c>
    </row>
    <row r="1514" spans="1:14" x14ac:dyDescent="0.45">
      <c r="A1514" t="s">
        <v>196</v>
      </c>
      <c r="B1514" t="s">
        <v>635</v>
      </c>
      <c r="C1514" t="s">
        <v>26</v>
      </c>
      <c r="D1514" t="s">
        <v>543</v>
      </c>
      <c r="E1514">
        <v>4</v>
      </c>
      <c r="F1514">
        <v>0</v>
      </c>
      <c r="G1514">
        <v>52</v>
      </c>
      <c r="H1514">
        <v>0</v>
      </c>
      <c r="I1514">
        <v>13</v>
      </c>
      <c r="J1514">
        <v>9</v>
      </c>
      <c r="K1514">
        <v>5</v>
      </c>
      <c r="L1514">
        <v>4</v>
      </c>
      <c r="M1514">
        <v>1</v>
      </c>
      <c r="N1514">
        <v>0</v>
      </c>
    </row>
    <row r="1515" spans="1:14" x14ac:dyDescent="0.45">
      <c r="A1515" t="s">
        <v>196</v>
      </c>
      <c r="B1515" t="s">
        <v>635</v>
      </c>
      <c r="C1515" t="s">
        <v>26</v>
      </c>
      <c r="D1515" t="s">
        <v>435</v>
      </c>
      <c r="E1515">
        <v>4</v>
      </c>
      <c r="F1515">
        <v>0</v>
      </c>
      <c r="G1515">
        <v>22</v>
      </c>
      <c r="H1515">
        <v>1</v>
      </c>
      <c r="I1515">
        <v>5.5</v>
      </c>
      <c r="J1515">
        <v>8</v>
      </c>
      <c r="K1515">
        <v>0</v>
      </c>
      <c r="L1515">
        <v>0</v>
      </c>
      <c r="M1515">
        <v>1</v>
      </c>
      <c r="N1515">
        <v>0</v>
      </c>
    </row>
    <row r="1516" spans="1:14" x14ac:dyDescent="0.45">
      <c r="A1516" t="s">
        <v>196</v>
      </c>
      <c r="B1516" t="s">
        <v>635</v>
      </c>
      <c r="C1516" t="s">
        <v>26</v>
      </c>
      <c r="D1516" t="s">
        <v>404</v>
      </c>
      <c r="E1516">
        <v>3</v>
      </c>
      <c r="F1516">
        <v>0</v>
      </c>
      <c r="G1516">
        <v>38</v>
      </c>
      <c r="H1516">
        <v>0</v>
      </c>
      <c r="I1516">
        <v>12.66</v>
      </c>
      <c r="J1516">
        <v>5</v>
      </c>
      <c r="K1516">
        <v>0</v>
      </c>
      <c r="L1516">
        <v>4</v>
      </c>
      <c r="M1516">
        <v>1</v>
      </c>
      <c r="N1516">
        <v>0</v>
      </c>
    </row>
    <row r="1517" spans="1:14" x14ac:dyDescent="0.45">
      <c r="A1517" t="s">
        <v>196</v>
      </c>
      <c r="B1517" t="s">
        <v>635</v>
      </c>
      <c r="C1517" t="s">
        <v>26</v>
      </c>
      <c r="D1517" t="s">
        <v>384</v>
      </c>
      <c r="E1517">
        <v>1</v>
      </c>
      <c r="F1517">
        <v>0</v>
      </c>
      <c r="G1517">
        <v>14</v>
      </c>
      <c r="H1517">
        <v>0</v>
      </c>
      <c r="I1517">
        <v>14</v>
      </c>
      <c r="J1517">
        <v>1</v>
      </c>
      <c r="K1517">
        <v>0</v>
      </c>
      <c r="L1517">
        <v>1</v>
      </c>
      <c r="M1517">
        <v>1</v>
      </c>
      <c r="N1517">
        <v>0</v>
      </c>
    </row>
    <row r="1518" spans="1:14" x14ac:dyDescent="0.45">
      <c r="A1518" t="s">
        <v>196</v>
      </c>
      <c r="B1518" t="s">
        <v>635</v>
      </c>
      <c r="C1518" t="s">
        <v>13</v>
      </c>
      <c r="D1518" t="s">
        <v>550</v>
      </c>
      <c r="E1518">
        <v>3</v>
      </c>
      <c r="F1518">
        <v>0</v>
      </c>
      <c r="G1518">
        <v>28</v>
      </c>
      <c r="H1518">
        <v>0</v>
      </c>
      <c r="I1518">
        <v>9.33</v>
      </c>
      <c r="J1518">
        <v>5</v>
      </c>
      <c r="K1518">
        <v>3</v>
      </c>
      <c r="L1518">
        <v>1</v>
      </c>
      <c r="M1518">
        <v>0</v>
      </c>
      <c r="N1518">
        <v>0</v>
      </c>
    </row>
    <row r="1519" spans="1:14" x14ac:dyDescent="0.45">
      <c r="A1519" t="s">
        <v>196</v>
      </c>
      <c r="B1519" t="s">
        <v>635</v>
      </c>
      <c r="C1519" t="s">
        <v>13</v>
      </c>
      <c r="D1519" t="s">
        <v>352</v>
      </c>
      <c r="E1519">
        <v>4</v>
      </c>
      <c r="F1519">
        <v>0</v>
      </c>
      <c r="G1519">
        <v>59</v>
      </c>
      <c r="H1519">
        <v>2</v>
      </c>
      <c r="I1519">
        <v>14.75</v>
      </c>
      <c r="J1519">
        <v>9</v>
      </c>
      <c r="K1519">
        <v>3</v>
      </c>
      <c r="L1519">
        <v>4</v>
      </c>
      <c r="M1519">
        <v>6</v>
      </c>
      <c r="N1519">
        <v>0</v>
      </c>
    </row>
    <row r="1520" spans="1:14" x14ac:dyDescent="0.45">
      <c r="A1520" t="s">
        <v>196</v>
      </c>
      <c r="B1520" t="s">
        <v>635</v>
      </c>
      <c r="C1520" t="s">
        <v>13</v>
      </c>
      <c r="D1520" t="s">
        <v>347</v>
      </c>
      <c r="E1520">
        <v>1</v>
      </c>
      <c r="F1520">
        <v>0</v>
      </c>
      <c r="G1520">
        <v>6</v>
      </c>
      <c r="H1520">
        <v>0</v>
      </c>
      <c r="I1520">
        <v>6</v>
      </c>
      <c r="J1520">
        <v>3</v>
      </c>
      <c r="K1520">
        <v>1</v>
      </c>
      <c r="L1520">
        <v>0</v>
      </c>
      <c r="M1520">
        <v>0</v>
      </c>
      <c r="N1520">
        <v>0</v>
      </c>
    </row>
    <row r="1521" spans="1:14" x14ac:dyDescent="0.45">
      <c r="A1521" t="s">
        <v>196</v>
      </c>
      <c r="B1521" t="s">
        <v>635</v>
      </c>
      <c r="C1521" t="s">
        <v>13</v>
      </c>
      <c r="D1521" t="s">
        <v>547</v>
      </c>
      <c r="E1521">
        <v>3</v>
      </c>
      <c r="F1521">
        <v>0</v>
      </c>
      <c r="G1521">
        <v>38</v>
      </c>
      <c r="H1521">
        <v>1</v>
      </c>
      <c r="I1521">
        <v>12.66</v>
      </c>
      <c r="J1521">
        <v>4</v>
      </c>
      <c r="K1521">
        <v>2</v>
      </c>
      <c r="L1521">
        <v>3</v>
      </c>
      <c r="M1521">
        <v>0</v>
      </c>
      <c r="N1521">
        <v>0</v>
      </c>
    </row>
    <row r="1522" spans="1:14" x14ac:dyDescent="0.45">
      <c r="A1522" t="s">
        <v>196</v>
      </c>
      <c r="B1522" t="s">
        <v>635</v>
      </c>
      <c r="C1522" t="s">
        <v>13</v>
      </c>
      <c r="D1522" t="s">
        <v>448</v>
      </c>
      <c r="E1522">
        <v>4</v>
      </c>
      <c r="F1522">
        <v>0</v>
      </c>
      <c r="G1522">
        <v>40</v>
      </c>
      <c r="H1522">
        <v>1</v>
      </c>
      <c r="I1522">
        <v>10</v>
      </c>
      <c r="J1522">
        <v>10</v>
      </c>
      <c r="K1522">
        <v>1</v>
      </c>
      <c r="L1522">
        <v>4</v>
      </c>
      <c r="M1522">
        <v>1</v>
      </c>
      <c r="N1522">
        <v>0</v>
      </c>
    </row>
    <row r="1523" spans="1:14" x14ac:dyDescent="0.45">
      <c r="A1523" t="s">
        <v>196</v>
      </c>
      <c r="B1523" t="s">
        <v>635</v>
      </c>
      <c r="C1523" t="s">
        <v>13</v>
      </c>
      <c r="D1523" t="s">
        <v>349</v>
      </c>
      <c r="E1523">
        <v>4</v>
      </c>
      <c r="F1523">
        <v>0</v>
      </c>
      <c r="G1523">
        <v>36</v>
      </c>
      <c r="H1523">
        <v>1</v>
      </c>
      <c r="I1523">
        <v>9</v>
      </c>
      <c r="J1523">
        <v>10</v>
      </c>
      <c r="K1523">
        <v>1</v>
      </c>
      <c r="L1523">
        <v>2</v>
      </c>
      <c r="M1523">
        <v>5</v>
      </c>
      <c r="N1523">
        <v>0</v>
      </c>
    </row>
    <row r="1524" spans="1:14" x14ac:dyDescent="0.45">
      <c r="A1524" t="s">
        <v>197</v>
      </c>
      <c r="B1524" t="s">
        <v>637</v>
      </c>
      <c r="C1524" t="s">
        <v>10</v>
      </c>
      <c r="D1524" t="s">
        <v>326</v>
      </c>
      <c r="E1524">
        <v>4</v>
      </c>
      <c r="F1524">
        <v>0</v>
      </c>
      <c r="G1524">
        <v>47</v>
      </c>
      <c r="H1524">
        <v>0</v>
      </c>
      <c r="I1524">
        <v>11.75</v>
      </c>
      <c r="J1524">
        <v>8</v>
      </c>
      <c r="K1524">
        <v>3</v>
      </c>
      <c r="L1524">
        <v>4</v>
      </c>
      <c r="M1524">
        <v>1</v>
      </c>
      <c r="N1524">
        <v>0</v>
      </c>
    </row>
    <row r="1525" spans="1:14" x14ac:dyDescent="0.45">
      <c r="A1525" t="s">
        <v>197</v>
      </c>
      <c r="B1525" t="s">
        <v>637</v>
      </c>
      <c r="C1525" t="s">
        <v>10</v>
      </c>
      <c r="D1525" t="s">
        <v>444</v>
      </c>
      <c r="E1525">
        <v>4</v>
      </c>
      <c r="F1525">
        <v>0</v>
      </c>
      <c r="G1525">
        <v>27</v>
      </c>
      <c r="H1525">
        <v>2</v>
      </c>
      <c r="I1525">
        <v>6.75</v>
      </c>
      <c r="J1525">
        <v>13</v>
      </c>
      <c r="K1525">
        <v>5</v>
      </c>
      <c r="L1525">
        <v>0</v>
      </c>
      <c r="M1525">
        <v>0</v>
      </c>
      <c r="N1525">
        <v>0</v>
      </c>
    </row>
    <row r="1526" spans="1:14" x14ac:dyDescent="0.45">
      <c r="A1526" t="s">
        <v>197</v>
      </c>
      <c r="B1526" t="s">
        <v>637</v>
      </c>
      <c r="C1526" t="s">
        <v>10</v>
      </c>
      <c r="D1526" t="s">
        <v>337</v>
      </c>
      <c r="E1526">
        <v>4</v>
      </c>
      <c r="F1526">
        <v>0</v>
      </c>
      <c r="G1526">
        <v>40</v>
      </c>
      <c r="H1526">
        <v>0</v>
      </c>
      <c r="I1526">
        <v>10</v>
      </c>
      <c r="J1526">
        <v>3</v>
      </c>
      <c r="K1526">
        <v>4</v>
      </c>
      <c r="L1526">
        <v>1</v>
      </c>
      <c r="M1526">
        <v>0</v>
      </c>
      <c r="N1526">
        <v>0</v>
      </c>
    </row>
    <row r="1527" spans="1:14" x14ac:dyDescent="0.45">
      <c r="A1527" t="s">
        <v>197</v>
      </c>
      <c r="B1527" t="s">
        <v>637</v>
      </c>
      <c r="C1527" t="s">
        <v>10</v>
      </c>
      <c r="D1527" t="s">
        <v>472</v>
      </c>
      <c r="E1527">
        <v>2</v>
      </c>
      <c r="F1527">
        <v>0</v>
      </c>
      <c r="G1527">
        <v>29</v>
      </c>
      <c r="H1527">
        <v>0</v>
      </c>
      <c r="I1527">
        <v>14.5</v>
      </c>
      <c r="J1527">
        <v>4</v>
      </c>
      <c r="K1527">
        <v>5</v>
      </c>
      <c r="L1527">
        <v>1</v>
      </c>
      <c r="M1527">
        <v>1</v>
      </c>
      <c r="N1527">
        <v>0</v>
      </c>
    </row>
    <row r="1528" spans="1:14" x14ac:dyDescent="0.45">
      <c r="A1528" t="s">
        <v>197</v>
      </c>
      <c r="B1528" t="s">
        <v>637</v>
      </c>
      <c r="C1528" t="s">
        <v>10</v>
      </c>
      <c r="D1528" t="s">
        <v>500</v>
      </c>
      <c r="E1528">
        <v>4</v>
      </c>
      <c r="F1528">
        <v>0</v>
      </c>
      <c r="G1528">
        <v>18</v>
      </c>
      <c r="H1528">
        <v>3</v>
      </c>
      <c r="I1528">
        <v>4.5</v>
      </c>
      <c r="J1528">
        <v>8</v>
      </c>
      <c r="K1528">
        <v>0</v>
      </c>
      <c r="L1528">
        <v>0</v>
      </c>
      <c r="M1528">
        <v>0</v>
      </c>
      <c r="N1528">
        <v>0</v>
      </c>
    </row>
    <row r="1529" spans="1:14" x14ac:dyDescent="0.45">
      <c r="A1529" t="s">
        <v>197</v>
      </c>
      <c r="B1529" t="s">
        <v>637</v>
      </c>
      <c r="C1529" t="s">
        <v>10</v>
      </c>
      <c r="D1529" t="s">
        <v>436</v>
      </c>
      <c r="E1529">
        <v>2</v>
      </c>
      <c r="F1529">
        <v>0</v>
      </c>
      <c r="G1529">
        <v>15</v>
      </c>
      <c r="H1529">
        <v>0</v>
      </c>
      <c r="I1529">
        <v>7.5</v>
      </c>
      <c r="J1529">
        <v>2</v>
      </c>
      <c r="K1529">
        <v>1</v>
      </c>
      <c r="L1529">
        <v>0</v>
      </c>
      <c r="M1529">
        <v>0</v>
      </c>
      <c r="N1529">
        <v>0</v>
      </c>
    </row>
    <row r="1530" spans="1:14" x14ac:dyDescent="0.45">
      <c r="A1530" t="s">
        <v>197</v>
      </c>
      <c r="B1530" t="s">
        <v>637</v>
      </c>
      <c r="C1530" t="s">
        <v>19</v>
      </c>
      <c r="D1530" t="s">
        <v>464</v>
      </c>
      <c r="E1530">
        <v>4</v>
      </c>
      <c r="F1530">
        <v>0</v>
      </c>
      <c r="G1530">
        <v>57</v>
      </c>
      <c r="H1530">
        <v>0</v>
      </c>
      <c r="I1530">
        <v>14.25</v>
      </c>
      <c r="J1530">
        <v>4</v>
      </c>
      <c r="K1530">
        <v>6</v>
      </c>
      <c r="L1530">
        <v>3</v>
      </c>
      <c r="M1530">
        <v>2</v>
      </c>
      <c r="N1530">
        <v>0</v>
      </c>
    </row>
    <row r="1531" spans="1:14" x14ac:dyDescent="0.45">
      <c r="A1531" t="s">
        <v>197</v>
      </c>
      <c r="B1531" t="s">
        <v>637</v>
      </c>
      <c r="C1531" t="s">
        <v>19</v>
      </c>
      <c r="D1531" t="s">
        <v>369</v>
      </c>
      <c r="E1531">
        <v>3.2</v>
      </c>
      <c r="F1531">
        <v>0</v>
      </c>
      <c r="G1531">
        <v>43</v>
      </c>
      <c r="H1531">
        <v>0</v>
      </c>
      <c r="I1531">
        <v>12.9</v>
      </c>
      <c r="J1531">
        <v>4</v>
      </c>
      <c r="K1531">
        <v>7</v>
      </c>
      <c r="L1531">
        <v>1</v>
      </c>
      <c r="M1531">
        <v>0</v>
      </c>
      <c r="N1531">
        <v>0</v>
      </c>
    </row>
    <row r="1532" spans="1:14" x14ac:dyDescent="0.45">
      <c r="A1532" t="s">
        <v>197</v>
      </c>
      <c r="B1532" t="s">
        <v>637</v>
      </c>
      <c r="C1532" t="s">
        <v>19</v>
      </c>
      <c r="D1532" t="s">
        <v>546</v>
      </c>
      <c r="E1532">
        <v>4</v>
      </c>
      <c r="F1532">
        <v>0</v>
      </c>
      <c r="G1532">
        <v>35</v>
      </c>
      <c r="H1532">
        <v>3</v>
      </c>
      <c r="I1532">
        <v>8.75</v>
      </c>
      <c r="J1532">
        <v>11</v>
      </c>
      <c r="K1532">
        <v>2</v>
      </c>
      <c r="L1532">
        <v>2</v>
      </c>
      <c r="M1532">
        <v>3</v>
      </c>
      <c r="N1532">
        <v>0</v>
      </c>
    </row>
    <row r="1533" spans="1:14" x14ac:dyDescent="0.45">
      <c r="A1533" t="s">
        <v>197</v>
      </c>
      <c r="B1533" t="s">
        <v>637</v>
      </c>
      <c r="C1533" t="s">
        <v>19</v>
      </c>
      <c r="D1533" t="s">
        <v>473</v>
      </c>
      <c r="E1533">
        <v>4</v>
      </c>
      <c r="F1533">
        <v>0</v>
      </c>
      <c r="G1533">
        <v>14</v>
      </c>
      <c r="H1533">
        <v>2</v>
      </c>
      <c r="I1533">
        <v>3.5</v>
      </c>
      <c r="J1533">
        <v>14</v>
      </c>
      <c r="K1533">
        <v>1</v>
      </c>
      <c r="L1533">
        <v>0</v>
      </c>
      <c r="M1533">
        <v>0</v>
      </c>
      <c r="N1533">
        <v>0</v>
      </c>
    </row>
    <row r="1534" spans="1:14" x14ac:dyDescent="0.45">
      <c r="A1534" t="s">
        <v>197</v>
      </c>
      <c r="B1534" t="s">
        <v>637</v>
      </c>
      <c r="C1534" t="s">
        <v>19</v>
      </c>
      <c r="D1534" t="s">
        <v>544</v>
      </c>
      <c r="E1534">
        <v>3</v>
      </c>
      <c r="F1534">
        <v>0</v>
      </c>
      <c r="G1534">
        <v>26</v>
      </c>
      <c r="H1534">
        <v>1</v>
      </c>
      <c r="I1534">
        <v>8.66</v>
      </c>
      <c r="J1534">
        <v>6</v>
      </c>
      <c r="K1534">
        <v>2</v>
      </c>
      <c r="L1534">
        <v>1</v>
      </c>
      <c r="M1534">
        <v>2</v>
      </c>
      <c r="N1534">
        <v>0</v>
      </c>
    </row>
    <row r="1535" spans="1:14" x14ac:dyDescent="0.45">
      <c r="A1535" t="s">
        <v>198</v>
      </c>
      <c r="B1535" t="s">
        <v>621</v>
      </c>
      <c r="C1535" t="s">
        <v>7</v>
      </c>
      <c r="D1535" t="s">
        <v>515</v>
      </c>
      <c r="E1535">
        <v>4</v>
      </c>
      <c r="F1535">
        <v>0</v>
      </c>
      <c r="G1535">
        <v>20</v>
      </c>
      <c r="H1535">
        <v>2</v>
      </c>
      <c r="I1535">
        <v>5</v>
      </c>
      <c r="J1535">
        <v>15</v>
      </c>
      <c r="K1535">
        <v>1</v>
      </c>
      <c r="L1535">
        <v>1</v>
      </c>
      <c r="M1535">
        <v>2</v>
      </c>
      <c r="N1535">
        <v>1</v>
      </c>
    </row>
    <row r="1536" spans="1:14" x14ac:dyDescent="0.45">
      <c r="A1536" t="s">
        <v>198</v>
      </c>
      <c r="B1536" t="s">
        <v>621</v>
      </c>
      <c r="C1536" t="s">
        <v>7</v>
      </c>
      <c r="D1536" t="s">
        <v>320</v>
      </c>
      <c r="E1536">
        <v>4</v>
      </c>
      <c r="F1536">
        <v>0</v>
      </c>
      <c r="G1536">
        <v>35</v>
      </c>
      <c r="H1536">
        <v>0</v>
      </c>
      <c r="I1536">
        <v>8.75</v>
      </c>
      <c r="J1536">
        <v>12</v>
      </c>
      <c r="K1536">
        <v>3</v>
      </c>
      <c r="L1536">
        <v>2</v>
      </c>
      <c r="M1536">
        <v>1</v>
      </c>
      <c r="N1536">
        <v>1</v>
      </c>
    </row>
    <row r="1537" spans="1:14" x14ac:dyDescent="0.45">
      <c r="A1537" t="s">
        <v>198</v>
      </c>
      <c r="B1537" t="s">
        <v>621</v>
      </c>
      <c r="C1537" t="s">
        <v>7</v>
      </c>
      <c r="D1537" t="s">
        <v>322</v>
      </c>
      <c r="E1537">
        <v>4</v>
      </c>
      <c r="F1537">
        <v>0</v>
      </c>
      <c r="G1537">
        <v>23</v>
      </c>
      <c r="H1537">
        <v>1</v>
      </c>
      <c r="I1537">
        <v>5.75</v>
      </c>
      <c r="J1537">
        <v>11</v>
      </c>
      <c r="K1537">
        <v>1</v>
      </c>
      <c r="L1537">
        <v>1</v>
      </c>
      <c r="M1537">
        <v>1</v>
      </c>
      <c r="N1537">
        <v>0</v>
      </c>
    </row>
    <row r="1538" spans="1:14" x14ac:dyDescent="0.45">
      <c r="A1538" t="s">
        <v>198</v>
      </c>
      <c r="B1538" t="s">
        <v>621</v>
      </c>
      <c r="C1538" t="s">
        <v>7</v>
      </c>
      <c r="D1538" t="s">
        <v>308</v>
      </c>
      <c r="E1538">
        <v>4</v>
      </c>
      <c r="F1538">
        <v>0</v>
      </c>
      <c r="G1538">
        <v>15</v>
      </c>
      <c r="H1538">
        <v>0</v>
      </c>
      <c r="I1538">
        <v>3.75</v>
      </c>
      <c r="J1538">
        <v>10</v>
      </c>
      <c r="K1538">
        <v>0</v>
      </c>
      <c r="L1538">
        <v>0</v>
      </c>
      <c r="M1538">
        <v>0</v>
      </c>
      <c r="N1538">
        <v>0</v>
      </c>
    </row>
    <row r="1539" spans="1:14" x14ac:dyDescent="0.45">
      <c r="A1539" t="s">
        <v>198</v>
      </c>
      <c r="B1539" t="s">
        <v>621</v>
      </c>
      <c r="C1539" t="s">
        <v>7</v>
      </c>
      <c r="D1539" t="s">
        <v>440</v>
      </c>
      <c r="E1539">
        <v>4</v>
      </c>
      <c r="F1539">
        <v>0</v>
      </c>
      <c r="G1539">
        <v>38</v>
      </c>
      <c r="H1539">
        <v>1</v>
      </c>
      <c r="I1539">
        <v>9.5</v>
      </c>
      <c r="J1539">
        <v>7</v>
      </c>
      <c r="K1539">
        <v>5</v>
      </c>
      <c r="L1539">
        <v>1</v>
      </c>
      <c r="M1539">
        <v>0</v>
      </c>
      <c r="N1539">
        <v>0</v>
      </c>
    </row>
    <row r="1540" spans="1:14" x14ac:dyDescent="0.45">
      <c r="A1540" t="s">
        <v>198</v>
      </c>
      <c r="B1540" t="s">
        <v>621</v>
      </c>
      <c r="C1540" t="s">
        <v>6</v>
      </c>
      <c r="D1540" t="s">
        <v>555</v>
      </c>
      <c r="E1540">
        <v>3</v>
      </c>
      <c r="F1540">
        <v>0</v>
      </c>
      <c r="G1540">
        <v>23</v>
      </c>
      <c r="H1540">
        <v>0</v>
      </c>
      <c r="I1540">
        <v>7.66</v>
      </c>
      <c r="J1540">
        <v>9</v>
      </c>
      <c r="K1540">
        <v>4</v>
      </c>
      <c r="L1540">
        <v>0</v>
      </c>
      <c r="M1540">
        <v>0</v>
      </c>
      <c r="N1540">
        <v>0</v>
      </c>
    </row>
    <row r="1541" spans="1:14" x14ac:dyDescent="0.45">
      <c r="A1541" t="s">
        <v>198</v>
      </c>
      <c r="B1541" t="s">
        <v>621</v>
      </c>
      <c r="C1541" t="s">
        <v>6</v>
      </c>
      <c r="D1541" t="s">
        <v>439</v>
      </c>
      <c r="E1541">
        <v>2.2999999999999998</v>
      </c>
      <c r="F1541">
        <v>0</v>
      </c>
      <c r="G1541">
        <v>19</v>
      </c>
      <c r="H1541">
        <v>0</v>
      </c>
      <c r="I1541">
        <v>7.6</v>
      </c>
      <c r="J1541">
        <v>9</v>
      </c>
      <c r="K1541">
        <v>2</v>
      </c>
      <c r="L1541">
        <v>1</v>
      </c>
      <c r="M1541">
        <v>0</v>
      </c>
      <c r="N1541">
        <v>0</v>
      </c>
    </row>
    <row r="1542" spans="1:14" x14ac:dyDescent="0.45">
      <c r="A1542" t="s">
        <v>198</v>
      </c>
      <c r="B1542" t="s">
        <v>621</v>
      </c>
      <c r="C1542" t="s">
        <v>6</v>
      </c>
      <c r="D1542" t="s">
        <v>507</v>
      </c>
      <c r="E1542">
        <v>4</v>
      </c>
      <c r="F1542">
        <v>0</v>
      </c>
      <c r="G1542">
        <v>31</v>
      </c>
      <c r="H1542">
        <v>1</v>
      </c>
      <c r="I1542">
        <v>7.75</v>
      </c>
      <c r="J1542">
        <v>5</v>
      </c>
      <c r="K1542">
        <v>1</v>
      </c>
      <c r="L1542">
        <v>1</v>
      </c>
      <c r="M1542">
        <v>0</v>
      </c>
      <c r="N1542">
        <v>0</v>
      </c>
    </row>
    <row r="1543" spans="1:14" x14ac:dyDescent="0.45">
      <c r="A1543" t="s">
        <v>198</v>
      </c>
      <c r="B1543" t="s">
        <v>621</v>
      </c>
      <c r="C1543" t="s">
        <v>6</v>
      </c>
      <c r="D1543" t="s">
        <v>327</v>
      </c>
      <c r="E1543">
        <v>4</v>
      </c>
      <c r="F1543">
        <v>0</v>
      </c>
      <c r="G1543">
        <v>20</v>
      </c>
      <c r="H1543">
        <v>3</v>
      </c>
      <c r="I1543">
        <v>5</v>
      </c>
      <c r="J1543">
        <v>11</v>
      </c>
      <c r="K1543">
        <v>2</v>
      </c>
      <c r="L1543">
        <v>0</v>
      </c>
      <c r="M1543">
        <v>0</v>
      </c>
      <c r="N1543">
        <v>0</v>
      </c>
    </row>
    <row r="1544" spans="1:14" x14ac:dyDescent="0.45">
      <c r="A1544" t="s">
        <v>198</v>
      </c>
      <c r="B1544" t="s">
        <v>621</v>
      </c>
      <c r="C1544" t="s">
        <v>6</v>
      </c>
      <c r="D1544" t="s">
        <v>387</v>
      </c>
      <c r="E1544">
        <v>1</v>
      </c>
      <c r="F1544">
        <v>0</v>
      </c>
      <c r="G1544">
        <v>11</v>
      </c>
      <c r="H1544">
        <v>0</v>
      </c>
      <c r="I1544">
        <v>11</v>
      </c>
      <c r="J1544">
        <v>1</v>
      </c>
      <c r="K1544">
        <v>2</v>
      </c>
      <c r="L1544">
        <v>0</v>
      </c>
      <c r="M1544">
        <v>0</v>
      </c>
      <c r="N1544">
        <v>0</v>
      </c>
    </row>
    <row r="1545" spans="1:14" x14ac:dyDescent="0.45">
      <c r="A1545" t="s">
        <v>198</v>
      </c>
      <c r="B1545" t="s">
        <v>621</v>
      </c>
      <c r="C1545" t="s">
        <v>6</v>
      </c>
      <c r="D1545" t="s">
        <v>328</v>
      </c>
      <c r="E1545">
        <v>4</v>
      </c>
      <c r="F1545">
        <v>0</v>
      </c>
      <c r="G1545">
        <v>25</v>
      </c>
      <c r="H1545">
        <v>0</v>
      </c>
      <c r="I1545">
        <v>6.25</v>
      </c>
      <c r="J1545">
        <v>8</v>
      </c>
      <c r="K1545">
        <v>1</v>
      </c>
      <c r="L1545">
        <v>1</v>
      </c>
      <c r="M1545">
        <v>0</v>
      </c>
      <c r="N1545">
        <v>0</v>
      </c>
    </row>
    <row r="1546" spans="1:14" x14ac:dyDescent="0.45">
      <c r="A1546" t="s">
        <v>200</v>
      </c>
      <c r="B1546" t="s">
        <v>699</v>
      </c>
      <c r="C1546" t="s">
        <v>6</v>
      </c>
      <c r="D1546" t="s">
        <v>324</v>
      </c>
      <c r="E1546">
        <v>4</v>
      </c>
      <c r="F1546">
        <v>0</v>
      </c>
      <c r="G1546">
        <v>38</v>
      </c>
      <c r="H1546">
        <v>1</v>
      </c>
      <c r="I1546">
        <v>9.5</v>
      </c>
      <c r="J1546">
        <v>5</v>
      </c>
      <c r="K1546">
        <v>3</v>
      </c>
      <c r="L1546">
        <v>1</v>
      </c>
      <c r="M1546">
        <v>0</v>
      </c>
      <c r="N1546">
        <v>0</v>
      </c>
    </row>
    <row r="1547" spans="1:14" x14ac:dyDescent="0.45">
      <c r="A1547" t="s">
        <v>200</v>
      </c>
      <c r="B1547" t="s">
        <v>699</v>
      </c>
      <c r="C1547" t="s">
        <v>6</v>
      </c>
      <c r="D1547" t="s">
        <v>555</v>
      </c>
      <c r="E1547">
        <v>4</v>
      </c>
      <c r="F1547">
        <v>0</v>
      </c>
      <c r="G1547">
        <v>56</v>
      </c>
      <c r="H1547">
        <v>0</v>
      </c>
      <c r="I1547">
        <v>14</v>
      </c>
      <c r="J1547">
        <v>4</v>
      </c>
      <c r="K1547">
        <v>7</v>
      </c>
      <c r="L1547">
        <v>3</v>
      </c>
      <c r="M1547">
        <v>0</v>
      </c>
      <c r="N1547">
        <v>0</v>
      </c>
    </row>
    <row r="1548" spans="1:14" x14ac:dyDescent="0.45">
      <c r="A1548" t="s">
        <v>200</v>
      </c>
      <c r="B1548" t="s">
        <v>699</v>
      </c>
      <c r="C1548" t="s">
        <v>6</v>
      </c>
      <c r="D1548" t="s">
        <v>523</v>
      </c>
      <c r="E1548">
        <v>4</v>
      </c>
      <c r="F1548">
        <v>0</v>
      </c>
      <c r="G1548">
        <v>36</v>
      </c>
      <c r="H1548">
        <v>0</v>
      </c>
      <c r="I1548">
        <v>9</v>
      </c>
      <c r="J1548">
        <v>8</v>
      </c>
      <c r="K1548">
        <v>3</v>
      </c>
      <c r="L1548">
        <v>2</v>
      </c>
      <c r="M1548">
        <v>0</v>
      </c>
      <c r="N1548">
        <v>0</v>
      </c>
    </row>
    <row r="1549" spans="1:14" x14ac:dyDescent="0.45">
      <c r="A1549" t="s">
        <v>200</v>
      </c>
      <c r="B1549" t="s">
        <v>699</v>
      </c>
      <c r="C1549" t="s">
        <v>6</v>
      </c>
      <c r="D1549" t="s">
        <v>328</v>
      </c>
      <c r="E1549">
        <v>4</v>
      </c>
      <c r="F1549">
        <v>0</v>
      </c>
      <c r="G1549">
        <v>38</v>
      </c>
      <c r="H1549">
        <v>1</v>
      </c>
      <c r="I1549">
        <v>9.5</v>
      </c>
      <c r="J1549">
        <v>3</v>
      </c>
      <c r="K1549">
        <v>3</v>
      </c>
      <c r="L1549">
        <v>1</v>
      </c>
      <c r="M1549">
        <v>0</v>
      </c>
      <c r="N1549">
        <v>0</v>
      </c>
    </row>
    <row r="1550" spans="1:14" x14ac:dyDescent="0.45">
      <c r="A1550" t="s">
        <v>200</v>
      </c>
      <c r="B1550" t="s">
        <v>699</v>
      </c>
      <c r="C1550" t="s">
        <v>6</v>
      </c>
      <c r="D1550" t="s">
        <v>510</v>
      </c>
      <c r="E1550">
        <v>4</v>
      </c>
      <c r="F1550">
        <v>0</v>
      </c>
      <c r="G1550">
        <v>44</v>
      </c>
      <c r="H1550">
        <v>2</v>
      </c>
      <c r="I1550">
        <v>11</v>
      </c>
      <c r="J1550">
        <v>7</v>
      </c>
      <c r="K1550">
        <v>4</v>
      </c>
      <c r="L1550">
        <v>2</v>
      </c>
      <c r="M1550">
        <v>2</v>
      </c>
      <c r="N1550">
        <v>0</v>
      </c>
    </row>
    <row r="1551" spans="1:14" x14ac:dyDescent="0.45">
      <c r="A1551" t="s">
        <v>200</v>
      </c>
      <c r="B1551" t="s">
        <v>699</v>
      </c>
      <c r="C1551" t="s">
        <v>101</v>
      </c>
      <c r="D1551" t="s">
        <v>403</v>
      </c>
      <c r="E1551">
        <v>3</v>
      </c>
      <c r="F1551">
        <v>0</v>
      </c>
      <c r="G1551">
        <v>29</v>
      </c>
      <c r="H1551">
        <v>0</v>
      </c>
      <c r="I1551">
        <v>9.66</v>
      </c>
      <c r="J1551">
        <v>5</v>
      </c>
      <c r="K1551">
        <v>4</v>
      </c>
      <c r="L1551">
        <v>0</v>
      </c>
      <c r="M1551">
        <v>0</v>
      </c>
      <c r="N1551">
        <v>0</v>
      </c>
    </row>
    <row r="1552" spans="1:14" x14ac:dyDescent="0.45">
      <c r="A1552" t="s">
        <v>200</v>
      </c>
      <c r="B1552" t="s">
        <v>699</v>
      </c>
      <c r="C1552" t="s">
        <v>101</v>
      </c>
      <c r="D1552" t="s">
        <v>361</v>
      </c>
      <c r="E1552">
        <v>1</v>
      </c>
      <c r="F1552">
        <v>0</v>
      </c>
      <c r="G1552">
        <v>14</v>
      </c>
      <c r="H1552">
        <v>0</v>
      </c>
      <c r="I1552">
        <v>14</v>
      </c>
      <c r="J1552">
        <v>1</v>
      </c>
      <c r="K1552">
        <v>1</v>
      </c>
      <c r="L1552">
        <v>1</v>
      </c>
      <c r="M1552">
        <v>1</v>
      </c>
      <c r="N1552">
        <v>0</v>
      </c>
    </row>
    <row r="1553" spans="1:14" x14ac:dyDescent="0.45">
      <c r="A1553" t="s">
        <v>200</v>
      </c>
      <c r="B1553" t="s">
        <v>699</v>
      </c>
      <c r="C1553" t="s">
        <v>101</v>
      </c>
      <c r="D1553" t="s">
        <v>379</v>
      </c>
      <c r="E1553">
        <v>3</v>
      </c>
      <c r="F1553">
        <v>0</v>
      </c>
      <c r="G1553">
        <v>44</v>
      </c>
      <c r="H1553">
        <v>0</v>
      </c>
      <c r="I1553">
        <v>14.66</v>
      </c>
      <c r="J1553">
        <v>2</v>
      </c>
      <c r="K1553">
        <v>4</v>
      </c>
      <c r="L1553">
        <v>3</v>
      </c>
      <c r="M1553">
        <v>0</v>
      </c>
      <c r="N1553">
        <v>0</v>
      </c>
    </row>
    <row r="1554" spans="1:14" x14ac:dyDescent="0.45">
      <c r="A1554" t="s">
        <v>200</v>
      </c>
      <c r="B1554" t="s">
        <v>699</v>
      </c>
      <c r="C1554" t="s">
        <v>101</v>
      </c>
      <c r="D1554" t="s">
        <v>556</v>
      </c>
      <c r="E1554">
        <v>3</v>
      </c>
      <c r="F1554">
        <v>0</v>
      </c>
      <c r="G1554">
        <v>17</v>
      </c>
      <c r="H1554">
        <v>2</v>
      </c>
      <c r="I1554">
        <v>5.66</v>
      </c>
      <c r="J1554">
        <v>6</v>
      </c>
      <c r="K1554">
        <v>0</v>
      </c>
      <c r="L1554">
        <v>0</v>
      </c>
      <c r="M1554">
        <v>3</v>
      </c>
      <c r="N1554">
        <v>0</v>
      </c>
    </row>
    <row r="1555" spans="1:14" x14ac:dyDescent="0.45">
      <c r="A1555" t="s">
        <v>200</v>
      </c>
      <c r="B1555" t="s">
        <v>699</v>
      </c>
      <c r="C1555" t="s">
        <v>101</v>
      </c>
      <c r="D1555" t="s">
        <v>557</v>
      </c>
      <c r="E1555">
        <v>2</v>
      </c>
      <c r="F1555">
        <v>0</v>
      </c>
      <c r="G1555">
        <v>30</v>
      </c>
      <c r="H1555">
        <v>0</v>
      </c>
      <c r="I1555">
        <v>15</v>
      </c>
      <c r="J1555">
        <v>1</v>
      </c>
      <c r="K1555">
        <v>0</v>
      </c>
      <c r="L1555">
        <v>3</v>
      </c>
      <c r="M1555">
        <v>0</v>
      </c>
      <c r="N1555">
        <v>0</v>
      </c>
    </row>
    <row r="1556" spans="1:14" x14ac:dyDescent="0.45">
      <c r="A1556" t="s">
        <v>200</v>
      </c>
      <c r="B1556" t="s">
        <v>699</v>
      </c>
      <c r="C1556" t="s">
        <v>101</v>
      </c>
      <c r="D1556" t="s">
        <v>558</v>
      </c>
      <c r="E1556">
        <v>3</v>
      </c>
      <c r="F1556">
        <v>0</v>
      </c>
      <c r="G1556">
        <v>36</v>
      </c>
      <c r="H1556">
        <v>3</v>
      </c>
      <c r="I1556">
        <v>12</v>
      </c>
      <c r="J1556">
        <v>4</v>
      </c>
      <c r="K1556">
        <v>2</v>
      </c>
      <c r="L1556">
        <v>3</v>
      </c>
      <c r="M1556">
        <v>0</v>
      </c>
      <c r="N1556">
        <v>0</v>
      </c>
    </row>
    <row r="1557" spans="1:14" x14ac:dyDescent="0.45">
      <c r="A1557" t="s">
        <v>201</v>
      </c>
      <c r="B1557" t="s">
        <v>700</v>
      </c>
      <c r="C1557" t="s">
        <v>19</v>
      </c>
      <c r="D1557" t="s">
        <v>562</v>
      </c>
      <c r="E1557">
        <v>4</v>
      </c>
      <c r="F1557">
        <v>0</v>
      </c>
      <c r="G1557">
        <v>28</v>
      </c>
      <c r="H1557">
        <v>0</v>
      </c>
      <c r="I1557">
        <v>7</v>
      </c>
      <c r="J1557">
        <v>8</v>
      </c>
      <c r="K1557">
        <v>4</v>
      </c>
      <c r="L1557">
        <v>0</v>
      </c>
      <c r="M1557">
        <v>0</v>
      </c>
      <c r="N1557">
        <v>0</v>
      </c>
    </row>
    <row r="1558" spans="1:14" x14ac:dyDescent="0.45">
      <c r="A1558" t="s">
        <v>201</v>
      </c>
      <c r="B1558" t="s">
        <v>700</v>
      </c>
      <c r="C1558" t="s">
        <v>19</v>
      </c>
      <c r="D1558" t="s">
        <v>560</v>
      </c>
      <c r="E1558">
        <v>3</v>
      </c>
      <c r="F1558">
        <v>0</v>
      </c>
      <c r="G1558">
        <v>35</v>
      </c>
      <c r="H1558">
        <v>0</v>
      </c>
      <c r="I1558">
        <v>11.66</v>
      </c>
      <c r="J1558">
        <v>4</v>
      </c>
      <c r="K1558">
        <v>3</v>
      </c>
      <c r="L1558">
        <v>2</v>
      </c>
      <c r="M1558">
        <v>0</v>
      </c>
      <c r="N1558">
        <v>0</v>
      </c>
    </row>
    <row r="1559" spans="1:14" x14ac:dyDescent="0.45">
      <c r="A1559" t="s">
        <v>201</v>
      </c>
      <c r="B1559" t="s">
        <v>700</v>
      </c>
      <c r="C1559" t="s">
        <v>19</v>
      </c>
      <c r="D1559" t="s">
        <v>563</v>
      </c>
      <c r="E1559">
        <v>4</v>
      </c>
      <c r="F1559">
        <v>0</v>
      </c>
      <c r="G1559">
        <v>52</v>
      </c>
      <c r="H1559">
        <v>1</v>
      </c>
      <c r="I1559">
        <v>13</v>
      </c>
      <c r="J1559">
        <v>7</v>
      </c>
      <c r="K1559">
        <v>3</v>
      </c>
      <c r="L1559">
        <v>4</v>
      </c>
      <c r="M1559">
        <v>0</v>
      </c>
      <c r="N1559">
        <v>2</v>
      </c>
    </row>
    <row r="1560" spans="1:14" x14ac:dyDescent="0.45">
      <c r="A1560" t="s">
        <v>201</v>
      </c>
      <c r="B1560" t="s">
        <v>700</v>
      </c>
      <c r="C1560" t="s">
        <v>19</v>
      </c>
      <c r="D1560" t="s">
        <v>406</v>
      </c>
      <c r="E1560">
        <v>4</v>
      </c>
      <c r="F1560">
        <v>0</v>
      </c>
      <c r="G1560">
        <v>56</v>
      </c>
      <c r="H1560">
        <v>0</v>
      </c>
      <c r="I1560">
        <v>14</v>
      </c>
      <c r="J1560">
        <v>6</v>
      </c>
      <c r="K1560">
        <v>6</v>
      </c>
      <c r="L1560">
        <v>3</v>
      </c>
      <c r="M1560">
        <v>4</v>
      </c>
      <c r="N1560">
        <v>0</v>
      </c>
    </row>
    <row r="1561" spans="1:14" x14ac:dyDescent="0.45">
      <c r="A1561" t="s">
        <v>201</v>
      </c>
      <c r="B1561" t="s">
        <v>700</v>
      </c>
      <c r="C1561" t="s">
        <v>19</v>
      </c>
      <c r="D1561" t="s">
        <v>368</v>
      </c>
      <c r="E1561">
        <v>3</v>
      </c>
      <c r="F1561">
        <v>0</v>
      </c>
      <c r="G1561">
        <v>45</v>
      </c>
      <c r="H1561">
        <v>1</v>
      </c>
      <c r="I1561">
        <v>15</v>
      </c>
      <c r="J1561">
        <v>0</v>
      </c>
      <c r="K1561">
        <v>2</v>
      </c>
      <c r="L1561">
        <v>3</v>
      </c>
      <c r="M1561">
        <v>1</v>
      </c>
      <c r="N1561">
        <v>0</v>
      </c>
    </row>
    <row r="1562" spans="1:14" x14ac:dyDescent="0.45">
      <c r="A1562" t="s">
        <v>201</v>
      </c>
      <c r="B1562" t="s">
        <v>700</v>
      </c>
      <c r="C1562" t="s">
        <v>19</v>
      </c>
      <c r="D1562" t="s">
        <v>524</v>
      </c>
      <c r="E1562">
        <v>2</v>
      </c>
      <c r="F1562">
        <v>0</v>
      </c>
      <c r="G1562">
        <v>15</v>
      </c>
      <c r="H1562">
        <v>0</v>
      </c>
      <c r="I1562">
        <v>7.5</v>
      </c>
      <c r="J1562">
        <v>2</v>
      </c>
      <c r="K1562">
        <v>0</v>
      </c>
      <c r="L1562">
        <v>1</v>
      </c>
      <c r="M1562">
        <v>0</v>
      </c>
      <c r="N1562">
        <v>0</v>
      </c>
    </row>
    <row r="1563" spans="1:14" x14ac:dyDescent="0.45">
      <c r="A1563" t="s">
        <v>201</v>
      </c>
      <c r="B1563" t="s">
        <v>700</v>
      </c>
      <c r="C1563" t="s">
        <v>101</v>
      </c>
      <c r="D1563" t="s">
        <v>403</v>
      </c>
      <c r="E1563">
        <v>3</v>
      </c>
      <c r="F1563">
        <v>0</v>
      </c>
      <c r="G1563">
        <v>41</v>
      </c>
      <c r="H1563">
        <v>2</v>
      </c>
      <c r="I1563">
        <v>13.66</v>
      </c>
      <c r="J1563">
        <v>6</v>
      </c>
      <c r="K1563">
        <v>6</v>
      </c>
      <c r="L1563">
        <v>2</v>
      </c>
      <c r="M1563">
        <v>0</v>
      </c>
      <c r="N1563">
        <v>0</v>
      </c>
    </row>
    <row r="1564" spans="1:14" x14ac:dyDescent="0.45">
      <c r="A1564" t="s">
        <v>201</v>
      </c>
      <c r="B1564" t="s">
        <v>700</v>
      </c>
      <c r="C1564" t="s">
        <v>101</v>
      </c>
      <c r="D1564" t="s">
        <v>361</v>
      </c>
      <c r="E1564">
        <v>2</v>
      </c>
      <c r="F1564">
        <v>0</v>
      </c>
      <c r="G1564">
        <v>24</v>
      </c>
      <c r="H1564">
        <v>0</v>
      </c>
      <c r="I1564">
        <v>12</v>
      </c>
      <c r="J1564">
        <v>4</v>
      </c>
      <c r="K1564">
        <v>3</v>
      </c>
      <c r="L1564">
        <v>1</v>
      </c>
      <c r="M1564">
        <v>1</v>
      </c>
      <c r="N1564">
        <v>0</v>
      </c>
    </row>
    <row r="1565" spans="1:14" x14ac:dyDescent="0.45">
      <c r="A1565" t="s">
        <v>201</v>
      </c>
      <c r="B1565" t="s">
        <v>700</v>
      </c>
      <c r="C1565" t="s">
        <v>101</v>
      </c>
      <c r="D1565" t="s">
        <v>379</v>
      </c>
      <c r="E1565">
        <v>4</v>
      </c>
      <c r="F1565">
        <v>0</v>
      </c>
      <c r="G1565">
        <v>33</v>
      </c>
      <c r="H1565">
        <v>2</v>
      </c>
      <c r="I1565">
        <v>8.25</v>
      </c>
      <c r="J1565">
        <v>8</v>
      </c>
      <c r="K1565">
        <v>5</v>
      </c>
      <c r="L1565">
        <v>0</v>
      </c>
      <c r="M1565">
        <v>1</v>
      </c>
      <c r="N1565">
        <v>0</v>
      </c>
    </row>
    <row r="1566" spans="1:14" x14ac:dyDescent="0.45">
      <c r="A1566" t="s">
        <v>201</v>
      </c>
      <c r="B1566" t="s">
        <v>700</v>
      </c>
      <c r="C1566" t="s">
        <v>101</v>
      </c>
      <c r="D1566" t="s">
        <v>556</v>
      </c>
      <c r="E1566">
        <v>4</v>
      </c>
      <c r="F1566">
        <v>0</v>
      </c>
      <c r="G1566">
        <v>35</v>
      </c>
      <c r="H1566">
        <v>0</v>
      </c>
      <c r="I1566">
        <v>8.75</v>
      </c>
      <c r="J1566">
        <v>8</v>
      </c>
      <c r="K1566">
        <v>1</v>
      </c>
      <c r="L1566">
        <v>2</v>
      </c>
      <c r="M1566">
        <v>1</v>
      </c>
      <c r="N1566">
        <v>1</v>
      </c>
    </row>
    <row r="1567" spans="1:14" x14ac:dyDescent="0.45">
      <c r="A1567" t="s">
        <v>201</v>
      </c>
      <c r="B1567" t="s">
        <v>700</v>
      </c>
      <c r="C1567" t="s">
        <v>101</v>
      </c>
      <c r="D1567" t="s">
        <v>557</v>
      </c>
      <c r="E1567">
        <v>3</v>
      </c>
      <c r="F1567">
        <v>0</v>
      </c>
      <c r="G1567">
        <v>26</v>
      </c>
      <c r="H1567">
        <v>1</v>
      </c>
      <c r="I1567">
        <v>8.66</v>
      </c>
      <c r="J1567">
        <v>6</v>
      </c>
      <c r="K1567">
        <v>2</v>
      </c>
      <c r="L1567">
        <v>1</v>
      </c>
      <c r="M1567">
        <v>1</v>
      </c>
      <c r="N1567">
        <v>0</v>
      </c>
    </row>
    <row r="1568" spans="1:14" x14ac:dyDescent="0.45">
      <c r="A1568" t="s">
        <v>201</v>
      </c>
      <c r="B1568" t="s">
        <v>700</v>
      </c>
      <c r="C1568" t="s">
        <v>101</v>
      </c>
      <c r="D1568" t="s">
        <v>558</v>
      </c>
      <c r="E1568">
        <v>2.2000000000000002</v>
      </c>
      <c r="F1568">
        <v>0</v>
      </c>
      <c r="G1568">
        <v>10</v>
      </c>
      <c r="H1568">
        <v>5</v>
      </c>
      <c r="I1568">
        <v>4.28</v>
      </c>
      <c r="J1568">
        <v>9</v>
      </c>
      <c r="K1568">
        <v>0</v>
      </c>
      <c r="L1568">
        <v>1</v>
      </c>
      <c r="M1568">
        <v>0</v>
      </c>
      <c r="N1568">
        <v>0</v>
      </c>
    </row>
    <row r="1569" spans="1:14" x14ac:dyDescent="0.45">
      <c r="A1569" t="s">
        <v>203</v>
      </c>
      <c r="B1569" t="s">
        <v>701</v>
      </c>
      <c r="C1569" t="s">
        <v>104</v>
      </c>
      <c r="D1569" t="s">
        <v>366</v>
      </c>
      <c r="E1569">
        <v>4</v>
      </c>
      <c r="F1569">
        <v>0</v>
      </c>
      <c r="G1569">
        <v>38</v>
      </c>
      <c r="H1569">
        <v>0</v>
      </c>
      <c r="I1569">
        <v>9.5</v>
      </c>
      <c r="J1569">
        <v>7</v>
      </c>
      <c r="K1569">
        <v>5</v>
      </c>
      <c r="L1569">
        <v>1</v>
      </c>
      <c r="M1569">
        <v>0</v>
      </c>
      <c r="N1569">
        <v>0</v>
      </c>
    </row>
    <row r="1570" spans="1:14" x14ac:dyDescent="0.45">
      <c r="A1570" t="s">
        <v>203</v>
      </c>
      <c r="B1570" t="s">
        <v>701</v>
      </c>
      <c r="C1570" t="s">
        <v>104</v>
      </c>
      <c r="D1570" t="s">
        <v>516</v>
      </c>
      <c r="E1570">
        <v>1</v>
      </c>
      <c r="F1570">
        <v>0</v>
      </c>
      <c r="G1570">
        <v>8</v>
      </c>
      <c r="H1570">
        <v>0</v>
      </c>
      <c r="I1570">
        <v>8</v>
      </c>
      <c r="J1570">
        <v>4</v>
      </c>
      <c r="K1570">
        <v>2</v>
      </c>
      <c r="L1570">
        <v>0</v>
      </c>
      <c r="M1570">
        <v>0</v>
      </c>
      <c r="N1570">
        <v>0</v>
      </c>
    </row>
    <row r="1571" spans="1:14" x14ac:dyDescent="0.45">
      <c r="A1571" t="s">
        <v>203</v>
      </c>
      <c r="B1571" t="s">
        <v>701</v>
      </c>
      <c r="C1571" t="s">
        <v>104</v>
      </c>
      <c r="D1571" t="s">
        <v>565</v>
      </c>
      <c r="E1571">
        <v>4</v>
      </c>
      <c r="F1571">
        <v>0</v>
      </c>
      <c r="G1571">
        <v>38</v>
      </c>
      <c r="H1571">
        <v>4</v>
      </c>
      <c r="I1571">
        <v>9.5</v>
      </c>
      <c r="J1571">
        <v>10</v>
      </c>
      <c r="K1571">
        <v>3</v>
      </c>
      <c r="L1571">
        <v>2</v>
      </c>
      <c r="M1571">
        <v>3</v>
      </c>
      <c r="N1571">
        <v>0</v>
      </c>
    </row>
    <row r="1572" spans="1:14" x14ac:dyDescent="0.45">
      <c r="A1572" t="s">
        <v>203</v>
      </c>
      <c r="B1572" t="s">
        <v>701</v>
      </c>
      <c r="C1572" t="s">
        <v>104</v>
      </c>
      <c r="D1572" t="s">
        <v>566</v>
      </c>
      <c r="E1572">
        <v>4</v>
      </c>
      <c r="F1572">
        <v>0</v>
      </c>
      <c r="G1572">
        <v>34</v>
      </c>
      <c r="H1572">
        <v>3</v>
      </c>
      <c r="I1572">
        <v>8.5</v>
      </c>
      <c r="J1572">
        <v>12</v>
      </c>
      <c r="K1572">
        <v>3</v>
      </c>
      <c r="L1572">
        <v>2</v>
      </c>
      <c r="M1572">
        <v>2</v>
      </c>
      <c r="N1572">
        <v>0</v>
      </c>
    </row>
    <row r="1573" spans="1:14" x14ac:dyDescent="0.45">
      <c r="A1573" t="s">
        <v>203</v>
      </c>
      <c r="B1573" t="s">
        <v>701</v>
      </c>
      <c r="C1573" t="s">
        <v>104</v>
      </c>
      <c r="D1573" t="s">
        <v>492</v>
      </c>
      <c r="E1573">
        <v>3</v>
      </c>
      <c r="F1573">
        <v>0</v>
      </c>
      <c r="G1573">
        <v>24</v>
      </c>
      <c r="H1573">
        <v>1</v>
      </c>
      <c r="I1573">
        <v>8</v>
      </c>
      <c r="J1573">
        <v>9</v>
      </c>
      <c r="K1573">
        <v>1</v>
      </c>
      <c r="L1573">
        <v>2</v>
      </c>
      <c r="M1573">
        <v>0</v>
      </c>
      <c r="N1573">
        <v>0</v>
      </c>
    </row>
    <row r="1574" spans="1:14" x14ac:dyDescent="0.45">
      <c r="A1574" t="s">
        <v>203</v>
      </c>
      <c r="B1574" t="s">
        <v>701</v>
      </c>
      <c r="C1574" t="s">
        <v>104</v>
      </c>
      <c r="D1574" t="s">
        <v>407</v>
      </c>
      <c r="E1574">
        <v>4</v>
      </c>
      <c r="F1574">
        <v>0</v>
      </c>
      <c r="G1574">
        <v>30</v>
      </c>
      <c r="H1574">
        <v>0</v>
      </c>
      <c r="I1574">
        <v>7.5</v>
      </c>
      <c r="J1574">
        <v>4</v>
      </c>
      <c r="K1574">
        <v>1</v>
      </c>
      <c r="L1574">
        <v>1</v>
      </c>
      <c r="M1574">
        <v>1</v>
      </c>
      <c r="N1574">
        <v>0</v>
      </c>
    </row>
    <row r="1575" spans="1:14" x14ac:dyDescent="0.45">
      <c r="A1575" t="s">
        <v>203</v>
      </c>
      <c r="B1575" t="s">
        <v>701</v>
      </c>
      <c r="C1575" t="s">
        <v>19</v>
      </c>
      <c r="D1575" t="s">
        <v>562</v>
      </c>
      <c r="E1575">
        <v>3</v>
      </c>
      <c r="F1575">
        <v>0</v>
      </c>
      <c r="G1575">
        <v>21</v>
      </c>
      <c r="H1575">
        <v>0</v>
      </c>
      <c r="I1575">
        <v>7</v>
      </c>
      <c r="J1575">
        <v>7</v>
      </c>
      <c r="K1575">
        <v>3</v>
      </c>
      <c r="L1575">
        <v>0</v>
      </c>
      <c r="M1575">
        <v>0</v>
      </c>
      <c r="N1575">
        <v>0</v>
      </c>
    </row>
    <row r="1576" spans="1:14" x14ac:dyDescent="0.45">
      <c r="A1576" t="s">
        <v>203</v>
      </c>
      <c r="B1576" t="s">
        <v>701</v>
      </c>
      <c r="C1576" t="s">
        <v>19</v>
      </c>
      <c r="D1576" t="s">
        <v>563</v>
      </c>
      <c r="E1576">
        <v>3.3</v>
      </c>
      <c r="F1576">
        <v>0</v>
      </c>
      <c r="G1576">
        <v>5</v>
      </c>
      <c r="H1576">
        <v>5</v>
      </c>
      <c r="I1576">
        <v>1.42</v>
      </c>
      <c r="J1576">
        <v>17</v>
      </c>
      <c r="K1576">
        <v>0</v>
      </c>
      <c r="L1576">
        <v>0</v>
      </c>
      <c r="M1576">
        <v>0</v>
      </c>
      <c r="N1576">
        <v>0</v>
      </c>
    </row>
    <row r="1577" spans="1:14" x14ac:dyDescent="0.45">
      <c r="A1577" t="s">
        <v>203</v>
      </c>
      <c r="B1577" t="s">
        <v>701</v>
      </c>
      <c r="C1577" t="s">
        <v>19</v>
      </c>
      <c r="D1577" t="s">
        <v>406</v>
      </c>
      <c r="E1577">
        <v>2</v>
      </c>
      <c r="F1577">
        <v>1</v>
      </c>
      <c r="G1577">
        <v>7</v>
      </c>
      <c r="H1577">
        <v>1</v>
      </c>
      <c r="I1577">
        <v>3.5</v>
      </c>
      <c r="J1577">
        <v>9</v>
      </c>
      <c r="K1577">
        <v>1</v>
      </c>
      <c r="L1577">
        <v>0</v>
      </c>
      <c r="M1577">
        <v>0</v>
      </c>
      <c r="N1577">
        <v>0</v>
      </c>
    </row>
    <row r="1578" spans="1:14" x14ac:dyDescent="0.45">
      <c r="A1578" t="s">
        <v>203</v>
      </c>
      <c r="B1578" t="s">
        <v>701</v>
      </c>
      <c r="C1578" t="s">
        <v>19</v>
      </c>
      <c r="D1578" t="s">
        <v>560</v>
      </c>
      <c r="E1578">
        <v>3</v>
      </c>
      <c r="F1578">
        <v>0</v>
      </c>
      <c r="G1578">
        <v>15</v>
      </c>
      <c r="H1578">
        <v>0</v>
      </c>
      <c r="I1578">
        <v>5</v>
      </c>
      <c r="J1578">
        <v>7</v>
      </c>
      <c r="K1578">
        <v>1</v>
      </c>
      <c r="L1578">
        <v>0</v>
      </c>
      <c r="M1578">
        <v>0</v>
      </c>
      <c r="N1578">
        <v>0</v>
      </c>
    </row>
    <row r="1579" spans="1:14" x14ac:dyDescent="0.45">
      <c r="A1579" t="s">
        <v>203</v>
      </c>
      <c r="B1579" t="s">
        <v>701</v>
      </c>
      <c r="C1579" t="s">
        <v>19</v>
      </c>
      <c r="D1579" t="s">
        <v>504</v>
      </c>
      <c r="E1579">
        <v>1</v>
      </c>
      <c r="F1579">
        <v>0</v>
      </c>
      <c r="G1579">
        <v>18</v>
      </c>
      <c r="H1579">
        <v>0</v>
      </c>
      <c r="I1579">
        <v>18</v>
      </c>
      <c r="J1579">
        <v>1</v>
      </c>
      <c r="K1579">
        <v>2</v>
      </c>
      <c r="L1579">
        <v>1</v>
      </c>
      <c r="M1579">
        <v>1</v>
      </c>
      <c r="N1579">
        <v>0</v>
      </c>
    </row>
    <row r="1580" spans="1:14" x14ac:dyDescent="0.45">
      <c r="A1580" t="s">
        <v>203</v>
      </c>
      <c r="B1580" t="s">
        <v>701</v>
      </c>
      <c r="C1580" t="s">
        <v>19</v>
      </c>
      <c r="D1580" t="s">
        <v>368</v>
      </c>
      <c r="E1580">
        <v>4</v>
      </c>
      <c r="F1580">
        <v>0</v>
      </c>
      <c r="G1580">
        <v>28</v>
      </c>
      <c r="H1580">
        <v>1</v>
      </c>
      <c r="I1580">
        <v>7</v>
      </c>
      <c r="J1580">
        <v>9</v>
      </c>
      <c r="K1580">
        <v>2</v>
      </c>
      <c r="L1580">
        <v>1</v>
      </c>
      <c r="M1580">
        <v>2</v>
      </c>
      <c r="N1580">
        <v>0</v>
      </c>
    </row>
    <row r="1581" spans="1:14" x14ac:dyDescent="0.45">
      <c r="A1581" t="s">
        <v>204</v>
      </c>
      <c r="B1581" t="s">
        <v>674</v>
      </c>
      <c r="C1581" t="s">
        <v>101</v>
      </c>
      <c r="D1581" t="s">
        <v>403</v>
      </c>
      <c r="E1581">
        <v>4</v>
      </c>
      <c r="F1581">
        <v>0</v>
      </c>
      <c r="G1581">
        <v>28</v>
      </c>
      <c r="H1581">
        <v>2</v>
      </c>
      <c r="I1581">
        <v>7</v>
      </c>
      <c r="J1581">
        <v>10</v>
      </c>
      <c r="K1581">
        <v>2</v>
      </c>
      <c r="L1581">
        <v>1</v>
      </c>
      <c r="M1581">
        <v>0</v>
      </c>
      <c r="N1581">
        <v>1</v>
      </c>
    </row>
    <row r="1582" spans="1:14" x14ac:dyDescent="0.45">
      <c r="A1582" t="s">
        <v>204</v>
      </c>
      <c r="B1582" t="s">
        <v>674</v>
      </c>
      <c r="C1582" t="s">
        <v>101</v>
      </c>
      <c r="D1582" t="s">
        <v>548</v>
      </c>
      <c r="E1582">
        <v>4</v>
      </c>
      <c r="F1582">
        <v>0</v>
      </c>
      <c r="G1582">
        <v>44</v>
      </c>
      <c r="H1582">
        <v>1</v>
      </c>
      <c r="I1582">
        <v>11</v>
      </c>
      <c r="J1582">
        <v>9</v>
      </c>
      <c r="K1582">
        <v>4</v>
      </c>
      <c r="L1582">
        <v>2</v>
      </c>
      <c r="M1582">
        <v>0</v>
      </c>
      <c r="N1582">
        <v>1</v>
      </c>
    </row>
    <row r="1583" spans="1:14" x14ac:dyDescent="0.45">
      <c r="A1583" t="s">
        <v>204</v>
      </c>
      <c r="B1583" t="s">
        <v>674</v>
      </c>
      <c r="C1583" t="s">
        <v>101</v>
      </c>
      <c r="D1583" t="s">
        <v>379</v>
      </c>
      <c r="E1583">
        <v>4</v>
      </c>
      <c r="F1583">
        <v>0</v>
      </c>
      <c r="G1583">
        <v>37</v>
      </c>
      <c r="H1583">
        <v>1</v>
      </c>
      <c r="I1583">
        <v>9.25</v>
      </c>
      <c r="J1583">
        <v>5</v>
      </c>
      <c r="K1583">
        <v>2</v>
      </c>
      <c r="L1583">
        <v>1</v>
      </c>
      <c r="M1583">
        <v>0</v>
      </c>
      <c r="N1583">
        <v>0</v>
      </c>
    </row>
    <row r="1584" spans="1:14" x14ac:dyDescent="0.45">
      <c r="A1584" t="s">
        <v>204</v>
      </c>
      <c r="B1584" t="s">
        <v>674</v>
      </c>
      <c r="C1584" t="s">
        <v>101</v>
      </c>
      <c r="D1584" t="s">
        <v>556</v>
      </c>
      <c r="E1584">
        <v>4</v>
      </c>
      <c r="F1584">
        <v>0</v>
      </c>
      <c r="G1584">
        <v>29</v>
      </c>
      <c r="H1584">
        <v>1</v>
      </c>
      <c r="I1584">
        <v>7.25</v>
      </c>
      <c r="J1584">
        <v>6</v>
      </c>
      <c r="K1584">
        <v>3</v>
      </c>
      <c r="L1584">
        <v>0</v>
      </c>
      <c r="M1584">
        <v>0</v>
      </c>
      <c r="N1584">
        <v>0</v>
      </c>
    </row>
    <row r="1585" spans="1:14" x14ac:dyDescent="0.45">
      <c r="A1585" t="s">
        <v>204</v>
      </c>
      <c r="B1585" t="s">
        <v>674</v>
      </c>
      <c r="C1585" t="s">
        <v>101</v>
      </c>
      <c r="D1585" t="s">
        <v>558</v>
      </c>
      <c r="E1585">
        <v>4</v>
      </c>
      <c r="F1585">
        <v>0</v>
      </c>
      <c r="G1585">
        <v>31</v>
      </c>
      <c r="H1585">
        <v>2</v>
      </c>
      <c r="I1585">
        <v>7.75</v>
      </c>
      <c r="J1585">
        <v>4</v>
      </c>
      <c r="K1585">
        <v>3</v>
      </c>
      <c r="L1585">
        <v>0</v>
      </c>
      <c r="M1585">
        <v>0</v>
      </c>
      <c r="N1585">
        <v>0</v>
      </c>
    </row>
    <row r="1586" spans="1:14" x14ac:dyDescent="0.45">
      <c r="A1586" t="s">
        <v>204</v>
      </c>
      <c r="B1586" t="s">
        <v>674</v>
      </c>
      <c r="C1586" t="s">
        <v>6</v>
      </c>
      <c r="D1586" t="s">
        <v>324</v>
      </c>
      <c r="E1586">
        <v>4</v>
      </c>
      <c r="F1586">
        <v>0</v>
      </c>
      <c r="G1586">
        <v>29</v>
      </c>
      <c r="H1586">
        <v>2</v>
      </c>
      <c r="I1586">
        <v>7.25</v>
      </c>
      <c r="J1586">
        <v>10</v>
      </c>
      <c r="K1586">
        <v>2</v>
      </c>
      <c r="L1586">
        <v>1</v>
      </c>
      <c r="M1586">
        <v>3</v>
      </c>
      <c r="N1586">
        <v>0</v>
      </c>
    </row>
    <row r="1587" spans="1:14" x14ac:dyDescent="0.45">
      <c r="A1587" t="s">
        <v>204</v>
      </c>
      <c r="B1587" t="s">
        <v>674</v>
      </c>
      <c r="C1587" t="s">
        <v>6</v>
      </c>
      <c r="D1587" t="s">
        <v>555</v>
      </c>
      <c r="E1587">
        <v>4</v>
      </c>
      <c r="F1587">
        <v>0</v>
      </c>
      <c r="G1587">
        <v>43</v>
      </c>
      <c r="H1587">
        <v>1</v>
      </c>
      <c r="I1587">
        <v>10.75</v>
      </c>
      <c r="J1587">
        <v>11</v>
      </c>
      <c r="K1587">
        <v>6</v>
      </c>
      <c r="L1587">
        <v>2</v>
      </c>
      <c r="M1587">
        <v>2</v>
      </c>
      <c r="N1587">
        <v>0</v>
      </c>
    </row>
    <row r="1588" spans="1:14" x14ac:dyDescent="0.45">
      <c r="A1588" t="s">
        <v>204</v>
      </c>
      <c r="B1588" t="s">
        <v>674</v>
      </c>
      <c r="C1588" t="s">
        <v>6</v>
      </c>
      <c r="D1588" t="s">
        <v>523</v>
      </c>
      <c r="E1588">
        <v>4</v>
      </c>
      <c r="F1588">
        <v>0</v>
      </c>
      <c r="G1588">
        <v>28</v>
      </c>
      <c r="H1588">
        <v>2</v>
      </c>
      <c r="I1588">
        <v>7</v>
      </c>
      <c r="J1588">
        <v>8</v>
      </c>
      <c r="K1588">
        <v>1</v>
      </c>
      <c r="L1588">
        <v>1</v>
      </c>
      <c r="M1588">
        <v>0</v>
      </c>
      <c r="N1588">
        <v>0</v>
      </c>
    </row>
    <row r="1589" spans="1:14" x14ac:dyDescent="0.45">
      <c r="A1589" t="s">
        <v>204</v>
      </c>
      <c r="B1589" t="s">
        <v>674</v>
      </c>
      <c r="C1589" t="s">
        <v>6</v>
      </c>
      <c r="D1589" t="s">
        <v>328</v>
      </c>
      <c r="E1589">
        <v>4</v>
      </c>
      <c r="F1589">
        <v>0</v>
      </c>
      <c r="G1589">
        <v>18</v>
      </c>
      <c r="H1589">
        <v>2</v>
      </c>
      <c r="I1589">
        <v>4.5</v>
      </c>
      <c r="J1589">
        <v>12</v>
      </c>
      <c r="K1589">
        <v>2</v>
      </c>
      <c r="L1589">
        <v>0</v>
      </c>
      <c r="M1589">
        <v>0</v>
      </c>
      <c r="N1589">
        <v>0</v>
      </c>
    </row>
    <row r="1590" spans="1:14" x14ac:dyDescent="0.45">
      <c r="A1590" t="s">
        <v>204</v>
      </c>
      <c r="B1590" t="s">
        <v>674</v>
      </c>
      <c r="C1590" t="s">
        <v>6</v>
      </c>
      <c r="D1590" t="s">
        <v>510</v>
      </c>
      <c r="E1590">
        <v>4</v>
      </c>
      <c r="F1590">
        <v>0</v>
      </c>
      <c r="G1590">
        <v>37</v>
      </c>
      <c r="H1590">
        <v>2</v>
      </c>
      <c r="I1590">
        <v>9.25</v>
      </c>
      <c r="J1590">
        <v>9</v>
      </c>
      <c r="K1590">
        <v>2</v>
      </c>
      <c r="L1590">
        <v>1</v>
      </c>
      <c r="M1590">
        <v>7</v>
      </c>
      <c r="N1590">
        <v>0</v>
      </c>
    </row>
    <row r="1591" spans="1:14" x14ac:dyDescent="0.45">
      <c r="A1591" t="s">
        <v>205</v>
      </c>
      <c r="B1591" t="s">
        <v>684</v>
      </c>
      <c r="C1591" t="s">
        <v>101</v>
      </c>
      <c r="D1591" t="s">
        <v>403</v>
      </c>
      <c r="E1591">
        <v>4</v>
      </c>
      <c r="F1591">
        <v>0</v>
      </c>
      <c r="G1591">
        <v>39</v>
      </c>
      <c r="H1591">
        <v>1</v>
      </c>
      <c r="I1591">
        <v>9.75</v>
      </c>
      <c r="J1591">
        <v>9</v>
      </c>
      <c r="K1591">
        <v>7</v>
      </c>
      <c r="L1591">
        <v>0</v>
      </c>
      <c r="M1591">
        <v>1</v>
      </c>
      <c r="N1591">
        <v>0</v>
      </c>
    </row>
    <row r="1592" spans="1:14" x14ac:dyDescent="0.45">
      <c r="A1592" t="s">
        <v>205</v>
      </c>
      <c r="B1592" t="s">
        <v>684</v>
      </c>
      <c r="C1592" t="s">
        <v>101</v>
      </c>
      <c r="D1592" t="s">
        <v>489</v>
      </c>
      <c r="E1592">
        <v>4</v>
      </c>
      <c r="F1592">
        <v>0</v>
      </c>
      <c r="G1592">
        <v>39</v>
      </c>
      <c r="H1592">
        <v>1</v>
      </c>
      <c r="I1592">
        <v>9.75</v>
      </c>
      <c r="J1592">
        <v>7</v>
      </c>
      <c r="K1592">
        <v>5</v>
      </c>
      <c r="L1592">
        <v>1</v>
      </c>
      <c r="M1592">
        <v>0</v>
      </c>
      <c r="N1592">
        <v>0</v>
      </c>
    </row>
    <row r="1593" spans="1:14" x14ac:dyDescent="0.45">
      <c r="A1593" t="s">
        <v>205</v>
      </c>
      <c r="B1593" t="s">
        <v>684</v>
      </c>
      <c r="C1593" t="s">
        <v>101</v>
      </c>
      <c r="D1593" t="s">
        <v>379</v>
      </c>
      <c r="E1593">
        <v>4</v>
      </c>
      <c r="F1593">
        <v>0</v>
      </c>
      <c r="G1593">
        <v>24</v>
      </c>
      <c r="H1593">
        <v>1</v>
      </c>
      <c r="I1593">
        <v>6</v>
      </c>
      <c r="J1593">
        <v>5</v>
      </c>
      <c r="K1593">
        <v>1</v>
      </c>
      <c r="L1593">
        <v>0</v>
      </c>
      <c r="M1593">
        <v>0</v>
      </c>
      <c r="N1593">
        <v>0</v>
      </c>
    </row>
    <row r="1594" spans="1:14" x14ac:dyDescent="0.45">
      <c r="A1594" t="s">
        <v>205</v>
      </c>
      <c r="B1594" t="s">
        <v>684</v>
      </c>
      <c r="C1594" t="s">
        <v>101</v>
      </c>
      <c r="D1594" t="s">
        <v>556</v>
      </c>
      <c r="E1594">
        <v>4</v>
      </c>
      <c r="F1594">
        <v>0</v>
      </c>
      <c r="G1594">
        <v>39</v>
      </c>
      <c r="H1594">
        <v>2</v>
      </c>
      <c r="I1594">
        <v>9.75</v>
      </c>
      <c r="J1594">
        <v>6</v>
      </c>
      <c r="K1594">
        <v>4</v>
      </c>
      <c r="L1594">
        <v>1</v>
      </c>
      <c r="M1594">
        <v>2</v>
      </c>
      <c r="N1594">
        <v>0</v>
      </c>
    </row>
    <row r="1595" spans="1:14" x14ac:dyDescent="0.45">
      <c r="A1595" t="s">
        <v>205</v>
      </c>
      <c r="B1595" t="s">
        <v>684</v>
      </c>
      <c r="C1595" t="s">
        <v>101</v>
      </c>
      <c r="D1595" t="s">
        <v>558</v>
      </c>
      <c r="E1595">
        <v>4</v>
      </c>
      <c r="F1595">
        <v>0</v>
      </c>
      <c r="G1595">
        <v>54</v>
      </c>
      <c r="H1595">
        <v>0</v>
      </c>
      <c r="I1595">
        <v>13.5</v>
      </c>
      <c r="J1595">
        <v>2</v>
      </c>
      <c r="K1595">
        <v>8</v>
      </c>
      <c r="L1595">
        <v>1</v>
      </c>
      <c r="M1595">
        <v>2</v>
      </c>
      <c r="N1595">
        <v>0</v>
      </c>
    </row>
    <row r="1596" spans="1:14" x14ac:dyDescent="0.45">
      <c r="A1596" t="s">
        <v>205</v>
      </c>
      <c r="B1596" t="s">
        <v>684</v>
      </c>
      <c r="C1596" t="s">
        <v>13</v>
      </c>
      <c r="D1596" t="s">
        <v>352</v>
      </c>
      <c r="E1596">
        <v>4</v>
      </c>
      <c r="F1596">
        <v>0</v>
      </c>
      <c r="G1596">
        <v>32</v>
      </c>
      <c r="H1596">
        <v>2</v>
      </c>
      <c r="I1596">
        <v>8</v>
      </c>
      <c r="J1596">
        <v>11</v>
      </c>
      <c r="K1596">
        <v>2</v>
      </c>
      <c r="L1596">
        <v>2</v>
      </c>
      <c r="M1596">
        <v>2</v>
      </c>
      <c r="N1596">
        <v>0</v>
      </c>
    </row>
    <row r="1597" spans="1:14" x14ac:dyDescent="0.45">
      <c r="A1597" t="s">
        <v>205</v>
      </c>
      <c r="B1597" t="s">
        <v>684</v>
      </c>
      <c r="C1597" t="s">
        <v>13</v>
      </c>
      <c r="D1597" t="s">
        <v>569</v>
      </c>
      <c r="E1597">
        <v>3.1</v>
      </c>
      <c r="F1597">
        <v>0</v>
      </c>
      <c r="G1597">
        <v>42</v>
      </c>
      <c r="H1597">
        <v>0</v>
      </c>
      <c r="I1597">
        <v>13.26</v>
      </c>
      <c r="J1597">
        <v>7</v>
      </c>
      <c r="K1597">
        <v>6</v>
      </c>
      <c r="L1597">
        <v>2</v>
      </c>
      <c r="M1597">
        <v>1</v>
      </c>
      <c r="N1597">
        <v>1</v>
      </c>
    </row>
    <row r="1598" spans="1:14" x14ac:dyDescent="0.45">
      <c r="A1598" t="s">
        <v>205</v>
      </c>
      <c r="B1598" t="s">
        <v>684</v>
      </c>
      <c r="C1598" t="s">
        <v>13</v>
      </c>
      <c r="D1598" t="s">
        <v>570</v>
      </c>
      <c r="E1598">
        <v>4</v>
      </c>
      <c r="F1598">
        <v>0</v>
      </c>
      <c r="G1598">
        <v>40</v>
      </c>
      <c r="H1598">
        <v>1</v>
      </c>
      <c r="I1598">
        <v>10</v>
      </c>
      <c r="J1598">
        <v>6</v>
      </c>
      <c r="K1598">
        <v>2</v>
      </c>
      <c r="L1598">
        <v>2</v>
      </c>
      <c r="M1598">
        <v>2</v>
      </c>
      <c r="N1598">
        <v>0</v>
      </c>
    </row>
    <row r="1599" spans="1:14" x14ac:dyDescent="0.45">
      <c r="A1599" t="s">
        <v>205</v>
      </c>
      <c r="B1599" t="s">
        <v>684</v>
      </c>
      <c r="C1599" t="s">
        <v>13</v>
      </c>
      <c r="D1599" t="s">
        <v>571</v>
      </c>
      <c r="E1599">
        <v>3</v>
      </c>
      <c r="F1599">
        <v>0</v>
      </c>
      <c r="G1599">
        <v>28</v>
      </c>
      <c r="H1599">
        <v>0</v>
      </c>
      <c r="I1599">
        <v>9.33</v>
      </c>
      <c r="J1599">
        <v>4</v>
      </c>
      <c r="K1599">
        <v>3</v>
      </c>
      <c r="L1599">
        <v>1</v>
      </c>
      <c r="M1599">
        <v>0</v>
      </c>
      <c r="N1599">
        <v>0</v>
      </c>
    </row>
    <row r="1600" spans="1:14" x14ac:dyDescent="0.45">
      <c r="A1600" t="s">
        <v>205</v>
      </c>
      <c r="B1600" t="s">
        <v>684</v>
      </c>
      <c r="C1600" t="s">
        <v>13</v>
      </c>
      <c r="D1600" t="s">
        <v>349</v>
      </c>
      <c r="E1600">
        <v>4</v>
      </c>
      <c r="F1600">
        <v>0</v>
      </c>
      <c r="G1600">
        <v>29</v>
      </c>
      <c r="H1600">
        <v>1</v>
      </c>
      <c r="I1600">
        <v>7.25</v>
      </c>
      <c r="J1600">
        <v>11</v>
      </c>
      <c r="K1600">
        <v>2</v>
      </c>
      <c r="L1600">
        <v>1</v>
      </c>
      <c r="M1600">
        <v>2</v>
      </c>
      <c r="N1600">
        <v>0</v>
      </c>
    </row>
    <row r="1601" spans="1:14" x14ac:dyDescent="0.45">
      <c r="A1601" t="s">
        <v>205</v>
      </c>
      <c r="B1601" t="s">
        <v>684</v>
      </c>
      <c r="C1601" t="s">
        <v>13</v>
      </c>
      <c r="D1601" t="s">
        <v>568</v>
      </c>
      <c r="E1601">
        <v>1</v>
      </c>
      <c r="F1601">
        <v>0</v>
      </c>
      <c r="G1601">
        <v>16</v>
      </c>
      <c r="H1601">
        <v>0</v>
      </c>
      <c r="I1601">
        <v>16</v>
      </c>
      <c r="J1601">
        <v>2</v>
      </c>
      <c r="K1601">
        <v>0</v>
      </c>
      <c r="L1601">
        <v>2</v>
      </c>
      <c r="M1601">
        <v>0</v>
      </c>
      <c r="N1601">
        <v>0</v>
      </c>
    </row>
    <row r="1602" spans="1:14" x14ac:dyDescent="0.45">
      <c r="A1602" t="s">
        <v>206</v>
      </c>
      <c r="B1602" t="s">
        <v>671</v>
      </c>
      <c r="C1602" t="s">
        <v>19</v>
      </c>
      <c r="D1602" t="s">
        <v>562</v>
      </c>
      <c r="E1602">
        <v>3</v>
      </c>
      <c r="F1602">
        <v>0</v>
      </c>
      <c r="G1602">
        <v>36</v>
      </c>
      <c r="H1602">
        <v>0</v>
      </c>
      <c r="I1602">
        <v>12</v>
      </c>
      <c r="J1602">
        <v>7</v>
      </c>
      <c r="K1602">
        <v>4</v>
      </c>
      <c r="L1602">
        <v>2</v>
      </c>
      <c r="M1602">
        <v>3</v>
      </c>
      <c r="N1602">
        <v>0</v>
      </c>
    </row>
    <row r="1603" spans="1:14" x14ac:dyDescent="0.45">
      <c r="A1603" t="s">
        <v>206</v>
      </c>
      <c r="B1603" t="s">
        <v>671</v>
      </c>
      <c r="C1603" t="s">
        <v>19</v>
      </c>
      <c r="D1603" t="s">
        <v>560</v>
      </c>
      <c r="E1603">
        <v>1</v>
      </c>
      <c r="F1603">
        <v>0</v>
      </c>
      <c r="G1603">
        <v>2</v>
      </c>
      <c r="H1603">
        <v>0</v>
      </c>
      <c r="I1603">
        <v>2</v>
      </c>
      <c r="J1603">
        <v>4</v>
      </c>
      <c r="K1603">
        <v>0</v>
      </c>
      <c r="L1603">
        <v>0</v>
      </c>
      <c r="M1603">
        <v>0</v>
      </c>
      <c r="N1603">
        <v>0</v>
      </c>
    </row>
    <row r="1604" spans="1:14" x14ac:dyDescent="0.45">
      <c r="A1604" t="s">
        <v>206</v>
      </c>
      <c r="B1604" t="s">
        <v>671</v>
      </c>
      <c r="C1604" t="s">
        <v>19</v>
      </c>
      <c r="D1604" t="s">
        <v>406</v>
      </c>
      <c r="E1604">
        <v>4</v>
      </c>
      <c r="F1604">
        <v>0</v>
      </c>
      <c r="G1604">
        <v>42</v>
      </c>
      <c r="H1604">
        <v>1</v>
      </c>
      <c r="I1604">
        <v>10.5</v>
      </c>
      <c r="J1604">
        <v>6</v>
      </c>
      <c r="K1604">
        <v>5</v>
      </c>
      <c r="L1604">
        <v>1</v>
      </c>
      <c r="M1604">
        <v>1</v>
      </c>
      <c r="N1604">
        <v>0</v>
      </c>
    </row>
    <row r="1605" spans="1:14" x14ac:dyDescent="0.45">
      <c r="A1605" t="s">
        <v>206</v>
      </c>
      <c r="B1605" t="s">
        <v>671</v>
      </c>
      <c r="C1605" t="s">
        <v>19</v>
      </c>
      <c r="D1605" t="s">
        <v>563</v>
      </c>
      <c r="E1605">
        <v>4</v>
      </c>
      <c r="F1605">
        <v>0</v>
      </c>
      <c r="G1605">
        <v>37</v>
      </c>
      <c r="H1605">
        <v>4</v>
      </c>
      <c r="I1605">
        <v>9.25</v>
      </c>
      <c r="J1605">
        <v>7</v>
      </c>
      <c r="K1605">
        <v>4</v>
      </c>
      <c r="L1605">
        <v>1</v>
      </c>
      <c r="M1605">
        <v>0</v>
      </c>
      <c r="N1605">
        <v>1</v>
      </c>
    </row>
    <row r="1606" spans="1:14" x14ac:dyDescent="0.45">
      <c r="A1606" t="s">
        <v>206</v>
      </c>
      <c r="B1606" t="s">
        <v>671</v>
      </c>
      <c r="C1606" t="s">
        <v>19</v>
      </c>
      <c r="D1606" t="s">
        <v>368</v>
      </c>
      <c r="E1606">
        <v>4</v>
      </c>
      <c r="F1606">
        <v>0</v>
      </c>
      <c r="G1606">
        <v>39</v>
      </c>
      <c r="H1606">
        <v>0</v>
      </c>
      <c r="I1606">
        <v>9.75</v>
      </c>
      <c r="J1606">
        <v>4</v>
      </c>
      <c r="K1606">
        <v>3</v>
      </c>
      <c r="L1606">
        <v>2</v>
      </c>
      <c r="M1606">
        <v>0</v>
      </c>
      <c r="N1606">
        <v>0</v>
      </c>
    </row>
    <row r="1607" spans="1:14" x14ac:dyDescent="0.45">
      <c r="A1607" t="s">
        <v>206</v>
      </c>
      <c r="B1607" t="s">
        <v>671</v>
      </c>
      <c r="C1607" t="s">
        <v>19</v>
      </c>
      <c r="D1607" t="s">
        <v>524</v>
      </c>
      <c r="E1607">
        <v>4</v>
      </c>
      <c r="F1607">
        <v>0</v>
      </c>
      <c r="G1607">
        <v>39</v>
      </c>
      <c r="H1607">
        <v>0</v>
      </c>
      <c r="I1607">
        <v>9.75</v>
      </c>
      <c r="J1607">
        <v>6</v>
      </c>
      <c r="K1607">
        <v>4</v>
      </c>
      <c r="L1607">
        <v>1</v>
      </c>
      <c r="M1607">
        <v>1</v>
      </c>
      <c r="N1607">
        <v>0</v>
      </c>
    </row>
    <row r="1608" spans="1:14" x14ac:dyDescent="0.45">
      <c r="A1608" t="s">
        <v>206</v>
      </c>
      <c r="B1608" t="s">
        <v>671</v>
      </c>
      <c r="C1608" t="s">
        <v>20</v>
      </c>
      <c r="D1608" t="s">
        <v>409</v>
      </c>
      <c r="E1608">
        <v>4</v>
      </c>
      <c r="F1608">
        <v>0</v>
      </c>
      <c r="G1608">
        <v>26</v>
      </c>
      <c r="H1608">
        <v>1</v>
      </c>
      <c r="I1608">
        <v>6.5</v>
      </c>
      <c r="J1608">
        <v>8</v>
      </c>
      <c r="K1608">
        <v>3</v>
      </c>
      <c r="L1608">
        <v>0</v>
      </c>
      <c r="M1608">
        <v>0</v>
      </c>
      <c r="N1608">
        <v>0</v>
      </c>
    </row>
    <row r="1609" spans="1:14" x14ac:dyDescent="0.45">
      <c r="A1609" t="s">
        <v>206</v>
      </c>
      <c r="B1609" t="s">
        <v>671</v>
      </c>
      <c r="C1609" t="s">
        <v>20</v>
      </c>
      <c r="D1609" t="s">
        <v>576</v>
      </c>
      <c r="E1609">
        <v>3</v>
      </c>
      <c r="F1609">
        <v>0</v>
      </c>
      <c r="G1609">
        <v>35</v>
      </c>
      <c r="H1609">
        <v>0</v>
      </c>
      <c r="I1609">
        <v>11.66</v>
      </c>
      <c r="J1609">
        <v>7</v>
      </c>
      <c r="K1609">
        <v>1</v>
      </c>
      <c r="L1609">
        <v>4</v>
      </c>
      <c r="M1609">
        <v>0</v>
      </c>
      <c r="N1609">
        <v>0</v>
      </c>
    </row>
    <row r="1610" spans="1:14" x14ac:dyDescent="0.45">
      <c r="A1610" t="s">
        <v>206</v>
      </c>
      <c r="B1610" t="s">
        <v>671</v>
      </c>
      <c r="C1610" t="s">
        <v>20</v>
      </c>
      <c r="D1610" t="s">
        <v>577</v>
      </c>
      <c r="E1610">
        <v>4</v>
      </c>
      <c r="F1610">
        <v>0</v>
      </c>
      <c r="G1610">
        <v>37</v>
      </c>
      <c r="H1610">
        <v>1</v>
      </c>
      <c r="I1610">
        <v>9.25</v>
      </c>
      <c r="J1610">
        <v>9</v>
      </c>
      <c r="K1610">
        <v>4</v>
      </c>
      <c r="L1610">
        <v>2</v>
      </c>
      <c r="M1610">
        <v>0</v>
      </c>
      <c r="N1610">
        <v>0</v>
      </c>
    </row>
    <row r="1611" spans="1:14" x14ac:dyDescent="0.45">
      <c r="A1611" t="s">
        <v>206</v>
      </c>
      <c r="B1611" t="s">
        <v>671</v>
      </c>
      <c r="C1611" t="s">
        <v>20</v>
      </c>
      <c r="D1611" t="s">
        <v>432</v>
      </c>
      <c r="E1611">
        <v>2.5</v>
      </c>
      <c r="F1611">
        <v>0</v>
      </c>
      <c r="G1611">
        <v>41</v>
      </c>
      <c r="H1611">
        <v>0</v>
      </c>
      <c r="I1611">
        <v>14.47</v>
      </c>
      <c r="J1611">
        <v>4</v>
      </c>
      <c r="K1611">
        <v>6</v>
      </c>
      <c r="L1611">
        <v>1</v>
      </c>
      <c r="M1611">
        <v>0</v>
      </c>
      <c r="N1611">
        <v>3</v>
      </c>
    </row>
    <row r="1612" spans="1:14" x14ac:dyDescent="0.45">
      <c r="A1612" t="s">
        <v>206</v>
      </c>
      <c r="B1612" t="s">
        <v>671</v>
      </c>
      <c r="C1612" t="s">
        <v>20</v>
      </c>
      <c r="D1612" t="s">
        <v>382</v>
      </c>
      <c r="E1612">
        <v>3</v>
      </c>
      <c r="F1612">
        <v>0</v>
      </c>
      <c r="G1612">
        <v>41</v>
      </c>
      <c r="H1612">
        <v>0</v>
      </c>
      <c r="I1612">
        <v>13.66</v>
      </c>
      <c r="J1612">
        <v>3</v>
      </c>
      <c r="K1612">
        <v>7</v>
      </c>
      <c r="L1612">
        <v>1</v>
      </c>
      <c r="M1612">
        <v>0</v>
      </c>
      <c r="N1612">
        <v>0</v>
      </c>
    </row>
    <row r="1613" spans="1:14" x14ac:dyDescent="0.45">
      <c r="A1613" t="s">
        <v>206</v>
      </c>
      <c r="B1613" t="s">
        <v>671</v>
      </c>
      <c r="C1613" t="s">
        <v>20</v>
      </c>
      <c r="D1613" t="s">
        <v>572</v>
      </c>
      <c r="E1613">
        <v>1</v>
      </c>
      <c r="F1613">
        <v>0</v>
      </c>
      <c r="G1613">
        <v>19</v>
      </c>
      <c r="H1613">
        <v>0</v>
      </c>
      <c r="I1613">
        <v>19</v>
      </c>
      <c r="J1613">
        <v>1</v>
      </c>
      <c r="K1613">
        <v>0</v>
      </c>
      <c r="L1613">
        <v>2</v>
      </c>
      <c r="M1613">
        <v>1</v>
      </c>
      <c r="N1613">
        <v>1</v>
      </c>
    </row>
    <row r="1614" spans="1:14" x14ac:dyDescent="0.45">
      <c r="A1614" t="s">
        <v>206</v>
      </c>
      <c r="B1614" t="s">
        <v>671</v>
      </c>
      <c r="C1614" t="s">
        <v>20</v>
      </c>
      <c r="D1614" t="s">
        <v>401</v>
      </c>
      <c r="E1614">
        <v>0.1</v>
      </c>
      <c r="F1614">
        <v>0</v>
      </c>
      <c r="G1614">
        <v>1</v>
      </c>
      <c r="H1614">
        <v>0</v>
      </c>
      <c r="I1614">
        <v>6</v>
      </c>
      <c r="J1614">
        <v>0</v>
      </c>
      <c r="K1614">
        <v>0</v>
      </c>
      <c r="L1614">
        <v>0</v>
      </c>
      <c r="M1614">
        <v>0</v>
      </c>
      <c r="N1614">
        <v>0</v>
      </c>
    </row>
    <row r="1615" spans="1:14" x14ac:dyDescent="0.45">
      <c r="A1615" t="s">
        <v>207</v>
      </c>
      <c r="B1615" t="s">
        <v>670</v>
      </c>
      <c r="C1615" t="s">
        <v>7</v>
      </c>
      <c r="D1615" t="s">
        <v>533</v>
      </c>
      <c r="E1615">
        <v>3</v>
      </c>
      <c r="F1615">
        <v>0</v>
      </c>
      <c r="G1615">
        <v>21</v>
      </c>
      <c r="H1615">
        <v>1</v>
      </c>
      <c r="I1615">
        <v>7</v>
      </c>
      <c r="J1615">
        <v>11</v>
      </c>
      <c r="K1615">
        <v>3</v>
      </c>
      <c r="L1615">
        <v>1</v>
      </c>
      <c r="M1615">
        <v>0</v>
      </c>
      <c r="N1615">
        <v>0</v>
      </c>
    </row>
    <row r="1616" spans="1:14" x14ac:dyDescent="0.45">
      <c r="A1616" t="s">
        <v>207</v>
      </c>
      <c r="B1616" t="s">
        <v>670</v>
      </c>
      <c r="C1616" t="s">
        <v>7</v>
      </c>
      <c r="D1616" t="s">
        <v>542</v>
      </c>
      <c r="E1616">
        <v>4</v>
      </c>
      <c r="F1616">
        <v>0</v>
      </c>
      <c r="G1616">
        <v>30</v>
      </c>
      <c r="H1616">
        <v>2</v>
      </c>
      <c r="I1616">
        <v>7.5</v>
      </c>
      <c r="J1616">
        <v>9</v>
      </c>
      <c r="K1616">
        <v>1</v>
      </c>
      <c r="L1616">
        <v>1</v>
      </c>
      <c r="M1616">
        <v>3</v>
      </c>
      <c r="N1616">
        <v>1</v>
      </c>
    </row>
    <row r="1617" spans="1:14" x14ac:dyDescent="0.45">
      <c r="A1617" t="s">
        <v>207</v>
      </c>
      <c r="B1617" t="s">
        <v>670</v>
      </c>
      <c r="C1617" t="s">
        <v>7</v>
      </c>
      <c r="D1617" t="s">
        <v>322</v>
      </c>
      <c r="E1617">
        <v>4</v>
      </c>
      <c r="F1617">
        <v>0</v>
      </c>
      <c r="G1617">
        <v>38</v>
      </c>
      <c r="H1617">
        <v>1</v>
      </c>
      <c r="I1617">
        <v>9.5</v>
      </c>
      <c r="J1617">
        <v>10</v>
      </c>
      <c r="K1617">
        <v>4</v>
      </c>
      <c r="L1617">
        <v>2</v>
      </c>
      <c r="M1617">
        <v>0</v>
      </c>
      <c r="N1617">
        <v>0</v>
      </c>
    </row>
    <row r="1618" spans="1:14" x14ac:dyDescent="0.45">
      <c r="A1618" t="s">
        <v>207</v>
      </c>
      <c r="B1618" t="s">
        <v>670</v>
      </c>
      <c r="C1618" t="s">
        <v>7</v>
      </c>
      <c r="D1618" t="s">
        <v>306</v>
      </c>
      <c r="E1618">
        <v>1</v>
      </c>
      <c r="F1618">
        <v>0</v>
      </c>
      <c r="G1618">
        <v>3</v>
      </c>
      <c r="H1618">
        <v>0</v>
      </c>
      <c r="I1618">
        <v>3</v>
      </c>
      <c r="J1618">
        <v>4</v>
      </c>
      <c r="K1618">
        <v>0</v>
      </c>
      <c r="L1618">
        <v>0</v>
      </c>
      <c r="M1618">
        <v>0</v>
      </c>
      <c r="N1618">
        <v>0</v>
      </c>
    </row>
    <row r="1619" spans="1:14" x14ac:dyDescent="0.45">
      <c r="A1619" t="s">
        <v>207</v>
      </c>
      <c r="B1619" t="s">
        <v>670</v>
      </c>
      <c r="C1619" t="s">
        <v>7</v>
      </c>
      <c r="D1619" t="s">
        <v>326</v>
      </c>
      <c r="E1619">
        <v>2</v>
      </c>
      <c r="F1619">
        <v>0</v>
      </c>
      <c r="G1619">
        <v>27</v>
      </c>
      <c r="H1619">
        <v>2</v>
      </c>
      <c r="I1619">
        <v>13.5</v>
      </c>
      <c r="J1619">
        <v>3</v>
      </c>
      <c r="K1619">
        <v>0</v>
      </c>
      <c r="L1619">
        <v>3</v>
      </c>
      <c r="M1619">
        <v>1</v>
      </c>
      <c r="N1619">
        <v>1</v>
      </c>
    </row>
    <row r="1620" spans="1:14" x14ac:dyDescent="0.45">
      <c r="A1620" t="s">
        <v>207</v>
      </c>
      <c r="B1620" t="s">
        <v>670</v>
      </c>
      <c r="C1620" t="s">
        <v>7</v>
      </c>
      <c r="D1620" t="s">
        <v>308</v>
      </c>
      <c r="E1620">
        <v>4</v>
      </c>
      <c r="F1620">
        <v>0</v>
      </c>
      <c r="G1620">
        <v>28</v>
      </c>
      <c r="H1620">
        <v>2</v>
      </c>
      <c r="I1620">
        <v>7</v>
      </c>
      <c r="J1620">
        <v>8</v>
      </c>
      <c r="K1620">
        <v>2</v>
      </c>
      <c r="L1620">
        <v>1</v>
      </c>
      <c r="M1620">
        <v>1</v>
      </c>
      <c r="N1620">
        <v>0</v>
      </c>
    </row>
    <row r="1621" spans="1:14" x14ac:dyDescent="0.45">
      <c r="A1621" t="s">
        <v>207</v>
      </c>
      <c r="B1621" t="s">
        <v>670</v>
      </c>
      <c r="C1621" t="s">
        <v>7</v>
      </c>
      <c r="D1621" t="s">
        <v>579</v>
      </c>
      <c r="E1621">
        <v>1</v>
      </c>
      <c r="F1621">
        <v>0</v>
      </c>
      <c r="G1621">
        <v>12</v>
      </c>
      <c r="H1621">
        <v>0</v>
      </c>
      <c r="I1621">
        <v>12</v>
      </c>
      <c r="J1621">
        <v>2</v>
      </c>
      <c r="K1621">
        <v>1</v>
      </c>
      <c r="L1621">
        <v>1</v>
      </c>
      <c r="M1621">
        <v>0</v>
      </c>
      <c r="N1621">
        <v>0</v>
      </c>
    </row>
    <row r="1622" spans="1:14" x14ac:dyDescent="0.45">
      <c r="A1622" t="s">
        <v>207</v>
      </c>
      <c r="B1622" t="s">
        <v>670</v>
      </c>
      <c r="C1622" t="s">
        <v>7</v>
      </c>
      <c r="D1622" t="s">
        <v>440</v>
      </c>
      <c r="E1622">
        <v>1</v>
      </c>
      <c r="F1622">
        <v>0</v>
      </c>
      <c r="G1622">
        <v>12</v>
      </c>
      <c r="H1622">
        <v>0</v>
      </c>
      <c r="I1622">
        <v>12</v>
      </c>
      <c r="J1622">
        <v>2</v>
      </c>
      <c r="K1622">
        <v>1</v>
      </c>
      <c r="L1622">
        <v>1</v>
      </c>
      <c r="M1622">
        <v>0</v>
      </c>
      <c r="N1622">
        <v>0</v>
      </c>
    </row>
    <row r="1623" spans="1:14" x14ac:dyDescent="0.45">
      <c r="A1623" t="s">
        <v>207</v>
      </c>
      <c r="B1623" t="s">
        <v>670</v>
      </c>
      <c r="C1623" t="s">
        <v>104</v>
      </c>
      <c r="D1623" t="s">
        <v>492</v>
      </c>
      <c r="E1623">
        <v>1</v>
      </c>
      <c r="F1623">
        <v>0</v>
      </c>
      <c r="G1623">
        <v>15</v>
      </c>
      <c r="H1623">
        <v>0</v>
      </c>
      <c r="I1623">
        <v>15</v>
      </c>
      <c r="J1623">
        <v>2</v>
      </c>
      <c r="K1623">
        <v>2</v>
      </c>
      <c r="L1623">
        <v>1</v>
      </c>
      <c r="M1623">
        <v>0</v>
      </c>
      <c r="N1623">
        <v>0</v>
      </c>
    </row>
    <row r="1624" spans="1:14" x14ac:dyDescent="0.45">
      <c r="A1624" t="s">
        <v>207</v>
      </c>
      <c r="B1624" t="s">
        <v>670</v>
      </c>
      <c r="C1624" t="s">
        <v>104</v>
      </c>
      <c r="D1624" t="s">
        <v>565</v>
      </c>
      <c r="E1624">
        <v>4</v>
      </c>
      <c r="F1624">
        <v>0</v>
      </c>
      <c r="G1624">
        <v>46</v>
      </c>
      <c r="H1624">
        <v>0</v>
      </c>
      <c r="I1624">
        <v>11.5</v>
      </c>
      <c r="J1624">
        <v>8</v>
      </c>
      <c r="K1624">
        <v>6</v>
      </c>
      <c r="L1624">
        <v>2</v>
      </c>
      <c r="M1624">
        <v>0</v>
      </c>
      <c r="N1624">
        <v>0</v>
      </c>
    </row>
    <row r="1625" spans="1:14" x14ac:dyDescent="0.45">
      <c r="A1625" t="s">
        <v>207</v>
      </c>
      <c r="B1625" t="s">
        <v>670</v>
      </c>
      <c r="C1625" t="s">
        <v>104</v>
      </c>
      <c r="D1625" t="s">
        <v>366</v>
      </c>
      <c r="E1625">
        <v>4</v>
      </c>
      <c r="F1625">
        <v>0</v>
      </c>
      <c r="G1625">
        <v>30</v>
      </c>
      <c r="H1625">
        <v>1</v>
      </c>
      <c r="I1625">
        <v>7.5</v>
      </c>
      <c r="J1625">
        <v>9</v>
      </c>
      <c r="K1625">
        <v>5</v>
      </c>
      <c r="L1625">
        <v>0</v>
      </c>
      <c r="M1625">
        <v>0</v>
      </c>
      <c r="N1625">
        <v>0</v>
      </c>
    </row>
    <row r="1626" spans="1:14" x14ac:dyDescent="0.45">
      <c r="A1626" t="s">
        <v>207</v>
      </c>
      <c r="B1626" t="s">
        <v>670</v>
      </c>
      <c r="C1626" t="s">
        <v>104</v>
      </c>
      <c r="D1626" t="s">
        <v>516</v>
      </c>
      <c r="E1626">
        <v>4</v>
      </c>
      <c r="F1626">
        <v>0</v>
      </c>
      <c r="G1626">
        <v>26</v>
      </c>
      <c r="H1626">
        <v>1</v>
      </c>
      <c r="I1626">
        <v>6.5</v>
      </c>
      <c r="J1626">
        <v>9</v>
      </c>
      <c r="K1626">
        <v>2</v>
      </c>
      <c r="L1626">
        <v>0</v>
      </c>
      <c r="M1626">
        <v>2</v>
      </c>
      <c r="N1626">
        <v>0</v>
      </c>
    </row>
    <row r="1627" spans="1:14" x14ac:dyDescent="0.45">
      <c r="A1627" t="s">
        <v>207</v>
      </c>
      <c r="B1627" t="s">
        <v>670</v>
      </c>
      <c r="C1627" t="s">
        <v>104</v>
      </c>
      <c r="D1627" t="s">
        <v>407</v>
      </c>
      <c r="E1627">
        <v>4</v>
      </c>
      <c r="F1627">
        <v>0</v>
      </c>
      <c r="G1627">
        <v>23</v>
      </c>
      <c r="H1627">
        <v>2</v>
      </c>
      <c r="I1627">
        <v>5.75</v>
      </c>
      <c r="J1627">
        <v>10</v>
      </c>
      <c r="K1627">
        <v>1</v>
      </c>
      <c r="L1627">
        <v>1</v>
      </c>
      <c r="M1627">
        <v>0</v>
      </c>
      <c r="N1627">
        <v>0</v>
      </c>
    </row>
    <row r="1628" spans="1:14" x14ac:dyDescent="0.45">
      <c r="A1628" t="s">
        <v>207</v>
      </c>
      <c r="B1628" t="s">
        <v>670</v>
      </c>
      <c r="C1628" t="s">
        <v>104</v>
      </c>
      <c r="D1628" t="s">
        <v>566</v>
      </c>
      <c r="E1628">
        <v>3</v>
      </c>
      <c r="F1628">
        <v>0</v>
      </c>
      <c r="G1628">
        <v>31</v>
      </c>
      <c r="H1628">
        <v>2</v>
      </c>
      <c r="I1628">
        <v>10.33</v>
      </c>
      <c r="J1628">
        <v>9</v>
      </c>
      <c r="K1628">
        <v>1</v>
      </c>
      <c r="L1628">
        <v>3</v>
      </c>
      <c r="M1628">
        <v>3</v>
      </c>
      <c r="N1628">
        <v>0</v>
      </c>
    </row>
    <row r="1629" spans="1:14" x14ac:dyDescent="0.45">
      <c r="A1629" t="s">
        <v>209</v>
      </c>
      <c r="B1629" t="s">
        <v>633</v>
      </c>
      <c r="C1629" t="s">
        <v>10</v>
      </c>
      <c r="D1629" t="s">
        <v>444</v>
      </c>
      <c r="E1629">
        <v>4</v>
      </c>
      <c r="F1629">
        <v>0</v>
      </c>
      <c r="G1629">
        <v>45</v>
      </c>
      <c r="H1629">
        <v>1</v>
      </c>
      <c r="I1629">
        <v>11.25</v>
      </c>
      <c r="J1629">
        <v>9</v>
      </c>
      <c r="K1629">
        <v>4</v>
      </c>
      <c r="L1629">
        <v>3</v>
      </c>
      <c r="M1629">
        <v>2</v>
      </c>
      <c r="N1629">
        <v>1</v>
      </c>
    </row>
    <row r="1630" spans="1:14" x14ac:dyDescent="0.45">
      <c r="A1630" t="s">
        <v>209</v>
      </c>
      <c r="B1630" t="s">
        <v>633</v>
      </c>
      <c r="C1630" t="s">
        <v>10</v>
      </c>
      <c r="D1630" t="s">
        <v>436</v>
      </c>
      <c r="E1630">
        <v>2</v>
      </c>
      <c r="F1630">
        <v>0</v>
      </c>
      <c r="G1630">
        <v>32</v>
      </c>
      <c r="H1630">
        <v>0</v>
      </c>
      <c r="I1630">
        <v>16</v>
      </c>
      <c r="J1630">
        <v>1</v>
      </c>
      <c r="K1630">
        <v>3</v>
      </c>
      <c r="L1630">
        <v>2</v>
      </c>
      <c r="M1630">
        <v>2</v>
      </c>
      <c r="N1630">
        <v>0</v>
      </c>
    </row>
    <row r="1631" spans="1:14" x14ac:dyDescent="0.45">
      <c r="A1631" t="s">
        <v>209</v>
      </c>
      <c r="B1631" t="s">
        <v>633</v>
      </c>
      <c r="C1631" t="s">
        <v>10</v>
      </c>
      <c r="D1631" t="s">
        <v>337</v>
      </c>
      <c r="E1631">
        <v>3</v>
      </c>
      <c r="F1631">
        <v>0</v>
      </c>
      <c r="G1631">
        <v>32</v>
      </c>
      <c r="H1631">
        <v>0</v>
      </c>
      <c r="I1631">
        <v>10.66</v>
      </c>
      <c r="J1631">
        <v>3</v>
      </c>
      <c r="K1631">
        <v>0</v>
      </c>
      <c r="L1631">
        <v>3</v>
      </c>
      <c r="M1631">
        <v>0</v>
      </c>
      <c r="N1631">
        <v>0</v>
      </c>
    </row>
    <row r="1632" spans="1:14" x14ac:dyDescent="0.45">
      <c r="A1632" t="s">
        <v>209</v>
      </c>
      <c r="B1632" t="s">
        <v>633</v>
      </c>
      <c r="C1632" t="s">
        <v>10</v>
      </c>
      <c r="D1632" t="s">
        <v>338</v>
      </c>
      <c r="E1632">
        <v>4</v>
      </c>
      <c r="F1632">
        <v>0</v>
      </c>
      <c r="G1632">
        <v>43</v>
      </c>
      <c r="H1632">
        <v>1</v>
      </c>
      <c r="I1632">
        <v>10.75</v>
      </c>
      <c r="J1632">
        <v>8</v>
      </c>
      <c r="K1632">
        <v>4</v>
      </c>
      <c r="L1632">
        <v>3</v>
      </c>
      <c r="M1632">
        <v>0</v>
      </c>
      <c r="N1632">
        <v>0</v>
      </c>
    </row>
    <row r="1633" spans="1:14" x14ac:dyDescent="0.45">
      <c r="A1633" t="s">
        <v>209</v>
      </c>
      <c r="B1633" t="s">
        <v>633</v>
      </c>
      <c r="C1633" t="s">
        <v>10</v>
      </c>
      <c r="D1633" t="s">
        <v>394</v>
      </c>
      <c r="E1633">
        <v>4</v>
      </c>
      <c r="F1633">
        <v>0</v>
      </c>
      <c r="G1633">
        <v>36</v>
      </c>
      <c r="H1633">
        <v>1</v>
      </c>
      <c r="I1633">
        <v>9</v>
      </c>
      <c r="J1633">
        <v>9</v>
      </c>
      <c r="K1633">
        <v>5</v>
      </c>
      <c r="L1633">
        <v>0</v>
      </c>
      <c r="M1633">
        <v>3</v>
      </c>
      <c r="N1633">
        <v>1</v>
      </c>
    </row>
    <row r="1634" spans="1:14" x14ac:dyDescent="0.45">
      <c r="A1634" t="s">
        <v>209</v>
      </c>
      <c r="B1634" t="s">
        <v>633</v>
      </c>
      <c r="C1634" t="s">
        <v>10</v>
      </c>
      <c r="D1634" t="s">
        <v>500</v>
      </c>
      <c r="E1634">
        <v>3</v>
      </c>
      <c r="F1634">
        <v>0</v>
      </c>
      <c r="G1634">
        <v>34</v>
      </c>
      <c r="H1634">
        <v>0</v>
      </c>
      <c r="I1634">
        <v>11.33</v>
      </c>
      <c r="J1634">
        <v>2</v>
      </c>
      <c r="K1634">
        <v>1</v>
      </c>
      <c r="L1634">
        <v>3</v>
      </c>
      <c r="M1634">
        <v>0</v>
      </c>
      <c r="N1634">
        <v>0</v>
      </c>
    </row>
    <row r="1635" spans="1:14" x14ac:dyDescent="0.45">
      <c r="A1635" t="s">
        <v>209</v>
      </c>
      <c r="B1635" t="s">
        <v>633</v>
      </c>
      <c r="C1635" t="s">
        <v>6</v>
      </c>
      <c r="D1635" t="s">
        <v>324</v>
      </c>
      <c r="E1635">
        <v>4</v>
      </c>
      <c r="F1635">
        <v>0</v>
      </c>
      <c r="G1635">
        <v>22</v>
      </c>
      <c r="H1635">
        <v>3</v>
      </c>
      <c r="I1635">
        <v>5.5</v>
      </c>
      <c r="J1635">
        <v>14</v>
      </c>
      <c r="K1635">
        <v>2</v>
      </c>
      <c r="L1635">
        <v>1</v>
      </c>
      <c r="M1635">
        <v>0</v>
      </c>
      <c r="N1635">
        <v>0</v>
      </c>
    </row>
    <row r="1636" spans="1:14" x14ac:dyDescent="0.45">
      <c r="A1636" t="s">
        <v>209</v>
      </c>
      <c r="B1636" t="s">
        <v>633</v>
      </c>
      <c r="C1636" t="s">
        <v>6</v>
      </c>
      <c r="D1636" t="s">
        <v>555</v>
      </c>
      <c r="E1636">
        <v>4</v>
      </c>
      <c r="F1636">
        <v>0</v>
      </c>
      <c r="G1636">
        <v>26</v>
      </c>
      <c r="H1636">
        <v>1</v>
      </c>
      <c r="I1636">
        <v>6.5</v>
      </c>
      <c r="J1636">
        <v>12</v>
      </c>
      <c r="K1636">
        <v>4</v>
      </c>
      <c r="L1636">
        <v>0</v>
      </c>
      <c r="M1636">
        <v>1</v>
      </c>
      <c r="N1636">
        <v>0</v>
      </c>
    </row>
    <row r="1637" spans="1:14" x14ac:dyDescent="0.45">
      <c r="A1637" t="s">
        <v>209</v>
      </c>
      <c r="B1637" t="s">
        <v>633</v>
      </c>
      <c r="C1637" t="s">
        <v>6</v>
      </c>
      <c r="D1637" t="s">
        <v>523</v>
      </c>
      <c r="E1637">
        <v>4</v>
      </c>
      <c r="F1637">
        <v>1</v>
      </c>
      <c r="G1637">
        <v>23</v>
      </c>
      <c r="H1637">
        <v>2</v>
      </c>
      <c r="I1637">
        <v>5.75</v>
      </c>
      <c r="J1637">
        <v>11</v>
      </c>
      <c r="K1637">
        <v>1</v>
      </c>
      <c r="L1637">
        <v>1</v>
      </c>
      <c r="M1637">
        <v>0</v>
      </c>
      <c r="N1637">
        <v>0</v>
      </c>
    </row>
    <row r="1638" spans="1:14" x14ac:dyDescent="0.45">
      <c r="A1638" t="s">
        <v>209</v>
      </c>
      <c r="B1638" t="s">
        <v>633</v>
      </c>
      <c r="C1638" t="s">
        <v>6</v>
      </c>
      <c r="D1638" t="s">
        <v>328</v>
      </c>
      <c r="E1638">
        <v>4</v>
      </c>
      <c r="F1638">
        <v>0</v>
      </c>
      <c r="G1638">
        <v>50</v>
      </c>
      <c r="H1638">
        <v>1</v>
      </c>
      <c r="I1638">
        <v>12.5</v>
      </c>
      <c r="J1638">
        <v>4</v>
      </c>
      <c r="K1638">
        <v>3</v>
      </c>
      <c r="L1638">
        <v>4</v>
      </c>
      <c r="M1638">
        <v>1</v>
      </c>
      <c r="N1638">
        <v>0</v>
      </c>
    </row>
    <row r="1639" spans="1:14" x14ac:dyDescent="0.45">
      <c r="A1639" t="s">
        <v>209</v>
      </c>
      <c r="B1639" t="s">
        <v>633</v>
      </c>
      <c r="C1639" t="s">
        <v>6</v>
      </c>
      <c r="D1639" t="s">
        <v>510</v>
      </c>
      <c r="E1639">
        <v>4</v>
      </c>
      <c r="F1639">
        <v>0</v>
      </c>
      <c r="G1639">
        <v>22</v>
      </c>
      <c r="H1639">
        <v>2</v>
      </c>
      <c r="I1639">
        <v>5.5</v>
      </c>
      <c r="J1639">
        <v>11</v>
      </c>
      <c r="K1639">
        <v>1</v>
      </c>
      <c r="L1639">
        <v>0</v>
      </c>
      <c r="M1639">
        <v>5</v>
      </c>
      <c r="N1639">
        <v>0</v>
      </c>
    </row>
    <row r="1640" spans="1:14" x14ac:dyDescent="0.45">
      <c r="A1640" t="s">
        <v>210</v>
      </c>
      <c r="B1640" t="s">
        <v>661</v>
      </c>
      <c r="C1640" t="s">
        <v>23</v>
      </c>
      <c r="D1640" t="s">
        <v>370</v>
      </c>
      <c r="E1640">
        <v>4</v>
      </c>
      <c r="F1640">
        <v>0</v>
      </c>
      <c r="G1640">
        <v>35</v>
      </c>
      <c r="H1640">
        <v>1</v>
      </c>
      <c r="I1640">
        <v>8.75</v>
      </c>
      <c r="J1640">
        <v>12</v>
      </c>
      <c r="K1640">
        <v>3</v>
      </c>
      <c r="L1640">
        <v>2</v>
      </c>
      <c r="M1640">
        <v>1</v>
      </c>
      <c r="N1640">
        <v>0</v>
      </c>
    </row>
    <row r="1641" spans="1:14" x14ac:dyDescent="0.45">
      <c r="A1641" t="s">
        <v>210</v>
      </c>
      <c r="B1641" t="s">
        <v>661</v>
      </c>
      <c r="C1641" t="s">
        <v>23</v>
      </c>
      <c r="D1641" t="s">
        <v>429</v>
      </c>
      <c r="E1641">
        <v>4</v>
      </c>
      <c r="F1641">
        <v>0</v>
      </c>
      <c r="G1641">
        <v>46</v>
      </c>
      <c r="H1641">
        <v>0</v>
      </c>
      <c r="I1641">
        <v>11.5</v>
      </c>
      <c r="J1641">
        <v>6</v>
      </c>
      <c r="K1641">
        <v>3</v>
      </c>
      <c r="L1641">
        <v>3</v>
      </c>
      <c r="M1641">
        <v>2</v>
      </c>
      <c r="N1641">
        <v>1</v>
      </c>
    </row>
    <row r="1642" spans="1:14" x14ac:dyDescent="0.45">
      <c r="A1642" t="s">
        <v>210</v>
      </c>
      <c r="B1642" t="s">
        <v>661</v>
      </c>
      <c r="C1642" t="s">
        <v>23</v>
      </c>
      <c r="D1642" t="s">
        <v>449</v>
      </c>
      <c r="E1642">
        <v>4</v>
      </c>
      <c r="F1642">
        <v>0</v>
      </c>
      <c r="G1642">
        <v>40</v>
      </c>
      <c r="H1642">
        <v>3</v>
      </c>
      <c r="I1642">
        <v>10</v>
      </c>
      <c r="J1642">
        <v>9</v>
      </c>
      <c r="K1642">
        <v>6</v>
      </c>
      <c r="L1642">
        <v>1</v>
      </c>
      <c r="M1642">
        <v>1</v>
      </c>
      <c r="N1642">
        <v>0</v>
      </c>
    </row>
    <row r="1643" spans="1:14" x14ac:dyDescent="0.45">
      <c r="A1643" t="s">
        <v>210</v>
      </c>
      <c r="B1643" t="s">
        <v>661</v>
      </c>
      <c r="C1643" t="s">
        <v>23</v>
      </c>
      <c r="D1643" t="s">
        <v>585</v>
      </c>
      <c r="E1643">
        <v>4</v>
      </c>
      <c r="F1643">
        <v>0</v>
      </c>
      <c r="G1643">
        <v>26</v>
      </c>
      <c r="H1643">
        <v>1</v>
      </c>
      <c r="I1643">
        <v>6.5</v>
      </c>
      <c r="J1643">
        <v>6</v>
      </c>
      <c r="K1643">
        <v>2</v>
      </c>
      <c r="L1643">
        <v>0</v>
      </c>
      <c r="M1643">
        <v>0</v>
      </c>
      <c r="N1643">
        <v>0</v>
      </c>
    </row>
    <row r="1644" spans="1:14" x14ac:dyDescent="0.45">
      <c r="A1644" t="s">
        <v>210</v>
      </c>
      <c r="B1644" t="s">
        <v>661</v>
      </c>
      <c r="C1644" t="s">
        <v>23</v>
      </c>
      <c r="D1644" t="s">
        <v>353</v>
      </c>
      <c r="E1644">
        <v>4</v>
      </c>
      <c r="F1644">
        <v>0</v>
      </c>
      <c r="G1644">
        <v>40</v>
      </c>
      <c r="H1644">
        <v>0</v>
      </c>
      <c r="I1644">
        <v>10</v>
      </c>
      <c r="J1644">
        <v>9</v>
      </c>
      <c r="K1644">
        <v>3</v>
      </c>
      <c r="L1644">
        <v>3</v>
      </c>
      <c r="M1644">
        <v>1</v>
      </c>
      <c r="N1644">
        <v>0</v>
      </c>
    </row>
    <row r="1645" spans="1:14" x14ac:dyDescent="0.45">
      <c r="A1645" t="s">
        <v>210</v>
      </c>
      <c r="B1645" t="s">
        <v>661</v>
      </c>
      <c r="C1645" t="s">
        <v>26</v>
      </c>
      <c r="D1645" t="s">
        <v>420</v>
      </c>
      <c r="E1645">
        <v>4</v>
      </c>
      <c r="F1645">
        <v>0</v>
      </c>
      <c r="G1645">
        <v>46</v>
      </c>
      <c r="H1645">
        <v>1</v>
      </c>
      <c r="I1645">
        <v>11.5</v>
      </c>
      <c r="J1645">
        <v>9</v>
      </c>
      <c r="K1645">
        <v>8</v>
      </c>
      <c r="L1645">
        <v>1</v>
      </c>
      <c r="M1645">
        <v>2</v>
      </c>
      <c r="N1645">
        <v>0</v>
      </c>
    </row>
    <row r="1646" spans="1:14" x14ac:dyDescent="0.45">
      <c r="A1646" t="s">
        <v>210</v>
      </c>
      <c r="B1646" t="s">
        <v>661</v>
      </c>
      <c r="C1646" t="s">
        <v>26</v>
      </c>
      <c r="D1646" t="s">
        <v>341</v>
      </c>
      <c r="E1646">
        <v>4</v>
      </c>
      <c r="F1646">
        <v>0</v>
      </c>
      <c r="G1646">
        <v>40</v>
      </c>
      <c r="H1646">
        <v>2</v>
      </c>
      <c r="I1646">
        <v>10</v>
      </c>
      <c r="J1646">
        <v>12</v>
      </c>
      <c r="K1646">
        <v>2</v>
      </c>
      <c r="L1646">
        <v>4</v>
      </c>
      <c r="M1646">
        <v>1</v>
      </c>
      <c r="N1646">
        <v>1</v>
      </c>
    </row>
    <row r="1647" spans="1:14" x14ac:dyDescent="0.45">
      <c r="A1647" t="s">
        <v>210</v>
      </c>
      <c r="B1647" t="s">
        <v>661</v>
      </c>
      <c r="C1647" t="s">
        <v>26</v>
      </c>
      <c r="D1647" t="s">
        <v>405</v>
      </c>
      <c r="E1647">
        <v>4</v>
      </c>
      <c r="F1647">
        <v>0</v>
      </c>
      <c r="G1647">
        <v>40</v>
      </c>
      <c r="H1647">
        <v>1</v>
      </c>
      <c r="I1647">
        <v>10</v>
      </c>
      <c r="J1647">
        <v>11</v>
      </c>
      <c r="K1647">
        <v>4</v>
      </c>
      <c r="L1647">
        <v>2</v>
      </c>
      <c r="M1647">
        <v>3</v>
      </c>
      <c r="N1647">
        <v>0</v>
      </c>
    </row>
    <row r="1648" spans="1:14" x14ac:dyDescent="0.45">
      <c r="A1648" t="s">
        <v>210</v>
      </c>
      <c r="B1648" t="s">
        <v>661</v>
      </c>
      <c r="C1648" t="s">
        <v>26</v>
      </c>
      <c r="D1648" t="s">
        <v>428</v>
      </c>
      <c r="E1648">
        <v>4</v>
      </c>
      <c r="F1648">
        <v>0</v>
      </c>
      <c r="G1648">
        <v>34</v>
      </c>
      <c r="H1648">
        <v>1</v>
      </c>
      <c r="I1648">
        <v>8.5</v>
      </c>
      <c r="J1648">
        <v>8</v>
      </c>
      <c r="K1648">
        <v>3</v>
      </c>
      <c r="L1648">
        <v>1</v>
      </c>
      <c r="M1648">
        <v>1</v>
      </c>
      <c r="N1648">
        <v>0</v>
      </c>
    </row>
    <row r="1649" spans="1:14" x14ac:dyDescent="0.45">
      <c r="A1649" t="s">
        <v>210</v>
      </c>
      <c r="B1649" t="s">
        <v>661</v>
      </c>
      <c r="C1649" t="s">
        <v>26</v>
      </c>
      <c r="D1649" t="s">
        <v>435</v>
      </c>
      <c r="E1649">
        <v>3.4</v>
      </c>
      <c r="F1649">
        <v>0</v>
      </c>
      <c r="G1649">
        <v>28</v>
      </c>
      <c r="H1649">
        <v>1</v>
      </c>
      <c r="I1649">
        <v>7.63</v>
      </c>
      <c r="J1649">
        <v>5</v>
      </c>
      <c r="K1649">
        <v>1</v>
      </c>
      <c r="L1649">
        <v>1</v>
      </c>
      <c r="M1649">
        <v>0</v>
      </c>
      <c r="N1649">
        <v>0</v>
      </c>
    </row>
    <row r="1650" spans="1:14" x14ac:dyDescent="0.45">
      <c r="A1650" t="s">
        <v>211</v>
      </c>
      <c r="B1650" t="s">
        <v>631</v>
      </c>
      <c r="C1650" t="s">
        <v>13</v>
      </c>
      <c r="D1650" t="s">
        <v>352</v>
      </c>
      <c r="E1650">
        <v>4</v>
      </c>
      <c r="F1650">
        <v>0</v>
      </c>
      <c r="G1650">
        <v>17</v>
      </c>
      <c r="H1650">
        <v>1</v>
      </c>
      <c r="I1650">
        <v>4.25</v>
      </c>
      <c r="J1650">
        <v>16</v>
      </c>
      <c r="K1650">
        <v>2</v>
      </c>
      <c r="L1650">
        <v>0</v>
      </c>
      <c r="M1650">
        <v>2</v>
      </c>
      <c r="N1650">
        <v>0</v>
      </c>
    </row>
    <row r="1651" spans="1:14" x14ac:dyDescent="0.45">
      <c r="A1651" t="s">
        <v>211</v>
      </c>
      <c r="B1651" t="s">
        <v>631</v>
      </c>
      <c r="C1651" t="s">
        <v>13</v>
      </c>
      <c r="D1651" t="s">
        <v>569</v>
      </c>
      <c r="E1651">
        <v>4</v>
      </c>
      <c r="F1651">
        <v>0</v>
      </c>
      <c r="G1651">
        <v>35</v>
      </c>
      <c r="H1651">
        <v>0</v>
      </c>
      <c r="I1651">
        <v>8.75</v>
      </c>
      <c r="J1651">
        <v>5</v>
      </c>
      <c r="K1651">
        <v>3</v>
      </c>
      <c r="L1651">
        <v>1</v>
      </c>
      <c r="M1651">
        <v>0</v>
      </c>
      <c r="N1651">
        <v>0</v>
      </c>
    </row>
    <row r="1652" spans="1:14" x14ac:dyDescent="0.45">
      <c r="A1652" t="s">
        <v>211</v>
      </c>
      <c r="B1652" t="s">
        <v>631</v>
      </c>
      <c r="C1652" t="s">
        <v>13</v>
      </c>
      <c r="D1652" t="s">
        <v>568</v>
      </c>
      <c r="E1652">
        <v>2</v>
      </c>
      <c r="F1652">
        <v>0</v>
      </c>
      <c r="G1652">
        <v>13</v>
      </c>
      <c r="H1652">
        <v>2</v>
      </c>
      <c r="I1652">
        <v>6.5</v>
      </c>
      <c r="J1652">
        <v>5</v>
      </c>
      <c r="K1652">
        <v>2</v>
      </c>
      <c r="L1652">
        <v>0</v>
      </c>
      <c r="M1652">
        <v>0</v>
      </c>
      <c r="N1652">
        <v>0</v>
      </c>
    </row>
    <row r="1653" spans="1:14" x14ac:dyDescent="0.45">
      <c r="A1653" t="s">
        <v>211</v>
      </c>
      <c r="B1653" t="s">
        <v>631</v>
      </c>
      <c r="C1653" t="s">
        <v>13</v>
      </c>
      <c r="D1653" t="s">
        <v>347</v>
      </c>
      <c r="E1653">
        <v>3</v>
      </c>
      <c r="F1653">
        <v>0</v>
      </c>
      <c r="G1653">
        <v>38</v>
      </c>
      <c r="H1653">
        <v>1</v>
      </c>
      <c r="I1653">
        <v>12.66</v>
      </c>
      <c r="J1653">
        <v>4</v>
      </c>
      <c r="K1653">
        <v>4</v>
      </c>
      <c r="L1653">
        <v>2</v>
      </c>
      <c r="M1653">
        <v>0</v>
      </c>
      <c r="N1653">
        <v>0</v>
      </c>
    </row>
    <row r="1654" spans="1:14" x14ac:dyDescent="0.45">
      <c r="A1654" t="s">
        <v>211</v>
      </c>
      <c r="B1654" t="s">
        <v>631</v>
      </c>
      <c r="C1654" t="s">
        <v>13</v>
      </c>
      <c r="D1654" t="s">
        <v>349</v>
      </c>
      <c r="E1654">
        <v>4</v>
      </c>
      <c r="F1654">
        <v>0</v>
      </c>
      <c r="G1654">
        <v>37</v>
      </c>
      <c r="H1654">
        <v>1</v>
      </c>
      <c r="I1654">
        <v>9.25</v>
      </c>
      <c r="J1654">
        <v>4</v>
      </c>
      <c r="K1654">
        <v>3</v>
      </c>
      <c r="L1654">
        <v>1</v>
      </c>
      <c r="M1654">
        <v>1</v>
      </c>
      <c r="N1654">
        <v>0</v>
      </c>
    </row>
    <row r="1655" spans="1:14" x14ac:dyDescent="0.45">
      <c r="A1655" t="s">
        <v>211</v>
      </c>
      <c r="B1655" t="s">
        <v>631</v>
      </c>
      <c r="C1655" t="s">
        <v>13</v>
      </c>
      <c r="D1655" t="s">
        <v>586</v>
      </c>
      <c r="E1655">
        <v>3</v>
      </c>
      <c r="F1655">
        <v>0</v>
      </c>
      <c r="G1655">
        <v>45</v>
      </c>
      <c r="H1655">
        <v>0</v>
      </c>
      <c r="I1655">
        <v>15</v>
      </c>
      <c r="J1655">
        <v>0</v>
      </c>
      <c r="K1655">
        <v>1</v>
      </c>
      <c r="L1655">
        <v>4</v>
      </c>
      <c r="M1655">
        <v>1</v>
      </c>
      <c r="N1655">
        <v>0</v>
      </c>
    </row>
    <row r="1656" spans="1:14" x14ac:dyDescent="0.45">
      <c r="A1656" t="s">
        <v>211</v>
      </c>
      <c r="B1656" t="s">
        <v>631</v>
      </c>
      <c r="C1656" t="s">
        <v>20</v>
      </c>
      <c r="D1656" t="s">
        <v>409</v>
      </c>
      <c r="E1656">
        <v>4</v>
      </c>
      <c r="F1656">
        <v>0</v>
      </c>
      <c r="G1656">
        <v>48</v>
      </c>
      <c r="H1656">
        <v>1</v>
      </c>
      <c r="I1656">
        <v>12</v>
      </c>
      <c r="J1656">
        <v>10</v>
      </c>
      <c r="K1656">
        <v>7</v>
      </c>
      <c r="L1656">
        <v>2</v>
      </c>
      <c r="M1656">
        <v>1</v>
      </c>
      <c r="N1656">
        <v>0</v>
      </c>
    </row>
    <row r="1657" spans="1:14" x14ac:dyDescent="0.45">
      <c r="A1657" t="s">
        <v>211</v>
      </c>
      <c r="B1657" t="s">
        <v>631</v>
      </c>
      <c r="C1657" t="s">
        <v>20</v>
      </c>
      <c r="D1657" t="s">
        <v>373</v>
      </c>
      <c r="E1657">
        <v>3</v>
      </c>
      <c r="F1657">
        <v>0</v>
      </c>
      <c r="G1657">
        <v>28</v>
      </c>
      <c r="H1657">
        <v>0</v>
      </c>
      <c r="I1657">
        <v>9.33</v>
      </c>
      <c r="J1657">
        <v>5</v>
      </c>
      <c r="K1657">
        <v>3</v>
      </c>
      <c r="L1657">
        <v>1</v>
      </c>
      <c r="M1657">
        <v>1</v>
      </c>
      <c r="N1657">
        <v>0</v>
      </c>
    </row>
    <row r="1658" spans="1:14" x14ac:dyDescent="0.45">
      <c r="A1658" t="s">
        <v>211</v>
      </c>
      <c r="B1658" t="s">
        <v>631</v>
      </c>
      <c r="C1658" t="s">
        <v>20</v>
      </c>
      <c r="D1658" t="s">
        <v>483</v>
      </c>
      <c r="E1658">
        <v>4</v>
      </c>
      <c r="F1658">
        <v>0</v>
      </c>
      <c r="G1658">
        <v>34</v>
      </c>
      <c r="H1658">
        <v>1</v>
      </c>
      <c r="I1658">
        <v>8.5</v>
      </c>
      <c r="J1658">
        <v>6</v>
      </c>
      <c r="K1658">
        <v>3</v>
      </c>
      <c r="L1658">
        <v>1</v>
      </c>
      <c r="M1658">
        <v>1</v>
      </c>
      <c r="N1658">
        <v>0</v>
      </c>
    </row>
    <row r="1659" spans="1:14" x14ac:dyDescent="0.45">
      <c r="A1659" t="s">
        <v>211</v>
      </c>
      <c r="B1659" t="s">
        <v>631</v>
      </c>
      <c r="C1659" t="s">
        <v>20</v>
      </c>
      <c r="D1659" t="s">
        <v>432</v>
      </c>
      <c r="E1659">
        <v>1.2</v>
      </c>
      <c r="F1659">
        <v>0</v>
      </c>
      <c r="G1659">
        <v>21</v>
      </c>
      <c r="H1659">
        <v>0</v>
      </c>
      <c r="I1659">
        <v>15.75</v>
      </c>
      <c r="J1659">
        <v>1</v>
      </c>
      <c r="K1659">
        <v>4</v>
      </c>
      <c r="L1659">
        <v>0</v>
      </c>
      <c r="M1659">
        <v>1</v>
      </c>
      <c r="N1659">
        <v>0</v>
      </c>
    </row>
    <row r="1660" spans="1:14" x14ac:dyDescent="0.45">
      <c r="A1660" t="s">
        <v>211</v>
      </c>
      <c r="B1660" t="s">
        <v>631</v>
      </c>
      <c r="C1660" t="s">
        <v>20</v>
      </c>
      <c r="D1660" t="s">
        <v>576</v>
      </c>
      <c r="E1660">
        <v>2</v>
      </c>
      <c r="F1660">
        <v>0</v>
      </c>
      <c r="G1660">
        <v>19</v>
      </c>
      <c r="H1660">
        <v>0</v>
      </c>
      <c r="I1660">
        <v>9.5</v>
      </c>
      <c r="J1660">
        <v>3</v>
      </c>
      <c r="K1660">
        <v>1</v>
      </c>
      <c r="L1660">
        <v>1</v>
      </c>
      <c r="M1660">
        <v>0</v>
      </c>
      <c r="N1660">
        <v>1</v>
      </c>
    </row>
    <row r="1661" spans="1:14" x14ac:dyDescent="0.45">
      <c r="A1661" t="s">
        <v>211</v>
      </c>
      <c r="B1661" t="s">
        <v>631</v>
      </c>
      <c r="C1661" t="s">
        <v>20</v>
      </c>
      <c r="D1661" t="s">
        <v>577</v>
      </c>
      <c r="E1661">
        <v>4</v>
      </c>
      <c r="F1661">
        <v>0</v>
      </c>
      <c r="G1661">
        <v>25</v>
      </c>
      <c r="H1661">
        <v>0</v>
      </c>
      <c r="I1661">
        <v>6.25</v>
      </c>
      <c r="J1661">
        <v>8</v>
      </c>
      <c r="K1661">
        <v>1</v>
      </c>
      <c r="L1661">
        <v>1</v>
      </c>
      <c r="M1661">
        <v>0</v>
      </c>
      <c r="N1661">
        <v>0</v>
      </c>
    </row>
    <row r="1662" spans="1:14" x14ac:dyDescent="0.45">
      <c r="A1662" t="s">
        <v>211</v>
      </c>
      <c r="B1662" t="s">
        <v>631</v>
      </c>
      <c r="C1662" t="s">
        <v>20</v>
      </c>
      <c r="D1662" t="s">
        <v>389</v>
      </c>
      <c r="E1662">
        <v>1</v>
      </c>
      <c r="F1662">
        <v>0</v>
      </c>
      <c r="G1662">
        <v>10</v>
      </c>
      <c r="H1662">
        <v>0</v>
      </c>
      <c r="I1662">
        <v>10</v>
      </c>
      <c r="J1662">
        <v>1</v>
      </c>
      <c r="K1662">
        <v>1</v>
      </c>
      <c r="L1662">
        <v>0</v>
      </c>
      <c r="M1662">
        <v>0</v>
      </c>
      <c r="N1662">
        <v>0</v>
      </c>
    </row>
    <row r="1663" spans="1:14" x14ac:dyDescent="0.45">
      <c r="A1663" t="s">
        <v>212</v>
      </c>
      <c r="B1663" t="s">
        <v>672</v>
      </c>
      <c r="C1663" t="s">
        <v>26</v>
      </c>
      <c r="D1663" t="s">
        <v>420</v>
      </c>
      <c r="E1663">
        <v>4</v>
      </c>
      <c r="F1663">
        <v>0</v>
      </c>
      <c r="G1663">
        <v>36</v>
      </c>
      <c r="H1663">
        <v>2</v>
      </c>
      <c r="I1663">
        <v>9</v>
      </c>
      <c r="J1663">
        <v>9</v>
      </c>
      <c r="K1663">
        <v>4</v>
      </c>
      <c r="L1663">
        <v>1</v>
      </c>
      <c r="M1663">
        <v>1</v>
      </c>
      <c r="N1663">
        <v>0</v>
      </c>
    </row>
    <row r="1664" spans="1:14" x14ac:dyDescent="0.45">
      <c r="A1664" t="s">
        <v>212</v>
      </c>
      <c r="B1664" t="s">
        <v>672</v>
      </c>
      <c r="C1664" t="s">
        <v>26</v>
      </c>
      <c r="D1664" t="s">
        <v>341</v>
      </c>
      <c r="E1664">
        <v>3</v>
      </c>
      <c r="F1664">
        <v>0</v>
      </c>
      <c r="G1664">
        <v>36</v>
      </c>
      <c r="H1664">
        <v>0</v>
      </c>
      <c r="I1664">
        <v>12</v>
      </c>
      <c r="J1664">
        <v>8</v>
      </c>
      <c r="K1664">
        <v>2</v>
      </c>
      <c r="L1664">
        <v>4</v>
      </c>
      <c r="M1664">
        <v>0</v>
      </c>
      <c r="N1664">
        <v>0</v>
      </c>
    </row>
    <row r="1665" spans="1:14" x14ac:dyDescent="0.45">
      <c r="A1665" t="s">
        <v>212</v>
      </c>
      <c r="B1665" t="s">
        <v>672</v>
      </c>
      <c r="C1665" t="s">
        <v>26</v>
      </c>
      <c r="D1665" t="s">
        <v>405</v>
      </c>
      <c r="E1665">
        <v>2</v>
      </c>
      <c r="F1665">
        <v>0</v>
      </c>
      <c r="G1665">
        <v>21</v>
      </c>
      <c r="H1665">
        <v>0</v>
      </c>
      <c r="I1665">
        <v>10.5</v>
      </c>
      <c r="J1665">
        <v>4</v>
      </c>
      <c r="K1665">
        <v>2</v>
      </c>
      <c r="L1665">
        <v>1</v>
      </c>
      <c r="M1665">
        <v>2</v>
      </c>
      <c r="N1665">
        <v>0</v>
      </c>
    </row>
    <row r="1666" spans="1:14" x14ac:dyDescent="0.45">
      <c r="A1666" t="s">
        <v>212</v>
      </c>
      <c r="B1666" t="s">
        <v>672</v>
      </c>
      <c r="C1666" t="s">
        <v>26</v>
      </c>
      <c r="D1666" t="s">
        <v>428</v>
      </c>
      <c r="E1666">
        <v>4</v>
      </c>
      <c r="F1666">
        <v>0</v>
      </c>
      <c r="G1666">
        <v>46</v>
      </c>
      <c r="H1666">
        <v>0</v>
      </c>
      <c r="I1666">
        <v>11.5</v>
      </c>
      <c r="J1666">
        <v>6</v>
      </c>
      <c r="K1666">
        <v>5</v>
      </c>
      <c r="L1666">
        <v>2</v>
      </c>
      <c r="M1666">
        <v>0</v>
      </c>
      <c r="N1666">
        <v>0</v>
      </c>
    </row>
    <row r="1667" spans="1:14" x14ac:dyDescent="0.45">
      <c r="A1667" t="s">
        <v>212</v>
      </c>
      <c r="B1667" t="s">
        <v>672</v>
      </c>
      <c r="C1667" t="s">
        <v>26</v>
      </c>
      <c r="D1667" t="s">
        <v>435</v>
      </c>
      <c r="E1667">
        <v>4</v>
      </c>
      <c r="F1667">
        <v>0</v>
      </c>
      <c r="G1667">
        <v>35</v>
      </c>
      <c r="H1667">
        <v>0</v>
      </c>
      <c r="I1667">
        <v>8.75</v>
      </c>
      <c r="J1667">
        <v>7</v>
      </c>
      <c r="K1667">
        <v>4</v>
      </c>
      <c r="L1667">
        <v>1</v>
      </c>
      <c r="M1667">
        <v>0</v>
      </c>
      <c r="N1667">
        <v>0</v>
      </c>
    </row>
    <row r="1668" spans="1:14" x14ac:dyDescent="0.45">
      <c r="A1668" t="s">
        <v>212</v>
      </c>
      <c r="B1668" t="s">
        <v>672</v>
      </c>
      <c r="C1668" t="s">
        <v>26</v>
      </c>
      <c r="D1668" t="s">
        <v>404</v>
      </c>
      <c r="E1668">
        <v>3</v>
      </c>
      <c r="F1668">
        <v>0</v>
      </c>
      <c r="G1668">
        <v>39</v>
      </c>
      <c r="H1668">
        <v>0</v>
      </c>
      <c r="I1668">
        <v>13</v>
      </c>
      <c r="J1668">
        <v>2</v>
      </c>
      <c r="K1668">
        <v>3</v>
      </c>
      <c r="L1668">
        <v>2</v>
      </c>
      <c r="M1668">
        <v>2</v>
      </c>
      <c r="N1668">
        <v>0</v>
      </c>
    </row>
    <row r="1669" spans="1:14" x14ac:dyDescent="0.45">
      <c r="A1669" t="s">
        <v>212</v>
      </c>
      <c r="B1669" t="s">
        <v>672</v>
      </c>
      <c r="C1669" t="s">
        <v>10</v>
      </c>
      <c r="D1669" t="s">
        <v>444</v>
      </c>
      <c r="E1669">
        <v>3</v>
      </c>
      <c r="F1669">
        <v>1</v>
      </c>
      <c r="G1669">
        <v>20</v>
      </c>
      <c r="H1669">
        <v>1</v>
      </c>
      <c r="I1669">
        <v>6.66</v>
      </c>
      <c r="J1669">
        <v>14</v>
      </c>
      <c r="K1669">
        <v>1</v>
      </c>
      <c r="L1669">
        <v>2</v>
      </c>
      <c r="M1669">
        <v>0</v>
      </c>
      <c r="N1669">
        <v>1</v>
      </c>
    </row>
    <row r="1670" spans="1:14" x14ac:dyDescent="0.45">
      <c r="A1670" t="s">
        <v>212</v>
      </c>
      <c r="B1670" t="s">
        <v>672</v>
      </c>
      <c r="C1670" t="s">
        <v>10</v>
      </c>
      <c r="D1670" t="s">
        <v>456</v>
      </c>
      <c r="E1670">
        <v>3</v>
      </c>
      <c r="F1670">
        <v>0</v>
      </c>
      <c r="G1670">
        <v>36</v>
      </c>
      <c r="H1670">
        <v>2</v>
      </c>
      <c r="I1670">
        <v>12</v>
      </c>
      <c r="J1670">
        <v>10</v>
      </c>
      <c r="K1670">
        <v>5</v>
      </c>
      <c r="L1670">
        <v>2</v>
      </c>
      <c r="M1670">
        <v>0</v>
      </c>
      <c r="N1670">
        <v>1</v>
      </c>
    </row>
    <row r="1671" spans="1:14" x14ac:dyDescent="0.45">
      <c r="A1671" t="s">
        <v>212</v>
      </c>
      <c r="B1671" t="s">
        <v>672</v>
      </c>
      <c r="C1671" t="s">
        <v>10</v>
      </c>
      <c r="D1671" t="s">
        <v>338</v>
      </c>
      <c r="E1671">
        <v>4</v>
      </c>
      <c r="F1671">
        <v>0</v>
      </c>
      <c r="G1671">
        <v>36</v>
      </c>
      <c r="H1671">
        <v>2</v>
      </c>
      <c r="I1671">
        <v>9</v>
      </c>
      <c r="J1671">
        <v>11</v>
      </c>
      <c r="K1671">
        <v>2</v>
      </c>
      <c r="L1671">
        <v>3</v>
      </c>
      <c r="M1671">
        <v>0</v>
      </c>
      <c r="N1671">
        <v>0</v>
      </c>
    </row>
    <row r="1672" spans="1:14" x14ac:dyDescent="0.45">
      <c r="A1672" t="s">
        <v>212</v>
      </c>
      <c r="B1672" t="s">
        <v>672</v>
      </c>
      <c r="C1672" t="s">
        <v>10</v>
      </c>
      <c r="D1672" t="s">
        <v>587</v>
      </c>
      <c r="E1672">
        <v>4</v>
      </c>
      <c r="F1672">
        <v>0</v>
      </c>
      <c r="G1672">
        <v>52</v>
      </c>
      <c r="H1672">
        <v>0</v>
      </c>
      <c r="I1672">
        <v>13</v>
      </c>
      <c r="J1672">
        <v>8</v>
      </c>
      <c r="K1672">
        <v>3</v>
      </c>
      <c r="L1672">
        <v>5</v>
      </c>
      <c r="M1672">
        <v>1</v>
      </c>
      <c r="N1672">
        <v>0</v>
      </c>
    </row>
    <row r="1673" spans="1:14" x14ac:dyDescent="0.45">
      <c r="A1673" t="s">
        <v>212</v>
      </c>
      <c r="B1673" t="s">
        <v>672</v>
      </c>
      <c r="C1673" t="s">
        <v>10</v>
      </c>
      <c r="D1673" t="s">
        <v>337</v>
      </c>
      <c r="E1673">
        <v>3</v>
      </c>
      <c r="F1673">
        <v>0</v>
      </c>
      <c r="G1673">
        <v>27</v>
      </c>
      <c r="H1673">
        <v>1</v>
      </c>
      <c r="I1673">
        <v>9</v>
      </c>
      <c r="J1673">
        <v>3</v>
      </c>
      <c r="K1673">
        <v>4</v>
      </c>
      <c r="L1673">
        <v>0</v>
      </c>
      <c r="M1673">
        <v>0</v>
      </c>
      <c r="N1673">
        <v>0</v>
      </c>
    </row>
    <row r="1674" spans="1:14" x14ac:dyDescent="0.45">
      <c r="A1674" t="s">
        <v>212</v>
      </c>
      <c r="B1674" t="s">
        <v>672</v>
      </c>
      <c r="C1674" t="s">
        <v>10</v>
      </c>
      <c r="D1674" t="s">
        <v>500</v>
      </c>
      <c r="E1674">
        <v>3</v>
      </c>
      <c r="F1674">
        <v>0</v>
      </c>
      <c r="G1674">
        <v>21</v>
      </c>
      <c r="H1674">
        <v>0</v>
      </c>
      <c r="I1674">
        <v>7</v>
      </c>
      <c r="J1674">
        <v>4</v>
      </c>
      <c r="K1674">
        <v>0</v>
      </c>
      <c r="L1674">
        <v>1</v>
      </c>
      <c r="M1674">
        <v>1</v>
      </c>
      <c r="N1674">
        <v>0</v>
      </c>
    </row>
    <row r="1675" spans="1:14" x14ac:dyDescent="0.45">
      <c r="A1675" t="s">
        <v>213</v>
      </c>
      <c r="B1675" t="s">
        <v>687</v>
      </c>
      <c r="C1675" t="s">
        <v>19</v>
      </c>
      <c r="D1675" t="s">
        <v>562</v>
      </c>
      <c r="E1675">
        <v>4</v>
      </c>
      <c r="F1675">
        <v>0</v>
      </c>
      <c r="G1675">
        <v>30</v>
      </c>
      <c r="H1675">
        <v>2</v>
      </c>
      <c r="I1675">
        <v>7.5</v>
      </c>
      <c r="J1675">
        <v>9</v>
      </c>
      <c r="K1675">
        <v>0</v>
      </c>
      <c r="L1675">
        <v>2</v>
      </c>
      <c r="M1675">
        <v>1</v>
      </c>
      <c r="N1675">
        <v>0</v>
      </c>
    </row>
    <row r="1676" spans="1:14" x14ac:dyDescent="0.45">
      <c r="A1676" t="s">
        <v>213</v>
      </c>
      <c r="B1676" t="s">
        <v>687</v>
      </c>
      <c r="C1676" t="s">
        <v>19</v>
      </c>
      <c r="D1676" t="s">
        <v>406</v>
      </c>
      <c r="E1676">
        <v>4</v>
      </c>
      <c r="F1676">
        <v>0</v>
      </c>
      <c r="G1676">
        <v>50</v>
      </c>
      <c r="H1676">
        <v>0</v>
      </c>
      <c r="I1676">
        <v>12.5</v>
      </c>
      <c r="J1676">
        <v>7</v>
      </c>
      <c r="K1676">
        <v>3</v>
      </c>
      <c r="L1676">
        <v>4</v>
      </c>
      <c r="M1676">
        <v>2</v>
      </c>
      <c r="N1676">
        <v>0</v>
      </c>
    </row>
    <row r="1677" spans="1:14" x14ac:dyDescent="0.45">
      <c r="A1677" t="s">
        <v>213</v>
      </c>
      <c r="B1677" t="s">
        <v>687</v>
      </c>
      <c r="C1677" t="s">
        <v>19</v>
      </c>
      <c r="D1677" t="s">
        <v>504</v>
      </c>
      <c r="E1677">
        <v>3</v>
      </c>
      <c r="F1677">
        <v>0</v>
      </c>
      <c r="G1677">
        <v>20</v>
      </c>
      <c r="H1677">
        <v>0</v>
      </c>
      <c r="I1677">
        <v>6.66</v>
      </c>
      <c r="J1677">
        <v>9</v>
      </c>
      <c r="K1677">
        <v>1</v>
      </c>
      <c r="L1677">
        <v>1</v>
      </c>
      <c r="M1677">
        <v>0</v>
      </c>
      <c r="N1677">
        <v>0</v>
      </c>
    </row>
    <row r="1678" spans="1:14" x14ac:dyDescent="0.45">
      <c r="A1678" t="s">
        <v>213</v>
      </c>
      <c r="B1678" t="s">
        <v>687</v>
      </c>
      <c r="C1678" t="s">
        <v>19</v>
      </c>
      <c r="D1678" t="s">
        <v>368</v>
      </c>
      <c r="E1678">
        <v>3</v>
      </c>
      <c r="F1678">
        <v>0</v>
      </c>
      <c r="G1678">
        <v>26</v>
      </c>
      <c r="H1678">
        <v>1</v>
      </c>
      <c r="I1678">
        <v>8.66</v>
      </c>
      <c r="J1678">
        <v>5</v>
      </c>
      <c r="K1678">
        <v>0</v>
      </c>
      <c r="L1678">
        <v>2</v>
      </c>
      <c r="M1678">
        <v>0</v>
      </c>
      <c r="N1678">
        <v>0</v>
      </c>
    </row>
    <row r="1679" spans="1:14" x14ac:dyDescent="0.45">
      <c r="A1679" t="s">
        <v>213</v>
      </c>
      <c r="B1679" t="s">
        <v>687</v>
      </c>
      <c r="C1679" t="s">
        <v>19</v>
      </c>
      <c r="D1679" t="s">
        <v>563</v>
      </c>
      <c r="E1679">
        <v>4</v>
      </c>
      <c r="F1679">
        <v>0</v>
      </c>
      <c r="G1679">
        <v>30</v>
      </c>
      <c r="H1679">
        <v>0</v>
      </c>
      <c r="I1679">
        <v>7.5</v>
      </c>
      <c r="J1679">
        <v>7</v>
      </c>
      <c r="K1679">
        <v>1</v>
      </c>
      <c r="L1679">
        <v>1</v>
      </c>
      <c r="M1679">
        <v>2</v>
      </c>
      <c r="N1679">
        <v>0</v>
      </c>
    </row>
    <row r="1680" spans="1:14" x14ac:dyDescent="0.45">
      <c r="A1680" t="s">
        <v>213</v>
      </c>
      <c r="B1680" t="s">
        <v>687</v>
      </c>
      <c r="C1680" t="s">
        <v>19</v>
      </c>
      <c r="D1680" t="s">
        <v>560</v>
      </c>
      <c r="E1680">
        <v>2</v>
      </c>
      <c r="F1680">
        <v>0</v>
      </c>
      <c r="G1680">
        <v>16</v>
      </c>
      <c r="H1680">
        <v>0</v>
      </c>
      <c r="I1680">
        <v>8</v>
      </c>
      <c r="J1680">
        <v>5</v>
      </c>
      <c r="K1680">
        <v>1</v>
      </c>
      <c r="L1680">
        <v>1</v>
      </c>
      <c r="M1680">
        <v>0</v>
      </c>
      <c r="N1680">
        <v>0</v>
      </c>
    </row>
    <row r="1681" spans="1:14" x14ac:dyDescent="0.45">
      <c r="A1681" t="s">
        <v>213</v>
      </c>
      <c r="B1681" t="s">
        <v>687</v>
      </c>
      <c r="C1681" t="s">
        <v>104</v>
      </c>
      <c r="D1681" t="s">
        <v>366</v>
      </c>
      <c r="E1681">
        <v>4</v>
      </c>
      <c r="F1681">
        <v>0</v>
      </c>
      <c r="G1681">
        <v>27</v>
      </c>
      <c r="H1681">
        <v>0</v>
      </c>
      <c r="I1681">
        <v>6.75</v>
      </c>
      <c r="J1681">
        <v>10</v>
      </c>
      <c r="K1681">
        <v>4</v>
      </c>
      <c r="L1681">
        <v>0</v>
      </c>
      <c r="M1681">
        <v>0</v>
      </c>
      <c r="N1681">
        <v>0</v>
      </c>
    </row>
    <row r="1682" spans="1:14" x14ac:dyDescent="0.45">
      <c r="A1682" t="s">
        <v>213</v>
      </c>
      <c r="B1682" t="s">
        <v>687</v>
      </c>
      <c r="C1682" t="s">
        <v>104</v>
      </c>
      <c r="D1682" t="s">
        <v>492</v>
      </c>
      <c r="E1682">
        <v>3</v>
      </c>
      <c r="F1682">
        <v>0</v>
      </c>
      <c r="G1682">
        <v>26</v>
      </c>
      <c r="H1682">
        <v>1</v>
      </c>
      <c r="I1682">
        <v>8.66</v>
      </c>
      <c r="J1682">
        <v>8</v>
      </c>
      <c r="K1682">
        <v>1</v>
      </c>
      <c r="L1682">
        <v>2</v>
      </c>
      <c r="M1682">
        <v>2</v>
      </c>
      <c r="N1682">
        <v>0</v>
      </c>
    </row>
    <row r="1683" spans="1:14" x14ac:dyDescent="0.45">
      <c r="A1683" t="s">
        <v>213</v>
      </c>
      <c r="B1683" t="s">
        <v>687</v>
      </c>
      <c r="C1683" t="s">
        <v>104</v>
      </c>
      <c r="D1683" t="s">
        <v>565</v>
      </c>
      <c r="E1683">
        <v>4</v>
      </c>
      <c r="F1683">
        <v>0</v>
      </c>
      <c r="G1683">
        <v>37</v>
      </c>
      <c r="H1683">
        <v>0</v>
      </c>
      <c r="I1683">
        <v>9.25</v>
      </c>
      <c r="J1683">
        <v>8</v>
      </c>
      <c r="K1683">
        <v>1</v>
      </c>
      <c r="L1683">
        <v>3</v>
      </c>
      <c r="M1683">
        <v>0</v>
      </c>
      <c r="N1683">
        <v>1</v>
      </c>
    </row>
    <row r="1684" spans="1:14" x14ac:dyDescent="0.45">
      <c r="A1684" t="s">
        <v>213</v>
      </c>
      <c r="B1684" t="s">
        <v>687</v>
      </c>
      <c r="C1684" t="s">
        <v>104</v>
      </c>
      <c r="D1684" t="s">
        <v>566</v>
      </c>
      <c r="E1684">
        <v>4</v>
      </c>
      <c r="F1684">
        <v>0</v>
      </c>
      <c r="G1684">
        <v>40</v>
      </c>
      <c r="H1684">
        <v>2</v>
      </c>
      <c r="I1684">
        <v>10</v>
      </c>
      <c r="J1684">
        <v>9</v>
      </c>
      <c r="K1684">
        <v>2</v>
      </c>
      <c r="L1684">
        <v>2</v>
      </c>
      <c r="M1684">
        <v>5</v>
      </c>
      <c r="N1684">
        <v>1</v>
      </c>
    </row>
    <row r="1685" spans="1:14" x14ac:dyDescent="0.45">
      <c r="A1685" t="s">
        <v>213</v>
      </c>
      <c r="B1685" t="s">
        <v>687</v>
      </c>
      <c r="C1685" t="s">
        <v>104</v>
      </c>
      <c r="D1685" t="s">
        <v>588</v>
      </c>
      <c r="E1685">
        <v>1</v>
      </c>
      <c r="F1685">
        <v>0</v>
      </c>
      <c r="G1685">
        <v>11</v>
      </c>
      <c r="H1685">
        <v>0</v>
      </c>
      <c r="I1685">
        <v>11</v>
      </c>
      <c r="J1685">
        <v>1</v>
      </c>
      <c r="K1685">
        <v>2</v>
      </c>
      <c r="L1685">
        <v>0</v>
      </c>
      <c r="M1685">
        <v>0</v>
      </c>
      <c r="N1685">
        <v>0</v>
      </c>
    </row>
    <row r="1686" spans="1:14" x14ac:dyDescent="0.45">
      <c r="A1686" t="s">
        <v>213</v>
      </c>
      <c r="B1686" t="s">
        <v>687</v>
      </c>
      <c r="C1686" t="s">
        <v>104</v>
      </c>
      <c r="D1686" t="s">
        <v>407</v>
      </c>
      <c r="E1686">
        <v>4</v>
      </c>
      <c r="F1686">
        <v>0</v>
      </c>
      <c r="G1686">
        <v>26</v>
      </c>
      <c r="H1686">
        <v>2</v>
      </c>
      <c r="I1686">
        <v>6.5</v>
      </c>
      <c r="J1686">
        <v>9</v>
      </c>
      <c r="K1686">
        <v>2</v>
      </c>
      <c r="L1686">
        <v>0</v>
      </c>
      <c r="M1686">
        <v>1</v>
      </c>
      <c r="N1686">
        <v>0</v>
      </c>
    </row>
    <row r="1687" spans="1:14" x14ac:dyDescent="0.45">
      <c r="A1687" t="s">
        <v>214</v>
      </c>
      <c r="B1687" t="s">
        <v>691</v>
      </c>
      <c r="C1687" t="s">
        <v>20</v>
      </c>
      <c r="D1687" t="s">
        <v>409</v>
      </c>
      <c r="E1687">
        <v>4</v>
      </c>
      <c r="F1687">
        <v>0</v>
      </c>
      <c r="G1687">
        <v>30</v>
      </c>
      <c r="H1687">
        <v>5</v>
      </c>
      <c r="I1687">
        <v>7.5</v>
      </c>
      <c r="J1687">
        <v>11</v>
      </c>
      <c r="K1687">
        <v>4</v>
      </c>
      <c r="L1687">
        <v>0</v>
      </c>
      <c r="M1687">
        <v>0</v>
      </c>
      <c r="N1687">
        <v>0</v>
      </c>
    </row>
    <row r="1688" spans="1:14" x14ac:dyDescent="0.45">
      <c r="A1688" t="s">
        <v>214</v>
      </c>
      <c r="B1688" t="s">
        <v>691</v>
      </c>
      <c r="C1688" t="s">
        <v>20</v>
      </c>
      <c r="D1688" t="s">
        <v>484</v>
      </c>
      <c r="E1688">
        <v>4</v>
      </c>
      <c r="F1688">
        <v>0</v>
      </c>
      <c r="G1688">
        <v>39</v>
      </c>
      <c r="H1688">
        <v>1</v>
      </c>
      <c r="I1688">
        <v>9.75</v>
      </c>
      <c r="J1688">
        <v>11</v>
      </c>
      <c r="K1688">
        <v>3</v>
      </c>
      <c r="L1688">
        <v>1</v>
      </c>
      <c r="M1688">
        <v>4</v>
      </c>
      <c r="N1688">
        <v>2</v>
      </c>
    </row>
    <row r="1689" spans="1:14" x14ac:dyDescent="0.45">
      <c r="A1689" t="s">
        <v>214</v>
      </c>
      <c r="B1689" t="s">
        <v>691</v>
      </c>
      <c r="C1689" t="s">
        <v>20</v>
      </c>
      <c r="D1689" t="s">
        <v>497</v>
      </c>
      <c r="E1689">
        <v>3</v>
      </c>
      <c r="F1689">
        <v>0</v>
      </c>
      <c r="G1689">
        <v>31</v>
      </c>
      <c r="H1689">
        <v>1</v>
      </c>
      <c r="I1689">
        <v>10.33</v>
      </c>
      <c r="J1689">
        <v>3</v>
      </c>
      <c r="K1689">
        <v>4</v>
      </c>
      <c r="L1689">
        <v>0</v>
      </c>
      <c r="M1689">
        <v>1</v>
      </c>
      <c r="N1689">
        <v>0</v>
      </c>
    </row>
    <row r="1690" spans="1:14" x14ac:dyDescent="0.45">
      <c r="A1690" t="s">
        <v>214</v>
      </c>
      <c r="B1690" t="s">
        <v>691</v>
      </c>
      <c r="C1690" t="s">
        <v>20</v>
      </c>
      <c r="D1690" t="s">
        <v>483</v>
      </c>
      <c r="E1690">
        <v>4</v>
      </c>
      <c r="F1690">
        <v>0</v>
      </c>
      <c r="G1690">
        <v>34</v>
      </c>
      <c r="H1690">
        <v>1</v>
      </c>
      <c r="I1690">
        <v>8.5</v>
      </c>
      <c r="J1690">
        <v>4</v>
      </c>
      <c r="K1690">
        <v>4</v>
      </c>
      <c r="L1690">
        <v>0</v>
      </c>
      <c r="M1690">
        <v>0</v>
      </c>
      <c r="N1690">
        <v>0</v>
      </c>
    </row>
    <row r="1691" spans="1:14" x14ac:dyDescent="0.45">
      <c r="A1691" t="s">
        <v>214</v>
      </c>
      <c r="B1691" t="s">
        <v>691</v>
      </c>
      <c r="C1691" t="s">
        <v>20</v>
      </c>
      <c r="D1691" t="s">
        <v>401</v>
      </c>
      <c r="E1691">
        <v>1</v>
      </c>
      <c r="F1691">
        <v>0</v>
      </c>
      <c r="G1691">
        <v>13</v>
      </c>
      <c r="H1691">
        <v>0</v>
      </c>
      <c r="I1691">
        <v>13</v>
      </c>
      <c r="J1691">
        <v>0</v>
      </c>
      <c r="K1691">
        <v>2</v>
      </c>
      <c r="L1691">
        <v>0</v>
      </c>
      <c r="M1691">
        <v>0</v>
      </c>
      <c r="N1691">
        <v>0</v>
      </c>
    </row>
    <row r="1692" spans="1:14" x14ac:dyDescent="0.45">
      <c r="A1692" t="s">
        <v>214</v>
      </c>
      <c r="B1692" t="s">
        <v>691</v>
      </c>
      <c r="C1692" t="s">
        <v>20</v>
      </c>
      <c r="D1692" t="s">
        <v>419</v>
      </c>
      <c r="E1692">
        <v>3</v>
      </c>
      <c r="F1692">
        <v>0</v>
      </c>
      <c r="G1692">
        <v>27</v>
      </c>
      <c r="H1692">
        <v>0</v>
      </c>
      <c r="I1692">
        <v>9</v>
      </c>
      <c r="J1692">
        <v>3</v>
      </c>
      <c r="K1692">
        <v>4</v>
      </c>
      <c r="L1692">
        <v>0</v>
      </c>
      <c r="M1692">
        <v>0</v>
      </c>
      <c r="N1692">
        <v>0</v>
      </c>
    </row>
    <row r="1693" spans="1:14" x14ac:dyDescent="0.45">
      <c r="A1693" t="s">
        <v>214</v>
      </c>
      <c r="B1693" t="s">
        <v>691</v>
      </c>
      <c r="C1693" t="s">
        <v>20</v>
      </c>
      <c r="D1693" t="s">
        <v>373</v>
      </c>
      <c r="E1693">
        <v>1</v>
      </c>
      <c r="F1693">
        <v>0</v>
      </c>
      <c r="G1693">
        <v>13</v>
      </c>
      <c r="H1693">
        <v>0</v>
      </c>
      <c r="I1693">
        <v>13</v>
      </c>
      <c r="J1693">
        <v>2</v>
      </c>
      <c r="K1693">
        <v>1</v>
      </c>
      <c r="L1693">
        <v>1</v>
      </c>
      <c r="M1693">
        <v>1</v>
      </c>
      <c r="N1693">
        <v>0</v>
      </c>
    </row>
    <row r="1694" spans="1:14" x14ac:dyDescent="0.45">
      <c r="A1694" t="s">
        <v>214</v>
      </c>
      <c r="B1694" t="s">
        <v>691</v>
      </c>
      <c r="C1694" t="s">
        <v>101</v>
      </c>
      <c r="D1694" t="s">
        <v>403</v>
      </c>
      <c r="E1694">
        <v>4</v>
      </c>
      <c r="F1694">
        <v>0</v>
      </c>
      <c r="G1694">
        <v>21</v>
      </c>
      <c r="H1694">
        <v>4</v>
      </c>
      <c r="I1694">
        <v>5.25</v>
      </c>
      <c r="J1694">
        <v>13</v>
      </c>
      <c r="K1694">
        <v>1</v>
      </c>
      <c r="L1694">
        <v>1</v>
      </c>
      <c r="M1694">
        <v>0</v>
      </c>
      <c r="N1694">
        <v>0</v>
      </c>
    </row>
    <row r="1695" spans="1:14" x14ac:dyDescent="0.45">
      <c r="A1695" t="s">
        <v>214</v>
      </c>
      <c r="B1695" t="s">
        <v>691</v>
      </c>
      <c r="C1695" t="s">
        <v>101</v>
      </c>
      <c r="D1695" t="s">
        <v>489</v>
      </c>
      <c r="E1695">
        <v>4</v>
      </c>
      <c r="F1695">
        <v>0</v>
      </c>
      <c r="G1695">
        <v>31</v>
      </c>
      <c r="H1695">
        <v>1</v>
      </c>
      <c r="I1695">
        <v>7.75</v>
      </c>
      <c r="J1695">
        <v>11</v>
      </c>
      <c r="K1695">
        <v>4</v>
      </c>
      <c r="L1695">
        <v>0</v>
      </c>
      <c r="M1695">
        <v>4</v>
      </c>
      <c r="N1695">
        <v>0</v>
      </c>
    </row>
    <row r="1696" spans="1:14" x14ac:dyDescent="0.45">
      <c r="A1696" t="s">
        <v>214</v>
      </c>
      <c r="B1696" t="s">
        <v>691</v>
      </c>
      <c r="C1696" t="s">
        <v>101</v>
      </c>
      <c r="D1696" t="s">
        <v>379</v>
      </c>
      <c r="E1696">
        <v>4</v>
      </c>
      <c r="F1696">
        <v>0</v>
      </c>
      <c r="G1696">
        <v>28</v>
      </c>
      <c r="H1696">
        <v>0</v>
      </c>
      <c r="I1696">
        <v>7</v>
      </c>
      <c r="J1696">
        <v>6</v>
      </c>
      <c r="K1696">
        <v>1</v>
      </c>
      <c r="L1696">
        <v>1</v>
      </c>
      <c r="M1696">
        <v>0</v>
      </c>
      <c r="N1696">
        <v>0</v>
      </c>
    </row>
    <row r="1697" spans="1:14" x14ac:dyDescent="0.45">
      <c r="A1697" t="s">
        <v>214</v>
      </c>
      <c r="B1697" t="s">
        <v>691</v>
      </c>
      <c r="C1697" t="s">
        <v>101</v>
      </c>
      <c r="D1697" t="s">
        <v>558</v>
      </c>
      <c r="E1697">
        <v>4</v>
      </c>
      <c r="F1697">
        <v>0</v>
      </c>
      <c r="G1697">
        <v>28</v>
      </c>
      <c r="H1697">
        <v>4</v>
      </c>
      <c r="I1697">
        <v>7</v>
      </c>
      <c r="J1697">
        <v>12</v>
      </c>
      <c r="K1697">
        <v>3</v>
      </c>
      <c r="L1697">
        <v>1</v>
      </c>
      <c r="M1697">
        <v>0</v>
      </c>
      <c r="N1697">
        <v>0</v>
      </c>
    </row>
    <row r="1698" spans="1:14" x14ac:dyDescent="0.45">
      <c r="A1698" t="s">
        <v>214</v>
      </c>
      <c r="B1698" t="s">
        <v>691</v>
      </c>
      <c r="C1698" t="s">
        <v>101</v>
      </c>
      <c r="D1698" t="s">
        <v>556</v>
      </c>
      <c r="E1698">
        <v>2.5</v>
      </c>
      <c r="F1698">
        <v>0</v>
      </c>
      <c r="G1698">
        <v>35</v>
      </c>
      <c r="H1698">
        <v>0</v>
      </c>
      <c r="I1698">
        <v>12.35</v>
      </c>
      <c r="J1698">
        <v>3</v>
      </c>
      <c r="K1698">
        <v>3</v>
      </c>
      <c r="L1698">
        <v>2</v>
      </c>
      <c r="M1698">
        <v>1</v>
      </c>
      <c r="N1698">
        <v>0</v>
      </c>
    </row>
    <row r="1699" spans="1:14" x14ac:dyDescent="0.45">
      <c r="A1699" t="s">
        <v>214</v>
      </c>
      <c r="B1699" t="s">
        <v>691</v>
      </c>
      <c r="C1699" t="s">
        <v>101</v>
      </c>
      <c r="D1699" t="s">
        <v>390</v>
      </c>
      <c r="E1699">
        <v>1.1000000000000001</v>
      </c>
      <c r="F1699">
        <v>0</v>
      </c>
      <c r="G1699">
        <v>7</v>
      </c>
      <c r="H1699">
        <v>0</v>
      </c>
      <c r="I1699">
        <v>6</v>
      </c>
      <c r="J1699">
        <v>3</v>
      </c>
      <c r="K1699">
        <v>1</v>
      </c>
      <c r="L1699">
        <v>0</v>
      </c>
      <c r="M1699">
        <v>0</v>
      </c>
      <c r="N1699">
        <v>0</v>
      </c>
    </row>
    <row r="1700" spans="1:14" x14ac:dyDescent="0.45">
      <c r="A1700" t="s">
        <v>215</v>
      </c>
      <c r="B1700" t="s">
        <v>621</v>
      </c>
      <c r="C1700" t="s">
        <v>7</v>
      </c>
      <c r="D1700" t="s">
        <v>542</v>
      </c>
      <c r="E1700">
        <v>4</v>
      </c>
      <c r="F1700">
        <v>0</v>
      </c>
      <c r="G1700">
        <v>30</v>
      </c>
      <c r="H1700">
        <v>1</v>
      </c>
      <c r="I1700">
        <v>7.5</v>
      </c>
      <c r="J1700">
        <v>7</v>
      </c>
      <c r="K1700">
        <v>2</v>
      </c>
      <c r="L1700">
        <v>0</v>
      </c>
      <c r="M1700">
        <v>1</v>
      </c>
      <c r="N1700">
        <v>1</v>
      </c>
    </row>
    <row r="1701" spans="1:14" x14ac:dyDescent="0.45">
      <c r="A1701" t="s">
        <v>215</v>
      </c>
      <c r="B1701" t="s">
        <v>621</v>
      </c>
      <c r="C1701" t="s">
        <v>7</v>
      </c>
      <c r="D1701" t="s">
        <v>533</v>
      </c>
      <c r="E1701">
        <v>2</v>
      </c>
      <c r="F1701">
        <v>0</v>
      </c>
      <c r="G1701">
        <v>19</v>
      </c>
      <c r="H1701">
        <v>0</v>
      </c>
      <c r="I1701">
        <v>9.5</v>
      </c>
      <c r="J1701">
        <v>5</v>
      </c>
      <c r="K1701">
        <v>2</v>
      </c>
      <c r="L1701">
        <v>1</v>
      </c>
      <c r="M1701">
        <v>0</v>
      </c>
      <c r="N1701">
        <v>0</v>
      </c>
    </row>
    <row r="1702" spans="1:14" x14ac:dyDescent="0.45">
      <c r="A1702" t="s">
        <v>215</v>
      </c>
      <c r="B1702" t="s">
        <v>621</v>
      </c>
      <c r="C1702" t="s">
        <v>7</v>
      </c>
      <c r="D1702" t="s">
        <v>322</v>
      </c>
      <c r="E1702">
        <v>4</v>
      </c>
      <c r="F1702">
        <v>0</v>
      </c>
      <c r="G1702">
        <v>36</v>
      </c>
      <c r="H1702">
        <v>2</v>
      </c>
      <c r="I1702">
        <v>9</v>
      </c>
      <c r="J1702">
        <v>5</v>
      </c>
      <c r="K1702">
        <v>2</v>
      </c>
      <c r="L1702">
        <v>1</v>
      </c>
      <c r="M1702">
        <v>1</v>
      </c>
      <c r="N1702">
        <v>0</v>
      </c>
    </row>
    <row r="1703" spans="1:14" x14ac:dyDescent="0.45">
      <c r="A1703" t="s">
        <v>215</v>
      </c>
      <c r="B1703" t="s">
        <v>621</v>
      </c>
      <c r="C1703" t="s">
        <v>7</v>
      </c>
      <c r="D1703" t="s">
        <v>308</v>
      </c>
      <c r="E1703">
        <v>4</v>
      </c>
      <c r="F1703">
        <v>0</v>
      </c>
      <c r="G1703">
        <v>15</v>
      </c>
      <c r="H1703">
        <v>2</v>
      </c>
      <c r="I1703">
        <v>3.75</v>
      </c>
      <c r="J1703">
        <v>10</v>
      </c>
      <c r="K1703">
        <v>0</v>
      </c>
      <c r="L1703">
        <v>0</v>
      </c>
      <c r="M1703">
        <v>0</v>
      </c>
      <c r="N1703">
        <v>0</v>
      </c>
    </row>
    <row r="1704" spans="1:14" x14ac:dyDescent="0.45">
      <c r="A1704" t="s">
        <v>215</v>
      </c>
      <c r="B1704" t="s">
        <v>621</v>
      </c>
      <c r="C1704" t="s">
        <v>7</v>
      </c>
      <c r="D1704" t="s">
        <v>326</v>
      </c>
      <c r="E1704">
        <v>3</v>
      </c>
      <c r="F1704">
        <v>0</v>
      </c>
      <c r="G1704">
        <v>15</v>
      </c>
      <c r="H1704">
        <v>1</v>
      </c>
      <c r="I1704">
        <v>5</v>
      </c>
      <c r="J1704">
        <v>7</v>
      </c>
      <c r="K1704">
        <v>1</v>
      </c>
      <c r="L1704">
        <v>0</v>
      </c>
      <c r="M1704">
        <v>1</v>
      </c>
      <c r="N1704">
        <v>0</v>
      </c>
    </row>
    <row r="1705" spans="1:14" x14ac:dyDescent="0.45">
      <c r="A1705" t="s">
        <v>215</v>
      </c>
      <c r="B1705" t="s">
        <v>621</v>
      </c>
      <c r="C1705" t="s">
        <v>7</v>
      </c>
      <c r="D1705" t="s">
        <v>579</v>
      </c>
      <c r="E1705">
        <v>3</v>
      </c>
      <c r="F1705">
        <v>0</v>
      </c>
      <c r="G1705">
        <v>29</v>
      </c>
      <c r="H1705">
        <v>0</v>
      </c>
      <c r="I1705">
        <v>9.66</v>
      </c>
      <c r="J1705">
        <v>6</v>
      </c>
      <c r="K1705">
        <v>0</v>
      </c>
      <c r="L1705">
        <v>3</v>
      </c>
      <c r="M1705">
        <v>0</v>
      </c>
      <c r="N1705">
        <v>1</v>
      </c>
    </row>
    <row r="1706" spans="1:14" x14ac:dyDescent="0.45">
      <c r="A1706" t="s">
        <v>215</v>
      </c>
      <c r="B1706" t="s">
        <v>621</v>
      </c>
      <c r="C1706" t="s">
        <v>6</v>
      </c>
      <c r="D1706" t="s">
        <v>324</v>
      </c>
      <c r="E1706">
        <v>3</v>
      </c>
      <c r="F1706">
        <v>0</v>
      </c>
      <c r="G1706">
        <v>27</v>
      </c>
      <c r="H1706">
        <v>3</v>
      </c>
      <c r="I1706">
        <v>9</v>
      </c>
      <c r="J1706">
        <v>7</v>
      </c>
      <c r="K1706">
        <v>3</v>
      </c>
      <c r="L1706">
        <v>1</v>
      </c>
      <c r="M1706">
        <v>2</v>
      </c>
      <c r="N1706">
        <v>0</v>
      </c>
    </row>
    <row r="1707" spans="1:14" x14ac:dyDescent="0.45">
      <c r="A1707" t="s">
        <v>215</v>
      </c>
      <c r="B1707" t="s">
        <v>621</v>
      </c>
      <c r="C1707" t="s">
        <v>6</v>
      </c>
      <c r="D1707" t="s">
        <v>555</v>
      </c>
      <c r="E1707">
        <v>3.3</v>
      </c>
      <c r="F1707">
        <v>0</v>
      </c>
      <c r="G1707">
        <v>25</v>
      </c>
      <c r="H1707">
        <v>0</v>
      </c>
      <c r="I1707">
        <v>7.14</v>
      </c>
      <c r="J1707">
        <v>11</v>
      </c>
      <c r="K1707">
        <v>2</v>
      </c>
      <c r="L1707">
        <v>1</v>
      </c>
      <c r="M1707">
        <v>2</v>
      </c>
      <c r="N1707">
        <v>0</v>
      </c>
    </row>
    <row r="1708" spans="1:14" x14ac:dyDescent="0.45">
      <c r="A1708" t="s">
        <v>215</v>
      </c>
      <c r="B1708" t="s">
        <v>621</v>
      </c>
      <c r="C1708" t="s">
        <v>6</v>
      </c>
      <c r="D1708" t="s">
        <v>299</v>
      </c>
      <c r="E1708">
        <v>4</v>
      </c>
      <c r="F1708">
        <v>0</v>
      </c>
      <c r="G1708">
        <v>31</v>
      </c>
      <c r="H1708">
        <v>0</v>
      </c>
      <c r="I1708">
        <v>7.75</v>
      </c>
      <c r="J1708">
        <v>8</v>
      </c>
      <c r="K1708">
        <v>5</v>
      </c>
      <c r="L1708">
        <v>0</v>
      </c>
      <c r="M1708">
        <v>0</v>
      </c>
      <c r="N1708">
        <v>0</v>
      </c>
    </row>
    <row r="1709" spans="1:14" x14ac:dyDescent="0.45">
      <c r="A1709" t="s">
        <v>215</v>
      </c>
      <c r="B1709" t="s">
        <v>621</v>
      </c>
      <c r="C1709" t="s">
        <v>6</v>
      </c>
      <c r="D1709" t="s">
        <v>523</v>
      </c>
      <c r="E1709">
        <v>3</v>
      </c>
      <c r="F1709">
        <v>0</v>
      </c>
      <c r="G1709">
        <v>22</v>
      </c>
      <c r="H1709">
        <v>0</v>
      </c>
      <c r="I1709">
        <v>7.33</v>
      </c>
      <c r="J1709">
        <v>3</v>
      </c>
      <c r="K1709">
        <v>2</v>
      </c>
      <c r="L1709">
        <v>0</v>
      </c>
      <c r="M1709">
        <v>0</v>
      </c>
      <c r="N1709">
        <v>0</v>
      </c>
    </row>
    <row r="1710" spans="1:14" x14ac:dyDescent="0.45">
      <c r="A1710" t="s">
        <v>215</v>
      </c>
      <c r="B1710" t="s">
        <v>621</v>
      </c>
      <c r="C1710" t="s">
        <v>6</v>
      </c>
      <c r="D1710" t="s">
        <v>510</v>
      </c>
      <c r="E1710">
        <v>3</v>
      </c>
      <c r="F1710">
        <v>0</v>
      </c>
      <c r="G1710">
        <v>23</v>
      </c>
      <c r="H1710">
        <v>0</v>
      </c>
      <c r="I1710">
        <v>7.66</v>
      </c>
      <c r="J1710">
        <v>8</v>
      </c>
      <c r="K1710">
        <v>1</v>
      </c>
      <c r="L1710">
        <v>0</v>
      </c>
      <c r="M1710">
        <v>2</v>
      </c>
      <c r="N1710">
        <v>1</v>
      </c>
    </row>
    <row r="1711" spans="1:14" x14ac:dyDescent="0.45">
      <c r="A1711" t="s">
        <v>215</v>
      </c>
      <c r="B1711" t="s">
        <v>621</v>
      </c>
      <c r="C1711" t="s">
        <v>6</v>
      </c>
      <c r="D1711" t="s">
        <v>328</v>
      </c>
      <c r="E1711">
        <v>2</v>
      </c>
      <c r="F1711">
        <v>0</v>
      </c>
      <c r="G1711">
        <v>18</v>
      </c>
      <c r="H1711">
        <v>0</v>
      </c>
      <c r="I1711">
        <v>9</v>
      </c>
      <c r="J1711">
        <v>4</v>
      </c>
      <c r="K1711">
        <v>0</v>
      </c>
      <c r="L1711">
        <v>2</v>
      </c>
      <c r="M1711">
        <v>0</v>
      </c>
      <c r="N1711">
        <v>0</v>
      </c>
    </row>
    <row r="1712" spans="1:14" x14ac:dyDescent="0.45">
      <c r="A1712" t="s">
        <v>217</v>
      </c>
      <c r="B1712" t="s">
        <v>665</v>
      </c>
      <c r="C1712" t="s">
        <v>23</v>
      </c>
      <c r="D1712" t="s">
        <v>429</v>
      </c>
      <c r="E1712">
        <v>4</v>
      </c>
      <c r="F1712">
        <v>0</v>
      </c>
      <c r="G1712">
        <v>34</v>
      </c>
      <c r="H1712">
        <v>1</v>
      </c>
      <c r="I1712">
        <v>8.5</v>
      </c>
      <c r="J1712">
        <v>4</v>
      </c>
      <c r="K1712">
        <v>4</v>
      </c>
      <c r="L1712">
        <v>0</v>
      </c>
      <c r="M1712">
        <v>1</v>
      </c>
      <c r="N1712">
        <v>0</v>
      </c>
    </row>
    <row r="1713" spans="1:14" x14ac:dyDescent="0.45">
      <c r="A1713" t="s">
        <v>217</v>
      </c>
      <c r="B1713" t="s">
        <v>665</v>
      </c>
      <c r="C1713" t="s">
        <v>23</v>
      </c>
      <c r="D1713" t="s">
        <v>585</v>
      </c>
      <c r="E1713">
        <v>4</v>
      </c>
      <c r="F1713">
        <v>0</v>
      </c>
      <c r="G1713">
        <v>25</v>
      </c>
      <c r="H1713">
        <v>2</v>
      </c>
      <c r="I1713">
        <v>6.25</v>
      </c>
      <c r="J1713">
        <v>10</v>
      </c>
      <c r="K1713">
        <v>2</v>
      </c>
      <c r="L1713">
        <v>1</v>
      </c>
      <c r="M1713">
        <v>0</v>
      </c>
      <c r="N1713">
        <v>0</v>
      </c>
    </row>
    <row r="1714" spans="1:14" x14ac:dyDescent="0.45">
      <c r="A1714" t="s">
        <v>217</v>
      </c>
      <c r="B1714" t="s">
        <v>665</v>
      </c>
      <c r="C1714" t="s">
        <v>23</v>
      </c>
      <c r="D1714" t="s">
        <v>353</v>
      </c>
      <c r="E1714">
        <v>4</v>
      </c>
      <c r="F1714">
        <v>0</v>
      </c>
      <c r="G1714">
        <v>37</v>
      </c>
      <c r="H1714">
        <v>0</v>
      </c>
      <c r="I1714">
        <v>9.25</v>
      </c>
      <c r="J1714">
        <v>4</v>
      </c>
      <c r="K1714">
        <v>3</v>
      </c>
      <c r="L1714">
        <v>1</v>
      </c>
      <c r="M1714">
        <v>1</v>
      </c>
      <c r="N1714">
        <v>0</v>
      </c>
    </row>
    <row r="1715" spans="1:14" x14ac:dyDescent="0.45">
      <c r="A1715" t="s">
        <v>217</v>
      </c>
      <c r="B1715" t="s">
        <v>665</v>
      </c>
      <c r="C1715" t="s">
        <v>23</v>
      </c>
      <c r="D1715" t="s">
        <v>339</v>
      </c>
      <c r="E1715">
        <v>4</v>
      </c>
      <c r="F1715">
        <v>0</v>
      </c>
      <c r="G1715">
        <v>33</v>
      </c>
      <c r="H1715">
        <v>0</v>
      </c>
      <c r="I1715">
        <v>8.25</v>
      </c>
      <c r="J1715">
        <v>5</v>
      </c>
      <c r="K1715">
        <v>1</v>
      </c>
      <c r="L1715">
        <v>2</v>
      </c>
      <c r="M1715">
        <v>1</v>
      </c>
      <c r="N1715">
        <v>0</v>
      </c>
    </row>
    <row r="1716" spans="1:14" x14ac:dyDescent="0.45">
      <c r="A1716" t="s">
        <v>217</v>
      </c>
      <c r="B1716" t="s">
        <v>665</v>
      </c>
      <c r="C1716" t="s">
        <v>23</v>
      </c>
      <c r="D1716" t="s">
        <v>421</v>
      </c>
      <c r="E1716">
        <v>4</v>
      </c>
      <c r="F1716">
        <v>0</v>
      </c>
      <c r="G1716">
        <v>42</v>
      </c>
      <c r="H1716">
        <v>2</v>
      </c>
      <c r="I1716">
        <v>10.5</v>
      </c>
      <c r="J1716">
        <v>8</v>
      </c>
      <c r="K1716">
        <v>2</v>
      </c>
      <c r="L1716">
        <v>3</v>
      </c>
      <c r="M1716">
        <v>1</v>
      </c>
      <c r="N1716">
        <v>0</v>
      </c>
    </row>
    <row r="1717" spans="1:14" x14ac:dyDescent="0.45">
      <c r="A1717" t="s">
        <v>217</v>
      </c>
      <c r="B1717" t="s">
        <v>665</v>
      </c>
      <c r="C1717" t="s">
        <v>13</v>
      </c>
      <c r="D1717" t="s">
        <v>352</v>
      </c>
      <c r="E1717">
        <v>2</v>
      </c>
      <c r="F1717">
        <v>0</v>
      </c>
      <c r="G1717">
        <v>10</v>
      </c>
      <c r="H1717">
        <v>1</v>
      </c>
      <c r="I1717">
        <v>5</v>
      </c>
      <c r="J1717">
        <v>9</v>
      </c>
      <c r="K1717">
        <v>2</v>
      </c>
      <c r="L1717">
        <v>0</v>
      </c>
      <c r="M1717">
        <v>1</v>
      </c>
      <c r="N1717">
        <v>0</v>
      </c>
    </row>
    <row r="1718" spans="1:14" x14ac:dyDescent="0.45">
      <c r="A1718" t="s">
        <v>217</v>
      </c>
      <c r="B1718" t="s">
        <v>665</v>
      </c>
      <c r="C1718" t="s">
        <v>13</v>
      </c>
      <c r="D1718" t="s">
        <v>569</v>
      </c>
      <c r="E1718">
        <v>3</v>
      </c>
      <c r="F1718">
        <v>0</v>
      </c>
      <c r="G1718">
        <v>10</v>
      </c>
      <c r="H1718">
        <v>3</v>
      </c>
      <c r="I1718">
        <v>3.33</v>
      </c>
      <c r="J1718">
        <v>12</v>
      </c>
      <c r="K1718">
        <v>1</v>
      </c>
      <c r="L1718">
        <v>0</v>
      </c>
      <c r="M1718">
        <v>1</v>
      </c>
      <c r="N1718">
        <v>0</v>
      </c>
    </row>
    <row r="1719" spans="1:14" x14ac:dyDescent="0.45">
      <c r="A1719" t="s">
        <v>217</v>
      </c>
      <c r="B1719" t="s">
        <v>665</v>
      </c>
      <c r="C1719" t="s">
        <v>13</v>
      </c>
      <c r="D1719" t="s">
        <v>568</v>
      </c>
      <c r="E1719">
        <v>3</v>
      </c>
      <c r="F1719">
        <v>0</v>
      </c>
      <c r="G1719">
        <v>16</v>
      </c>
      <c r="H1719">
        <v>2</v>
      </c>
      <c r="I1719">
        <v>5.33</v>
      </c>
      <c r="J1719">
        <v>10</v>
      </c>
      <c r="K1719">
        <v>1</v>
      </c>
      <c r="L1719">
        <v>1</v>
      </c>
      <c r="M1719">
        <v>0</v>
      </c>
      <c r="N1719">
        <v>0</v>
      </c>
    </row>
    <row r="1720" spans="1:14" x14ac:dyDescent="0.45">
      <c r="A1720" t="s">
        <v>217</v>
      </c>
      <c r="B1720" t="s">
        <v>665</v>
      </c>
      <c r="C1720" t="s">
        <v>13</v>
      </c>
      <c r="D1720" t="s">
        <v>586</v>
      </c>
      <c r="E1720">
        <v>1.3</v>
      </c>
      <c r="F1720">
        <v>0</v>
      </c>
      <c r="G1720">
        <v>19</v>
      </c>
      <c r="H1720">
        <v>2</v>
      </c>
      <c r="I1720">
        <v>12.66</v>
      </c>
      <c r="J1720">
        <v>5</v>
      </c>
      <c r="K1720">
        <v>0</v>
      </c>
      <c r="L1720">
        <v>3</v>
      </c>
      <c r="M1720">
        <v>0</v>
      </c>
      <c r="N1720">
        <v>0</v>
      </c>
    </row>
    <row r="1721" spans="1:14" x14ac:dyDescent="0.45">
      <c r="A1721" t="s">
        <v>217</v>
      </c>
      <c r="B1721" t="s">
        <v>665</v>
      </c>
      <c r="C1721" t="s">
        <v>13</v>
      </c>
      <c r="D1721" t="s">
        <v>345</v>
      </c>
      <c r="E1721">
        <v>1</v>
      </c>
      <c r="F1721">
        <v>0</v>
      </c>
      <c r="G1721">
        <v>3</v>
      </c>
      <c r="H1721">
        <v>1</v>
      </c>
      <c r="I1721">
        <v>3</v>
      </c>
      <c r="J1721">
        <v>4</v>
      </c>
      <c r="K1721">
        <v>0</v>
      </c>
      <c r="L1721">
        <v>0</v>
      </c>
      <c r="M1721">
        <v>0</v>
      </c>
      <c r="N1721">
        <v>0</v>
      </c>
    </row>
    <row r="1722" spans="1:14" x14ac:dyDescent="0.45">
      <c r="A1722" t="s">
        <v>219</v>
      </c>
      <c r="B1722" t="s">
        <v>652</v>
      </c>
      <c r="C1722" t="s">
        <v>10</v>
      </c>
      <c r="D1722" t="s">
        <v>444</v>
      </c>
      <c r="E1722">
        <v>4</v>
      </c>
      <c r="F1722">
        <v>0</v>
      </c>
      <c r="G1722">
        <v>36</v>
      </c>
      <c r="H1722">
        <v>0</v>
      </c>
      <c r="I1722">
        <v>9</v>
      </c>
      <c r="J1722">
        <v>11</v>
      </c>
      <c r="K1722">
        <v>4</v>
      </c>
      <c r="L1722">
        <v>1</v>
      </c>
      <c r="M1722">
        <v>3</v>
      </c>
      <c r="N1722">
        <v>0</v>
      </c>
    </row>
    <row r="1723" spans="1:14" x14ac:dyDescent="0.45">
      <c r="A1723" t="s">
        <v>219</v>
      </c>
      <c r="B1723" t="s">
        <v>652</v>
      </c>
      <c r="C1723" t="s">
        <v>10</v>
      </c>
      <c r="D1723" t="s">
        <v>456</v>
      </c>
      <c r="E1723">
        <v>3</v>
      </c>
      <c r="F1723">
        <v>0</v>
      </c>
      <c r="G1723">
        <v>27</v>
      </c>
      <c r="H1723">
        <v>2</v>
      </c>
      <c r="I1723">
        <v>9</v>
      </c>
      <c r="J1723">
        <v>8</v>
      </c>
      <c r="K1723">
        <v>4</v>
      </c>
      <c r="L1723">
        <v>1</v>
      </c>
      <c r="M1723">
        <v>0</v>
      </c>
      <c r="N1723">
        <v>0</v>
      </c>
    </row>
    <row r="1724" spans="1:14" x14ac:dyDescent="0.45">
      <c r="A1724" t="s">
        <v>219</v>
      </c>
      <c r="B1724" t="s">
        <v>652</v>
      </c>
      <c r="C1724" t="s">
        <v>10</v>
      </c>
      <c r="D1724" t="s">
        <v>337</v>
      </c>
      <c r="E1724">
        <v>4</v>
      </c>
      <c r="F1724">
        <v>0</v>
      </c>
      <c r="G1724">
        <v>27</v>
      </c>
      <c r="H1724">
        <v>1</v>
      </c>
      <c r="I1724">
        <v>6.75</v>
      </c>
      <c r="J1724">
        <v>12</v>
      </c>
      <c r="K1724">
        <v>1</v>
      </c>
      <c r="L1724">
        <v>1</v>
      </c>
      <c r="M1724">
        <v>2</v>
      </c>
      <c r="N1724">
        <v>0</v>
      </c>
    </row>
    <row r="1725" spans="1:14" x14ac:dyDescent="0.45">
      <c r="A1725" t="s">
        <v>219</v>
      </c>
      <c r="B1725" t="s">
        <v>652</v>
      </c>
      <c r="C1725" t="s">
        <v>10</v>
      </c>
      <c r="D1725" t="s">
        <v>591</v>
      </c>
      <c r="E1725">
        <v>3</v>
      </c>
      <c r="F1725">
        <v>0</v>
      </c>
      <c r="G1725">
        <v>19</v>
      </c>
      <c r="H1725">
        <v>1</v>
      </c>
      <c r="I1725">
        <v>6.33</v>
      </c>
      <c r="J1725">
        <v>8</v>
      </c>
      <c r="K1725">
        <v>1</v>
      </c>
      <c r="L1725">
        <v>1</v>
      </c>
      <c r="M1725">
        <v>1</v>
      </c>
      <c r="N1725">
        <v>0</v>
      </c>
    </row>
    <row r="1726" spans="1:14" x14ac:dyDescent="0.45">
      <c r="A1726" t="s">
        <v>219</v>
      </c>
      <c r="B1726" t="s">
        <v>652</v>
      </c>
      <c r="C1726" t="s">
        <v>10</v>
      </c>
      <c r="D1726" t="s">
        <v>500</v>
      </c>
      <c r="E1726">
        <v>4</v>
      </c>
      <c r="F1726">
        <v>0</v>
      </c>
      <c r="G1726">
        <v>32</v>
      </c>
      <c r="H1726">
        <v>1</v>
      </c>
      <c r="I1726">
        <v>8</v>
      </c>
      <c r="J1726">
        <v>9</v>
      </c>
      <c r="K1726">
        <v>2</v>
      </c>
      <c r="L1726">
        <v>2</v>
      </c>
      <c r="M1726">
        <v>0</v>
      </c>
      <c r="N1726">
        <v>0</v>
      </c>
    </row>
    <row r="1727" spans="1:14" x14ac:dyDescent="0.45">
      <c r="A1727" t="s">
        <v>219</v>
      </c>
      <c r="B1727" t="s">
        <v>652</v>
      </c>
      <c r="C1727" t="s">
        <v>10</v>
      </c>
      <c r="D1727" t="s">
        <v>498</v>
      </c>
      <c r="E1727">
        <v>1</v>
      </c>
      <c r="F1727">
        <v>0</v>
      </c>
      <c r="G1727">
        <v>21</v>
      </c>
      <c r="H1727">
        <v>0</v>
      </c>
      <c r="I1727">
        <v>21</v>
      </c>
      <c r="J1727">
        <v>0</v>
      </c>
      <c r="K1727">
        <v>1</v>
      </c>
      <c r="L1727">
        <v>2</v>
      </c>
      <c r="M1727">
        <v>1</v>
      </c>
      <c r="N1727">
        <v>0</v>
      </c>
    </row>
    <row r="1728" spans="1:14" x14ac:dyDescent="0.45">
      <c r="A1728" t="s">
        <v>219</v>
      </c>
      <c r="B1728" t="s">
        <v>652</v>
      </c>
      <c r="C1728" t="s">
        <v>10</v>
      </c>
      <c r="D1728" t="s">
        <v>587</v>
      </c>
      <c r="E1728">
        <v>1</v>
      </c>
      <c r="F1728">
        <v>0</v>
      </c>
      <c r="G1728">
        <v>3</v>
      </c>
      <c r="H1728">
        <v>1</v>
      </c>
      <c r="I1728">
        <v>3</v>
      </c>
      <c r="J1728">
        <v>3</v>
      </c>
      <c r="K1728">
        <v>0</v>
      </c>
      <c r="L1728">
        <v>0</v>
      </c>
      <c r="M1728">
        <v>0</v>
      </c>
      <c r="N1728">
        <v>0</v>
      </c>
    </row>
    <row r="1729" spans="1:14" x14ac:dyDescent="0.45">
      <c r="A1729" t="s">
        <v>219</v>
      </c>
      <c r="B1729" t="s">
        <v>652</v>
      </c>
      <c r="C1729" t="s">
        <v>26</v>
      </c>
      <c r="D1729" t="s">
        <v>520</v>
      </c>
      <c r="E1729">
        <v>1</v>
      </c>
      <c r="F1729">
        <v>0</v>
      </c>
      <c r="G1729">
        <v>10</v>
      </c>
      <c r="H1729">
        <v>0</v>
      </c>
      <c r="I1729">
        <v>10</v>
      </c>
      <c r="J1729">
        <v>2</v>
      </c>
      <c r="K1729">
        <v>2</v>
      </c>
      <c r="L1729">
        <v>0</v>
      </c>
      <c r="M1729">
        <v>0</v>
      </c>
      <c r="N1729">
        <v>0</v>
      </c>
    </row>
    <row r="1730" spans="1:14" x14ac:dyDescent="0.45">
      <c r="A1730" t="s">
        <v>219</v>
      </c>
      <c r="B1730" t="s">
        <v>652</v>
      </c>
      <c r="C1730" t="s">
        <v>26</v>
      </c>
      <c r="D1730" t="s">
        <v>420</v>
      </c>
      <c r="E1730">
        <v>2</v>
      </c>
      <c r="F1730">
        <v>0</v>
      </c>
      <c r="G1730">
        <v>18</v>
      </c>
      <c r="H1730">
        <v>0</v>
      </c>
      <c r="I1730">
        <v>9</v>
      </c>
      <c r="J1730">
        <v>4</v>
      </c>
      <c r="K1730">
        <v>3</v>
      </c>
      <c r="L1730">
        <v>0</v>
      </c>
      <c r="M1730">
        <v>0</v>
      </c>
      <c r="N1730">
        <v>0</v>
      </c>
    </row>
    <row r="1731" spans="1:14" x14ac:dyDescent="0.45">
      <c r="A1731" t="s">
        <v>219</v>
      </c>
      <c r="B1731" t="s">
        <v>652</v>
      </c>
      <c r="C1731" t="s">
        <v>26</v>
      </c>
      <c r="D1731" t="s">
        <v>404</v>
      </c>
      <c r="E1731">
        <v>4</v>
      </c>
      <c r="F1731">
        <v>0</v>
      </c>
      <c r="G1731">
        <v>30</v>
      </c>
      <c r="H1731">
        <v>4</v>
      </c>
      <c r="I1731">
        <v>7.5</v>
      </c>
      <c r="J1731">
        <v>11</v>
      </c>
      <c r="K1731">
        <v>5</v>
      </c>
      <c r="L1731">
        <v>0</v>
      </c>
      <c r="M1731">
        <v>1</v>
      </c>
      <c r="N1731">
        <v>0</v>
      </c>
    </row>
    <row r="1732" spans="1:14" x14ac:dyDescent="0.45">
      <c r="A1732" t="s">
        <v>219</v>
      </c>
      <c r="B1732" t="s">
        <v>652</v>
      </c>
      <c r="C1732" t="s">
        <v>26</v>
      </c>
      <c r="D1732" t="s">
        <v>428</v>
      </c>
      <c r="E1732">
        <v>4</v>
      </c>
      <c r="F1732">
        <v>0</v>
      </c>
      <c r="G1732">
        <v>26</v>
      </c>
      <c r="H1732">
        <v>2</v>
      </c>
      <c r="I1732">
        <v>6.5</v>
      </c>
      <c r="J1732">
        <v>6</v>
      </c>
      <c r="K1732">
        <v>2</v>
      </c>
      <c r="L1732">
        <v>0</v>
      </c>
      <c r="M1732">
        <v>1</v>
      </c>
      <c r="N1732">
        <v>0</v>
      </c>
    </row>
    <row r="1733" spans="1:14" x14ac:dyDescent="0.45">
      <c r="A1733" t="s">
        <v>219</v>
      </c>
      <c r="B1733" t="s">
        <v>652</v>
      </c>
      <c r="C1733" t="s">
        <v>26</v>
      </c>
      <c r="D1733" t="s">
        <v>405</v>
      </c>
      <c r="E1733">
        <v>4</v>
      </c>
      <c r="F1733">
        <v>0</v>
      </c>
      <c r="G1733">
        <v>32</v>
      </c>
      <c r="H1733">
        <v>0</v>
      </c>
      <c r="I1733">
        <v>8</v>
      </c>
      <c r="J1733">
        <v>8</v>
      </c>
      <c r="K1733">
        <v>2</v>
      </c>
      <c r="L1733">
        <v>2</v>
      </c>
      <c r="M1733">
        <v>0</v>
      </c>
      <c r="N1733">
        <v>0</v>
      </c>
    </row>
    <row r="1734" spans="1:14" x14ac:dyDescent="0.45">
      <c r="A1734" t="s">
        <v>219</v>
      </c>
      <c r="B1734" t="s">
        <v>652</v>
      </c>
      <c r="C1734" t="s">
        <v>26</v>
      </c>
      <c r="D1734" t="s">
        <v>435</v>
      </c>
      <c r="E1734">
        <v>4</v>
      </c>
      <c r="F1734">
        <v>0</v>
      </c>
      <c r="G1734">
        <v>16</v>
      </c>
      <c r="H1734">
        <v>2</v>
      </c>
      <c r="I1734">
        <v>4</v>
      </c>
      <c r="J1734">
        <v>18</v>
      </c>
      <c r="K1734">
        <v>3</v>
      </c>
      <c r="L1734">
        <v>0</v>
      </c>
      <c r="M1734">
        <v>1</v>
      </c>
      <c r="N1734">
        <v>0</v>
      </c>
    </row>
    <row r="1735" spans="1:14" x14ac:dyDescent="0.45">
      <c r="A1735" t="s">
        <v>219</v>
      </c>
      <c r="B1735" t="s">
        <v>652</v>
      </c>
      <c r="C1735" t="s">
        <v>26</v>
      </c>
      <c r="D1735" t="s">
        <v>590</v>
      </c>
      <c r="E1735">
        <v>1</v>
      </c>
      <c r="F1735">
        <v>0</v>
      </c>
      <c r="G1735">
        <v>3</v>
      </c>
      <c r="H1735">
        <v>0</v>
      </c>
      <c r="I1735">
        <v>3</v>
      </c>
      <c r="J1735">
        <v>3</v>
      </c>
      <c r="K1735">
        <v>0</v>
      </c>
      <c r="L1735">
        <v>0</v>
      </c>
      <c r="M1735">
        <v>0</v>
      </c>
      <c r="N1735">
        <v>0</v>
      </c>
    </row>
    <row r="1736" spans="1:14" x14ac:dyDescent="0.45">
      <c r="A1736" t="s">
        <v>220</v>
      </c>
      <c r="B1736" t="s">
        <v>702</v>
      </c>
      <c r="C1736" t="s">
        <v>104</v>
      </c>
      <c r="D1736" t="s">
        <v>592</v>
      </c>
      <c r="E1736">
        <v>3</v>
      </c>
      <c r="F1736">
        <v>0</v>
      </c>
      <c r="G1736">
        <v>24</v>
      </c>
      <c r="H1736">
        <v>1</v>
      </c>
      <c r="I1736">
        <v>8</v>
      </c>
      <c r="J1736">
        <v>8</v>
      </c>
      <c r="K1736">
        <v>4</v>
      </c>
      <c r="L1736">
        <v>0</v>
      </c>
      <c r="M1736">
        <v>1</v>
      </c>
      <c r="N1736">
        <v>0</v>
      </c>
    </row>
    <row r="1737" spans="1:14" x14ac:dyDescent="0.45">
      <c r="A1737" t="s">
        <v>220</v>
      </c>
      <c r="B1737" t="s">
        <v>702</v>
      </c>
      <c r="C1737" t="s">
        <v>104</v>
      </c>
      <c r="D1737" t="s">
        <v>564</v>
      </c>
      <c r="E1737">
        <v>1</v>
      </c>
      <c r="F1737">
        <v>0</v>
      </c>
      <c r="G1737">
        <v>11</v>
      </c>
      <c r="H1737">
        <v>0</v>
      </c>
      <c r="I1737">
        <v>11</v>
      </c>
      <c r="J1737">
        <v>3</v>
      </c>
      <c r="K1737">
        <v>2</v>
      </c>
      <c r="L1737">
        <v>0</v>
      </c>
      <c r="M1737">
        <v>0</v>
      </c>
      <c r="N1737">
        <v>1</v>
      </c>
    </row>
    <row r="1738" spans="1:14" x14ac:dyDescent="0.45">
      <c r="A1738" t="s">
        <v>220</v>
      </c>
      <c r="B1738" t="s">
        <v>702</v>
      </c>
      <c r="C1738" t="s">
        <v>104</v>
      </c>
      <c r="D1738" t="s">
        <v>366</v>
      </c>
      <c r="E1738">
        <v>4</v>
      </c>
      <c r="F1738">
        <v>0</v>
      </c>
      <c r="G1738">
        <v>24</v>
      </c>
      <c r="H1738">
        <v>2</v>
      </c>
      <c r="I1738">
        <v>6</v>
      </c>
      <c r="J1738">
        <v>12</v>
      </c>
      <c r="K1738">
        <v>2</v>
      </c>
      <c r="L1738">
        <v>1</v>
      </c>
      <c r="M1738">
        <v>0</v>
      </c>
      <c r="N1738">
        <v>0</v>
      </c>
    </row>
    <row r="1739" spans="1:14" x14ac:dyDescent="0.45">
      <c r="A1739" t="s">
        <v>220</v>
      </c>
      <c r="B1739" t="s">
        <v>702</v>
      </c>
      <c r="C1739" t="s">
        <v>104</v>
      </c>
      <c r="D1739" t="s">
        <v>340</v>
      </c>
      <c r="E1739">
        <v>2</v>
      </c>
      <c r="F1739">
        <v>0</v>
      </c>
      <c r="G1739">
        <v>30</v>
      </c>
      <c r="H1739">
        <v>1</v>
      </c>
      <c r="I1739">
        <v>15</v>
      </c>
      <c r="J1739">
        <v>2</v>
      </c>
      <c r="K1739">
        <v>5</v>
      </c>
      <c r="L1739">
        <v>1</v>
      </c>
      <c r="M1739">
        <v>0</v>
      </c>
      <c r="N1739">
        <v>0</v>
      </c>
    </row>
    <row r="1740" spans="1:14" x14ac:dyDescent="0.45">
      <c r="A1740" t="s">
        <v>220</v>
      </c>
      <c r="B1740" t="s">
        <v>702</v>
      </c>
      <c r="C1740" t="s">
        <v>104</v>
      </c>
      <c r="D1740" t="s">
        <v>566</v>
      </c>
      <c r="E1740">
        <v>4</v>
      </c>
      <c r="F1740">
        <v>0</v>
      </c>
      <c r="G1740">
        <v>28</v>
      </c>
      <c r="H1740">
        <v>1</v>
      </c>
      <c r="I1740">
        <v>7</v>
      </c>
      <c r="J1740">
        <v>11</v>
      </c>
      <c r="K1740">
        <v>1</v>
      </c>
      <c r="L1740">
        <v>2</v>
      </c>
      <c r="M1740">
        <v>0</v>
      </c>
      <c r="N1740">
        <v>0</v>
      </c>
    </row>
    <row r="1741" spans="1:14" x14ac:dyDescent="0.45">
      <c r="A1741" t="s">
        <v>220</v>
      </c>
      <c r="B1741" t="s">
        <v>702</v>
      </c>
      <c r="C1741" t="s">
        <v>104</v>
      </c>
      <c r="D1741" t="s">
        <v>468</v>
      </c>
      <c r="E1741">
        <v>4</v>
      </c>
      <c r="F1741">
        <v>0</v>
      </c>
      <c r="G1741">
        <v>40</v>
      </c>
      <c r="H1741">
        <v>1</v>
      </c>
      <c r="I1741">
        <v>10</v>
      </c>
      <c r="J1741">
        <v>8</v>
      </c>
      <c r="K1741">
        <v>2</v>
      </c>
      <c r="L1741">
        <v>3</v>
      </c>
      <c r="M1741">
        <v>1</v>
      </c>
      <c r="N1741">
        <v>0</v>
      </c>
    </row>
    <row r="1742" spans="1:14" x14ac:dyDescent="0.45">
      <c r="A1742" t="s">
        <v>220</v>
      </c>
      <c r="B1742" t="s">
        <v>702</v>
      </c>
      <c r="C1742" t="s">
        <v>104</v>
      </c>
      <c r="D1742" t="s">
        <v>407</v>
      </c>
      <c r="E1742">
        <v>2</v>
      </c>
      <c r="F1742">
        <v>0</v>
      </c>
      <c r="G1742">
        <v>23</v>
      </c>
      <c r="H1742">
        <v>0</v>
      </c>
      <c r="I1742">
        <v>11.5</v>
      </c>
      <c r="J1742">
        <v>1</v>
      </c>
      <c r="K1742">
        <v>2</v>
      </c>
      <c r="L1742">
        <v>1</v>
      </c>
      <c r="M1742">
        <v>0</v>
      </c>
      <c r="N1742">
        <v>0</v>
      </c>
    </row>
    <row r="1743" spans="1:14" x14ac:dyDescent="0.45">
      <c r="A1743" t="s">
        <v>220</v>
      </c>
      <c r="B1743" t="s">
        <v>702</v>
      </c>
      <c r="C1743" t="s">
        <v>20</v>
      </c>
      <c r="D1743" t="s">
        <v>409</v>
      </c>
      <c r="E1743">
        <v>4</v>
      </c>
      <c r="F1743">
        <v>0</v>
      </c>
      <c r="G1743">
        <v>30</v>
      </c>
      <c r="H1743">
        <v>0</v>
      </c>
      <c r="I1743">
        <v>7.5</v>
      </c>
      <c r="J1743">
        <v>8</v>
      </c>
      <c r="K1743">
        <v>3</v>
      </c>
      <c r="L1743">
        <v>1</v>
      </c>
      <c r="M1743">
        <v>0</v>
      </c>
      <c r="N1743">
        <v>0</v>
      </c>
    </row>
    <row r="1744" spans="1:14" x14ac:dyDescent="0.45">
      <c r="A1744" t="s">
        <v>220</v>
      </c>
      <c r="B1744" t="s">
        <v>702</v>
      </c>
      <c r="C1744" t="s">
        <v>20</v>
      </c>
      <c r="D1744" t="s">
        <v>497</v>
      </c>
      <c r="E1744">
        <v>3.2</v>
      </c>
      <c r="F1744">
        <v>0</v>
      </c>
      <c r="G1744">
        <v>32</v>
      </c>
      <c r="H1744">
        <v>0</v>
      </c>
      <c r="I1744">
        <v>9.6</v>
      </c>
      <c r="J1744">
        <v>8</v>
      </c>
      <c r="K1744">
        <v>5</v>
      </c>
      <c r="L1744">
        <v>0</v>
      </c>
      <c r="M1744">
        <v>4</v>
      </c>
      <c r="N1744">
        <v>0</v>
      </c>
    </row>
    <row r="1745" spans="1:14" x14ac:dyDescent="0.45">
      <c r="A1745" t="s">
        <v>220</v>
      </c>
      <c r="B1745" t="s">
        <v>702</v>
      </c>
      <c r="C1745" t="s">
        <v>20</v>
      </c>
      <c r="D1745" t="s">
        <v>389</v>
      </c>
      <c r="E1745">
        <v>2</v>
      </c>
      <c r="F1745">
        <v>0</v>
      </c>
      <c r="G1745">
        <v>10</v>
      </c>
      <c r="H1745">
        <v>1</v>
      </c>
      <c r="I1745">
        <v>5</v>
      </c>
      <c r="J1745">
        <v>5</v>
      </c>
      <c r="K1745">
        <v>1</v>
      </c>
      <c r="L1745">
        <v>0</v>
      </c>
      <c r="M1745">
        <v>0</v>
      </c>
      <c r="N1745">
        <v>0</v>
      </c>
    </row>
    <row r="1746" spans="1:14" x14ac:dyDescent="0.45">
      <c r="A1746" t="s">
        <v>220</v>
      </c>
      <c r="B1746" t="s">
        <v>702</v>
      </c>
      <c r="C1746" t="s">
        <v>20</v>
      </c>
      <c r="D1746" t="s">
        <v>483</v>
      </c>
      <c r="E1746">
        <v>4</v>
      </c>
      <c r="F1746">
        <v>0</v>
      </c>
      <c r="G1746">
        <v>31</v>
      </c>
      <c r="H1746">
        <v>0</v>
      </c>
      <c r="I1746">
        <v>7.75</v>
      </c>
      <c r="J1746">
        <v>8</v>
      </c>
      <c r="K1746">
        <v>1</v>
      </c>
      <c r="L1746">
        <v>2</v>
      </c>
      <c r="M1746">
        <v>0</v>
      </c>
      <c r="N1746">
        <v>0</v>
      </c>
    </row>
    <row r="1747" spans="1:14" x14ac:dyDescent="0.45">
      <c r="A1747" t="s">
        <v>220</v>
      </c>
      <c r="B1747" t="s">
        <v>702</v>
      </c>
      <c r="C1747" t="s">
        <v>20</v>
      </c>
      <c r="D1747" t="s">
        <v>419</v>
      </c>
      <c r="E1747">
        <v>3</v>
      </c>
      <c r="F1747">
        <v>0</v>
      </c>
      <c r="G1747">
        <v>39</v>
      </c>
      <c r="H1747">
        <v>1</v>
      </c>
      <c r="I1747">
        <v>13</v>
      </c>
      <c r="J1747">
        <v>2</v>
      </c>
      <c r="K1747">
        <v>4</v>
      </c>
      <c r="L1747">
        <v>2</v>
      </c>
      <c r="M1747">
        <v>0</v>
      </c>
      <c r="N1747">
        <v>0</v>
      </c>
    </row>
    <row r="1748" spans="1:14" x14ac:dyDescent="0.45">
      <c r="A1748" t="s">
        <v>220</v>
      </c>
      <c r="B1748" t="s">
        <v>702</v>
      </c>
      <c r="C1748" t="s">
        <v>20</v>
      </c>
      <c r="D1748" t="s">
        <v>373</v>
      </c>
      <c r="E1748">
        <v>3</v>
      </c>
      <c r="F1748">
        <v>0</v>
      </c>
      <c r="G1748">
        <v>42</v>
      </c>
      <c r="H1748">
        <v>1</v>
      </c>
      <c r="I1748">
        <v>14</v>
      </c>
      <c r="J1748">
        <v>6</v>
      </c>
      <c r="K1748">
        <v>1</v>
      </c>
      <c r="L1748">
        <v>5</v>
      </c>
      <c r="M1748">
        <v>1</v>
      </c>
      <c r="N1748">
        <v>0</v>
      </c>
    </row>
    <row r="1749" spans="1:14" x14ac:dyDescent="0.45">
      <c r="A1749" t="s">
        <v>221</v>
      </c>
      <c r="B1749" t="s">
        <v>678</v>
      </c>
      <c r="C1749" t="s">
        <v>101</v>
      </c>
      <c r="D1749" t="s">
        <v>403</v>
      </c>
      <c r="E1749">
        <v>4</v>
      </c>
      <c r="F1749">
        <v>0</v>
      </c>
      <c r="G1749">
        <v>53</v>
      </c>
      <c r="H1749">
        <v>0</v>
      </c>
      <c r="I1749">
        <v>13.25</v>
      </c>
      <c r="J1749">
        <v>9</v>
      </c>
      <c r="K1749">
        <v>5</v>
      </c>
      <c r="L1749">
        <v>4</v>
      </c>
      <c r="M1749">
        <v>0</v>
      </c>
      <c r="N1749">
        <v>0</v>
      </c>
    </row>
    <row r="1750" spans="1:14" x14ac:dyDescent="0.45">
      <c r="A1750" t="s">
        <v>221</v>
      </c>
      <c r="B1750" t="s">
        <v>678</v>
      </c>
      <c r="C1750" t="s">
        <v>101</v>
      </c>
      <c r="D1750" t="s">
        <v>558</v>
      </c>
      <c r="E1750">
        <v>4</v>
      </c>
      <c r="F1750">
        <v>0</v>
      </c>
      <c r="G1750">
        <v>43</v>
      </c>
      <c r="H1750">
        <v>1</v>
      </c>
      <c r="I1750">
        <v>10.75</v>
      </c>
      <c r="J1750">
        <v>10</v>
      </c>
      <c r="K1750">
        <v>6</v>
      </c>
      <c r="L1750">
        <v>2</v>
      </c>
      <c r="M1750">
        <v>0</v>
      </c>
      <c r="N1750">
        <v>0</v>
      </c>
    </row>
    <row r="1751" spans="1:14" x14ac:dyDescent="0.45">
      <c r="A1751" t="s">
        <v>221</v>
      </c>
      <c r="B1751" t="s">
        <v>678</v>
      </c>
      <c r="C1751" t="s">
        <v>101</v>
      </c>
      <c r="D1751" t="s">
        <v>379</v>
      </c>
      <c r="E1751">
        <v>4</v>
      </c>
      <c r="F1751">
        <v>0</v>
      </c>
      <c r="G1751">
        <v>30</v>
      </c>
      <c r="H1751">
        <v>4</v>
      </c>
      <c r="I1751">
        <v>7.5</v>
      </c>
      <c r="J1751">
        <v>10</v>
      </c>
      <c r="K1751">
        <v>5</v>
      </c>
      <c r="L1751">
        <v>0</v>
      </c>
      <c r="M1751">
        <v>0</v>
      </c>
      <c r="N1751">
        <v>0</v>
      </c>
    </row>
    <row r="1752" spans="1:14" x14ac:dyDescent="0.45">
      <c r="A1752" t="s">
        <v>221</v>
      </c>
      <c r="B1752" t="s">
        <v>678</v>
      </c>
      <c r="C1752" t="s">
        <v>101</v>
      </c>
      <c r="D1752" t="s">
        <v>556</v>
      </c>
      <c r="E1752">
        <v>4</v>
      </c>
      <c r="F1752">
        <v>0</v>
      </c>
      <c r="G1752">
        <v>38</v>
      </c>
      <c r="H1752">
        <v>0</v>
      </c>
      <c r="I1752">
        <v>9.5</v>
      </c>
      <c r="J1752">
        <v>7</v>
      </c>
      <c r="K1752">
        <v>4</v>
      </c>
      <c r="L1752">
        <v>1</v>
      </c>
      <c r="M1752">
        <v>0</v>
      </c>
      <c r="N1752">
        <v>0</v>
      </c>
    </row>
    <row r="1753" spans="1:14" x14ac:dyDescent="0.45">
      <c r="A1753" t="s">
        <v>221</v>
      </c>
      <c r="B1753" t="s">
        <v>678</v>
      </c>
      <c r="C1753" t="s">
        <v>101</v>
      </c>
      <c r="D1753" t="s">
        <v>493</v>
      </c>
      <c r="E1753">
        <v>4</v>
      </c>
      <c r="F1753">
        <v>0</v>
      </c>
      <c r="G1753">
        <v>52</v>
      </c>
      <c r="H1753">
        <v>0</v>
      </c>
      <c r="I1753">
        <v>13</v>
      </c>
      <c r="J1753">
        <v>5</v>
      </c>
      <c r="K1753">
        <v>2</v>
      </c>
      <c r="L1753">
        <v>5</v>
      </c>
      <c r="M1753">
        <v>0</v>
      </c>
      <c r="N1753">
        <v>0</v>
      </c>
    </row>
    <row r="1754" spans="1:14" x14ac:dyDescent="0.45">
      <c r="A1754" t="s">
        <v>221</v>
      </c>
      <c r="B1754" t="s">
        <v>678</v>
      </c>
      <c r="C1754" t="s">
        <v>19</v>
      </c>
      <c r="D1754" t="s">
        <v>562</v>
      </c>
      <c r="E1754">
        <v>4</v>
      </c>
      <c r="F1754">
        <v>0</v>
      </c>
      <c r="G1754">
        <v>37</v>
      </c>
      <c r="H1754">
        <v>1</v>
      </c>
      <c r="I1754">
        <v>9.25</v>
      </c>
      <c r="J1754">
        <v>8</v>
      </c>
      <c r="K1754">
        <v>5</v>
      </c>
      <c r="L1754">
        <v>1</v>
      </c>
      <c r="M1754">
        <v>1</v>
      </c>
      <c r="N1754">
        <v>0</v>
      </c>
    </row>
    <row r="1755" spans="1:14" x14ac:dyDescent="0.45">
      <c r="A1755" t="s">
        <v>221</v>
      </c>
      <c r="B1755" t="s">
        <v>678</v>
      </c>
      <c r="C1755" t="s">
        <v>19</v>
      </c>
      <c r="D1755" t="s">
        <v>563</v>
      </c>
      <c r="E1755">
        <v>4</v>
      </c>
      <c r="F1755">
        <v>0</v>
      </c>
      <c r="G1755">
        <v>31</v>
      </c>
      <c r="H1755">
        <v>3</v>
      </c>
      <c r="I1755">
        <v>7.75</v>
      </c>
      <c r="J1755">
        <v>11</v>
      </c>
      <c r="K1755">
        <v>4</v>
      </c>
      <c r="L1755">
        <v>1</v>
      </c>
      <c r="M1755">
        <v>0</v>
      </c>
      <c r="N1755">
        <v>0</v>
      </c>
    </row>
    <row r="1756" spans="1:14" x14ac:dyDescent="0.45">
      <c r="A1756" t="s">
        <v>221</v>
      </c>
      <c r="B1756" t="s">
        <v>678</v>
      </c>
      <c r="C1756" t="s">
        <v>19</v>
      </c>
      <c r="D1756" t="s">
        <v>406</v>
      </c>
      <c r="E1756">
        <v>4</v>
      </c>
      <c r="F1756">
        <v>0</v>
      </c>
      <c r="G1756">
        <v>34</v>
      </c>
      <c r="H1756">
        <v>0</v>
      </c>
      <c r="I1756">
        <v>8.5</v>
      </c>
      <c r="J1756">
        <v>9</v>
      </c>
      <c r="K1756">
        <v>3</v>
      </c>
      <c r="L1756">
        <v>2</v>
      </c>
      <c r="M1756">
        <v>0</v>
      </c>
      <c r="N1756">
        <v>0</v>
      </c>
    </row>
    <row r="1757" spans="1:14" x14ac:dyDescent="0.45">
      <c r="A1757" t="s">
        <v>221</v>
      </c>
      <c r="B1757" t="s">
        <v>678</v>
      </c>
      <c r="C1757" t="s">
        <v>19</v>
      </c>
      <c r="D1757" t="s">
        <v>368</v>
      </c>
      <c r="E1757">
        <v>4</v>
      </c>
      <c r="F1757">
        <v>0</v>
      </c>
      <c r="G1757">
        <v>36</v>
      </c>
      <c r="H1757">
        <v>2</v>
      </c>
      <c r="I1757">
        <v>9</v>
      </c>
      <c r="J1757">
        <v>7</v>
      </c>
      <c r="K1757">
        <v>4</v>
      </c>
      <c r="L1757">
        <v>1</v>
      </c>
      <c r="M1757">
        <v>0</v>
      </c>
      <c r="N1757">
        <v>0</v>
      </c>
    </row>
    <row r="1758" spans="1:14" x14ac:dyDescent="0.45">
      <c r="A1758" t="s">
        <v>221</v>
      </c>
      <c r="B1758" t="s">
        <v>678</v>
      </c>
      <c r="C1758" t="s">
        <v>19</v>
      </c>
      <c r="D1758" t="s">
        <v>524</v>
      </c>
      <c r="E1758">
        <v>3</v>
      </c>
      <c r="F1758">
        <v>0</v>
      </c>
      <c r="G1758">
        <v>37</v>
      </c>
      <c r="H1758">
        <v>2</v>
      </c>
      <c r="I1758">
        <v>12.33</v>
      </c>
      <c r="J1758">
        <v>8</v>
      </c>
      <c r="K1758">
        <v>0</v>
      </c>
      <c r="L1758">
        <v>5</v>
      </c>
      <c r="M1758">
        <v>2</v>
      </c>
      <c r="N1758">
        <v>0</v>
      </c>
    </row>
    <row r="1759" spans="1:14" x14ac:dyDescent="0.45">
      <c r="A1759" t="s">
        <v>221</v>
      </c>
      <c r="B1759" t="s">
        <v>678</v>
      </c>
      <c r="C1759" t="s">
        <v>19</v>
      </c>
      <c r="D1759" t="s">
        <v>560</v>
      </c>
      <c r="E1759">
        <v>1</v>
      </c>
      <c r="F1759">
        <v>0</v>
      </c>
      <c r="G1759">
        <v>13</v>
      </c>
      <c r="H1759">
        <v>0</v>
      </c>
      <c r="I1759">
        <v>13</v>
      </c>
      <c r="J1759">
        <v>3</v>
      </c>
      <c r="K1759">
        <v>0</v>
      </c>
      <c r="L1759">
        <v>2</v>
      </c>
      <c r="M1759">
        <v>0</v>
      </c>
      <c r="N1759">
        <v>0</v>
      </c>
    </row>
    <row r="1760" spans="1:14" x14ac:dyDescent="0.45">
      <c r="A1760" t="s">
        <v>222</v>
      </c>
      <c r="B1760" t="s">
        <v>629</v>
      </c>
      <c r="C1760" t="s">
        <v>23</v>
      </c>
      <c r="D1760" t="s">
        <v>370</v>
      </c>
      <c r="E1760">
        <v>3</v>
      </c>
      <c r="F1760">
        <v>0</v>
      </c>
      <c r="G1760">
        <v>15</v>
      </c>
      <c r="H1760">
        <v>2</v>
      </c>
      <c r="I1760">
        <v>5</v>
      </c>
      <c r="J1760">
        <v>13</v>
      </c>
      <c r="K1760">
        <v>2</v>
      </c>
      <c r="L1760">
        <v>0</v>
      </c>
      <c r="M1760">
        <v>0</v>
      </c>
      <c r="N1760">
        <v>0</v>
      </c>
    </row>
    <row r="1761" spans="1:14" x14ac:dyDescent="0.45">
      <c r="A1761" t="s">
        <v>222</v>
      </c>
      <c r="B1761" t="s">
        <v>629</v>
      </c>
      <c r="C1761" t="s">
        <v>23</v>
      </c>
      <c r="D1761" t="s">
        <v>429</v>
      </c>
      <c r="E1761">
        <v>4</v>
      </c>
      <c r="F1761">
        <v>0</v>
      </c>
      <c r="G1761">
        <v>34</v>
      </c>
      <c r="H1761">
        <v>1</v>
      </c>
      <c r="I1761">
        <v>8.5</v>
      </c>
      <c r="J1761">
        <v>12</v>
      </c>
      <c r="K1761">
        <v>2</v>
      </c>
      <c r="L1761">
        <v>3</v>
      </c>
      <c r="M1761">
        <v>0</v>
      </c>
      <c r="N1761">
        <v>0</v>
      </c>
    </row>
    <row r="1762" spans="1:14" x14ac:dyDescent="0.45">
      <c r="A1762" t="s">
        <v>222</v>
      </c>
      <c r="B1762" t="s">
        <v>629</v>
      </c>
      <c r="C1762" t="s">
        <v>23</v>
      </c>
      <c r="D1762" t="s">
        <v>339</v>
      </c>
      <c r="E1762">
        <v>4</v>
      </c>
      <c r="F1762">
        <v>0</v>
      </c>
      <c r="G1762">
        <v>32</v>
      </c>
      <c r="H1762">
        <v>0</v>
      </c>
      <c r="I1762">
        <v>8</v>
      </c>
      <c r="J1762">
        <v>6</v>
      </c>
      <c r="K1762">
        <v>1</v>
      </c>
      <c r="L1762">
        <v>2</v>
      </c>
      <c r="M1762">
        <v>0</v>
      </c>
      <c r="N1762">
        <v>0</v>
      </c>
    </row>
    <row r="1763" spans="1:14" x14ac:dyDescent="0.45">
      <c r="A1763" t="s">
        <v>222</v>
      </c>
      <c r="B1763" t="s">
        <v>629</v>
      </c>
      <c r="C1763" t="s">
        <v>23</v>
      </c>
      <c r="D1763" t="s">
        <v>589</v>
      </c>
      <c r="E1763">
        <v>2</v>
      </c>
      <c r="F1763">
        <v>0</v>
      </c>
      <c r="G1763">
        <v>14</v>
      </c>
      <c r="H1763">
        <v>0</v>
      </c>
      <c r="I1763">
        <v>7</v>
      </c>
      <c r="J1763">
        <v>2</v>
      </c>
      <c r="K1763">
        <v>1</v>
      </c>
      <c r="L1763">
        <v>0</v>
      </c>
      <c r="M1763">
        <v>0</v>
      </c>
      <c r="N1763">
        <v>0</v>
      </c>
    </row>
    <row r="1764" spans="1:14" x14ac:dyDescent="0.45">
      <c r="A1764" t="s">
        <v>222</v>
      </c>
      <c r="B1764" t="s">
        <v>629</v>
      </c>
      <c r="C1764" t="s">
        <v>23</v>
      </c>
      <c r="D1764" t="s">
        <v>353</v>
      </c>
      <c r="E1764">
        <v>4</v>
      </c>
      <c r="F1764">
        <v>0</v>
      </c>
      <c r="G1764">
        <v>25</v>
      </c>
      <c r="H1764">
        <v>4</v>
      </c>
      <c r="I1764">
        <v>6.25</v>
      </c>
      <c r="J1764">
        <v>11</v>
      </c>
      <c r="K1764">
        <v>2</v>
      </c>
      <c r="L1764">
        <v>1</v>
      </c>
      <c r="M1764">
        <v>0</v>
      </c>
      <c r="N1764">
        <v>0</v>
      </c>
    </row>
    <row r="1765" spans="1:14" x14ac:dyDescent="0.45">
      <c r="A1765" t="s">
        <v>222</v>
      </c>
      <c r="B1765" t="s">
        <v>629</v>
      </c>
      <c r="C1765" t="s">
        <v>23</v>
      </c>
      <c r="D1765" t="s">
        <v>421</v>
      </c>
      <c r="E1765">
        <v>3</v>
      </c>
      <c r="F1765">
        <v>0</v>
      </c>
      <c r="G1765">
        <v>27</v>
      </c>
      <c r="H1765">
        <v>1</v>
      </c>
      <c r="I1765">
        <v>9</v>
      </c>
      <c r="J1765">
        <v>4</v>
      </c>
      <c r="K1765">
        <v>0</v>
      </c>
      <c r="L1765">
        <v>2</v>
      </c>
      <c r="M1765">
        <v>1</v>
      </c>
      <c r="N1765">
        <v>0</v>
      </c>
    </row>
    <row r="1766" spans="1:14" x14ac:dyDescent="0.45">
      <c r="A1766" t="s">
        <v>222</v>
      </c>
      <c r="B1766" t="s">
        <v>629</v>
      </c>
      <c r="C1766" t="s">
        <v>7</v>
      </c>
      <c r="D1766" t="s">
        <v>306</v>
      </c>
      <c r="E1766">
        <v>1</v>
      </c>
      <c r="F1766">
        <v>0</v>
      </c>
      <c r="G1766">
        <v>26</v>
      </c>
      <c r="H1766">
        <v>0</v>
      </c>
      <c r="I1766">
        <v>26</v>
      </c>
      <c r="J1766">
        <v>0</v>
      </c>
      <c r="K1766">
        <v>3</v>
      </c>
      <c r="L1766">
        <v>2</v>
      </c>
      <c r="M1766">
        <v>0</v>
      </c>
      <c r="N1766">
        <v>0</v>
      </c>
    </row>
    <row r="1767" spans="1:14" x14ac:dyDescent="0.45">
      <c r="A1767" t="s">
        <v>222</v>
      </c>
      <c r="B1767" t="s">
        <v>629</v>
      </c>
      <c r="C1767" t="s">
        <v>7</v>
      </c>
      <c r="D1767" t="s">
        <v>533</v>
      </c>
      <c r="E1767">
        <v>2</v>
      </c>
      <c r="F1767">
        <v>0</v>
      </c>
      <c r="G1767">
        <v>22</v>
      </c>
      <c r="H1767">
        <v>0</v>
      </c>
      <c r="I1767">
        <v>11</v>
      </c>
      <c r="J1767">
        <v>6</v>
      </c>
      <c r="K1767">
        <v>2</v>
      </c>
      <c r="L1767">
        <v>1</v>
      </c>
      <c r="M1767">
        <v>2</v>
      </c>
      <c r="N1767">
        <v>0</v>
      </c>
    </row>
    <row r="1768" spans="1:14" x14ac:dyDescent="0.45">
      <c r="A1768" t="s">
        <v>222</v>
      </c>
      <c r="B1768" t="s">
        <v>629</v>
      </c>
      <c r="C1768" t="s">
        <v>7</v>
      </c>
      <c r="D1768" t="s">
        <v>326</v>
      </c>
      <c r="E1768">
        <v>1.1000000000000001</v>
      </c>
      <c r="F1768">
        <v>0</v>
      </c>
      <c r="G1768">
        <v>18</v>
      </c>
      <c r="H1768">
        <v>0</v>
      </c>
      <c r="I1768">
        <v>15.42</v>
      </c>
      <c r="J1768">
        <v>1</v>
      </c>
      <c r="K1768">
        <v>4</v>
      </c>
      <c r="L1768">
        <v>0</v>
      </c>
      <c r="M1768">
        <v>0</v>
      </c>
      <c r="N1768">
        <v>0</v>
      </c>
    </row>
    <row r="1769" spans="1:14" x14ac:dyDescent="0.45">
      <c r="A1769" t="s">
        <v>222</v>
      </c>
      <c r="B1769" t="s">
        <v>629</v>
      </c>
      <c r="C1769" t="s">
        <v>7</v>
      </c>
      <c r="D1769" t="s">
        <v>322</v>
      </c>
      <c r="E1769">
        <v>3</v>
      </c>
      <c r="F1769">
        <v>0</v>
      </c>
      <c r="G1769">
        <v>28</v>
      </c>
      <c r="H1769">
        <v>0</v>
      </c>
      <c r="I1769">
        <v>9.33</v>
      </c>
      <c r="J1769">
        <v>10</v>
      </c>
      <c r="K1769">
        <v>3</v>
      </c>
      <c r="L1769">
        <v>2</v>
      </c>
      <c r="M1769">
        <v>1</v>
      </c>
      <c r="N1769">
        <v>0</v>
      </c>
    </row>
    <row r="1770" spans="1:14" x14ac:dyDescent="0.45">
      <c r="A1770" t="s">
        <v>222</v>
      </c>
      <c r="B1770" t="s">
        <v>629</v>
      </c>
      <c r="C1770" t="s">
        <v>7</v>
      </c>
      <c r="D1770" t="s">
        <v>308</v>
      </c>
      <c r="E1770">
        <v>2</v>
      </c>
      <c r="F1770">
        <v>0</v>
      </c>
      <c r="G1770">
        <v>13</v>
      </c>
      <c r="H1770">
        <v>0</v>
      </c>
      <c r="I1770">
        <v>6.5</v>
      </c>
      <c r="J1770">
        <v>5</v>
      </c>
      <c r="K1770">
        <v>0</v>
      </c>
      <c r="L1770">
        <v>1</v>
      </c>
      <c r="M1770">
        <v>0</v>
      </c>
      <c r="N1770">
        <v>0</v>
      </c>
    </row>
    <row r="1771" spans="1:14" x14ac:dyDescent="0.45">
      <c r="A1771" t="s">
        <v>222</v>
      </c>
      <c r="B1771" t="s">
        <v>629</v>
      </c>
      <c r="C1771" t="s">
        <v>7</v>
      </c>
      <c r="D1771" t="s">
        <v>579</v>
      </c>
      <c r="E1771">
        <v>3</v>
      </c>
      <c r="F1771">
        <v>0</v>
      </c>
      <c r="G1771">
        <v>22</v>
      </c>
      <c r="H1771">
        <v>0</v>
      </c>
      <c r="I1771">
        <v>7.33</v>
      </c>
      <c r="J1771">
        <v>7</v>
      </c>
      <c r="K1771">
        <v>2</v>
      </c>
      <c r="L1771">
        <v>1</v>
      </c>
      <c r="M1771">
        <v>0</v>
      </c>
      <c r="N1771">
        <v>0</v>
      </c>
    </row>
    <row r="1772" spans="1:14" x14ac:dyDescent="0.45">
      <c r="A1772" t="s">
        <v>222</v>
      </c>
      <c r="B1772" t="s">
        <v>629</v>
      </c>
      <c r="C1772" t="s">
        <v>7</v>
      </c>
      <c r="D1772" t="s">
        <v>532</v>
      </c>
      <c r="E1772">
        <v>1</v>
      </c>
      <c r="F1772">
        <v>0</v>
      </c>
      <c r="G1772">
        <v>20</v>
      </c>
      <c r="H1772">
        <v>0</v>
      </c>
      <c r="I1772">
        <v>20</v>
      </c>
      <c r="J1772">
        <v>1</v>
      </c>
      <c r="K1772">
        <v>0</v>
      </c>
      <c r="L1772">
        <v>3</v>
      </c>
      <c r="M1772">
        <v>0</v>
      </c>
      <c r="N1772">
        <v>0</v>
      </c>
    </row>
    <row r="1773" spans="1:14" x14ac:dyDescent="0.45">
      <c r="A1773" t="s">
        <v>223</v>
      </c>
      <c r="B1773" t="s">
        <v>633</v>
      </c>
      <c r="C1773" t="s">
        <v>10</v>
      </c>
      <c r="D1773" t="s">
        <v>444</v>
      </c>
      <c r="E1773">
        <v>4</v>
      </c>
      <c r="F1773">
        <v>0</v>
      </c>
      <c r="G1773">
        <v>32</v>
      </c>
      <c r="H1773">
        <v>1</v>
      </c>
      <c r="I1773">
        <v>8</v>
      </c>
      <c r="J1773">
        <v>9</v>
      </c>
      <c r="K1773">
        <v>1</v>
      </c>
      <c r="L1773">
        <v>2</v>
      </c>
      <c r="M1773">
        <v>2</v>
      </c>
      <c r="N1773">
        <v>0</v>
      </c>
    </row>
    <row r="1774" spans="1:14" x14ac:dyDescent="0.45">
      <c r="A1774" t="s">
        <v>223</v>
      </c>
      <c r="B1774" t="s">
        <v>633</v>
      </c>
      <c r="C1774" t="s">
        <v>10</v>
      </c>
      <c r="D1774" t="s">
        <v>456</v>
      </c>
      <c r="E1774">
        <v>2</v>
      </c>
      <c r="F1774">
        <v>0</v>
      </c>
      <c r="G1774">
        <v>23</v>
      </c>
      <c r="H1774">
        <v>0</v>
      </c>
      <c r="I1774">
        <v>11.5</v>
      </c>
      <c r="J1774">
        <v>4</v>
      </c>
      <c r="K1774">
        <v>4</v>
      </c>
      <c r="L1774">
        <v>0</v>
      </c>
      <c r="M1774">
        <v>2</v>
      </c>
      <c r="N1774">
        <v>0</v>
      </c>
    </row>
    <row r="1775" spans="1:14" x14ac:dyDescent="0.45">
      <c r="A1775" t="s">
        <v>223</v>
      </c>
      <c r="B1775" t="s">
        <v>633</v>
      </c>
      <c r="C1775" t="s">
        <v>10</v>
      </c>
      <c r="D1775" t="s">
        <v>436</v>
      </c>
      <c r="E1775">
        <v>3</v>
      </c>
      <c r="F1775">
        <v>0</v>
      </c>
      <c r="G1775">
        <v>34</v>
      </c>
      <c r="H1775">
        <v>1</v>
      </c>
      <c r="I1775">
        <v>11.33</v>
      </c>
      <c r="J1775">
        <v>6</v>
      </c>
      <c r="K1775">
        <v>2</v>
      </c>
      <c r="L1775">
        <v>3</v>
      </c>
      <c r="M1775">
        <v>0</v>
      </c>
      <c r="N1775">
        <v>0</v>
      </c>
    </row>
    <row r="1776" spans="1:14" x14ac:dyDescent="0.45">
      <c r="A1776" t="s">
        <v>223</v>
      </c>
      <c r="B1776" t="s">
        <v>633</v>
      </c>
      <c r="C1776" t="s">
        <v>10</v>
      </c>
      <c r="D1776" t="s">
        <v>337</v>
      </c>
      <c r="E1776">
        <v>4</v>
      </c>
      <c r="F1776">
        <v>0</v>
      </c>
      <c r="G1776">
        <v>27</v>
      </c>
      <c r="H1776">
        <v>2</v>
      </c>
      <c r="I1776">
        <v>6.75</v>
      </c>
      <c r="J1776">
        <v>8</v>
      </c>
      <c r="K1776">
        <v>2</v>
      </c>
      <c r="L1776">
        <v>1</v>
      </c>
      <c r="M1776">
        <v>0</v>
      </c>
      <c r="N1776">
        <v>0</v>
      </c>
    </row>
    <row r="1777" spans="1:14" x14ac:dyDescent="0.45">
      <c r="A1777" t="s">
        <v>223</v>
      </c>
      <c r="B1777" t="s">
        <v>633</v>
      </c>
      <c r="C1777" t="s">
        <v>10</v>
      </c>
      <c r="D1777" t="s">
        <v>500</v>
      </c>
      <c r="E1777">
        <v>4</v>
      </c>
      <c r="F1777">
        <v>0</v>
      </c>
      <c r="G1777">
        <v>28</v>
      </c>
      <c r="H1777">
        <v>1</v>
      </c>
      <c r="I1777">
        <v>7</v>
      </c>
      <c r="J1777">
        <v>6</v>
      </c>
      <c r="K1777">
        <v>0</v>
      </c>
      <c r="L1777">
        <v>1</v>
      </c>
      <c r="M1777">
        <v>3</v>
      </c>
      <c r="N1777">
        <v>0</v>
      </c>
    </row>
    <row r="1778" spans="1:14" x14ac:dyDescent="0.45">
      <c r="A1778" t="s">
        <v>223</v>
      </c>
      <c r="B1778" t="s">
        <v>633</v>
      </c>
      <c r="C1778" t="s">
        <v>10</v>
      </c>
      <c r="D1778" t="s">
        <v>498</v>
      </c>
      <c r="E1778">
        <v>3</v>
      </c>
      <c r="F1778">
        <v>0</v>
      </c>
      <c r="G1778">
        <v>18</v>
      </c>
      <c r="H1778">
        <v>3</v>
      </c>
      <c r="I1778">
        <v>6</v>
      </c>
      <c r="J1778">
        <v>7</v>
      </c>
      <c r="K1778">
        <v>1</v>
      </c>
      <c r="L1778">
        <v>0</v>
      </c>
      <c r="M1778">
        <v>3</v>
      </c>
      <c r="N1778">
        <v>0</v>
      </c>
    </row>
    <row r="1779" spans="1:14" x14ac:dyDescent="0.45">
      <c r="A1779" t="s">
        <v>223</v>
      </c>
      <c r="B1779" t="s">
        <v>633</v>
      </c>
      <c r="C1779" t="s">
        <v>6</v>
      </c>
      <c r="D1779" t="s">
        <v>324</v>
      </c>
      <c r="E1779">
        <v>3</v>
      </c>
      <c r="F1779">
        <v>0</v>
      </c>
      <c r="G1779">
        <v>28</v>
      </c>
      <c r="H1779">
        <v>2</v>
      </c>
      <c r="I1779">
        <v>9.33</v>
      </c>
      <c r="J1779">
        <v>10</v>
      </c>
      <c r="K1779">
        <v>3</v>
      </c>
      <c r="L1779">
        <v>2</v>
      </c>
      <c r="M1779">
        <v>1</v>
      </c>
      <c r="N1779">
        <v>0</v>
      </c>
    </row>
    <row r="1780" spans="1:14" x14ac:dyDescent="0.45">
      <c r="A1780" t="s">
        <v>223</v>
      </c>
      <c r="B1780" t="s">
        <v>633</v>
      </c>
      <c r="C1780" t="s">
        <v>6</v>
      </c>
      <c r="D1780" t="s">
        <v>555</v>
      </c>
      <c r="E1780">
        <v>3</v>
      </c>
      <c r="F1780">
        <v>0</v>
      </c>
      <c r="G1780">
        <v>18</v>
      </c>
      <c r="H1780">
        <v>0</v>
      </c>
      <c r="I1780">
        <v>6</v>
      </c>
      <c r="J1780">
        <v>9</v>
      </c>
      <c r="K1780">
        <v>1</v>
      </c>
      <c r="L1780">
        <v>1</v>
      </c>
      <c r="M1780">
        <v>0</v>
      </c>
      <c r="N1780">
        <v>0</v>
      </c>
    </row>
    <row r="1781" spans="1:14" x14ac:dyDescent="0.45">
      <c r="A1781" t="s">
        <v>223</v>
      </c>
      <c r="B1781" t="s">
        <v>633</v>
      </c>
      <c r="C1781" t="s">
        <v>6</v>
      </c>
      <c r="D1781" t="s">
        <v>523</v>
      </c>
      <c r="E1781">
        <v>2</v>
      </c>
      <c r="F1781">
        <v>0</v>
      </c>
      <c r="G1781">
        <v>16</v>
      </c>
      <c r="H1781">
        <v>0</v>
      </c>
      <c r="I1781">
        <v>8</v>
      </c>
      <c r="J1781">
        <v>2</v>
      </c>
      <c r="K1781">
        <v>0</v>
      </c>
      <c r="L1781">
        <v>1</v>
      </c>
      <c r="M1781">
        <v>0</v>
      </c>
      <c r="N1781">
        <v>0</v>
      </c>
    </row>
    <row r="1782" spans="1:14" x14ac:dyDescent="0.45">
      <c r="A1782" t="s">
        <v>223</v>
      </c>
      <c r="B1782" t="s">
        <v>633</v>
      </c>
      <c r="C1782" t="s">
        <v>6</v>
      </c>
      <c r="D1782" t="s">
        <v>328</v>
      </c>
      <c r="E1782">
        <v>4</v>
      </c>
      <c r="F1782">
        <v>0</v>
      </c>
      <c r="G1782">
        <v>19</v>
      </c>
      <c r="H1782">
        <v>1</v>
      </c>
      <c r="I1782">
        <v>4.75</v>
      </c>
      <c r="J1782">
        <v>10</v>
      </c>
      <c r="K1782">
        <v>1</v>
      </c>
      <c r="L1782">
        <v>0</v>
      </c>
      <c r="M1782">
        <v>0</v>
      </c>
      <c r="N1782">
        <v>0</v>
      </c>
    </row>
    <row r="1783" spans="1:14" x14ac:dyDescent="0.45">
      <c r="A1783" t="s">
        <v>223</v>
      </c>
      <c r="B1783" t="s">
        <v>633</v>
      </c>
      <c r="C1783" t="s">
        <v>6</v>
      </c>
      <c r="D1783" t="s">
        <v>299</v>
      </c>
      <c r="E1783">
        <v>4</v>
      </c>
      <c r="F1783">
        <v>0</v>
      </c>
      <c r="G1783">
        <v>16</v>
      </c>
      <c r="H1783">
        <v>0</v>
      </c>
      <c r="I1783">
        <v>4</v>
      </c>
      <c r="J1783">
        <v>13</v>
      </c>
      <c r="K1783">
        <v>0</v>
      </c>
      <c r="L1783">
        <v>1</v>
      </c>
      <c r="M1783">
        <v>0</v>
      </c>
      <c r="N1783">
        <v>0</v>
      </c>
    </row>
    <row r="1784" spans="1:14" x14ac:dyDescent="0.45">
      <c r="A1784" t="s">
        <v>223</v>
      </c>
      <c r="B1784" t="s">
        <v>633</v>
      </c>
      <c r="C1784" t="s">
        <v>6</v>
      </c>
      <c r="D1784" t="s">
        <v>510</v>
      </c>
      <c r="E1784">
        <v>4</v>
      </c>
      <c r="F1784">
        <v>0</v>
      </c>
      <c r="G1784">
        <v>37</v>
      </c>
      <c r="H1784">
        <v>3</v>
      </c>
      <c r="I1784">
        <v>9.25</v>
      </c>
      <c r="J1784">
        <v>11</v>
      </c>
      <c r="K1784">
        <v>5</v>
      </c>
      <c r="L1784">
        <v>1</v>
      </c>
      <c r="M1784">
        <v>4</v>
      </c>
      <c r="N1784">
        <v>0</v>
      </c>
    </row>
    <row r="1785" spans="1:14" x14ac:dyDescent="0.45">
      <c r="A1785" t="s">
        <v>224</v>
      </c>
      <c r="B1785" t="s">
        <v>643</v>
      </c>
      <c r="C1785" t="s">
        <v>19</v>
      </c>
      <c r="D1785" t="s">
        <v>562</v>
      </c>
      <c r="E1785">
        <v>4</v>
      </c>
      <c r="F1785">
        <v>0</v>
      </c>
      <c r="G1785">
        <v>36</v>
      </c>
      <c r="H1785">
        <v>3</v>
      </c>
      <c r="I1785">
        <v>9</v>
      </c>
      <c r="J1785">
        <v>9</v>
      </c>
      <c r="K1785">
        <v>5</v>
      </c>
      <c r="L1785">
        <v>1</v>
      </c>
      <c r="M1785">
        <v>0</v>
      </c>
      <c r="N1785">
        <v>0</v>
      </c>
    </row>
    <row r="1786" spans="1:14" x14ac:dyDescent="0.45">
      <c r="A1786" t="s">
        <v>224</v>
      </c>
      <c r="B1786" t="s">
        <v>643</v>
      </c>
      <c r="C1786" t="s">
        <v>19</v>
      </c>
      <c r="D1786" t="s">
        <v>368</v>
      </c>
      <c r="E1786">
        <v>4</v>
      </c>
      <c r="F1786">
        <v>0</v>
      </c>
      <c r="G1786">
        <v>41</v>
      </c>
      <c r="H1786">
        <v>0</v>
      </c>
      <c r="I1786">
        <v>10.25</v>
      </c>
      <c r="J1786">
        <v>8</v>
      </c>
      <c r="K1786">
        <v>5</v>
      </c>
      <c r="L1786">
        <v>2</v>
      </c>
      <c r="M1786">
        <v>0</v>
      </c>
      <c r="N1786">
        <v>0</v>
      </c>
    </row>
    <row r="1787" spans="1:14" x14ac:dyDescent="0.45">
      <c r="A1787" t="s">
        <v>224</v>
      </c>
      <c r="B1787" t="s">
        <v>643</v>
      </c>
      <c r="C1787" t="s">
        <v>19</v>
      </c>
      <c r="D1787" t="s">
        <v>560</v>
      </c>
      <c r="E1787">
        <v>2</v>
      </c>
      <c r="F1787">
        <v>0</v>
      </c>
      <c r="G1787">
        <v>15</v>
      </c>
      <c r="H1787">
        <v>1</v>
      </c>
      <c r="I1787">
        <v>7.5</v>
      </c>
      <c r="J1787">
        <v>6</v>
      </c>
      <c r="K1787">
        <v>3</v>
      </c>
      <c r="L1787">
        <v>0</v>
      </c>
      <c r="M1787">
        <v>0</v>
      </c>
      <c r="N1787">
        <v>0</v>
      </c>
    </row>
    <row r="1788" spans="1:14" x14ac:dyDescent="0.45">
      <c r="A1788" t="s">
        <v>224</v>
      </c>
      <c r="B1788" t="s">
        <v>643</v>
      </c>
      <c r="C1788" t="s">
        <v>19</v>
      </c>
      <c r="D1788" t="s">
        <v>406</v>
      </c>
      <c r="E1788">
        <v>4</v>
      </c>
      <c r="F1788">
        <v>0</v>
      </c>
      <c r="G1788">
        <v>48</v>
      </c>
      <c r="H1788">
        <v>1</v>
      </c>
      <c r="I1788">
        <v>12</v>
      </c>
      <c r="J1788">
        <v>7</v>
      </c>
      <c r="K1788">
        <v>4</v>
      </c>
      <c r="L1788">
        <v>3</v>
      </c>
      <c r="M1788">
        <v>1</v>
      </c>
      <c r="N1788">
        <v>0</v>
      </c>
    </row>
    <row r="1789" spans="1:14" x14ac:dyDescent="0.45">
      <c r="A1789" t="s">
        <v>224</v>
      </c>
      <c r="B1789" t="s">
        <v>643</v>
      </c>
      <c r="C1789" t="s">
        <v>19</v>
      </c>
      <c r="D1789" t="s">
        <v>524</v>
      </c>
      <c r="E1789">
        <v>4</v>
      </c>
      <c r="F1789">
        <v>0</v>
      </c>
      <c r="G1789">
        <v>35</v>
      </c>
      <c r="H1789">
        <v>1</v>
      </c>
      <c r="I1789">
        <v>8.75</v>
      </c>
      <c r="J1789">
        <v>6</v>
      </c>
      <c r="K1789">
        <v>3</v>
      </c>
      <c r="L1789">
        <v>1</v>
      </c>
      <c r="M1789">
        <v>1</v>
      </c>
      <c r="N1789">
        <v>0</v>
      </c>
    </row>
    <row r="1790" spans="1:14" x14ac:dyDescent="0.45">
      <c r="A1790" t="s">
        <v>224</v>
      </c>
      <c r="B1790" t="s">
        <v>643</v>
      </c>
      <c r="C1790" t="s">
        <v>19</v>
      </c>
      <c r="D1790" t="s">
        <v>563</v>
      </c>
      <c r="E1790">
        <v>2</v>
      </c>
      <c r="F1790">
        <v>0</v>
      </c>
      <c r="G1790">
        <v>23</v>
      </c>
      <c r="H1790">
        <v>0</v>
      </c>
      <c r="I1790">
        <v>11.5</v>
      </c>
      <c r="J1790">
        <v>1</v>
      </c>
      <c r="K1790">
        <v>1</v>
      </c>
      <c r="L1790">
        <v>1</v>
      </c>
      <c r="M1790">
        <v>0</v>
      </c>
      <c r="N1790">
        <v>1</v>
      </c>
    </row>
    <row r="1791" spans="1:14" x14ac:dyDescent="0.45">
      <c r="A1791" t="s">
        <v>224</v>
      </c>
      <c r="B1791" t="s">
        <v>643</v>
      </c>
      <c r="C1791" t="s">
        <v>13</v>
      </c>
      <c r="D1791" t="s">
        <v>352</v>
      </c>
      <c r="E1791">
        <v>3</v>
      </c>
      <c r="F1791">
        <v>0</v>
      </c>
      <c r="G1791">
        <v>31</v>
      </c>
      <c r="H1791">
        <v>0</v>
      </c>
      <c r="I1791">
        <v>10.33</v>
      </c>
      <c r="J1791">
        <v>10</v>
      </c>
      <c r="K1791">
        <v>2</v>
      </c>
      <c r="L1791">
        <v>3</v>
      </c>
      <c r="M1791">
        <v>1</v>
      </c>
      <c r="N1791">
        <v>0</v>
      </c>
    </row>
    <row r="1792" spans="1:14" x14ac:dyDescent="0.45">
      <c r="A1792" t="s">
        <v>224</v>
      </c>
      <c r="B1792" t="s">
        <v>643</v>
      </c>
      <c r="C1792" t="s">
        <v>13</v>
      </c>
      <c r="D1792" t="s">
        <v>325</v>
      </c>
      <c r="E1792">
        <v>3</v>
      </c>
      <c r="F1792">
        <v>0</v>
      </c>
      <c r="G1792">
        <v>32</v>
      </c>
      <c r="H1792">
        <v>0</v>
      </c>
      <c r="I1792">
        <v>10.66</v>
      </c>
      <c r="J1792">
        <v>7</v>
      </c>
      <c r="K1792">
        <v>5</v>
      </c>
      <c r="L1792">
        <v>1</v>
      </c>
      <c r="M1792">
        <v>1</v>
      </c>
      <c r="N1792">
        <v>0</v>
      </c>
    </row>
    <row r="1793" spans="1:14" x14ac:dyDescent="0.45">
      <c r="A1793" t="s">
        <v>224</v>
      </c>
      <c r="B1793" t="s">
        <v>643</v>
      </c>
      <c r="C1793" t="s">
        <v>13</v>
      </c>
      <c r="D1793" t="s">
        <v>448</v>
      </c>
      <c r="E1793">
        <v>4</v>
      </c>
      <c r="F1793">
        <v>0</v>
      </c>
      <c r="G1793">
        <v>53</v>
      </c>
      <c r="H1793">
        <v>2</v>
      </c>
      <c r="I1793">
        <v>13.25</v>
      </c>
      <c r="J1793">
        <v>5</v>
      </c>
      <c r="K1793">
        <v>2</v>
      </c>
      <c r="L1793">
        <v>5</v>
      </c>
      <c r="M1793">
        <v>1</v>
      </c>
      <c r="N1793">
        <v>0</v>
      </c>
    </row>
    <row r="1794" spans="1:14" x14ac:dyDescent="0.45">
      <c r="A1794" t="s">
        <v>224</v>
      </c>
      <c r="B1794" t="s">
        <v>643</v>
      </c>
      <c r="C1794" t="s">
        <v>13</v>
      </c>
      <c r="D1794" t="s">
        <v>570</v>
      </c>
      <c r="E1794">
        <v>3</v>
      </c>
      <c r="F1794">
        <v>0</v>
      </c>
      <c r="G1794">
        <v>37</v>
      </c>
      <c r="H1794">
        <v>2</v>
      </c>
      <c r="I1794">
        <v>12.33</v>
      </c>
      <c r="J1794">
        <v>7</v>
      </c>
      <c r="K1794">
        <v>2</v>
      </c>
      <c r="L1794">
        <v>3</v>
      </c>
      <c r="M1794">
        <v>1</v>
      </c>
      <c r="N1794">
        <v>1</v>
      </c>
    </row>
    <row r="1795" spans="1:14" x14ac:dyDescent="0.45">
      <c r="A1795" t="s">
        <v>224</v>
      </c>
      <c r="B1795" t="s">
        <v>643</v>
      </c>
      <c r="C1795" t="s">
        <v>13</v>
      </c>
      <c r="D1795" t="s">
        <v>349</v>
      </c>
      <c r="E1795">
        <v>3.3</v>
      </c>
      <c r="F1795">
        <v>0</v>
      </c>
      <c r="G1795">
        <v>41</v>
      </c>
      <c r="H1795">
        <v>0</v>
      </c>
      <c r="I1795">
        <v>11.71</v>
      </c>
      <c r="J1795">
        <v>3</v>
      </c>
      <c r="K1795">
        <v>5</v>
      </c>
      <c r="L1795">
        <v>1</v>
      </c>
      <c r="M1795">
        <v>1</v>
      </c>
      <c r="N1795">
        <v>1</v>
      </c>
    </row>
    <row r="1796" spans="1:14" x14ac:dyDescent="0.45">
      <c r="A1796" t="s">
        <v>225</v>
      </c>
      <c r="B1796" t="s">
        <v>656</v>
      </c>
      <c r="C1796" t="s">
        <v>7</v>
      </c>
      <c r="D1796" t="s">
        <v>542</v>
      </c>
      <c r="E1796">
        <v>3</v>
      </c>
      <c r="F1796">
        <v>0</v>
      </c>
      <c r="G1796">
        <v>32</v>
      </c>
      <c r="H1796">
        <v>0</v>
      </c>
      <c r="I1796">
        <v>10.66</v>
      </c>
      <c r="J1796">
        <v>8</v>
      </c>
      <c r="K1796">
        <v>7</v>
      </c>
      <c r="L1796">
        <v>0</v>
      </c>
      <c r="M1796">
        <v>1</v>
      </c>
      <c r="N1796">
        <v>0</v>
      </c>
    </row>
    <row r="1797" spans="1:14" x14ac:dyDescent="0.45">
      <c r="A1797" t="s">
        <v>225</v>
      </c>
      <c r="B1797" t="s">
        <v>656</v>
      </c>
      <c r="C1797" t="s">
        <v>7</v>
      </c>
      <c r="D1797" t="s">
        <v>533</v>
      </c>
      <c r="E1797">
        <v>3</v>
      </c>
      <c r="F1797">
        <v>0</v>
      </c>
      <c r="G1797">
        <v>33</v>
      </c>
      <c r="H1797">
        <v>2</v>
      </c>
      <c r="I1797">
        <v>11</v>
      </c>
      <c r="J1797">
        <v>9</v>
      </c>
      <c r="K1797">
        <v>4</v>
      </c>
      <c r="L1797">
        <v>2</v>
      </c>
      <c r="M1797">
        <v>0</v>
      </c>
      <c r="N1797">
        <v>1</v>
      </c>
    </row>
    <row r="1798" spans="1:14" x14ac:dyDescent="0.45">
      <c r="A1798" t="s">
        <v>225</v>
      </c>
      <c r="B1798" t="s">
        <v>656</v>
      </c>
      <c r="C1798" t="s">
        <v>7</v>
      </c>
      <c r="D1798" t="s">
        <v>440</v>
      </c>
      <c r="E1798">
        <v>1</v>
      </c>
      <c r="F1798">
        <v>0</v>
      </c>
      <c r="G1798">
        <v>19</v>
      </c>
      <c r="H1798">
        <v>0</v>
      </c>
      <c r="I1798">
        <v>19</v>
      </c>
      <c r="J1798">
        <v>1</v>
      </c>
      <c r="K1798">
        <v>4</v>
      </c>
      <c r="L1798">
        <v>0</v>
      </c>
      <c r="M1798">
        <v>0</v>
      </c>
      <c r="N1798">
        <v>1</v>
      </c>
    </row>
    <row r="1799" spans="1:14" x14ac:dyDescent="0.45">
      <c r="A1799" t="s">
        <v>225</v>
      </c>
      <c r="B1799" t="s">
        <v>656</v>
      </c>
      <c r="C1799" t="s">
        <v>7</v>
      </c>
      <c r="D1799" t="s">
        <v>322</v>
      </c>
      <c r="E1799">
        <v>4</v>
      </c>
      <c r="F1799">
        <v>0</v>
      </c>
      <c r="G1799">
        <v>26</v>
      </c>
      <c r="H1799">
        <v>3</v>
      </c>
      <c r="I1799">
        <v>6.5</v>
      </c>
      <c r="J1799">
        <v>11</v>
      </c>
      <c r="K1799">
        <v>2</v>
      </c>
      <c r="L1799">
        <v>1</v>
      </c>
      <c r="M1799">
        <v>1</v>
      </c>
      <c r="N1799">
        <v>0</v>
      </c>
    </row>
    <row r="1800" spans="1:14" x14ac:dyDescent="0.45">
      <c r="A1800" t="s">
        <v>225</v>
      </c>
      <c r="B1800" t="s">
        <v>656</v>
      </c>
      <c r="C1800" t="s">
        <v>7</v>
      </c>
      <c r="D1800" t="s">
        <v>579</v>
      </c>
      <c r="E1800">
        <v>4</v>
      </c>
      <c r="F1800">
        <v>0</v>
      </c>
      <c r="G1800">
        <v>26</v>
      </c>
      <c r="H1800">
        <v>1</v>
      </c>
      <c r="I1800">
        <v>6.5</v>
      </c>
      <c r="J1800">
        <v>12</v>
      </c>
      <c r="K1800">
        <v>1</v>
      </c>
      <c r="L1800">
        <v>2</v>
      </c>
      <c r="M1800">
        <v>1</v>
      </c>
      <c r="N1800">
        <v>0</v>
      </c>
    </row>
    <row r="1801" spans="1:14" x14ac:dyDescent="0.45">
      <c r="A1801" t="s">
        <v>225</v>
      </c>
      <c r="B1801" t="s">
        <v>656</v>
      </c>
      <c r="C1801" t="s">
        <v>7</v>
      </c>
      <c r="D1801" t="s">
        <v>308</v>
      </c>
      <c r="E1801">
        <v>4</v>
      </c>
      <c r="F1801">
        <v>0</v>
      </c>
      <c r="G1801">
        <v>29</v>
      </c>
      <c r="H1801">
        <v>0</v>
      </c>
      <c r="I1801">
        <v>7.25</v>
      </c>
      <c r="J1801">
        <v>9</v>
      </c>
      <c r="K1801">
        <v>2</v>
      </c>
      <c r="L1801">
        <v>1</v>
      </c>
      <c r="M1801">
        <v>1</v>
      </c>
      <c r="N1801">
        <v>0</v>
      </c>
    </row>
    <row r="1802" spans="1:14" x14ac:dyDescent="0.45">
      <c r="A1802" t="s">
        <v>225</v>
      </c>
      <c r="B1802" t="s">
        <v>656</v>
      </c>
      <c r="C1802" t="s">
        <v>7</v>
      </c>
      <c r="D1802" t="s">
        <v>306</v>
      </c>
      <c r="E1802">
        <v>1</v>
      </c>
      <c r="F1802">
        <v>0</v>
      </c>
      <c r="G1802">
        <v>7</v>
      </c>
      <c r="H1802">
        <v>1</v>
      </c>
      <c r="I1802">
        <v>7</v>
      </c>
      <c r="J1802">
        <v>3</v>
      </c>
      <c r="K1802">
        <v>1</v>
      </c>
      <c r="L1802">
        <v>0</v>
      </c>
      <c r="M1802">
        <v>0</v>
      </c>
      <c r="N1802">
        <v>0</v>
      </c>
    </row>
    <row r="1803" spans="1:14" x14ac:dyDescent="0.45">
      <c r="A1803" t="s">
        <v>225</v>
      </c>
      <c r="B1803" t="s">
        <v>656</v>
      </c>
      <c r="C1803" t="s">
        <v>26</v>
      </c>
      <c r="D1803" t="s">
        <v>520</v>
      </c>
      <c r="E1803">
        <v>2</v>
      </c>
      <c r="F1803">
        <v>0</v>
      </c>
      <c r="G1803">
        <v>15</v>
      </c>
      <c r="H1803">
        <v>0</v>
      </c>
      <c r="I1803">
        <v>7.5</v>
      </c>
      <c r="J1803">
        <v>5</v>
      </c>
      <c r="K1803">
        <v>2</v>
      </c>
      <c r="L1803">
        <v>0</v>
      </c>
      <c r="M1803">
        <v>0</v>
      </c>
      <c r="N1803">
        <v>0</v>
      </c>
    </row>
    <row r="1804" spans="1:14" x14ac:dyDescent="0.45">
      <c r="A1804" t="s">
        <v>225</v>
      </c>
      <c r="B1804" t="s">
        <v>656</v>
      </c>
      <c r="C1804" t="s">
        <v>26</v>
      </c>
      <c r="D1804" t="s">
        <v>405</v>
      </c>
      <c r="E1804">
        <v>4</v>
      </c>
      <c r="F1804">
        <v>0</v>
      </c>
      <c r="G1804">
        <v>39</v>
      </c>
      <c r="H1804">
        <v>0</v>
      </c>
      <c r="I1804">
        <v>9.75</v>
      </c>
      <c r="J1804">
        <v>10</v>
      </c>
      <c r="K1804">
        <v>6</v>
      </c>
      <c r="L1804">
        <v>1</v>
      </c>
      <c r="M1804">
        <v>1</v>
      </c>
      <c r="N1804">
        <v>0</v>
      </c>
    </row>
    <row r="1805" spans="1:14" x14ac:dyDescent="0.45">
      <c r="A1805" t="s">
        <v>225</v>
      </c>
      <c r="B1805" t="s">
        <v>656</v>
      </c>
      <c r="C1805" t="s">
        <v>26</v>
      </c>
      <c r="D1805" t="s">
        <v>428</v>
      </c>
      <c r="E1805">
        <v>4</v>
      </c>
      <c r="F1805">
        <v>0</v>
      </c>
      <c r="G1805">
        <v>29</v>
      </c>
      <c r="H1805">
        <v>1</v>
      </c>
      <c r="I1805">
        <v>7.25</v>
      </c>
      <c r="J1805">
        <v>7</v>
      </c>
      <c r="K1805">
        <v>2</v>
      </c>
      <c r="L1805">
        <v>1</v>
      </c>
      <c r="M1805">
        <v>0</v>
      </c>
      <c r="N1805">
        <v>0</v>
      </c>
    </row>
    <row r="1806" spans="1:14" x14ac:dyDescent="0.45">
      <c r="A1806" t="s">
        <v>225</v>
      </c>
      <c r="B1806" t="s">
        <v>656</v>
      </c>
      <c r="C1806" t="s">
        <v>26</v>
      </c>
      <c r="D1806" t="s">
        <v>420</v>
      </c>
      <c r="E1806">
        <v>3</v>
      </c>
      <c r="F1806">
        <v>0</v>
      </c>
      <c r="G1806">
        <v>44</v>
      </c>
      <c r="H1806">
        <v>0</v>
      </c>
      <c r="I1806">
        <v>14.66</v>
      </c>
      <c r="J1806">
        <v>5</v>
      </c>
      <c r="K1806">
        <v>5</v>
      </c>
      <c r="L1806">
        <v>3</v>
      </c>
      <c r="M1806">
        <v>1</v>
      </c>
      <c r="N1806">
        <v>0</v>
      </c>
    </row>
    <row r="1807" spans="1:14" x14ac:dyDescent="0.45">
      <c r="A1807" t="s">
        <v>225</v>
      </c>
      <c r="B1807" t="s">
        <v>656</v>
      </c>
      <c r="C1807" t="s">
        <v>26</v>
      </c>
      <c r="D1807" t="s">
        <v>384</v>
      </c>
      <c r="E1807">
        <v>2</v>
      </c>
      <c r="F1807">
        <v>0</v>
      </c>
      <c r="G1807">
        <v>27</v>
      </c>
      <c r="H1807">
        <v>0</v>
      </c>
      <c r="I1807">
        <v>13.5</v>
      </c>
      <c r="J1807">
        <v>2</v>
      </c>
      <c r="K1807">
        <v>4</v>
      </c>
      <c r="L1807">
        <v>1</v>
      </c>
      <c r="M1807">
        <v>0</v>
      </c>
      <c r="N1807">
        <v>0</v>
      </c>
    </row>
    <row r="1808" spans="1:14" x14ac:dyDescent="0.45">
      <c r="A1808" t="s">
        <v>225</v>
      </c>
      <c r="B1808" t="s">
        <v>656</v>
      </c>
      <c r="C1808" t="s">
        <v>26</v>
      </c>
      <c r="D1808" t="s">
        <v>404</v>
      </c>
      <c r="E1808">
        <v>1</v>
      </c>
      <c r="F1808">
        <v>0</v>
      </c>
      <c r="G1808">
        <v>4</v>
      </c>
      <c r="H1808">
        <v>1</v>
      </c>
      <c r="I1808">
        <v>4</v>
      </c>
      <c r="J1808">
        <v>2</v>
      </c>
      <c r="K1808">
        <v>0</v>
      </c>
      <c r="L1808">
        <v>0</v>
      </c>
      <c r="M1808">
        <v>0</v>
      </c>
      <c r="N1808">
        <v>0</v>
      </c>
    </row>
    <row r="1809" spans="1:14" x14ac:dyDescent="0.45">
      <c r="A1809" t="s">
        <v>225</v>
      </c>
      <c r="B1809" t="s">
        <v>656</v>
      </c>
      <c r="C1809" t="s">
        <v>26</v>
      </c>
      <c r="D1809" t="s">
        <v>435</v>
      </c>
      <c r="E1809">
        <v>4</v>
      </c>
      <c r="F1809">
        <v>0</v>
      </c>
      <c r="G1809">
        <v>23</v>
      </c>
      <c r="H1809">
        <v>2</v>
      </c>
      <c r="I1809">
        <v>5.75</v>
      </c>
      <c r="J1809">
        <v>8</v>
      </c>
      <c r="K1809">
        <v>1</v>
      </c>
      <c r="L1809">
        <v>0</v>
      </c>
      <c r="M1809">
        <v>1</v>
      </c>
      <c r="N1809">
        <v>0</v>
      </c>
    </row>
    <row r="1810" spans="1:14" x14ac:dyDescent="0.45">
      <c r="A1810" t="s">
        <v>226</v>
      </c>
      <c r="B1810" t="s">
        <v>642</v>
      </c>
      <c r="C1810" t="s">
        <v>20</v>
      </c>
      <c r="D1810" t="s">
        <v>409</v>
      </c>
      <c r="E1810">
        <v>4</v>
      </c>
      <c r="F1810">
        <v>0</v>
      </c>
      <c r="G1810">
        <v>44</v>
      </c>
      <c r="H1810">
        <v>1</v>
      </c>
      <c r="I1810">
        <v>11</v>
      </c>
      <c r="J1810">
        <v>7</v>
      </c>
      <c r="K1810">
        <v>6</v>
      </c>
      <c r="L1810">
        <v>1</v>
      </c>
      <c r="M1810">
        <v>2</v>
      </c>
      <c r="N1810">
        <v>0</v>
      </c>
    </row>
    <row r="1811" spans="1:14" x14ac:dyDescent="0.45">
      <c r="A1811" t="s">
        <v>226</v>
      </c>
      <c r="B1811" t="s">
        <v>642</v>
      </c>
      <c r="C1811" t="s">
        <v>20</v>
      </c>
      <c r="D1811" t="s">
        <v>484</v>
      </c>
      <c r="E1811">
        <v>4</v>
      </c>
      <c r="F1811">
        <v>0</v>
      </c>
      <c r="G1811">
        <v>44</v>
      </c>
      <c r="H1811">
        <v>1</v>
      </c>
      <c r="I1811">
        <v>11</v>
      </c>
      <c r="J1811">
        <v>5</v>
      </c>
      <c r="K1811">
        <v>6</v>
      </c>
      <c r="L1811">
        <v>1</v>
      </c>
      <c r="M1811">
        <v>1</v>
      </c>
      <c r="N1811">
        <v>0</v>
      </c>
    </row>
    <row r="1812" spans="1:14" x14ac:dyDescent="0.45">
      <c r="A1812" t="s">
        <v>226</v>
      </c>
      <c r="B1812" t="s">
        <v>642</v>
      </c>
      <c r="C1812" t="s">
        <v>20</v>
      </c>
      <c r="D1812" t="s">
        <v>483</v>
      </c>
      <c r="E1812">
        <v>4</v>
      </c>
      <c r="F1812">
        <v>0</v>
      </c>
      <c r="G1812">
        <v>36</v>
      </c>
      <c r="H1812">
        <v>0</v>
      </c>
      <c r="I1812">
        <v>9</v>
      </c>
      <c r="J1812">
        <v>8</v>
      </c>
      <c r="K1812">
        <v>4</v>
      </c>
      <c r="L1812">
        <v>1</v>
      </c>
      <c r="M1812">
        <v>1</v>
      </c>
      <c r="N1812">
        <v>0</v>
      </c>
    </row>
    <row r="1813" spans="1:14" x14ac:dyDescent="0.45">
      <c r="A1813" t="s">
        <v>226</v>
      </c>
      <c r="B1813" t="s">
        <v>642</v>
      </c>
      <c r="C1813" t="s">
        <v>20</v>
      </c>
      <c r="D1813" t="s">
        <v>419</v>
      </c>
      <c r="E1813">
        <v>4</v>
      </c>
      <c r="F1813">
        <v>0</v>
      </c>
      <c r="G1813">
        <v>51</v>
      </c>
      <c r="H1813">
        <v>0</v>
      </c>
      <c r="I1813">
        <v>12.75</v>
      </c>
      <c r="J1813">
        <v>7</v>
      </c>
      <c r="K1813">
        <v>1</v>
      </c>
      <c r="L1813">
        <v>6</v>
      </c>
      <c r="M1813">
        <v>0</v>
      </c>
      <c r="N1813">
        <v>0</v>
      </c>
    </row>
    <row r="1814" spans="1:14" x14ac:dyDescent="0.45">
      <c r="A1814" t="s">
        <v>226</v>
      </c>
      <c r="B1814" t="s">
        <v>642</v>
      </c>
      <c r="C1814" t="s">
        <v>20</v>
      </c>
      <c r="D1814" t="s">
        <v>373</v>
      </c>
      <c r="E1814">
        <v>2</v>
      </c>
      <c r="F1814">
        <v>0</v>
      </c>
      <c r="G1814">
        <v>15</v>
      </c>
      <c r="H1814">
        <v>0</v>
      </c>
      <c r="I1814">
        <v>7.5</v>
      </c>
      <c r="J1814">
        <v>5</v>
      </c>
      <c r="K1814">
        <v>1</v>
      </c>
      <c r="L1814">
        <v>1</v>
      </c>
      <c r="M1814">
        <v>0</v>
      </c>
      <c r="N1814">
        <v>0</v>
      </c>
    </row>
    <row r="1815" spans="1:14" x14ac:dyDescent="0.45">
      <c r="A1815" t="s">
        <v>226</v>
      </c>
      <c r="B1815" t="s">
        <v>642</v>
      </c>
      <c r="C1815" t="s">
        <v>20</v>
      </c>
      <c r="D1815" t="s">
        <v>572</v>
      </c>
      <c r="E1815">
        <v>2</v>
      </c>
      <c r="F1815">
        <v>0</v>
      </c>
      <c r="G1815">
        <v>18</v>
      </c>
      <c r="H1815">
        <v>0</v>
      </c>
      <c r="I1815">
        <v>9</v>
      </c>
      <c r="J1815">
        <v>4</v>
      </c>
      <c r="K1815">
        <v>1</v>
      </c>
      <c r="L1815">
        <v>1</v>
      </c>
      <c r="M1815">
        <v>1</v>
      </c>
      <c r="N1815">
        <v>0</v>
      </c>
    </row>
    <row r="1816" spans="1:14" x14ac:dyDescent="0.45">
      <c r="A1816" t="s">
        <v>226</v>
      </c>
      <c r="B1816" t="s">
        <v>642</v>
      </c>
      <c r="C1816" t="s">
        <v>23</v>
      </c>
      <c r="D1816" t="s">
        <v>429</v>
      </c>
      <c r="E1816">
        <v>4</v>
      </c>
      <c r="F1816">
        <v>0</v>
      </c>
      <c r="G1816">
        <v>48</v>
      </c>
      <c r="H1816">
        <v>0</v>
      </c>
      <c r="I1816">
        <v>12</v>
      </c>
      <c r="J1816">
        <v>5</v>
      </c>
      <c r="K1816">
        <v>5</v>
      </c>
      <c r="L1816">
        <v>2</v>
      </c>
      <c r="M1816">
        <v>0</v>
      </c>
      <c r="N1816">
        <v>1</v>
      </c>
    </row>
    <row r="1817" spans="1:14" x14ac:dyDescent="0.45">
      <c r="A1817" t="s">
        <v>226</v>
      </c>
      <c r="B1817" t="s">
        <v>642</v>
      </c>
      <c r="C1817" t="s">
        <v>23</v>
      </c>
      <c r="D1817" t="s">
        <v>413</v>
      </c>
      <c r="E1817">
        <v>4</v>
      </c>
      <c r="F1817">
        <v>0</v>
      </c>
      <c r="G1817">
        <v>50</v>
      </c>
      <c r="H1817">
        <v>1</v>
      </c>
      <c r="I1817">
        <v>12.5</v>
      </c>
      <c r="J1817">
        <v>5</v>
      </c>
      <c r="K1817">
        <v>2</v>
      </c>
      <c r="L1817">
        <v>4</v>
      </c>
      <c r="M1817">
        <v>0</v>
      </c>
      <c r="N1817">
        <v>0</v>
      </c>
    </row>
    <row r="1818" spans="1:14" x14ac:dyDescent="0.45">
      <c r="A1818" t="s">
        <v>226</v>
      </c>
      <c r="B1818" t="s">
        <v>642</v>
      </c>
      <c r="C1818" t="s">
        <v>23</v>
      </c>
      <c r="D1818" t="s">
        <v>339</v>
      </c>
      <c r="E1818">
        <v>4</v>
      </c>
      <c r="F1818">
        <v>0</v>
      </c>
      <c r="G1818">
        <v>35</v>
      </c>
      <c r="H1818">
        <v>1</v>
      </c>
      <c r="I1818">
        <v>8.75</v>
      </c>
      <c r="J1818">
        <v>5</v>
      </c>
      <c r="K1818">
        <v>2</v>
      </c>
      <c r="L1818">
        <v>1</v>
      </c>
      <c r="M1818">
        <v>3</v>
      </c>
      <c r="N1818">
        <v>0</v>
      </c>
    </row>
    <row r="1819" spans="1:14" x14ac:dyDescent="0.45">
      <c r="A1819" t="s">
        <v>226</v>
      </c>
      <c r="B1819" t="s">
        <v>642</v>
      </c>
      <c r="C1819" t="s">
        <v>23</v>
      </c>
      <c r="D1819" t="s">
        <v>353</v>
      </c>
      <c r="E1819">
        <v>4</v>
      </c>
      <c r="F1819">
        <v>0</v>
      </c>
      <c r="G1819">
        <v>29</v>
      </c>
      <c r="H1819">
        <v>4</v>
      </c>
      <c r="I1819">
        <v>7.25</v>
      </c>
      <c r="J1819">
        <v>11</v>
      </c>
      <c r="K1819">
        <v>3</v>
      </c>
      <c r="L1819">
        <v>1</v>
      </c>
      <c r="M1819">
        <v>0</v>
      </c>
      <c r="N1819">
        <v>0</v>
      </c>
    </row>
    <row r="1820" spans="1:14" x14ac:dyDescent="0.45">
      <c r="A1820" t="s">
        <v>226</v>
      </c>
      <c r="B1820" t="s">
        <v>642</v>
      </c>
      <c r="C1820" t="s">
        <v>23</v>
      </c>
      <c r="D1820" t="s">
        <v>473</v>
      </c>
      <c r="E1820">
        <v>3</v>
      </c>
      <c r="F1820">
        <v>0</v>
      </c>
      <c r="G1820">
        <v>42</v>
      </c>
      <c r="H1820">
        <v>0</v>
      </c>
      <c r="I1820">
        <v>14</v>
      </c>
      <c r="J1820">
        <v>3</v>
      </c>
      <c r="K1820">
        <v>2</v>
      </c>
      <c r="L1820">
        <v>4</v>
      </c>
      <c r="M1820">
        <v>0</v>
      </c>
      <c r="N1820">
        <v>0</v>
      </c>
    </row>
    <row r="1821" spans="1:14" x14ac:dyDescent="0.45">
      <c r="A1821" t="s">
        <v>226</v>
      </c>
      <c r="B1821" t="s">
        <v>642</v>
      </c>
      <c r="C1821" t="s">
        <v>23</v>
      </c>
      <c r="D1821" t="s">
        <v>487</v>
      </c>
      <c r="E1821">
        <v>1</v>
      </c>
      <c r="F1821">
        <v>0</v>
      </c>
      <c r="G1821">
        <v>13</v>
      </c>
      <c r="H1821">
        <v>0</v>
      </c>
      <c r="I1821">
        <v>13</v>
      </c>
      <c r="J1821">
        <v>2</v>
      </c>
      <c r="K1821">
        <v>1</v>
      </c>
      <c r="L1821">
        <v>1</v>
      </c>
      <c r="M1821">
        <v>1</v>
      </c>
      <c r="N1821">
        <v>0</v>
      </c>
    </row>
    <row r="1822" spans="1:14" x14ac:dyDescent="0.45">
      <c r="A1822" t="s">
        <v>228</v>
      </c>
      <c r="B1822" t="s">
        <v>676</v>
      </c>
      <c r="C1822" t="s">
        <v>104</v>
      </c>
      <c r="D1822" t="s">
        <v>492</v>
      </c>
      <c r="E1822">
        <v>3</v>
      </c>
      <c r="F1822">
        <v>0</v>
      </c>
      <c r="G1822">
        <v>42</v>
      </c>
      <c r="H1822">
        <v>1</v>
      </c>
      <c r="I1822">
        <v>14</v>
      </c>
      <c r="J1822">
        <v>4</v>
      </c>
      <c r="K1822">
        <v>5</v>
      </c>
      <c r="L1822">
        <v>2</v>
      </c>
      <c r="M1822">
        <v>2</v>
      </c>
      <c r="N1822">
        <v>0</v>
      </c>
    </row>
    <row r="1823" spans="1:14" x14ac:dyDescent="0.45">
      <c r="A1823" t="s">
        <v>228</v>
      </c>
      <c r="B1823" t="s">
        <v>676</v>
      </c>
      <c r="C1823" t="s">
        <v>104</v>
      </c>
      <c r="D1823" t="s">
        <v>340</v>
      </c>
      <c r="E1823">
        <v>4</v>
      </c>
      <c r="F1823">
        <v>0</v>
      </c>
      <c r="G1823">
        <v>34</v>
      </c>
      <c r="H1823">
        <v>1</v>
      </c>
      <c r="I1823">
        <v>8.5</v>
      </c>
      <c r="J1823">
        <v>8</v>
      </c>
      <c r="K1823">
        <v>2</v>
      </c>
      <c r="L1823">
        <v>2</v>
      </c>
      <c r="M1823">
        <v>0</v>
      </c>
      <c r="N1823">
        <v>0</v>
      </c>
    </row>
    <row r="1824" spans="1:14" x14ac:dyDescent="0.45">
      <c r="A1824" t="s">
        <v>228</v>
      </c>
      <c r="B1824" t="s">
        <v>676</v>
      </c>
      <c r="C1824" t="s">
        <v>104</v>
      </c>
      <c r="D1824" t="s">
        <v>366</v>
      </c>
      <c r="E1824">
        <v>4</v>
      </c>
      <c r="F1824">
        <v>0</v>
      </c>
      <c r="G1824">
        <v>38</v>
      </c>
      <c r="H1824">
        <v>0</v>
      </c>
      <c r="I1824">
        <v>9.5</v>
      </c>
      <c r="J1824">
        <v>5</v>
      </c>
      <c r="K1824">
        <v>2</v>
      </c>
      <c r="L1824">
        <v>2</v>
      </c>
      <c r="M1824">
        <v>0</v>
      </c>
      <c r="N1824">
        <v>0</v>
      </c>
    </row>
    <row r="1825" spans="1:14" x14ac:dyDescent="0.45">
      <c r="A1825" t="s">
        <v>228</v>
      </c>
      <c r="B1825" t="s">
        <v>676</v>
      </c>
      <c r="C1825" t="s">
        <v>104</v>
      </c>
      <c r="D1825" t="s">
        <v>566</v>
      </c>
      <c r="E1825">
        <v>4</v>
      </c>
      <c r="F1825">
        <v>0</v>
      </c>
      <c r="G1825">
        <v>48</v>
      </c>
      <c r="H1825">
        <v>0</v>
      </c>
      <c r="I1825">
        <v>12</v>
      </c>
      <c r="J1825">
        <v>4</v>
      </c>
      <c r="K1825">
        <v>2</v>
      </c>
      <c r="L1825">
        <v>4</v>
      </c>
      <c r="M1825">
        <v>1</v>
      </c>
      <c r="N1825">
        <v>0</v>
      </c>
    </row>
    <row r="1826" spans="1:14" x14ac:dyDescent="0.45">
      <c r="A1826" t="s">
        <v>228</v>
      </c>
      <c r="B1826" t="s">
        <v>676</v>
      </c>
      <c r="C1826" t="s">
        <v>104</v>
      </c>
      <c r="D1826" t="s">
        <v>407</v>
      </c>
      <c r="E1826">
        <v>2</v>
      </c>
      <c r="F1826">
        <v>0</v>
      </c>
      <c r="G1826">
        <v>21</v>
      </c>
      <c r="H1826">
        <v>0</v>
      </c>
      <c r="I1826">
        <v>10.5</v>
      </c>
      <c r="J1826">
        <v>2</v>
      </c>
      <c r="K1826">
        <v>0</v>
      </c>
      <c r="L1826">
        <v>2</v>
      </c>
      <c r="M1826">
        <v>1</v>
      </c>
      <c r="N1826">
        <v>0</v>
      </c>
    </row>
    <row r="1827" spans="1:14" x14ac:dyDescent="0.45">
      <c r="A1827" t="s">
        <v>228</v>
      </c>
      <c r="B1827" t="s">
        <v>676</v>
      </c>
      <c r="C1827" t="s">
        <v>104</v>
      </c>
      <c r="D1827" t="s">
        <v>564</v>
      </c>
      <c r="E1827">
        <v>1</v>
      </c>
      <c r="F1827">
        <v>0</v>
      </c>
      <c r="G1827">
        <v>16</v>
      </c>
      <c r="H1827">
        <v>0</v>
      </c>
      <c r="I1827">
        <v>16</v>
      </c>
      <c r="J1827">
        <v>1</v>
      </c>
      <c r="K1827">
        <v>3</v>
      </c>
      <c r="L1827">
        <v>0</v>
      </c>
      <c r="M1827">
        <v>0</v>
      </c>
      <c r="N1827">
        <v>1</v>
      </c>
    </row>
    <row r="1828" spans="1:14" x14ac:dyDescent="0.45">
      <c r="A1828" t="s">
        <v>228</v>
      </c>
      <c r="B1828" t="s">
        <v>676</v>
      </c>
      <c r="C1828" t="s">
        <v>104</v>
      </c>
      <c r="D1828" t="s">
        <v>588</v>
      </c>
      <c r="E1828">
        <v>1</v>
      </c>
      <c r="F1828">
        <v>0</v>
      </c>
      <c r="G1828">
        <v>7</v>
      </c>
      <c r="H1828">
        <v>0</v>
      </c>
      <c r="I1828">
        <v>7</v>
      </c>
      <c r="J1828">
        <v>1</v>
      </c>
      <c r="K1828">
        <v>0</v>
      </c>
      <c r="L1828">
        <v>0</v>
      </c>
      <c r="M1828">
        <v>0</v>
      </c>
      <c r="N1828">
        <v>0</v>
      </c>
    </row>
    <row r="1829" spans="1:14" x14ac:dyDescent="0.45">
      <c r="A1829" t="s">
        <v>228</v>
      </c>
      <c r="B1829" t="s">
        <v>676</v>
      </c>
      <c r="C1829" t="s">
        <v>104</v>
      </c>
      <c r="D1829" t="s">
        <v>331</v>
      </c>
      <c r="E1829">
        <v>1</v>
      </c>
      <c r="F1829">
        <v>0</v>
      </c>
      <c r="G1829">
        <v>20</v>
      </c>
      <c r="H1829">
        <v>0</v>
      </c>
      <c r="I1829">
        <v>20</v>
      </c>
      <c r="J1829">
        <v>0</v>
      </c>
      <c r="K1829">
        <v>1</v>
      </c>
      <c r="L1829">
        <v>2</v>
      </c>
      <c r="M1829">
        <v>0</v>
      </c>
      <c r="N1829">
        <v>0</v>
      </c>
    </row>
    <row r="1830" spans="1:14" x14ac:dyDescent="0.45">
      <c r="A1830" t="s">
        <v>228</v>
      </c>
      <c r="B1830" t="s">
        <v>676</v>
      </c>
      <c r="C1830" t="s">
        <v>101</v>
      </c>
      <c r="D1830" t="s">
        <v>403</v>
      </c>
      <c r="E1830">
        <v>4</v>
      </c>
      <c r="F1830">
        <v>0</v>
      </c>
      <c r="G1830">
        <v>37</v>
      </c>
      <c r="H1830">
        <v>1</v>
      </c>
      <c r="I1830">
        <v>9.25</v>
      </c>
      <c r="J1830">
        <v>9</v>
      </c>
      <c r="K1830">
        <v>3</v>
      </c>
      <c r="L1830">
        <v>2</v>
      </c>
      <c r="M1830">
        <v>1</v>
      </c>
      <c r="N1830">
        <v>0</v>
      </c>
    </row>
    <row r="1831" spans="1:14" x14ac:dyDescent="0.45">
      <c r="A1831" t="s">
        <v>228</v>
      </c>
      <c r="B1831" t="s">
        <v>676</v>
      </c>
      <c r="C1831" t="s">
        <v>101</v>
      </c>
      <c r="D1831" t="s">
        <v>361</v>
      </c>
      <c r="E1831">
        <v>3</v>
      </c>
      <c r="F1831">
        <v>0</v>
      </c>
      <c r="G1831">
        <v>37</v>
      </c>
      <c r="H1831">
        <v>0</v>
      </c>
      <c r="I1831">
        <v>12.33</v>
      </c>
      <c r="J1831">
        <v>6</v>
      </c>
      <c r="K1831">
        <v>6</v>
      </c>
      <c r="L1831">
        <v>1</v>
      </c>
      <c r="M1831">
        <v>2</v>
      </c>
      <c r="N1831">
        <v>0</v>
      </c>
    </row>
    <row r="1832" spans="1:14" x14ac:dyDescent="0.45">
      <c r="A1832" t="s">
        <v>228</v>
      </c>
      <c r="B1832" t="s">
        <v>676</v>
      </c>
      <c r="C1832" t="s">
        <v>101</v>
      </c>
      <c r="D1832" t="s">
        <v>379</v>
      </c>
      <c r="E1832">
        <v>4</v>
      </c>
      <c r="F1832">
        <v>0</v>
      </c>
      <c r="G1832">
        <v>34</v>
      </c>
      <c r="H1832">
        <v>1</v>
      </c>
      <c r="I1832">
        <v>8.5</v>
      </c>
      <c r="J1832">
        <v>6</v>
      </c>
      <c r="K1832">
        <v>1</v>
      </c>
      <c r="L1832">
        <v>2</v>
      </c>
      <c r="M1832">
        <v>0</v>
      </c>
      <c r="N1832">
        <v>0</v>
      </c>
    </row>
    <row r="1833" spans="1:14" x14ac:dyDescent="0.45">
      <c r="A1833" t="s">
        <v>228</v>
      </c>
      <c r="B1833" t="s">
        <v>676</v>
      </c>
      <c r="C1833" t="s">
        <v>101</v>
      </c>
      <c r="D1833" t="s">
        <v>556</v>
      </c>
      <c r="E1833">
        <v>4</v>
      </c>
      <c r="F1833">
        <v>0</v>
      </c>
      <c r="G1833">
        <v>26</v>
      </c>
      <c r="H1833">
        <v>1</v>
      </c>
      <c r="I1833">
        <v>6.5</v>
      </c>
      <c r="J1833">
        <v>11</v>
      </c>
      <c r="K1833">
        <v>4</v>
      </c>
      <c r="L1833">
        <v>0</v>
      </c>
      <c r="M1833">
        <v>1</v>
      </c>
      <c r="N1833">
        <v>0</v>
      </c>
    </row>
    <row r="1834" spans="1:14" x14ac:dyDescent="0.45">
      <c r="A1834" t="s">
        <v>228</v>
      </c>
      <c r="B1834" t="s">
        <v>676</v>
      </c>
      <c r="C1834" t="s">
        <v>101</v>
      </c>
      <c r="D1834" t="s">
        <v>558</v>
      </c>
      <c r="E1834">
        <v>4</v>
      </c>
      <c r="F1834">
        <v>0</v>
      </c>
      <c r="G1834">
        <v>29</v>
      </c>
      <c r="H1834">
        <v>4</v>
      </c>
      <c r="I1834">
        <v>7.25</v>
      </c>
      <c r="J1834">
        <v>9</v>
      </c>
      <c r="K1834">
        <v>1</v>
      </c>
      <c r="L1834">
        <v>2</v>
      </c>
      <c r="M1834">
        <v>1</v>
      </c>
      <c r="N1834">
        <v>0</v>
      </c>
    </row>
    <row r="1835" spans="1:14" x14ac:dyDescent="0.45">
      <c r="A1835" t="s">
        <v>228</v>
      </c>
      <c r="B1835" t="s">
        <v>676</v>
      </c>
      <c r="C1835" t="s">
        <v>101</v>
      </c>
      <c r="D1835" t="s">
        <v>493</v>
      </c>
      <c r="E1835">
        <v>1</v>
      </c>
      <c r="F1835">
        <v>0</v>
      </c>
      <c r="G1835">
        <v>5</v>
      </c>
      <c r="H1835">
        <v>0</v>
      </c>
      <c r="I1835">
        <v>5</v>
      </c>
      <c r="J1835">
        <v>4</v>
      </c>
      <c r="K1835">
        <v>1</v>
      </c>
      <c r="L1835">
        <v>0</v>
      </c>
      <c r="M1835">
        <v>0</v>
      </c>
      <c r="N1835">
        <v>0</v>
      </c>
    </row>
    <row r="1836" spans="1:14" x14ac:dyDescent="0.45">
      <c r="A1836" t="s">
        <v>229</v>
      </c>
      <c r="B1836" t="s">
        <v>655</v>
      </c>
      <c r="C1836" t="s">
        <v>10</v>
      </c>
      <c r="D1836" t="s">
        <v>444</v>
      </c>
      <c r="E1836">
        <v>4</v>
      </c>
      <c r="F1836">
        <v>0</v>
      </c>
      <c r="G1836">
        <v>45</v>
      </c>
      <c r="H1836">
        <v>1</v>
      </c>
      <c r="I1836">
        <v>11.25</v>
      </c>
      <c r="J1836">
        <v>7</v>
      </c>
      <c r="K1836">
        <v>3</v>
      </c>
      <c r="L1836">
        <v>3</v>
      </c>
      <c r="M1836">
        <v>1</v>
      </c>
      <c r="N1836">
        <v>0</v>
      </c>
    </row>
    <row r="1837" spans="1:14" x14ac:dyDescent="0.45">
      <c r="A1837" t="s">
        <v>229</v>
      </c>
      <c r="B1837" t="s">
        <v>655</v>
      </c>
      <c r="C1837" t="s">
        <v>10</v>
      </c>
      <c r="D1837" t="s">
        <v>337</v>
      </c>
      <c r="E1837">
        <v>3</v>
      </c>
      <c r="F1837">
        <v>0</v>
      </c>
      <c r="G1837">
        <v>17</v>
      </c>
      <c r="H1837">
        <v>0</v>
      </c>
      <c r="I1837">
        <v>5.66</v>
      </c>
      <c r="J1837">
        <v>7</v>
      </c>
      <c r="K1837">
        <v>2</v>
      </c>
      <c r="L1837">
        <v>0</v>
      </c>
      <c r="M1837">
        <v>0</v>
      </c>
      <c r="N1837">
        <v>0</v>
      </c>
    </row>
    <row r="1838" spans="1:14" x14ac:dyDescent="0.45">
      <c r="A1838" t="s">
        <v>229</v>
      </c>
      <c r="B1838" t="s">
        <v>655</v>
      </c>
      <c r="C1838" t="s">
        <v>10</v>
      </c>
      <c r="D1838" t="s">
        <v>456</v>
      </c>
      <c r="E1838">
        <v>3</v>
      </c>
      <c r="F1838">
        <v>0</v>
      </c>
      <c r="G1838">
        <v>29</v>
      </c>
      <c r="H1838">
        <v>0</v>
      </c>
      <c r="I1838">
        <v>9.66</v>
      </c>
      <c r="J1838">
        <v>5</v>
      </c>
      <c r="K1838">
        <v>4</v>
      </c>
      <c r="L1838">
        <v>0</v>
      </c>
      <c r="M1838">
        <v>2</v>
      </c>
      <c r="N1838">
        <v>0</v>
      </c>
    </row>
    <row r="1839" spans="1:14" x14ac:dyDescent="0.45">
      <c r="A1839" t="s">
        <v>229</v>
      </c>
      <c r="B1839" t="s">
        <v>655</v>
      </c>
      <c r="C1839" t="s">
        <v>10</v>
      </c>
      <c r="D1839" t="s">
        <v>587</v>
      </c>
      <c r="E1839">
        <v>3</v>
      </c>
      <c r="F1839">
        <v>0</v>
      </c>
      <c r="G1839">
        <v>30</v>
      </c>
      <c r="H1839">
        <v>1</v>
      </c>
      <c r="I1839">
        <v>10</v>
      </c>
      <c r="J1839">
        <v>6</v>
      </c>
      <c r="K1839">
        <v>5</v>
      </c>
      <c r="L1839">
        <v>0</v>
      </c>
      <c r="M1839">
        <v>1</v>
      </c>
      <c r="N1839">
        <v>0</v>
      </c>
    </row>
    <row r="1840" spans="1:14" x14ac:dyDescent="0.45">
      <c r="A1840" t="s">
        <v>229</v>
      </c>
      <c r="B1840" t="s">
        <v>655</v>
      </c>
      <c r="C1840" t="s">
        <v>10</v>
      </c>
      <c r="D1840" t="s">
        <v>498</v>
      </c>
      <c r="E1840">
        <v>3</v>
      </c>
      <c r="F1840">
        <v>0</v>
      </c>
      <c r="G1840">
        <v>21</v>
      </c>
      <c r="H1840">
        <v>2</v>
      </c>
      <c r="I1840">
        <v>7</v>
      </c>
      <c r="J1840">
        <v>3</v>
      </c>
      <c r="K1840">
        <v>0</v>
      </c>
      <c r="L1840">
        <v>1</v>
      </c>
      <c r="M1840">
        <v>1</v>
      </c>
      <c r="N1840">
        <v>0</v>
      </c>
    </row>
    <row r="1841" spans="1:14" x14ac:dyDescent="0.45">
      <c r="A1841" t="s">
        <v>229</v>
      </c>
      <c r="B1841" t="s">
        <v>655</v>
      </c>
      <c r="C1841" t="s">
        <v>10</v>
      </c>
      <c r="D1841" t="s">
        <v>500</v>
      </c>
      <c r="E1841">
        <v>4</v>
      </c>
      <c r="F1841">
        <v>0</v>
      </c>
      <c r="G1841">
        <v>37</v>
      </c>
      <c r="H1841">
        <v>0</v>
      </c>
      <c r="I1841">
        <v>9.25</v>
      </c>
      <c r="J1841">
        <v>5</v>
      </c>
      <c r="K1841">
        <v>2</v>
      </c>
      <c r="L1841">
        <v>2</v>
      </c>
      <c r="M1841">
        <v>0</v>
      </c>
      <c r="N1841">
        <v>0</v>
      </c>
    </row>
    <row r="1842" spans="1:14" x14ac:dyDescent="0.45">
      <c r="A1842" t="s">
        <v>229</v>
      </c>
      <c r="B1842" t="s">
        <v>655</v>
      </c>
      <c r="C1842" t="s">
        <v>13</v>
      </c>
      <c r="D1842" t="s">
        <v>352</v>
      </c>
      <c r="E1842">
        <v>2</v>
      </c>
      <c r="F1842">
        <v>0</v>
      </c>
      <c r="G1842">
        <v>28</v>
      </c>
      <c r="H1842">
        <v>0</v>
      </c>
      <c r="I1842">
        <v>14</v>
      </c>
      <c r="J1842">
        <v>4</v>
      </c>
      <c r="K1842">
        <v>3</v>
      </c>
      <c r="L1842">
        <v>2</v>
      </c>
      <c r="M1842">
        <v>1</v>
      </c>
      <c r="N1842">
        <v>0</v>
      </c>
    </row>
    <row r="1843" spans="1:14" x14ac:dyDescent="0.45">
      <c r="A1843" t="s">
        <v>229</v>
      </c>
      <c r="B1843" t="s">
        <v>655</v>
      </c>
      <c r="C1843" t="s">
        <v>13</v>
      </c>
      <c r="D1843" t="s">
        <v>345</v>
      </c>
      <c r="E1843">
        <v>1.4</v>
      </c>
      <c r="F1843">
        <v>0</v>
      </c>
      <c r="G1843">
        <v>14</v>
      </c>
      <c r="H1843">
        <v>0</v>
      </c>
      <c r="I1843">
        <v>8.4</v>
      </c>
      <c r="J1843">
        <v>4</v>
      </c>
      <c r="K1843">
        <v>1</v>
      </c>
      <c r="L1843">
        <v>1</v>
      </c>
      <c r="M1843">
        <v>0</v>
      </c>
      <c r="N1843">
        <v>0</v>
      </c>
    </row>
    <row r="1844" spans="1:14" x14ac:dyDescent="0.45">
      <c r="A1844" t="s">
        <v>229</v>
      </c>
      <c r="B1844" t="s">
        <v>655</v>
      </c>
      <c r="C1844" t="s">
        <v>13</v>
      </c>
      <c r="D1844" t="s">
        <v>325</v>
      </c>
      <c r="E1844">
        <v>3</v>
      </c>
      <c r="F1844">
        <v>0</v>
      </c>
      <c r="G1844">
        <v>29</v>
      </c>
      <c r="H1844">
        <v>1</v>
      </c>
      <c r="I1844">
        <v>9.66</v>
      </c>
      <c r="J1844">
        <v>9</v>
      </c>
      <c r="K1844">
        <v>2</v>
      </c>
      <c r="L1844">
        <v>2</v>
      </c>
      <c r="M1844">
        <v>0</v>
      </c>
      <c r="N1844">
        <v>1</v>
      </c>
    </row>
    <row r="1845" spans="1:14" x14ac:dyDescent="0.45">
      <c r="A1845" t="s">
        <v>229</v>
      </c>
      <c r="B1845" t="s">
        <v>655</v>
      </c>
      <c r="C1845" t="s">
        <v>13</v>
      </c>
      <c r="D1845" t="s">
        <v>448</v>
      </c>
      <c r="E1845">
        <v>4</v>
      </c>
      <c r="F1845">
        <v>0</v>
      </c>
      <c r="G1845">
        <v>32</v>
      </c>
      <c r="H1845">
        <v>0</v>
      </c>
      <c r="I1845">
        <v>8</v>
      </c>
      <c r="J1845">
        <v>9</v>
      </c>
      <c r="K1845">
        <v>2</v>
      </c>
      <c r="L1845">
        <v>2</v>
      </c>
      <c r="M1845">
        <v>0</v>
      </c>
      <c r="N1845">
        <v>0</v>
      </c>
    </row>
    <row r="1846" spans="1:14" x14ac:dyDescent="0.45">
      <c r="A1846" t="s">
        <v>229</v>
      </c>
      <c r="B1846" t="s">
        <v>655</v>
      </c>
      <c r="C1846" t="s">
        <v>13</v>
      </c>
      <c r="D1846" t="s">
        <v>586</v>
      </c>
      <c r="E1846">
        <v>3</v>
      </c>
      <c r="F1846">
        <v>0</v>
      </c>
      <c r="G1846">
        <v>33</v>
      </c>
      <c r="H1846">
        <v>1</v>
      </c>
      <c r="I1846">
        <v>11</v>
      </c>
      <c r="J1846">
        <v>4</v>
      </c>
      <c r="K1846">
        <v>4</v>
      </c>
      <c r="L1846">
        <v>1</v>
      </c>
      <c r="M1846">
        <v>0</v>
      </c>
      <c r="N1846">
        <v>0</v>
      </c>
    </row>
    <row r="1847" spans="1:14" x14ac:dyDescent="0.45">
      <c r="A1847" t="s">
        <v>229</v>
      </c>
      <c r="B1847" t="s">
        <v>655</v>
      </c>
      <c r="C1847" t="s">
        <v>13</v>
      </c>
      <c r="D1847" t="s">
        <v>430</v>
      </c>
      <c r="E1847">
        <v>1</v>
      </c>
      <c r="F1847">
        <v>0</v>
      </c>
      <c r="G1847">
        <v>13</v>
      </c>
      <c r="H1847">
        <v>0</v>
      </c>
      <c r="I1847">
        <v>13</v>
      </c>
      <c r="J1847">
        <v>1</v>
      </c>
      <c r="K1847">
        <v>1</v>
      </c>
      <c r="L1847">
        <v>1</v>
      </c>
      <c r="M1847">
        <v>0</v>
      </c>
      <c r="N1847">
        <v>0</v>
      </c>
    </row>
    <row r="1848" spans="1:14" x14ac:dyDescent="0.45">
      <c r="A1848" t="s">
        <v>229</v>
      </c>
      <c r="B1848" t="s">
        <v>655</v>
      </c>
      <c r="C1848" t="s">
        <v>13</v>
      </c>
      <c r="D1848" t="s">
        <v>349</v>
      </c>
      <c r="E1848">
        <v>2</v>
      </c>
      <c r="F1848">
        <v>0</v>
      </c>
      <c r="G1848">
        <v>32</v>
      </c>
      <c r="H1848">
        <v>1</v>
      </c>
      <c r="I1848">
        <v>16</v>
      </c>
      <c r="J1848">
        <v>4</v>
      </c>
      <c r="K1848">
        <v>2</v>
      </c>
      <c r="L1848">
        <v>3</v>
      </c>
      <c r="M1848">
        <v>1</v>
      </c>
      <c r="N1848">
        <v>0</v>
      </c>
    </row>
    <row r="1849" spans="1:14" x14ac:dyDescent="0.45">
      <c r="A1849" t="s">
        <v>230</v>
      </c>
      <c r="B1849" t="s">
        <v>689</v>
      </c>
      <c r="C1849" t="s">
        <v>6</v>
      </c>
      <c r="D1849" t="s">
        <v>324</v>
      </c>
      <c r="E1849">
        <v>3</v>
      </c>
      <c r="F1849">
        <v>0</v>
      </c>
      <c r="G1849">
        <v>18</v>
      </c>
      <c r="H1849">
        <v>2</v>
      </c>
      <c r="I1849">
        <v>6</v>
      </c>
      <c r="J1849">
        <v>10</v>
      </c>
      <c r="K1849">
        <v>3</v>
      </c>
      <c r="L1849">
        <v>0</v>
      </c>
      <c r="M1849">
        <v>0</v>
      </c>
      <c r="N1849">
        <v>0</v>
      </c>
    </row>
    <row r="1850" spans="1:14" x14ac:dyDescent="0.45">
      <c r="A1850" t="s">
        <v>230</v>
      </c>
      <c r="B1850" t="s">
        <v>689</v>
      </c>
      <c r="C1850" t="s">
        <v>6</v>
      </c>
      <c r="D1850" t="s">
        <v>555</v>
      </c>
      <c r="E1850">
        <v>4</v>
      </c>
      <c r="F1850">
        <v>0</v>
      </c>
      <c r="G1850">
        <v>26</v>
      </c>
      <c r="H1850">
        <v>2</v>
      </c>
      <c r="I1850">
        <v>6.5</v>
      </c>
      <c r="J1850">
        <v>9</v>
      </c>
      <c r="K1850">
        <v>2</v>
      </c>
      <c r="L1850">
        <v>0</v>
      </c>
      <c r="M1850">
        <v>1</v>
      </c>
      <c r="N1850">
        <v>0</v>
      </c>
    </row>
    <row r="1851" spans="1:14" x14ac:dyDescent="0.45">
      <c r="A1851" t="s">
        <v>230</v>
      </c>
      <c r="B1851" t="s">
        <v>689</v>
      </c>
      <c r="C1851" t="s">
        <v>6</v>
      </c>
      <c r="D1851" t="s">
        <v>328</v>
      </c>
      <c r="E1851">
        <v>4</v>
      </c>
      <c r="F1851">
        <v>0</v>
      </c>
      <c r="G1851">
        <v>37</v>
      </c>
      <c r="H1851">
        <v>1</v>
      </c>
      <c r="I1851">
        <v>9.25</v>
      </c>
      <c r="J1851">
        <v>5</v>
      </c>
      <c r="K1851">
        <v>5</v>
      </c>
      <c r="L1851">
        <v>0</v>
      </c>
      <c r="M1851">
        <v>1</v>
      </c>
      <c r="N1851">
        <v>0</v>
      </c>
    </row>
    <row r="1852" spans="1:14" x14ac:dyDescent="0.45">
      <c r="A1852" t="s">
        <v>230</v>
      </c>
      <c r="B1852" t="s">
        <v>689</v>
      </c>
      <c r="C1852" t="s">
        <v>6</v>
      </c>
      <c r="D1852" t="s">
        <v>299</v>
      </c>
      <c r="E1852">
        <v>1</v>
      </c>
      <c r="F1852">
        <v>0</v>
      </c>
      <c r="G1852">
        <v>10</v>
      </c>
      <c r="H1852">
        <v>0</v>
      </c>
      <c r="I1852">
        <v>10</v>
      </c>
      <c r="J1852">
        <v>2</v>
      </c>
      <c r="K1852">
        <v>2</v>
      </c>
      <c r="L1852">
        <v>0</v>
      </c>
      <c r="M1852">
        <v>0</v>
      </c>
      <c r="N1852">
        <v>0</v>
      </c>
    </row>
    <row r="1853" spans="1:14" x14ac:dyDescent="0.45">
      <c r="A1853" t="s">
        <v>230</v>
      </c>
      <c r="B1853" t="s">
        <v>689</v>
      </c>
      <c r="C1853" t="s">
        <v>6</v>
      </c>
      <c r="D1853" t="s">
        <v>523</v>
      </c>
      <c r="E1853">
        <v>4</v>
      </c>
      <c r="F1853">
        <v>0</v>
      </c>
      <c r="G1853">
        <v>28</v>
      </c>
      <c r="H1853">
        <v>0</v>
      </c>
      <c r="I1853">
        <v>7</v>
      </c>
      <c r="J1853">
        <v>11</v>
      </c>
      <c r="K1853">
        <v>3</v>
      </c>
      <c r="L1853">
        <v>1</v>
      </c>
      <c r="M1853">
        <v>0</v>
      </c>
      <c r="N1853">
        <v>0</v>
      </c>
    </row>
    <row r="1854" spans="1:14" x14ac:dyDescent="0.45">
      <c r="A1854" t="s">
        <v>230</v>
      </c>
      <c r="B1854" t="s">
        <v>689</v>
      </c>
      <c r="C1854" t="s">
        <v>6</v>
      </c>
      <c r="D1854" t="s">
        <v>510</v>
      </c>
      <c r="E1854">
        <v>4</v>
      </c>
      <c r="F1854">
        <v>0</v>
      </c>
      <c r="G1854">
        <v>15</v>
      </c>
      <c r="H1854">
        <v>3</v>
      </c>
      <c r="I1854">
        <v>3.75</v>
      </c>
      <c r="J1854">
        <v>12</v>
      </c>
      <c r="K1854">
        <v>0</v>
      </c>
      <c r="L1854">
        <v>0</v>
      </c>
      <c r="M1854">
        <v>0</v>
      </c>
      <c r="N1854">
        <v>0</v>
      </c>
    </row>
    <row r="1855" spans="1:14" x14ac:dyDescent="0.45">
      <c r="A1855" t="s">
        <v>230</v>
      </c>
      <c r="B1855" t="s">
        <v>689</v>
      </c>
      <c r="C1855" t="s">
        <v>19</v>
      </c>
      <c r="D1855" t="s">
        <v>560</v>
      </c>
      <c r="E1855">
        <v>1</v>
      </c>
      <c r="F1855">
        <v>0</v>
      </c>
      <c r="G1855">
        <v>10</v>
      </c>
      <c r="H1855">
        <v>0</v>
      </c>
      <c r="I1855">
        <v>10</v>
      </c>
      <c r="J1855">
        <v>4</v>
      </c>
      <c r="K1855">
        <v>2</v>
      </c>
      <c r="L1855">
        <v>0</v>
      </c>
      <c r="M1855">
        <v>1</v>
      </c>
      <c r="N1855">
        <v>1</v>
      </c>
    </row>
    <row r="1856" spans="1:14" x14ac:dyDescent="0.45">
      <c r="A1856" t="s">
        <v>230</v>
      </c>
      <c r="B1856" t="s">
        <v>689</v>
      </c>
      <c r="C1856" t="s">
        <v>19</v>
      </c>
      <c r="D1856" t="s">
        <v>594</v>
      </c>
      <c r="E1856">
        <v>4</v>
      </c>
      <c r="F1856">
        <v>0</v>
      </c>
      <c r="G1856">
        <v>24</v>
      </c>
      <c r="H1856">
        <v>0</v>
      </c>
      <c r="I1856">
        <v>6</v>
      </c>
      <c r="J1856">
        <v>11</v>
      </c>
      <c r="K1856">
        <v>3</v>
      </c>
      <c r="L1856">
        <v>0</v>
      </c>
      <c r="M1856">
        <v>1</v>
      </c>
      <c r="N1856">
        <v>0</v>
      </c>
    </row>
    <row r="1857" spans="1:14" x14ac:dyDescent="0.45">
      <c r="A1857" t="s">
        <v>230</v>
      </c>
      <c r="B1857" t="s">
        <v>689</v>
      </c>
      <c r="C1857" t="s">
        <v>19</v>
      </c>
      <c r="D1857" t="s">
        <v>593</v>
      </c>
      <c r="E1857">
        <v>1.4</v>
      </c>
      <c r="F1857">
        <v>0</v>
      </c>
      <c r="G1857">
        <v>28</v>
      </c>
      <c r="H1857">
        <v>0</v>
      </c>
      <c r="I1857">
        <v>16.8</v>
      </c>
      <c r="J1857">
        <v>3</v>
      </c>
      <c r="K1857">
        <v>2</v>
      </c>
      <c r="L1857">
        <v>3</v>
      </c>
      <c r="M1857">
        <v>0</v>
      </c>
      <c r="N1857">
        <v>0</v>
      </c>
    </row>
    <row r="1858" spans="1:14" x14ac:dyDescent="0.45">
      <c r="A1858" t="s">
        <v>230</v>
      </c>
      <c r="B1858" t="s">
        <v>689</v>
      </c>
      <c r="C1858" t="s">
        <v>19</v>
      </c>
      <c r="D1858" t="s">
        <v>368</v>
      </c>
      <c r="E1858">
        <v>4</v>
      </c>
      <c r="F1858">
        <v>0</v>
      </c>
      <c r="G1858">
        <v>25</v>
      </c>
      <c r="H1858">
        <v>2</v>
      </c>
      <c r="I1858">
        <v>6.25</v>
      </c>
      <c r="J1858">
        <v>8</v>
      </c>
      <c r="K1858">
        <v>1</v>
      </c>
      <c r="L1858">
        <v>1</v>
      </c>
      <c r="M1858">
        <v>0</v>
      </c>
      <c r="N1858">
        <v>0</v>
      </c>
    </row>
    <row r="1859" spans="1:14" x14ac:dyDescent="0.45">
      <c r="A1859" t="s">
        <v>230</v>
      </c>
      <c r="B1859" t="s">
        <v>689</v>
      </c>
      <c r="C1859" t="s">
        <v>19</v>
      </c>
      <c r="D1859" t="s">
        <v>595</v>
      </c>
      <c r="E1859">
        <v>4</v>
      </c>
      <c r="F1859">
        <v>0</v>
      </c>
      <c r="G1859">
        <v>33</v>
      </c>
      <c r="H1859">
        <v>0</v>
      </c>
      <c r="I1859">
        <v>8.25</v>
      </c>
      <c r="J1859">
        <v>7</v>
      </c>
      <c r="K1859">
        <v>1</v>
      </c>
      <c r="L1859">
        <v>2</v>
      </c>
      <c r="M1859">
        <v>0</v>
      </c>
      <c r="N1859">
        <v>0</v>
      </c>
    </row>
    <row r="1860" spans="1:14" x14ac:dyDescent="0.45">
      <c r="A1860" t="s">
        <v>230</v>
      </c>
      <c r="B1860" t="s">
        <v>689</v>
      </c>
      <c r="C1860" t="s">
        <v>19</v>
      </c>
      <c r="D1860" t="s">
        <v>517</v>
      </c>
      <c r="E1860">
        <v>2</v>
      </c>
      <c r="F1860">
        <v>0</v>
      </c>
      <c r="G1860">
        <v>14</v>
      </c>
      <c r="H1860">
        <v>1</v>
      </c>
      <c r="I1860">
        <v>7</v>
      </c>
      <c r="J1860">
        <v>3</v>
      </c>
      <c r="K1860">
        <v>0</v>
      </c>
      <c r="L1860">
        <v>1</v>
      </c>
      <c r="M1860">
        <v>0</v>
      </c>
      <c r="N1860">
        <v>0</v>
      </c>
    </row>
    <row r="1861" spans="1:14" x14ac:dyDescent="0.45">
      <c r="A1861" t="s">
        <v>230</v>
      </c>
      <c r="B1861" t="s">
        <v>689</v>
      </c>
      <c r="C1861" t="s">
        <v>19</v>
      </c>
      <c r="D1861" t="s">
        <v>563</v>
      </c>
      <c r="E1861">
        <v>1</v>
      </c>
      <c r="F1861">
        <v>0</v>
      </c>
      <c r="G1861">
        <v>4</v>
      </c>
      <c r="H1861">
        <v>1</v>
      </c>
      <c r="I1861">
        <v>4</v>
      </c>
      <c r="J1861">
        <v>2</v>
      </c>
      <c r="K1861">
        <v>0</v>
      </c>
      <c r="L1861">
        <v>0</v>
      </c>
      <c r="M1861">
        <v>0</v>
      </c>
      <c r="N1861">
        <v>0</v>
      </c>
    </row>
    <row r="1862" spans="1:14" x14ac:dyDescent="0.45">
      <c r="A1862" t="s">
        <v>231</v>
      </c>
      <c r="B1862" t="s">
        <v>664</v>
      </c>
      <c r="C1862" t="s">
        <v>101</v>
      </c>
      <c r="D1862" t="s">
        <v>403</v>
      </c>
      <c r="E1862">
        <v>4</v>
      </c>
      <c r="F1862">
        <v>0</v>
      </c>
      <c r="G1862">
        <v>27</v>
      </c>
      <c r="H1862">
        <v>1</v>
      </c>
      <c r="I1862">
        <v>6.75</v>
      </c>
      <c r="J1862">
        <v>13</v>
      </c>
      <c r="K1862">
        <v>2</v>
      </c>
      <c r="L1862">
        <v>1</v>
      </c>
      <c r="M1862">
        <v>2</v>
      </c>
      <c r="N1862">
        <v>0</v>
      </c>
    </row>
    <row r="1863" spans="1:14" x14ac:dyDescent="0.45">
      <c r="A1863" t="s">
        <v>231</v>
      </c>
      <c r="B1863" t="s">
        <v>664</v>
      </c>
      <c r="C1863" t="s">
        <v>101</v>
      </c>
      <c r="D1863" t="s">
        <v>361</v>
      </c>
      <c r="E1863">
        <v>2</v>
      </c>
      <c r="F1863">
        <v>0</v>
      </c>
      <c r="G1863">
        <v>22</v>
      </c>
      <c r="H1863">
        <v>1</v>
      </c>
      <c r="I1863">
        <v>11</v>
      </c>
      <c r="J1863">
        <v>4</v>
      </c>
      <c r="K1863">
        <v>3</v>
      </c>
      <c r="L1863">
        <v>1</v>
      </c>
      <c r="M1863">
        <v>0</v>
      </c>
      <c r="N1863">
        <v>0</v>
      </c>
    </row>
    <row r="1864" spans="1:14" x14ac:dyDescent="0.45">
      <c r="A1864" t="s">
        <v>231</v>
      </c>
      <c r="B1864" t="s">
        <v>664</v>
      </c>
      <c r="C1864" t="s">
        <v>101</v>
      </c>
      <c r="D1864" t="s">
        <v>379</v>
      </c>
      <c r="E1864">
        <v>4</v>
      </c>
      <c r="F1864">
        <v>0</v>
      </c>
      <c r="G1864">
        <v>14</v>
      </c>
      <c r="H1864">
        <v>3</v>
      </c>
      <c r="I1864">
        <v>3.5</v>
      </c>
      <c r="J1864">
        <v>13</v>
      </c>
      <c r="K1864">
        <v>0</v>
      </c>
      <c r="L1864">
        <v>0</v>
      </c>
      <c r="M1864">
        <v>2</v>
      </c>
      <c r="N1864">
        <v>0</v>
      </c>
    </row>
    <row r="1865" spans="1:14" x14ac:dyDescent="0.45">
      <c r="A1865" t="s">
        <v>231</v>
      </c>
      <c r="B1865" t="s">
        <v>664</v>
      </c>
      <c r="C1865" t="s">
        <v>101</v>
      </c>
      <c r="D1865" t="s">
        <v>557</v>
      </c>
      <c r="E1865">
        <v>4</v>
      </c>
      <c r="F1865">
        <v>0</v>
      </c>
      <c r="G1865">
        <v>24</v>
      </c>
      <c r="H1865">
        <v>1</v>
      </c>
      <c r="I1865">
        <v>6</v>
      </c>
      <c r="J1865">
        <v>7</v>
      </c>
      <c r="K1865">
        <v>2</v>
      </c>
      <c r="L1865">
        <v>0</v>
      </c>
      <c r="M1865">
        <v>0</v>
      </c>
      <c r="N1865">
        <v>0</v>
      </c>
    </row>
    <row r="1866" spans="1:14" x14ac:dyDescent="0.45">
      <c r="A1866" t="s">
        <v>231</v>
      </c>
      <c r="B1866" t="s">
        <v>664</v>
      </c>
      <c r="C1866" t="s">
        <v>101</v>
      </c>
      <c r="D1866" t="s">
        <v>556</v>
      </c>
      <c r="E1866">
        <v>3</v>
      </c>
      <c r="F1866">
        <v>0</v>
      </c>
      <c r="G1866">
        <v>25</v>
      </c>
      <c r="H1866">
        <v>2</v>
      </c>
      <c r="I1866">
        <v>8.33</v>
      </c>
      <c r="J1866">
        <v>7</v>
      </c>
      <c r="K1866">
        <v>2</v>
      </c>
      <c r="L1866">
        <v>1</v>
      </c>
      <c r="M1866">
        <v>3</v>
      </c>
      <c r="N1866">
        <v>0</v>
      </c>
    </row>
    <row r="1867" spans="1:14" x14ac:dyDescent="0.45">
      <c r="A1867" t="s">
        <v>231</v>
      </c>
      <c r="B1867" t="s">
        <v>664</v>
      </c>
      <c r="C1867" t="s">
        <v>101</v>
      </c>
      <c r="D1867" t="s">
        <v>558</v>
      </c>
      <c r="E1867">
        <v>0.5</v>
      </c>
      <c r="F1867">
        <v>0</v>
      </c>
      <c r="G1867">
        <v>5</v>
      </c>
      <c r="H1867">
        <v>0</v>
      </c>
      <c r="I1867">
        <v>6</v>
      </c>
      <c r="J1867">
        <v>0</v>
      </c>
      <c r="K1867">
        <v>0</v>
      </c>
      <c r="L1867">
        <v>0</v>
      </c>
      <c r="M1867">
        <v>0</v>
      </c>
      <c r="N1867">
        <v>0</v>
      </c>
    </row>
    <row r="1868" spans="1:14" x14ac:dyDescent="0.45">
      <c r="A1868" t="s">
        <v>231</v>
      </c>
      <c r="B1868" t="s">
        <v>664</v>
      </c>
      <c r="C1868" t="s">
        <v>23</v>
      </c>
      <c r="D1868" t="s">
        <v>370</v>
      </c>
      <c r="E1868">
        <v>3</v>
      </c>
      <c r="F1868">
        <v>0</v>
      </c>
      <c r="G1868">
        <v>28</v>
      </c>
      <c r="H1868">
        <v>0</v>
      </c>
      <c r="I1868">
        <v>9.33</v>
      </c>
      <c r="J1868">
        <v>8</v>
      </c>
      <c r="K1868">
        <v>6</v>
      </c>
      <c r="L1868">
        <v>0</v>
      </c>
      <c r="M1868">
        <v>0</v>
      </c>
      <c r="N1868">
        <v>0</v>
      </c>
    </row>
    <row r="1869" spans="1:14" x14ac:dyDescent="0.45">
      <c r="A1869" t="s">
        <v>231</v>
      </c>
      <c r="B1869" t="s">
        <v>664</v>
      </c>
      <c r="C1869" t="s">
        <v>23</v>
      </c>
      <c r="D1869" t="s">
        <v>429</v>
      </c>
      <c r="E1869">
        <v>3</v>
      </c>
      <c r="F1869">
        <v>0</v>
      </c>
      <c r="G1869">
        <v>19</v>
      </c>
      <c r="H1869">
        <v>0</v>
      </c>
      <c r="I1869">
        <v>6.33</v>
      </c>
      <c r="J1869">
        <v>9</v>
      </c>
      <c r="K1869">
        <v>3</v>
      </c>
      <c r="L1869">
        <v>0</v>
      </c>
      <c r="M1869">
        <v>0</v>
      </c>
      <c r="N1869">
        <v>1</v>
      </c>
    </row>
    <row r="1870" spans="1:14" x14ac:dyDescent="0.45">
      <c r="A1870" t="s">
        <v>231</v>
      </c>
      <c r="B1870" t="s">
        <v>664</v>
      </c>
      <c r="C1870" t="s">
        <v>23</v>
      </c>
      <c r="D1870" t="s">
        <v>585</v>
      </c>
      <c r="E1870">
        <v>3</v>
      </c>
      <c r="F1870">
        <v>0</v>
      </c>
      <c r="G1870">
        <v>40</v>
      </c>
      <c r="H1870">
        <v>0</v>
      </c>
      <c r="I1870">
        <v>13.33</v>
      </c>
      <c r="J1870">
        <v>3</v>
      </c>
      <c r="K1870">
        <v>3</v>
      </c>
      <c r="L1870">
        <v>3</v>
      </c>
      <c r="M1870">
        <v>0</v>
      </c>
      <c r="N1870">
        <v>0</v>
      </c>
    </row>
    <row r="1871" spans="1:14" x14ac:dyDescent="0.45">
      <c r="A1871" t="s">
        <v>231</v>
      </c>
      <c r="B1871" t="s">
        <v>664</v>
      </c>
      <c r="C1871" t="s">
        <v>23</v>
      </c>
      <c r="D1871" t="s">
        <v>353</v>
      </c>
      <c r="E1871">
        <v>3.5</v>
      </c>
      <c r="F1871">
        <v>0</v>
      </c>
      <c r="G1871">
        <v>22</v>
      </c>
      <c r="H1871">
        <v>1</v>
      </c>
      <c r="I1871">
        <v>5.73</v>
      </c>
      <c r="J1871">
        <v>7</v>
      </c>
      <c r="K1871">
        <v>1</v>
      </c>
      <c r="L1871">
        <v>0</v>
      </c>
      <c r="M1871">
        <v>0</v>
      </c>
      <c r="N1871">
        <v>0</v>
      </c>
    </row>
    <row r="1872" spans="1:14" x14ac:dyDescent="0.45">
      <c r="A1872" t="s">
        <v>231</v>
      </c>
      <c r="B1872" t="s">
        <v>664</v>
      </c>
      <c r="C1872" t="s">
        <v>23</v>
      </c>
      <c r="D1872" t="s">
        <v>339</v>
      </c>
      <c r="E1872">
        <v>1</v>
      </c>
      <c r="F1872">
        <v>0</v>
      </c>
      <c r="G1872">
        <v>8</v>
      </c>
      <c r="H1872">
        <v>0</v>
      </c>
      <c r="I1872">
        <v>8</v>
      </c>
      <c r="J1872">
        <v>1</v>
      </c>
      <c r="K1872">
        <v>1</v>
      </c>
      <c r="L1872">
        <v>0</v>
      </c>
      <c r="M1872">
        <v>0</v>
      </c>
      <c r="N1872">
        <v>0</v>
      </c>
    </row>
    <row r="1873" spans="1:14" x14ac:dyDescent="0.45">
      <c r="A1873" t="s">
        <v>232</v>
      </c>
      <c r="B1873" t="s">
        <v>662</v>
      </c>
      <c r="C1873" t="s">
        <v>20</v>
      </c>
      <c r="D1873" t="s">
        <v>409</v>
      </c>
      <c r="E1873">
        <v>4</v>
      </c>
      <c r="F1873">
        <v>0</v>
      </c>
      <c r="G1873">
        <v>33</v>
      </c>
      <c r="H1873">
        <v>1</v>
      </c>
      <c r="I1873">
        <v>8.25</v>
      </c>
      <c r="J1873">
        <v>12</v>
      </c>
      <c r="K1873">
        <v>6</v>
      </c>
      <c r="L1873">
        <v>0</v>
      </c>
      <c r="M1873">
        <v>1</v>
      </c>
      <c r="N1873">
        <v>0</v>
      </c>
    </row>
    <row r="1874" spans="1:14" x14ac:dyDescent="0.45">
      <c r="A1874" t="s">
        <v>232</v>
      </c>
      <c r="B1874" t="s">
        <v>662</v>
      </c>
      <c r="C1874" t="s">
        <v>20</v>
      </c>
      <c r="D1874" t="s">
        <v>484</v>
      </c>
      <c r="E1874">
        <v>3</v>
      </c>
      <c r="F1874">
        <v>0</v>
      </c>
      <c r="G1874">
        <v>24</v>
      </c>
      <c r="H1874">
        <v>2</v>
      </c>
      <c r="I1874">
        <v>8</v>
      </c>
      <c r="J1874">
        <v>7</v>
      </c>
      <c r="K1874">
        <v>3</v>
      </c>
      <c r="L1874">
        <v>0</v>
      </c>
      <c r="M1874">
        <v>0</v>
      </c>
      <c r="N1874">
        <v>1</v>
      </c>
    </row>
    <row r="1875" spans="1:14" x14ac:dyDescent="0.45">
      <c r="A1875" t="s">
        <v>232</v>
      </c>
      <c r="B1875" t="s">
        <v>662</v>
      </c>
      <c r="C1875" t="s">
        <v>20</v>
      </c>
      <c r="D1875" t="s">
        <v>432</v>
      </c>
      <c r="E1875">
        <v>2</v>
      </c>
      <c r="F1875">
        <v>0</v>
      </c>
      <c r="G1875">
        <v>30</v>
      </c>
      <c r="H1875">
        <v>1</v>
      </c>
      <c r="I1875">
        <v>15</v>
      </c>
      <c r="J1875">
        <v>5</v>
      </c>
      <c r="K1875">
        <v>3</v>
      </c>
      <c r="L1875">
        <v>2</v>
      </c>
      <c r="M1875">
        <v>2</v>
      </c>
      <c r="N1875">
        <v>1</v>
      </c>
    </row>
    <row r="1876" spans="1:14" x14ac:dyDescent="0.45">
      <c r="A1876" t="s">
        <v>232</v>
      </c>
      <c r="B1876" t="s">
        <v>662</v>
      </c>
      <c r="C1876" t="s">
        <v>20</v>
      </c>
      <c r="D1876" t="s">
        <v>401</v>
      </c>
      <c r="E1876">
        <v>3</v>
      </c>
      <c r="F1876">
        <v>0</v>
      </c>
      <c r="G1876">
        <v>24</v>
      </c>
      <c r="H1876">
        <v>1</v>
      </c>
      <c r="I1876">
        <v>8</v>
      </c>
      <c r="J1876">
        <v>5</v>
      </c>
      <c r="K1876">
        <v>2</v>
      </c>
      <c r="L1876">
        <v>1</v>
      </c>
      <c r="M1876">
        <v>0</v>
      </c>
      <c r="N1876">
        <v>0</v>
      </c>
    </row>
    <row r="1877" spans="1:14" x14ac:dyDescent="0.45">
      <c r="A1877" t="s">
        <v>232</v>
      </c>
      <c r="B1877" t="s">
        <v>662</v>
      </c>
      <c r="C1877" t="s">
        <v>20</v>
      </c>
      <c r="D1877" t="s">
        <v>483</v>
      </c>
      <c r="E1877">
        <v>4</v>
      </c>
      <c r="F1877">
        <v>0</v>
      </c>
      <c r="G1877">
        <v>30</v>
      </c>
      <c r="H1877">
        <v>2</v>
      </c>
      <c r="I1877">
        <v>7.5</v>
      </c>
      <c r="J1877">
        <v>9</v>
      </c>
      <c r="K1877">
        <v>1</v>
      </c>
      <c r="L1877">
        <v>1</v>
      </c>
      <c r="M1877">
        <v>2</v>
      </c>
      <c r="N1877">
        <v>0</v>
      </c>
    </row>
    <row r="1878" spans="1:14" x14ac:dyDescent="0.45">
      <c r="A1878" t="s">
        <v>232</v>
      </c>
      <c r="B1878" t="s">
        <v>662</v>
      </c>
      <c r="C1878" t="s">
        <v>20</v>
      </c>
      <c r="D1878" t="s">
        <v>419</v>
      </c>
      <c r="E1878">
        <v>4</v>
      </c>
      <c r="F1878">
        <v>0</v>
      </c>
      <c r="G1878">
        <v>29</v>
      </c>
      <c r="H1878">
        <v>1</v>
      </c>
      <c r="I1878">
        <v>7.25</v>
      </c>
      <c r="J1878">
        <v>8</v>
      </c>
      <c r="K1878">
        <v>1</v>
      </c>
      <c r="L1878">
        <v>2</v>
      </c>
      <c r="M1878">
        <v>0</v>
      </c>
      <c r="N1878">
        <v>0</v>
      </c>
    </row>
    <row r="1879" spans="1:14" x14ac:dyDescent="0.45">
      <c r="A1879" t="s">
        <v>232</v>
      </c>
      <c r="B1879" t="s">
        <v>662</v>
      </c>
      <c r="C1879" t="s">
        <v>7</v>
      </c>
      <c r="D1879" t="s">
        <v>533</v>
      </c>
      <c r="E1879">
        <v>4</v>
      </c>
      <c r="F1879">
        <v>0</v>
      </c>
      <c r="G1879">
        <v>27</v>
      </c>
      <c r="H1879">
        <v>1</v>
      </c>
      <c r="I1879">
        <v>6.75</v>
      </c>
      <c r="J1879">
        <v>13</v>
      </c>
      <c r="K1879">
        <v>1</v>
      </c>
      <c r="L1879">
        <v>2</v>
      </c>
      <c r="M1879">
        <v>2</v>
      </c>
      <c r="N1879">
        <v>0</v>
      </c>
    </row>
    <row r="1880" spans="1:14" x14ac:dyDescent="0.45">
      <c r="A1880" t="s">
        <v>232</v>
      </c>
      <c r="B1880" t="s">
        <v>662</v>
      </c>
      <c r="C1880" t="s">
        <v>7</v>
      </c>
      <c r="D1880" t="s">
        <v>542</v>
      </c>
      <c r="E1880">
        <v>3</v>
      </c>
      <c r="F1880">
        <v>0</v>
      </c>
      <c r="G1880">
        <v>32</v>
      </c>
      <c r="H1880">
        <v>2</v>
      </c>
      <c r="I1880">
        <v>10.66</v>
      </c>
      <c r="J1880">
        <v>6</v>
      </c>
      <c r="K1880">
        <v>5</v>
      </c>
      <c r="L1880">
        <v>0</v>
      </c>
      <c r="M1880">
        <v>1</v>
      </c>
      <c r="N1880">
        <v>2</v>
      </c>
    </row>
    <row r="1881" spans="1:14" x14ac:dyDescent="0.45">
      <c r="A1881" t="s">
        <v>232</v>
      </c>
      <c r="B1881" t="s">
        <v>662</v>
      </c>
      <c r="C1881" t="s">
        <v>7</v>
      </c>
      <c r="D1881" t="s">
        <v>326</v>
      </c>
      <c r="E1881">
        <v>3</v>
      </c>
      <c r="F1881">
        <v>0</v>
      </c>
      <c r="G1881">
        <v>23</v>
      </c>
      <c r="H1881">
        <v>2</v>
      </c>
      <c r="I1881">
        <v>7.66</v>
      </c>
      <c r="J1881">
        <v>6</v>
      </c>
      <c r="K1881">
        <v>3</v>
      </c>
      <c r="L1881">
        <v>0</v>
      </c>
      <c r="M1881">
        <v>0</v>
      </c>
      <c r="N1881">
        <v>0</v>
      </c>
    </row>
    <row r="1882" spans="1:14" x14ac:dyDescent="0.45">
      <c r="A1882" t="s">
        <v>232</v>
      </c>
      <c r="B1882" t="s">
        <v>662</v>
      </c>
      <c r="C1882" t="s">
        <v>7</v>
      </c>
      <c r="D1882" t="s">
        <v>440</v>
      </c>
      <c r="E1882">
        <v>1</v>
      </c>
      <c r="F1882">
        <v>0</v>
      </c>
      <c r="G1882">
        <v>15</v>
      </c>
      <c r="H1882">
        <v>1</v>
      </c>
      <c r="I1882">
        <v>15</v>
      </c>
      <c r="J1882">
        <v>4</v>
      </c>
      <c r="K1882">
        <v>2</v>
      </c>
      <c r="L1882">
        <v>1</v>
      </c>
      <c r="M1882">
        <v>0</v>
      </c>
      <c r="N1882">
        <v>1</v>
      </c>
    </row>
    <row r="1883" spans="1:14" x14ac:dyDescent="0.45">
      <c r="A1883" t="s">
        <v>232</v>
      </c>
      <c r="B1883" t="s">
        <v>662</v>
      </c>
      <c r="C1883" t="s">
        <v>7</v>
      </c>
      <c r="D1883" t="s">
        <v>532</v>
      </c>
      <c r="E1883">
        <v>3</v>
      </c>
      <c r="F1883">
        <v>0</v>
      </c>
      <c r="G1883">
        <v>26</v>
      </c>
      <c r="H1883">
        <v>1</v>
      </c>
      <c r="I1883">
        <v>8.66</v>
      </c>
      <c r="J1883">
        <v>6</v>
      </c>
      <c r="K1883">
        <v>1</v>
      </c>
      <c r="L1883">
        <v>2</v>
      </c>
      <c r="M1883">
        <v>1</v>
      </c>
      <c r="N1883">
        <v>0</v>
      </c>
    </row>
    <row r="1884" spans="1:14" x14ac:dyDescent="0.45">
      <c r="A1884" t="s">
        <v>232</v>
      </c>
      <c r="B1884" t="s">
        <v>662</v>
      </c>
      <c r="C1884" t="s">
        <v>7</v>
      </c>
      <c r="D1884" t="s">
        <v>308</v>
      </c>
      <c r="E1884">
        <v>2</v>
      </c>
      <c r="F1884">
        <v>0</v>
      </c>
      <c r="G1884">
        <v>16</v>
      </c>
      <c r="H1884">
        <v>0</v>
      </c>
      <c r="I1884">
        <v>8</v>
      </c>
      <c r="J1884">
        <v>1</v>
      </c>
      <c r="K1884">
        <v>1</v>
      </c>
      <c r="L1884">
        <v>0</v>
      </c>
      <c r="M1884">
        <v>0</v>
      </c>
      <c r="N1884">
        <v>0</v>
      </c>
    </row>
    <row r="1885" spans="1:14" x14ac:dyDescent="0.45">
      <c r="A1885" t="s">
        <v>232</v>
      </c>
      <c r="B1885" t="s">
        <v>662</v>
      </c>
      <c r="C1885" t="s">
        <v>7</v>
      </c>
      <c r="D1885" t="s">
        <v>322</v>
      </c>
      <c r="E1885">
        <v>4</v>
      </c>
      <c r="F1885">
        <v>0</v>
      </c>
      <c r="G1885">
        <v>20</v>
      </c>
      <c r="H1885">
        <v>1</v>
      </c>
      <c r="I1885">
        <v>5</v>
      </c>
      <c r="J1885">
        <v>12</v>
      </c>
      <c r="K1885">
        <v>2</v>
      </c>
      <c r="L1885">
        <v>0</v>
      </c>
      <c r="M1885">
        <v>0</v>
      </c>
      <c r="N1885">
        <v>0</v>
      </c>
    </row>
    <row r="1886" spans="1:14" x14ac:dyDescent="0.45">
      <c r="A1886" t="s">
        <v>233</v>
      </c>
      <c r="B1886" t="s">
        <v>641</v>
      </c>
      <c r="C1886" t="s">
        <v>19</v>
      </c>
      <c r="D1886" t="s">
        <v>560</v>
      </c>
      <c r="E1886">
        <v>2</v>
      </c>
      <c r="F1886">
        <v>0</v>
      </c>
      <c r="G1886">
        <v>15</v>
      </c>
      <c r="H1886">
        <v>0</v>
      </c>
      <c r="I1886">
        <v>7.5</v>
      </c>
      <c r="J1886">
        <v>7</v>
      </c>
      <c r="K1886">
        <v>2</v>
      </c>
      <c r="L1886">
        <v>0</v>
      </c>
      <c r="M1886">
        <v>0</v>
      </c>
      <c r="N1886">
        <v>0</v>
      </c>
    </row>
    <row r="1887" spans="1:14" x14ac:dyDescent="0.45">
      <c r="A1887" t="s">
        <v>233</v>
      </c>
      <c r="B1887" t="s">
        <v>641</v>
      </c>
      <c r="C1887" t="s">
        <v>19</v>
      </c>
      <c r="D1887" t="s">
        <v>593</v>
      </c>
      <c r="E1887">
        <v>4</v>
      </c>
      <c r="F1887">
        <v>0</v>
      </c>
      <c r="G1887">
        <v>48</v>
      </c>
      <c r="H1887">
        <v>1</v>
      </c>
      <c r="I1887">
        <v>12</v>
      </c>
      <c r="J1887">
        <v>9</v>
      </c>
      <c r="K1887">
        <v>7</v>
      </c>
      <c r="L1887">
        <v>2</v>
      </c>
      <c r="M1887">
        <v>1</v>
      </c>
      <c r="N1887">
        <v>0</v>
      </c>
    </row>
    <row r="1888" spans="1:14" x14ac:dyDescent="0.45">
      <c r="A1888" t="s">
        <v>233</v>
      </c>
      <c r="B1888" t="s">
        <v>641</v>
      </c>
      <c r="C1888" t="s">
        <v>19</v>
      </c>
      <c r="D1888" t="s">
        <v>594</v>
      </c>
      <c r="E1888">
        <v>4</v>
      </c>
      <c r="F1888">
        <v>0</v>
      </c>
      <c r="G1888">
        <v>56</v>
      </c>
      <c r="H1888">
        <v>0</v>
      </c>
      <c r="I1888">
        <v>14</v>
      </c>
      <c r="J1888">
        <v>4</v>
      </c>
      <c r="K1888">
        <v>4</v>
      </c>
      <c r="L1888">
        <v>3</v>
      </c>
      <c r="M1888">
        <v>2</v>
      </c>
      <c r="N1888">
        <v>1</v>
      </c>
    </row>
    <row r="1889" spans="1:14" x14ac:dyDescent="0.45">
      <c r="A1889" t="s">
        <v>233</v>
      </c>
      <c r="B1889" t="s">
        <v>641</v>
      </c>
      <c r="C1889" t="s">
        <v>19</v>
      </c>
      <c r="D1889" t="s">
        <v>368</v>
      </c>
      <c r="E1889">
        <v>4</v>
      </c>
      <c r="F1889">
        <v>0</v>
      </c>
      <c r="G1889">
        <v>29</v>
      </c>
      <c r="H1889">
        <v>2</v>
      </c>
      <c r="I1889">
        <v>7.25</v>
      </c>
      <c r="J1889">
        <v>7</v>
      </c>
      <c r="K1889">
        <v>4</v>
      </c>
      <c r="L1889">
        <v>0</v>
      </c>
      <c r="M1889">
        <v>0</v>
      </c>
      <c r="N1889">
        <v>0</v>
      </c>
    </row>
    <row r="1890" spans="1:14" x14ac:dyDescent="0.45">
      <c r="A1890" t="s">
        <v>233</v>
      </c>
      <c r="B1890" t="s">
        <v>641</v>
      </c>
      <c r="C1890" t="s">
        <v>19</v>
      </c>
      <c r="D1890" t="s">
        <v>524</v>
      </c>
      <c r="E1890">
        <v>3</v>
      </c>
      <c r="F1890">
        <v>0</v>
      </c>
      <c r="G1890">
        <v>24</v>
      </c>
      <c r="H1890">
        <v>0</v>
      </c>
      <c r="I1890">
        <v>8</v>
      </c>
      <c r="J1890">
        <v>3</v>
      </c>
      <c r="K1890">
        <v>0</v>
      </c>
      <c r="L1890">
        <v>1</v>
      </c>
      <c r="M1890">
        <v>3</v>
      </c>
      <c r="N1890">
        <v>0</v>
      </c>
    </row>
    <row r="1891" spans="1:14" x14ac:dyDescent="0.45">
      <c r="A1891" t="s">
        <v>233</v>
      </c>
      <c r="B1891" t="s">
        <v>641</v>
      </c>
      <c r="C1891" t="s">
        <v>19</v>
      </c>
      <c r="D1891" t="s">
        <v>563</v>
      </c>
      <c r="E1891">
        <v>3</v>
      </c>
      <c r="F1891">
        <v>0</v>
      </c>
      <c r="G1891">
        <v>37</v>
      </c>
      <c r="H1891">
        <v>0</v>
      </c>
      <c r="I1891">
        <v>12.33</v>
      </c>
      <c r="J1891">
        <v>1</v>
      </c>
      <c r="K1891">
        <v>3</v>
      </c>
      <c r="L1891">
        <v>1</v>
      </c>
      <c r="M1891">
        <v>0</v>
      </c>
      <c r="N1891">
        <v>1</v>
      </c>
    </row>
    <row r="1892" spans="1:14" x14ac:dyDescent="0.45">
      <c r="A1892" t="s">
        <v>233</v>
      </c>
      <c r="B1892" t="s">
        <v>641</v>
      </c>
      <c r="C1892" t="s">
        <v>26</v>
      </c>
      <c r="D1892" t="s">
        <v>520</v>
      </c>
      <c r="E1892">
        <v>3</v>
      </c>
      <c r="F1892">
        <v>0</v>
      </c>
      <c r="G1892">
        <v>20</v>
      </c>
      <c r="H1892">
        <v>1</v>
      </c>
      <c r="I1892">
        <v>6.66</v>
      </c>
      <c r="J1892">
        <v>11</v>
      </c>
      <c r="K1892">
        <v>1</v>
      </c>
      <c r="L1892">
        <v>2</v>
      </c>
      <c r="M1892">
        <v>0</v>
      </c>
      <c r="N1892">
        <v>0</v>
      </c>
    </row>
    <row r="1893" spans="1:14" x14ac:dyDescent="0.45">
      <c r="A1893" t="s">
        <v>233</v>
      </c>
      <c r="B1893" t="s">
        <v>641</v>
      </c>
      <c r="C1893" t="s">
        <v>26</v>
      </c>
      <c r="D1893" t="s">
        <v>405</v>
      </c>
      <c r="E1893">
        <v>3.5</v>
      </c>
      <c r="F1893">
        <v>0</v>
      </c>
      <c r="G1893">
        <v>66</v>
      </c>
      <c r="H1893">
        <v>1</v>
      </c>
      <c r="I1893">
        <v>17.21</v>
      </c>
      <c r="J1893">
        <v>4</v>
      </c>
      <c r="K1893">
        <v>8</v>
      </c>
      <c r="L1893">
        <v>4</v>
      </c>
      <c r="M1893">
        <v>2</v>
      </c>
      <c r="N1893">
        <v>0</v>
      </c>
    </row>
    <row r="1894" spans="1:14" x14ac:dyDescent="0.45">
      <c r="A1894" t="s">
        <v>233</v>
      </c>
      <c r="B1894" t="s">
        <v>641</v>
      </c>
      <c r="C1894" t="s">
        <v>26</v>
      </c>
      <c r="D1894" t="s">
        <v>420</v>
      </c>
      <c r="E1894">
        <v>3</v>
      </c>
      <c r="F1894">
        <v>0</v>
      </c>
      <c r="G1894">
        <v>41</v>
      </c>
      <c r="H1894">
        <v>0</v>
      </c>
      <c r="I1894">
        <v>13.66</v>
      </c>
      <c r="J1894">
        <v>3</v>
      </c>
      <c r="K1894">
        <v>5</v>
      </c>
      <c r="L1894">
        <v>2</v>
      </c>
      <c r="M1894">
        <v>1</v>
      </c>
      <c r="N1894">
        <v>0</v>
      </c>
    </row>
    <row r="1895" spans="1:14" x14ac:dyDescent="0.45">
      <c r="A1895" t="s">
        <v>233</v>
      </c>
      <c r="B1895" t="s">
        <v>641</v>
      </c>
      <c r="C1895" t="s">
        <v>26</v>
      </c>
      <c r="D1895" t="s">
        <v>428</v>
      </c>
      <c r="E1895">
        <v>4</v>
      </c>
      <c r="F1895">
        <v>0</v>
      </c>
      <c r="G1895">
        <v>34</v>
      </c>
      <c r="H1895">
        <v>2</v>
      </c>
      <c r="I1895">
        <v>8.5</v>
      </c>
      <c r="J1895">
        <v>4</v>
      </c>
      <c r="K1895">
        <v>3</v>
      </c>
      <c r="L1895">
        <v>0</v>
      </c>
      <c r="M1895">
        <v>0</v>
      </c>
      <c r="N1895">
        <v>0</v>
      </c>
    </row>
    <row r="1896" spans="1:14" x14ac:dyDescent="0.45">
      <c r="A1896" t="s">
        <v>233</v>
      </c>
      <c r="B1896" t="s">
        <v>641</v>
      </c>
      <c r="C1896" t="s">
        <v>26</v>
      </c>
      <c r="D1896" t="s">
        <v>435</v>
      </c>
      <c r="E1896">
        <v>3</v>
      </c>
      <c r="F1896">
        <v>0</v>
      </c>
      <c r="G1896">
        <v>30</v>
      </c>
      <c r="H1896">
        <v>0</v>
      </c>
      <c r="I1896">
        <v>10</v>
      </c>
      <c r="J1896">
        <v>5</v>
      </c>
      <c r="K1896">
        <v>5</v>
      </c>
      <c r="L1896">
        <v>0</v>
      </c>
      <c r="M1896">
        <v>0</v>
      </c>
      <c r="N1896">
        <v>0</v>
      </c>
    </row>
    <row r="1897" spans="1:14" x14ac:dyDescent="0.45">
      <c r="A1897" t="s">
        <v>233</v>
      </c>
      <c r="B1897" t="s">
        <v>641</v>
      </c>
      <c r="C1897" t="s">
        <v>26</v>
      </c>
      <c r="D1897" t="s">
        <v>404</v>
      </c>
      <c r="E1897">
        <v>2</v>
      </c>
      <c r="F1897">
        <v>0</v>
      </c>
      <c r="G1897">
        <v>21</v>
      </c>
      <c r="H1897">
        <v>0</v>
      </c>
      <c r="I1897">
        <v>10.5</v>
      </c>
      <c r="J1897">
        <v>1</v>
      </c>
      <c r="K1897">
        <v>1</v>
      </c>
      <c r="L1897">
        <v>1</v>
      </c>
      <c r="M1897">
        <v>0</v>
      </c>
      <c r="N1897">
        <v>0</v>
      </c>
    </row>
    <row r="1898" spans="1:14" x14ac:dyDescent="0.45">
      <c r="A1898" t="s">
        <v>234</v>
      </c>
      <c r="B1898" t="s">
        <v>703</v>
      </c>
      <c r="C1898" t="s">
        <v>101</v>
      </c>
      <c r="D1898" t="s">
        <v>403</v>
      </c>
      <c r="E1898">
        <v>4</v>
      </c>
      <c r="F1898">
        <v>0</v>
      </c>
      <c r="G1898">
        <v>11</v>
      </c>
      <c r="H1898">
        <v>4</v>
      </c>
      <c r="I1898">
        <v>2.75</v>
      </c>
      <c r="J1898">
        <v>19</v>
      </c>
      <c r="K1898">
        <v>1</v>
      </c>
      <c r="L1898">
        <v>0</v>
      </c>
      <c r="M1898">
        <v>0</v>
      </c>
      <c r="N1898">
        <v>0</v>
      </c>
    </row>
    <row r="1899" spans="1:14" x14ac:dyDescent="0.45">
      <c r="A1899" t="s">
        <v>234</v>
      </c>
      <c r="B1899" t="s">
        <v>703</v>
      </c>
      <c r="C1899" t="s">
        <v>101</v>
      </c>
      <c r="D1899" t="s">
        <v>361</v>
      </c>
      <c r="E1899">
        <v>1</v>
      </c>
      <c r="F1899">
        <v>0</v>
      </c>
      <c r="G1899">
        <v>10</v>
      </c>
      <c r="H1899">
        <v>0</v>
      </c>
      <c r="I1899">
        <v>10</v>
      </c>
      <c r="J1899">
        <v>3</v>
      </c>
      <c r="K1899">
        <v>2</v>
      </c>
      <c r="L1899">
        <v>0</v>
      </c>
      <c r="M1899">
        <v>0</v>
      </c>
      <c r="N1899">
        <v>1</v>
      </c>
    </row>
    <row r="1900" spans="1:14" x14ac:dyDescent="0.45">
      <c r="A1900" t="s">
        <v>234</v>
      </c>
      <c r="B1900" t="s">
        <v>703</v>
      </c>
      <c r="C1900" t="s">
        <v>101</v>
      </c>
      <c r="D1900" t="s">
        <v>557</v>
      </c>
      <c r="E1900">
        <v>3</v>
      </c>
      <c r="F1900">
        <v>0</v>
      </c>
      <c r="G1900">
        <v>27</v>
      </c>
      <c r="H1900">
        <v>0</v>
      </c>
      <c r="I1900">
        <v>9</v>
      </c>
      <c r="J1900">
        <v>6</v>
      </c>
      <c r="K1900">
        <v>4</v>
      </c>
      <c r="L1900">
        <v>0</v>
      </c>
      <c r="M1900">
        <v>0</v>
      </c>
      <c r="N1900">
        <v>0</v>
      </c>
    </row>
    <row r="1901" spans="1:14" x14ac:dyDescent="0.45">
      <c r="A1901" t="s">
        <v>234</v>
      </c>
      <c r="B1901" t="s">
        <v>703</v>
      </c>
      <c r="C1901" t="s">
        <v>101</v>
      </c>
      <c r="D1901" t="s">
        <v>379</v>
      </c>
      <c r="E1901">
        <v>4</v>
      </c>
      <c r="F1901">
        <v>0</v>
      </c>
      <c r="G1901">
        <v>28</v>
      </c>
      <c r="H1901">
        <v>1</v>
      </c>
      <c r="I1901">
        <v>7</v>
      </c>
      <c r="J1901">
        <v>12</v>
      </c>
      <c r="K1901">
        <v>0</v>
      </c>
      <c r="L1901">
        <v>3</v>
      </c>
      <c r="M1901">
        <v>1</v>
      </c>
      <c r="N1901">
        <v>0</v>
      </c>
    </row>
    <row r="1902" spans="1:14" x14ac:dyDescent="0.45">
      <c r="A1902" t="s">
        <v>234</v>
      </c>
      <c r="B1902" t="s">
        <v>703</v>
      </c>
      <c r="C1902" t="s">
        <v>101</v>
      </c>
      <c r="D1902" t="s">
        <v>556</v>
      </c>
      <c r="E1902">
        <v>4</v>
      </c>
      <c r="F1902">
        <v>0</v>
      </c>
      <c r="G1902">
        <v>20</v>
      </c>
      <c r="H1902">
        <v>0</v>
      </c>
      <c r="I1902">
        <v>5</v>
      </c>
      <c r="J1902">
        <v>11</v>
      </c>
      <c r="K1902">
        <v>1</v>
      </c>
      <c r="L1902">
        <v>0</v>
      </c>
      <c r="M1902">
        <v>2</v>
      </c>
      <c r="N1902">
        <v>0</v>
      </c>
    </row>
    <row r="1903" spans="1:14" x14ac:dyDescent="0.45">
      <c r="A1903" t="s">
        <v>234</v>
      </c>
      <c r="B1903" t="s">
        <v>703</v>
      </c>
      <c r="C1903" t="s">
        <v>101</v>
      </c>
      <c r="D1903" t="s">
        <v>558</v>
      </c>
      <c r="E1903">
        <v>4</v>
      </c>
      <c r="F1903">
        <v>0</v>
      </c>
      <c r="G1903">
        <v>33</v>
      </c>
      <c r="H1903">
        <v>2</v>
      </c>
      <c r="I1903">
        <v>8.25</v>
      </c>
      <c r="J1903">
        <v>7</v>
      </c>
      <c r="K1903">
        <v>1</v>
      </c>
      <c r="L1903">
        <v>2</v>
      </c>
      <c r="M1903">
        <v>0</v>
      </c>
      <c r="N1903">
        <v>0</v>
      </c>
    </row>
    <row r="1904" spans="1:14" x14ac:dyDescent="0.45">
      <c r="A1904" t="s">
        <v>234</v>
      </c>
      <c r="B1904" t="s">
        <v>703</v>
      </c>
      <c r="C1904" t="s">
        <v>10</v>
      </c>
      <c r="D1904" t="s">
        <v>444</v>
      </c>
      <c r="E1904">
        <v>4</v>
      </c>
      <c r="F1904">
        <v>1</v>
      </c>
      <c r="G1904">
        <v>24</v>
      </c>
      <c r="H1904">
        <v>2</v>
      </c>
      <c r="I1904">
        <v>6</v>
      </c>
      <c r="J1904">
        <v>12</v>
      </c>
      <c r="K1904">
        <v>4</v>
      </c>
      <c r="L1904">
        <v>0</v>
      </c>
      <c r="M1904">
        <v>0</v>
      </c>
      <c r="N1904">
        <v>0</v>
      </c>
    </row>
    <row r="1905" spans="1:14" x14ac:dyDescent="0.45">
      <c r="A1905" t="s">
        <v>234</v>
      </c>
      <c r="B1905" t="s">
        <v>703</v>
      </c>
      <c r="C1905" t="s">
        <v>10</v>
      </c>
      <c r="D1905" t="s">
        <v>456</v>
      </c>
      <c r="E1905">
        <v>4</v>
      </c>
      <c r="F1905">
        <v>0</v>
      </c>
      <c r="G1905">
        <v>23</v>
      </c>
      <c r="H1905">
        <v>2</v>
      </c>
      <c r="I1905">
        <v>5.75</v>
      </c>
      <c r="J1905">
        <v>12</v>
      </c>
      <c r="K1905">
        <v>2</v>
      </c>
      <c r="L1905">
        <v>0</v>
      </c>
      <c r="M1905">
        <v>1</v>
      </c>
      <c r="N1905">
        <v>0</v>
      </c>
    </row>
    <row r="1906" spans="1:14" x14ac:dyDescent="0.45">
      <c r="A1906" t="s">
        <v>234</v>
      </c>
      <c r="B1906" t="s">
        <v>703</v>
      </c>
      <c r="C1906" t="s">
        <v>10</v>
      </c>
      <c r="D1906" t="s">
        <v>338</v>
      </c>
      <c r="E1906">
        <v>4</v>
      </c>
      <c r="F1906">
        <v>0</v>
      </c>
      <c r="G1906">
        <v>39</v>
      </c>
      <c r="H1906">
        <v>1</v>
      </c>
      <c r="I1906">
        <v>9.75</v>
      </c>
      <c r="J1906">
        <v>11</v>
      </c>
      <c r="K1906">
        <v>2</v>
      </c>
      <c r="L1906">
        <v>3</v>
      </c>
      <c r="M1906">
        <v>2</v>
      </c>
      <c r="N1906">
        <v>0</v>
      </c>
    </row>
    <row r="1907" spans="1:14" x14ac:dyDescent="0.45">
      <c r="A1907" t="s">
        <v>234</v>
      </c>
      <c r="B1907" t="s">
        <v>703</v>
      </c>
      <c r="C1907" t="s">
        <v>10</v>
      </c>
      <c r="D1907" t="s">
        <v>500</v>
      </c>
      <c r="E1907">
        <v>4</v>
      </c>
      <c r="F1907">
        <v>0</v>
      </c>
      <c r="G1907">
        <v>15</v>
      </c>
      <c r="H1907">
        <v>1</v>
      </c>
      <c r="I1907">
        <v>3.75</v>
      </c>
      <c r="J1907">
        <v>9</v>
      </c>
      <c r="K1907">
        <v>0</v>
      </c>
      <c r="L1907">
        <v>0</v>
      </c>
      <c r="M1907">
        <v>0</v>
      </c>
      <c r="N1907">
        <v>0</v>
      </c>
    </row>
    <row r="1908" spans="1:14" x14ac:dyDescent="0.45">
      <c r="A1908" t="s">
        <v>234</v>
      </c>
      <c r="B1908" t="s">
        <v>703</v>
      </c>
      <c r="C1908" t="s">
        <v>10</v>
      </c>
      <c r="D1908" t="s">
        <v>337</v>
      </c>
      <c r="E1908">
        <v>4</v>
      </c>
      <c r="F1908">
        <v>0</v>
      </c>
      <c r="G1908">
        <v>24</v>
      </c>
      <c r="H1908">
        <v>0</v>
      </c>
      <c r="I1908">
        <v>6</v>
      </c>
      <c r="J1908">
        <v>10</v>
      </c>
      <c r="K1908">
        <v>1</v>
      </c>
      <c r="L1908">
        <v>1</v>
      </c>
      <c r="M1908">
        <v>1</v>
      </c>
      <c r="N1908">
        <v>0</v>
      </c>
    </row>
    <row r="1909" spans="1:14" x14ac:dyDescent="0.45">
      <c r="A1909" t="s">
        <v>235</v>
      </c>
      <c r="B1909" t="s">
        <v>666</v>
      </c>
      <c r="C1909" t="s">
        <v>104</v>
      </c>
      <c r="D1909" t="s">
        <v>366</v>
      </c>
      <c r="E1909">
        <v>4</v>
      </c>
      <c r="F1909">
        <v>0</v>
      </c>
      <c r="G1909">
        <v>21</v>
      </c>
      <c r="H1909">
        <v>0</v>
      </c>
      <c r="I1909">
        <v>5.25</v>
      </c>
      <c r="J1909">
        <v>8</v>
      </c>
      <c r="K1909">
        <v>1</v>
      </c>
      <c r="L1909">
        <v>0</v>
      </c>
      <c r="M1909">
        <v>0</v>
      </c>
      <c r="N1909">
        <v>0</v>
      </c>
    </row>
    <row r="1910" spans="1:14" x14ac:dyDescent="0.45">
      <c r="A1910" t="s">
        <v>235</v>
      </c>
      <c r="B1910" t="s">
        <v>666</v>
      </c>
      <c r="C1910" t="s">
        <v>104</v>
      </c>
      <c r="D1910" t="s">
        <v>331</v>
      </c>
      <c r="E1910">
        <v>1</v>
      </c>
      <c r="F1910">
        <v>0</v>
      </c>
      <c r="G1910">
        <v>11</v>
      </c>
      <c r="H1910">
        <v>0</v>
      </c>
      <c r="I1910">
        <v>11</v>
      </c>
      <c r="J1910">
        <v>0</v>
      </c>
      <c r="K1910">
        <v>1</v>
      </c>
      <c r="L1910">
        <v>0</v>
      </c>
      <c r="M1910">
        <v>0</v>
      </c>
      <c r="N1910">
        <v>0</v>
      </c>
    </row>
    <row r="1911" spans="1:14" x14ac:dyDescent="0.45">
      <c r="A1911" t="s">
        <v>235</v>
      </c>
      <c r="B1911" t="s">
        <v>666</v>
      </c>
      <c r="C1911" t="s">
        <v>104</v>
      </c>
      <c r="D1911" t="s">
        <v>565</v>
      </c>
      <c r="E1911">
        <v>4</v>
      </c>
      <c r="F1911">
        <v>0</v>
      </c>
      <c r="G1911">
        <v>30</v>
      </c>
      <c r="H1911">
        <v>3</v>
      </c>
      <c r="I1911">
        <v>7.5</v>
      </c>
      <c r="J1911">
        <v>8</v>
      </c>
      <c r="K1911">
        <v>3</v>
      </c>
      <c r="L1911">
        <v>1</v>
      </c>
      <c r="M1911">
        <v>0</v>
      </c>
      <c r="N1911">
        <v>0</v>
      </c>
    </row>
    <row r="1912" spans="1:14" x14ac:dyDescent="0.45">
      <c r="A1912" t="s">
        <v>235</v>
      </c>
      <c r="B1912" t="s">
        <v>666</v>
      </c>
      <c r="C1912" t="s">
        <v>104</v>
      </c>
      <c r="D1912" t="s">
        <v>407</v>
      </c>
      <c r="E1912">
        <v>4</v>
      </c>
      <c r="F1912">
        <v>0</v>
      </c>
      <c r="G1912">
        <v>21</v>
      </c>
      <c r="H1912">
        <v>2</v>
      </c>
      <c r="I1912">
        <v>5.25</v>
      </c>
      <c r="J1912">
        <v>7</v>
      </c>
      <c r="K1912">
        <v>0</v>
      </c>
      <c r="L1912">
        <v>0</v>
      </c>
      <c r="M1912">
        <v>0</v>
      </c>
      <c r="N1912">
        <v>0</v>
      </c>
    </row>
    <row r="1913" spans="1:14" x14ac:dyDescent="0.45">
      <c r="A1913" t="s">
        <v>235</v>
      </c>
      <c r="B1913" t="s">
        <v>666</v>
      </c>
      <c r="C1913" t="s">
        <v>104</v>
      </c>
      <c r="D1913" t="s">
        <v>468</v>
      </c>
      <c r="E1913">
        <v>3</v>
      </c>
      <c r="F1913">
        <v>0</v>
      </c>
      <c r="G1913">
        <v>21</v>
      </c>
      <c r="H1913">
        <v>2</v>
      </c>
      <c r="I1913">
        <v>7</v>
      </c>
      <c r="J1913">
        <v>4</v>
      </c>
      <c r="K1913">
        <v>0</v>
      </c>
      <c r="L1913">
        <v>1</v>
      </c>
      <c r="M1913">
        <v>0</v>
      </c>
      <c r="N1913">
        <v>0</v>
      </c>
    </row>
    <row r="1914" spans="1:14" x14ac:dyDescent="0.45">
      <c r="A1914" t="s">
        <v>235</v>
      </c>
      <c r="B1914" t="s">
        <v>666</v>
      </c>
      <c r="C1914" t="s">
        <v>104</v>
      </c>
      <c r="D1914" t="s">
        <v>566</v>
      </c>
      <c r="E1914">
        <v>2</v>
      </c>
      <c r="F1914">
        <v>0</v>
      </c>
      <c r="G1914">
        <v>12</v>
      </c>
      <c r="H1914">
        <v>0</v>
      </c>
      <c r="I1914">
        <v>6</v>
      </c>
      <c r="J1914">
        <v>6</v>
      </c>
      <c r="K1914">
        <v>1</v>
      </c>
      <c r="L1914">
        <v>0</v>
      </c>
      <c r="M1914">
        <v>2</v>
      </c>
      <c r="N1914">
        <v>0</v>
      </c>
    </row>
    <row r="1915" spans="1:14" x14ac:dyDescent="0.45">
      <c r="A1915" t="s">
        <v>235</v>
      </c>
      <c r="B1915" t="s">
        <v>666</v>
      </c>
      <c r="C1915" t="s">
        <v>104</v>
      </c>
      <c r="D1915" t="s">
        <v>516</v>
      </c>
      <c r="E1915">
        <v>2</v>
      </c>
      <c r="F1915">
        <v>0</v>
      </c>
      <c r="G1915">
        <v>10</v>
      </c>
      <c r="H1915">
        <v>1</v>
      </c>
      <c r="I1915">
        <v>5</v>
      </c>
      <c r="J1915">
        <v>5</v>
      </c>
      <c r="K1915">
        <v>0</v>
      </c>
      <c r="L1915">
        <v>0</v>
      </c>
      <c r="M1915">
        <v>0</v>
      </c>
      <c r="N1915">
        <v>0</v>
      </c>
    </row>
    <row r="1916" spans="1:14" x14ac:dyDescent="0.45">
      <c r="A1916" t="s">
        <v>235</v>
      </c>
      <c r="B1916" t="s">
        <v>666</v>
      </c>
      <c r="C1916" t="s">
        <v>13</v>
      </c>
      <c r="D1916" t="s">
        <v>352</v>
      </c>
      <c r="E1916">
        <v>3</v>
      </c>
      <c r="F1916">
        <v>0</v>
      </c>
      <c r="G1916">
        <v>24</v>
      </c>
      <c r="H1916">
        <v>1</v>
      </c>
      <c r="I1916">
        <v>8</v>
      </c>
      <c r="J1916">
        <v>11</v>
      </c>
      <c r="K1916">
        <v>4</v>
      </c>
      <c r="L1916">
        <v>0</v>
      </c>
      <c r="M1916">
        <v>3</v>
      </c>
      <c r="N1916">
        <v>1</v>
      </c>
    </row>
    <row r="1917" spans="1:14" x14ac:dyDescent="0.45">
      <c r="A1917" t="s">
        <v>235</v>
      </c>
      <c r="B1917" t="s">
        <v>666</v>
      </c>
      <c r="C1917" t="s">
        <v>13</v>
      </c>
      <c r="D1917" t="s">
        <v>325</v>
      </c>
      <c r="E1917">
        <v>3</v>
      </c>
      <c r="F1917">
        <v>0</v>
      </c>
      <c r="G1917">
        <v>15</v>
      </c>
      <c r="H1917">
        <v>2</v>
      </c>
      <c r="I1917">
        <v>5</v>
      </c>
      <c r="J1917">
        <v>13</v>
      </c>
      <c r="K1917">
        <v>1</v>
      </c>
      <c r="L1917">
        <v>1</v>
      </c>
      <c r="M1917">
        <v>0</v>
      </c>
      <c r="N1917">
        <v>1</v>
      </c>
    </row>
    <row r="1918" spans="1:14" x14ac:dyDescent="0.45">
      <c r="A1918" t="s">
        <v>235</v>
      </c>
      <c r="B1918" t="s">
        <v>666</v>
      </c>
      <c r="C1918" t="s">
        <v>13</v>
      </c>
      <c r="D1918" t="s">
        <v>345</v>
      </c>
      <c r="E1918">
        <v>1</v>
      </c>
      <c r="F1918">
        <v>0</v>
      </c>
      <c r="G1918">
        <v>3</v>
      </c>
      <c r="H1918">
        <v>1</v>
      </c>
      <c r="I1918">
        <v>3</v>
      </c>
      <c r="J1918">
        <v>3</v>
      </c>
      <c r="K1918">
        <v>0</v>
      </c>
      <c r="L1918">
        <v>0</v>
      </c>
      <c r="M1918">
        <v>0</v>
      </c>
      <c r="N1918">
        <v>0</v>
      </c>
    </row>
    <row r="1919" spans="1:14" x14ac:dyDescent="0.45">
      <c r="A1919" t="s">
        <v>235</v>
      </c>
      <c r="B1919" t="s">
        <v>666</v>
      </c>
      <c r="C1919" t="s">
        <v>13</v>
      </c>
      <c r="D1919" t="s">
        <v>448</v>
      </c>
      <c r="E1919">
        <v>4</v>
      </c>
      <c r="F1919">
        <v>0</v>
      </c>
      <c r="G1919">
        <v>20</v>
      </c>
      <c r="H1919">
        <v>1</v>
      </c>
      <c r="I1919">
        <v>5</v>
      </c>
      <c r="J1919">
        <v>14</v>
      </c>
      <c r="K1919">
        <v>0</v>
      </c>
      <c r="L1919">
        <v>2</v>
      </c>
      <c r="M1919">
        <v>0</v>
      </c>
      <c r="N1919">
        <v>0</v>
      </c>
    </row>
    <row r="1920" spans="1:14" x14ac:dyDescent="0.45">
      <c r="A1920" t="s">
        <v>235</v>
      </c>
      <c r="B1920" t="s">
        <v>666</v>
      </c>
      <c r="C1920" t="s">
        <v>13</v>
      </c>
      <c r="D1920" t="s">
        <v>586</v>
      </c>
      <c r="E1920">
        <v>4</v>
      </c>
      <c r="F1920">
        <v>0</v>
      </c>
      <c r="G1920">
        <v>20</v>
      </c>
      <c r="H1920">
        <v>2</v>
      </c>
      <c r="I1920">
        <v>5</v>
      </c>
      <c r="J1920">
        <v>12</v>
      </c>
      <c r="K1920">
        <v>1</v>
      </c>
      <c r="L1920">
        <v>1</v>
      </c>
      <c r="M1920">
        <v>0</v>
      </c>
      <c r="N1920">
        <v>0</v>
      </c>
    </row>
    <row r="1921" spans="1:14" x14ac:dyDescent="0.45">
      <c r="A1921" t="s">
        <v>235</v>
      </c>
      <c r="B1921" t="s">
        <v>666</v>
      </c>
      <c r="C1921" t="s">
        <v>13</v>
      </c>
      <c r="D1921" t="s">
        <v>349</v>
      </c>
      <c r="E1921">
        <v>3.5</v>
      </c>
      <c r="F1921">
        <v>0</v>
      </c>
      <c r="G1921">
        <v>20</v>
      </c>
      <c r="H1921">
        <v>1</v>
      </c>
      <c r="I1921">
        <v>5.21</v>
      </c>
      <c r="J1921">
        <v>9</v>
      </c>
      <c r="K1921">
        <v>2</v>
      </c>
      <c r="L1921">
        <v>0</v>
      </c>
      <c r="M1921">
        <v>0</v>
      </c>
      <c r="N1921">
        <v>0</v>
      </c>
    </row>
    <row r="1922" spans="1:14" x14ac:dyDescent="0.45">
      <c r="A1922" t="s">
        <v>235</v>
      </c>
      <c r="B1922" t="s">
        <v>666</v>
      </c>
      <c r="C1922" t="s">
        <v>13</v>
      </c>
      <c r="D1922" t="s">
        <v>430</v>
      </c>
      <c r="E1922">
        <v>1</v>
      </c>
      <c r="F1922">
        <v>0</v>
      </c>
      <c r="G1922">
        <v>4</v>
      </c>
      <c r="H1922">
        <v>0</v>
      </c>
      <c r="I1922">
        <v>4</v>
      </c>
      <c r="J1922">
        <v>2</v>
      </c>
      <c r="K1922">
        <v>0</v>
      </c>
      <c r="L1922">
        <v>0</v>
      </c>
      <c r="M1922">
        <v>0</v>
      </c>
      <c r="N1922">
        <v>0</v>
      </c>
    </row>
    <row r="1923" spans="1:14" x14ac:dyDescent="0.45">
      <c r="A1923" t="s">
        <v>236</v>
      </c>
      <c r="B1923" t="s">
        <v>632</v>
      </c>
      <c r="C1923" t="s">
        <v>19</v>
      </c>
      <c r="D1923" t="s">
        <v>560</v>
      </c>
      <c r="E1923">
        <v>3</v>
      </c>
      <c r="F1923">
        <v>0</v>
      </c>
      <c r="G1923">
        <v>31</v>
      </c>
      <c r="H1923">
        <v>0</v>
      </c>
      <c r="I1923">
        <v>10.33</v>
      </c>
      <c r="J1923">
        <v>10</v>
      </c>
      <c r="K1923">
        <v>2</v>
      </c>
      <c r="L1923">
        <v>2</v>
      </c>
      <c r="M1923">
        <v>4</v>
      </c>
      <c r="N1923">
        <v>0</v>
      </c>
    </row>
    <row r="1924" spans="1:14" x14ac:dyDescent="0.45">
      <c r="A1924" t="s">
        <v>236</v>
      </c>
      <c r="B1924" t="s">
        <v>632</v>
      </c>
      <c r="C1924" t="s">
        <v>19</v>
      </c>
      <c r="D1924" t="s">
        <v>594</v>
      </c>
      <c r="E1924">
        <v>4</v>
      </c>
      <c r="F1924">
        <v>0</v>
      </c>
      <c r="G1924">
        <v>35</v>
      </c>
      <c r="H1924">
        <v>1</v>
      </c>
      <c r="I1924">
        <v>8.75</v>
      </c>
      <c r="J1924">
        <v>16</v>
      </c>
      <c r="K1924">
        <v>2</v>
      </c>
      <c r="L1924">
        <v>3</v>
      </c>
      <c r="M1924">
        <v>3</v>
      </c>
      <c r="N1924">
        <v>1</v>
      </c>
    </row>
    <row r="1925" spans="1:14" x14ac:dyDescent="0.45">
      <c r="A1925" t="s">
        <v>236</v>
      </c>
      <c r="B1925" t="s">
        <v>632</v>
      </c>
      <c r="C1925" t="s">
        <v>19</v>
      </c>
      <c r="D1925" t="s">
        <v>457</v>
      </c>
      <c r="E1925">
        <v>4</v>
      </c>
      <c r="F1925">
        <v>0</v>
      </c>
      <c r="G1925">
        <v>51</v>
      </c>
      <c r="H1925">
        <v>1</v>
      </c>
      <c r="I1925">
        <v>12.75</v>
      </c>
      <c r="J1925">
        <v>7</v>
      </c>
      <c r="K1925">
        <v>9</v>
      </c>
      <c r="L1925">
        <v>1</v>
      </c>
      <c r="M1925">
        <v>2</v>
      </c>
      <c r="N1925">
        <v>0</v>
      </c>
    </row>
    <row r="1926" spans="1:14" x14ac:dyDescent="0.45">
      <c r="A1926" t="s">
        <v>236</v>
      </c>
      <c r="B1926" t="s">
        <v>632</v>
      </c>
      <c r="C1926" t="s">
        <v>19</v>
      </c>
      <c r="D1926" t="s">
        <v>368</v>
      </c>
      <c r="E1926">
        <v>4</v>
      </c>
      <c r="F1926">
        <v>0</v>
      </c>
      <c r="G1926">
        <v>34</v>
      </c>
      <c r="H1926">
        <v>2</v>
      </c>
      <c r="I1926">
        <v>8.5</v>
      </c>
      <c r="J1926">
        <v>11</v>
      </c>
      <c r="K1926">
        <v>2</v>
      </c>
      <c r="L1926">
        <v>3</v>
      </c>
      <c r="M1926">
        <v>0</v>
      </c>
      <c r="N1926">
        <v>0</v>
      </c>
    </row>
    <row r="1927" spans="1:14" x14ac:dyDescent="0.45">
      <c r="A1927" t="s">
        <v>236</v>
      </c>
      <c r="B1927" t="s">
        <v>632</v>
      </c>
      <c r="C1927" t="s">
        <v>19</v>
      </c>
      <c r="D1927" t="s">
        <v>524</v>
      </c>
      <c r="E1927">
        <v>2</v>
      </c>
      <c r="F1927">
        <v>0</v>
      </c>
      <c r="G1927">
        <v>14</v>
      </c>
      <c r="H1927">
        <v>0</v>
      </c>
      <c r="I1927">
        <v>7</v>
      </c>
      <c r="J1927">
        <v>6</v>
      </c>
      <c r="K1927">
        <v>1</v>
      </c>
      <c r="L1927">
        <v>1</v>
      </c>
      <c r="M1927">
        <v>0</v>
      </c>
      <c r="N1927">
        <v>0</v>
      </c>
    </row>
    <row r="1928" spans="1:14" x14ac:dyDescent="0.45">
      <c r="A1928" t="s">
        <v>236</v>
      </c>
      <c r="B1928" t="s">
        <v>632</v>
      </c>
      <c r="C1928" t="s">
        <v>19</v>
      </c>
      <c r="D1928" t="s">
        <v>593</v>
      </c>
      <c r="E1928">
        <v>3</v>
      </c>
      <c r="F1928">
        <v>0</v>
      </c>
      <c r="G1928">
        <v>39</v>
      </c>
      <c r="H1928">
        <v>3</v>
      </c>
      <c r="I1928">
        <v>13</v>
      </c>
      <c r="J1928">
        <v>5</v>
      </c>
      <c r="K1928">
        <v>4</v>
      </c>
      <c r="L1928">
        <v>2</v>
      </c>
      <c r="M1928">
        <v>3</v>
      </c>
      <c r="N1928">
        <v>0</v>
      </c>
    </row>
    <row r="1929" spans="1:14" x14ac:dyDescent="0.45">
      <c r="A1929" t="s">
        <v>236</v>
      </c>
      <c r="B1929" t="s">
        <v>632</v>
      </c>
      <c r="C1929" t="s">
        <v>23</v>
      </c>
      <c r="D1929" t="s">
        <v>370</v>
      </c>
      <c r="E1929">
        <v>4</v>
      </c>
      <c r="F1929">
        <v>0</v>
      </c>
      <c r="G1929">
        <v>43</v>
      </c>
      <c r="H1929">
        <v>1</v>
      </c>
      <c r="I1929">
        <v>10.75</v>
      </c>
      <c r="J1929">
        <v>8</v>
      </c>
      <c r="K1929">
        <v>7</v>
      </c>
      <c r="L1929">
        <v>0</v>
      </c>
      <c r="M1929">
        <v>2</v>
      </c>
      <c r="N1929">
        <v>0</v>
      </c>
    </row>
    <row r="1930" spans="1:14" x14ac:dyDescent="0.45">
      <c r="A1930" t="s">
        <v>236</v>
      </c>
      <c r="B1930" t="s">
        <v>632</v>
      </c>
      <c r="C1930" t="s">
        <v>23</v>
      </c>
      <c r="D1930" t="s">
        <v>429</v>
      </c>
      <c r="E1930">
        <v>4</v>
      </c>
      <c r="F1930">
        <v>0</v>
      </c>
      <c r="G1930">
        <v>35</v>
      </c>
      <c r="H1930">
        <v>1</v>
      </c>
      <c r="I1930">
        <v>8.75</v>
      </c>
      <c r="J1930">
        <v>5</v>
      </c>
      <c r="K1930">
        <v>3</v>
      </c>
      <c r="L1930">
        <v>1</v>
      </c>
      <c r="M1930">
        <v>2</v>
      </c>
      <c r="N1930">
        <v>0</v>
      </c>
    </row>
    <row r="1931" spans="1:14" x14ac:dyDescent="0.45">
      <c r="A1931" t="s">
        <v>236</v>
      </c>
      <c r="B1931" t="s">
        <v>632</v>
      </c>
      <c r="C1931" t="s">
        <v>23</v>
      </c>
      <c r="D1931" t="s">
        <v>339</v>
      </c>
      <c r="E1931">
        <v>4</v>
      </c>
      <c r="F1931">
        <v>0</v>
      </c>
      <c r="G1931">
        <v>27</v>
      </c>
      <c r="H1931">
        <v>2</v>
      </c>
      <c r="I1931">
        <v>6.75</v>
      </c>
      <c r="J1931">
        <v>8</v>
      </c>
      <c r="K1931">
        <v>0</v>
      </c>
      <c r="L1931">
        <v>2</v>
      </c>
      <c r="M1931">
        <v>1</v>
      </c>
      <c r="N1931">
        <v>0</v>
      </c>
    </row>
    <row r="1932" spans="1:14" x14ac:dyDescent="0.45">
      <c r="A1932" t="s">
        <v>236</v>
      </c>
      <c r="B1932" t="s">
        <v>632</v>
      </c>
      <c r="C1932" t="s">
        <v>23</v>
      </c>
      <c r="D1932" t="s">
        <v>353</v>
      </c>
      <c r="E1932">
        <v>3</v>
      </c>
      <c r="F1932">
        <v>0</v>
      </c>
      <c r="G1932">
        <v>32</v>
      </c>
      <c r="H1932">
        <v>0</v>
      </c>
      <c r="I1932">
        <v>10.66</v>
      </c>
      <c r="J1932">
        <v>5</v>
      </c>
      <c r="K1932">
        <v>3</v>
      </c>
      <c r="L1932">
        <v>2</v>
      </c>
      <c r="M1932">
        <v>0</v>
      </c>
      <c r="N1932">
        <v>0</v>
      </c>
    </row>
    <row r="1933" spans="1:14" x14ac:dyDescent="0.45">
      <c r="A1933" t="s">
        <v>236</v>
      </c>
      <c r="B1933" t="s">
        <v>632</v>
      </c>
      <c r="C1933" t="s">
        <v>23</v>
      </c>
      <c r="D1933" t="s">
        <v>378</v>
      </c>
      <c r="E1933">
        <v>3.3</v>
      </c>
      <c r="F1933">
        <v>0</v>
      </c>
      <c r="G1933">
        <v>55</v>
      </c>
      <c r="H1933">
        <v>0</v>
      </c>
      <c r="I1933">
        <v>15.71</v>
      </c>
      <c r="J1933">
        <v>4</v>
      </c>
      <c r="K1933">
        <v>5</v>
      </c>
      <c r="L1933">
        <v>4</v>
      </c>
      <c r="M1933">
        <v>2</v>
      </c>
      <c r="N1933">
        <v>0</v>
      </c>
    </row>
    <row r="1934" spans="1:14" x14ac:dyDescent="0.45">
      <c r="A1934" t="s">
        <v>236</v>
      </c>
      <c r="B1934" t="s">
        <v>632</v>
      </c>
      <c r="C1934" t="s">
        <v>23</v>
      </c>
      <c r="D1934" t="s">
        <v>527</v>
      </c>
      <c r="E1934">
        <v>1</v>
      </c>
      <c r="F1934">
        <v>0</v>
      </c>
      <c r="G1934">
        <v>20</v>
      </c>
      <c r="H1934">
        <v>0</v>
      </c>
      <c r="I1934">
        <v>20</v>
      </c>
      <c r="J1934">
        <v>2</v>
      </c>
      <c r="K1934">
        <v>3</v>
      </c>
      <c r="L1934">
        <v>1</v>
      </c>
      <c r="M1934">
        <v>0</v>
      </c>
      <c r="N1934">
        <v>1</v>
      </c>
    </row>
    <row r="1935" spans="1:14" x14ac:dyDescent="0.45">
      <c r="A1935" t="s">
        <v>237</v>
      </c>
      <c r="B1935" t="s">
        <v>630</v>
      </c>
      <c r="C1935" t="s">
        <v>26</v>
      </c>
      <c r="D1935" t="s">
        <v>405</v>
      </c>
      <c r="E1935">
        <v>4</v>
      </c>
      <c r="F1935">
        <v>0</v>
      </c>
      <c r="G1935">
        <v>37</v>
      </c>
      <c r="H1935">
        <v>1</v>
      </c>
      <c r="I1935">
        <v>9.25</v>
      </c>
      <c r="J1935">
        <v>8</v>
      </c>
      <c r="K1935">
        <v>5</v>
      </c>
      <c r="L1935">
        <v>0</v>
      </c>
      <c r="M1935">
        <v>3</v>
      </c>
      <c r="N1935">
        <v>0</v>
      </c>
    </row>
    <row r="1936" spans="1:14" x14ac:dyDescent="0.45">
      <c r="A1936" t="s">
        <v>237</v>
      </c>
      <c r="B1936" t="s">
        <v>630</v>
      </c>
      <c r="C1936" t="s">
        <v>26</v>
      </c>
      <c r="D1936" t="s">
        <v>341</v>
      </c>
      <c r="E1936">
        <v>4</v>
      </c>
      <c r="F1936">
        <v>0</v>
      </c>
      <c r="G1936">
        <v>34</v>
      </c>
      <c r="H1936">
        <v>0</v>
      </c>
      <c r="I1936">
        <v>8.5</v>
      </c>
      <c r="J1936">
        <v>8</v>
      </c>
      <c r="K1936">
        <v>4</v>
      </c>
      <c r="L1936">
        <v>1</v>
      </c>
      <c r="M1936">
        <v>1</v>
      </c>
      <c r="N1936">
        <v>0</v>
      </c>
    </row>
    <row r="1937" spans="1:14" x14ac:dyDescent="0.45">
      <c r="A1937" t="s">
        <v>237</v>
      </c>
      <c r="B1937" t="s">
        <v>630</v>
      </c>
      <c r="C1937" t="s">
        <v>26</v>
      </c>
      <c r="D1937" t="s">
        <v>420</v>
      </c>
      <c r="E1937">
        <v>4</v>
      </c>
      <c r="F1937">
        <v>0</v>
      </c>
      <c r="G1937">
        <v>46</v>
      </c>
      <c r="H1937">
        <v>1</v>
      </c>
      <c r="I1937">
        <v>11.5</v>
      </c>
      <c r="J1937">
        <v>7</v>
      </c>
      <c r="K1937">
        <v>5</v>
      </c>
      <c r="L1937">
        <v>2</v>
      </c>
      <c r="M1937">
        <v>3</v>
      </c>
      <c r="N1937">
        <v>0</v>
      </c>
    </row>
    <row r="1938" spans="1:14" x14ac:dyDescent="0.45">
      <c r="A1938" t="s">
        <v>237</v>
      </c>
      <c r="B1938" t="s">
        <v>630</v>
      </c>
      <c r="C1938" t="s">
        <v>26</v>
      </c>
      <c r="D1938" t="s">
        <v>435</v>
      </c>
      <c r="E1938">
        <v>4</v>
      </c>
      <c r="F1938">
        <v>0</v>
      </c>
      <c r="G1938">
        <v>35</v>
      </c>
      <c r="H1938">
        <v>1</v>
      </c>
      <c r="I1938">
        <v>8.75</v>
      </c>
      <c r="J1938">
        <v>7</v>
      </c>
      <c r="K1938">
        <v>2</v>
      </c>
      <c r="L1938">
        <v>2</v>
      </c>
      <c r="M1938">
        <v>0</v>
      </c>
      <c r="N1938">
        <v>0</v>
      </c>
    </row>
    <row r="1939" spans="1:14" x14ac:dyDescent="0.45">
      <c r="A1939" t="s">
        <v>237</v>
      </c>
      <c r="B1939" t="s">
        <v>630</v>
      </c>
      <c r="C1939" t="s">
        <v>26</v>
      </c>
      <c r="D1939" t="s">
        <v>590</v>
      </c>
      <c r="E1939">
        <v>3</v>
      </c>
      <c r="F1939">
        <v>0</v>
      </c>
      <c r="G1939">
        <v>31</v>
      </c>
      <c r="H1939">
        <v>1</v>
      </c>
      <c r="I1939">
        <v>10.33</v>
      </c>
      <c r="J1939">
        <v>6</v>
      </c>
      <c r="K1939">
        <v>4</v>
      </c>
      <c r="L1939">
        <v>1</v>
      </c>
      <c r="M1939">
        <v>0</v>
      </c>
      <c r="N1939">
        <v>0</v>
      </c>
    </row>
    <row r="1940" spans="1:14" x14ac:dyDescent="0.45">
      <c r="A1940" t="s">
        <v>237</v>
      </c>
      <c r="B1940" t="s">
        <v>630</v>
      </c>
      <c r="C1940" t="s">
        <v>26</v>
      </c>
      <c r="D1940" t="s">
        <v>384</v>
      </c>
      <c r="E1940">
        <v>1</v>
      </c>
      <c r="F1940">
        <v>0</v>
      </c>
      <c r="G1940">
        <v>16</v>
      </c>
      <c r="H1940">
        <v>0</v>
      </c>
      <c r="I1940">
        <v>16</v>
      </c>
      <c r="J1940">
        <v>0</v>
      </c>
      <c r="K1940">
        <v>3</v>
      </c>
      <c r="L1940">
        <v>0</v>
      </c>
      <c r="M1940">
        <v>0</v>
      </c>
      <c r="N1940">
        <v>0</v>
      </c>
    </row>
    <row r="1941" spans="1:14" x14ac:dyDescent="0.45">
      <c r="A1941" t="s">
        <v>237</v>
      </c>
      <c r="B1941" t="s">
        <v>630</v>
      </c>
      <c r="C1941" t="s">
        <v>6</v>
      </c>
      <c r="D1941" t="s">
        <v>418</v>
      </c>
      <c r="E1941">
        <v>3</v>
      </c>
      <c r="F1941">
        <v>0</v>
      </c>
      <c r="G1941">
        <v>35</v>
      </c>
      <c r="H1941">
        <v>0</v>
      </c>
      <c r="I1941">
        <v>11.66</v>
      </c>
      <c r="J1941">
        <v>4</v>
      </c>
      <c r="K1941">
        <v>3</v>
      </c>
      <c r="L1941">
        <v>2</v>
      </c>
      <c r="M1941">
        <v>1</v>
      </c>
      <c r="N1941">
        <v>0</v>
      </c>
    </row>
    <row r="1942" spans="1:14" x14ac:dyDescent="0.45">
      <c r="A1942" t="s">
        <v>237</v>
      </c>
      <c r="B1942" t="s">
        <v>630</v>
      </c>
      <c r="C1942" t="s">
        <v>6</v>
      </c>
      <c r="D1942" t="s">
        <v>555</v>
      </c>
      <c r="E1942">
        <v>4</v>
      </c>
      <c r="F1942">
        <v>0</v>
      </c>
      <c r="G1942">
        <v>49</v>
      </c>
      <c r="H1942">
        <v>3</v>
      </c>
      <c r="I1942">
        <v>12.25</v>
      </c>
      <c r="J1942">
        <v>10</v>
      </c>
      <c r="K1942">
        <v>3</v>
      </c>
      <c r="L1942">
        <v>4</v>
      </c>
      <c r="M1942">
        <v>2</v>
      </c>
      <c r="N1942">
        <v>0</v>
      </c>
    </row>
    <row r="1943" spans="1:14" x14ac:dyDescent="0.45">
      <c r="A1943" t="s">
        <v>237</v>
      </c>
      <c r="B1943" t="s">
        <v>630</v>
      </c>
      <c r="C1943" t="s">
        <v>6</v>
      </c>
      <c r="D1943" t="s">
        <v>523</v>
      </c>
      <c r="E1943">
        <v>4</v>
      </c>
      <c r="F1943">
        <v>0</v>
      </c>
      <c r="G1943">
        <v>36</v>
      </c>
      <c r="H1943">
        <v>0</v>
      </c>
      <c r="I1943">
        <v>9</v>
      </c>
      <c r="J1943">
        <v>5</v>
      </c>
      <c r="K1943">
        <v>4</v>
      </c>
      <c r="L1943">
        <v>0</v>
      </c>
      <c r="M1943">
        <v>1</v>
      </c>
      <c r="N1943">
        <v>0</v>
      </c>
    </row>
    <row r="1944" spans="1:14" x14ac:dyDescent="0.45">
      <c r="A1944" t="s">
        <v>237</v>
      </c>
      <c r="B1944" t="s">
        <v>630</v>
      </c>
      <c r="C1944" t="s">
        <v>6</v>
      </c>
      <c r="D1944" t="s">
        <v>328</v>
      </c>
      <c r="E1944">
        <v>4</v>
      </c>
      <c r="F1944">
        <v>0</v>
      </c>
      <c r="G1944">
        <v>32</v>
      </c>
      <c r="H1944">
        <v>2</v>
      </c>
      <c r="I1944">
        <v>8</v>
      </c>
      <c r="J1944">
        <v>8</v>
      </c>
      <c r="K1944">
        <v>1</v>
      </c>
      <c r="L1944">
        <v>2</v>
      </c>
      <c r="M1944">
        <v>0</v>
      </c>
      <c r="N1944">
        <v>0</v>
      </c>
    </row>
    <row r="1945" spans="1:14" x14ac:dyDescent="0.45">
      <c r="A1945" t="s">
        <v>237</v>
      </c>
      <c r="B1945" t="s">
        <v>630</v>
      </c>
      <c r="C1945" t="s">
        <v>6</v>
      </c>
      <c r="D1945" t="s">
        <v>299</v>
      </c>
      <c r="E1945">
        <v>1</v>
      </c>
      <c r="F1945">
        <v>0</v>
      </c>
      <c r="G1945">
        <v>10</v>
      </c>
      <c r="H1945">
        <v>0</v>
      </c>
      <c r="I1945">
        <v>10</v>
      </c>
      <c r="J1945">
        <v>2</v>
      </c>
      <c r="K1945">
        <v>0</v>
      </c>
      <c r="L1945">
        <v>1</v>
      </c>
      <c r="M1945">
        <v>0</v>
      </c>
      <c r="N1945">
        <v>0</v>
      </c>
    </row>
    <row r="1946" spans="1:14" x14ac:dyDescent="0.45">
      <c r="A1946" t="s">
        <v>237</v>
      </c>
      <c r="B1946" t="s">
        <v>630</v>
      </c>
      <c r="C1946" t="s">
        <v>6</v>
      </c>
      <c r="D1946" t="s">
        <v>510</v>
      </c>
      <c r="E1946">
        <v>4</v>
      </c>
      <c r="F1946">
        <v>0</v>
      </c>
      <c r="G1946">
        <v>32</v>
      </c>
      <c r="H1946">
        <v>1</v>
      </c>
      <c r="I1946">
        <v>8</v>
      </c>
      <c r="J1946">
        <v>6</v>
      </c>
      <c r="K1946">
        <v>2</v>
      </c>
      <c r="L1946">
        <v>0</v>
      </c>
      <c r="M1946">
        <v>1</v>
      </c>
      <c r="N1946">
        <v>0</v>
      </c>
    </row>
    <row r="1947" spans="1:14" x14ac:dyDescent="0.45">
      <c r="A1947" t="s">
        <v>239</v>
      </c>
      <c r="B1947" t="s">
        <v>649</v>
      </c>
      <c r="C1947" t="s">
        <v>10</v>
      </c>
      <c r="D1947" t="s">
        <v>456</v>
      </c>
      <c r="E1947">
        <v>3</v>
      </c>
      <c r="F1947">
        <v>0</v>
      </c>
      <c r="G1947">
        <v>31</v>
      </c>
      <c r="H1947">
        <v>1</v>
      </c>
      <c r="I1947">
        <v>10.33</v>
      </c>
      <c r="J1947">
        <v>9</v>
      </c>
      <c r="K1947">
        <v>7</v>
      </c>
      <c r="L1947">
        <v>0</v>
      </c>
      <c r="M1947">
        <v>0</v>
      </c>
      <c r="N1947">
        <v>0</v>
      </c>
    </row>
    <row r="1948" spans="1:14" x14ac:dyDescent="0.45">
      <c r="A1948" t="s">
        <v>239</v>
      </c>
      <c r="B1948" t="s">
        <v>649</v>
      </c>
      <c r="C1948" t="s">
        <v>10</v>
      </c>
      <c r="D1948" t="s">
        <v>338</v>
      </c>
      <c r="E1948">
        <v>4</v>
      </c>
      <c r="F1948">
        <v>0</v>
      </c>
      <c r="G1948">
        <v>44</v>
      </c>
      <c r="H1948">
        <v>0</v>
      </c>
      <c r="I1948">
        <v>11</v>
      </c>
      <c r="J1948">
        <v>4</v>
      </c>
      <c r="K1948">
        <v>4</v>
      </c>
      <c r="L1948">
        <v>1</v>
      </c>
      <c r="M1948">
        <v>2</v>
      </c>
      <c r="N1948">
        <v>0</v>
      </c>
    </row>
    <row r="1949" spans="1:14" x14ac:dyDescent="0.45">
      <c r="A1949" t="s">
        <v>239</v>
      </c>
      <c r="B1949" t="s">
        <v>649</v>
      </c>
      <c r="C1949" t="s">
        <v>10</v>
      </c>
      <c r="D1949" t="s">
        <v>587</v>
      </c>
      <c r="E1949">
        <v>2</v>
      </c>
      <c r="F1949">
        <v>0</v>
      </c>
      <c r="G1949">
        <v>38</v>
      </c>
      <c r="H1949">
        <v>0</v>
      </c>
      <c r="I1949">
        <v>19</v>
      </c>
      <c r="J1949">
        <v>2</v>
      </c>
      <c r="K1949">
        <v>4</v>
      </c>
      <c r="L1949">
        <v>2</v>
      </c>
      <c r="M1949">
        <v>2</v>
      </c>
      <c r="N1949">
        <v>1</v>
      </c>
    </row>
    <row r="1950" spans="1:14" x14ac:dyDescent="0.45">
      <c r="A1950" t="s">
        <v>239</v>
      </c>
      <c r="B1950" t="s">
        <v>649</v>
      </c>
      <c r="C1950" t="s">
        <v>10</v>
      </c>
      <c r="D1950" t="s">
        <v>498</v>
      </c>
      <c r="E1950">
        <v>4</v>
      </c>
      <c r="F1950">
        <v>1</v>
      </c>
      <c r="G1950">
        <v>27</v>
      </c>
      <c r="H1950">
        <v>4</v>
      </c>
      <c r="I1950">
        <v>6.75</v>
      </c>
      <c r="J1950">
        <v>12</v>
      </c>
      <c r="K1950">
        <v>1</v>
      </c>
      <c r="L1950">
        <v>2</v>
      </c>
      <c r="M1950">
        <v>2</v>
      </c>
      <c r="N1950">
        <v>0</v>
      </c>
    </row>
    <row r="1951" spans="1:14" x14ac:dyDescent="0.45">
      <c r="A1951" t="s">
        <v>239</v>
      </c>
      <c r="B1951" t="s">
        <v>649</v>
      </c>
      <c r="C1951" t="s">
        <v>10</v>
      </c>
      <c r="D1951" t="s">
        <v>500</v>
      </c>
      <c r="E1951">
        <v>3</v>
      </c>
      <c r="F1951">
        <v>0</v>
      </c>
      <c r="G1951">
        <v>27</v>
      </c>
      <c r="H1951">
        <v>0</v>
      </c>
      <c r="I1951">
        <v>9</v>
      </c>
      <c r="J1951">
        <v>4</v>
      </c>
      <c r="K1951">
        <v>1</v>
      </c>
      <c r="L1951">
        <v>2</v>
      </c>
      <c r="M1951">
        <v>0</v>
      </c>
      <c r="N1951">
        <v>0</v>
      </c>
    </row>
    <row r="1952" spans="1:14" x14ac:dyDescent="0.45">
      <c r="A1952" t="s">
        <v>239</v>
      </c>
      <c r="B1952" t="s">
        <v>649</v>
      </c>
      <c r="C1952" t="s">
        <v>10</v>
      </c>
      <c r="D1952" t="s">
        <v>337</v>
      </c>
      <c r="E1952">
        <v>4</v>
      </c>
      <c r="F1952">
        <v>0</v>
      </c>
      <c r="G1952">
        <v>29</v>
      </c>
      <c r="H1952">
        <v>1</v>
      </c>
      <c r="I1952">
        <v>7.25</v>
      </c>
      <c r="J1952">
        <v>7</v>
      </c>
      <c r="K1952">
        <v>0</v>
      </c>
      <c r="L1952">
        <v>2</v>
      </c>
      <c r="M1952">
        <v>2</v>
      </c>
      <c r="N1952">
        <v>0</v>
      </c>
    </row>
    <row r="1953" spans="1:14" x14ac:dyDescent="0.45">
      <c r="A1953" t="s">
        <v>239</v>
      </c>
      <c r="B1953" t="s">
        <v>649</v>
      </c>
      <c r="C1953" t="s">
        <v>20</v>
      </c>
      <c r="D1953" t="s">
        <v>409</v>
      </c>
      <c r="E1953">
        <v>4</v>
      </c>
      <c r="F1953">
        <v>0</v>
      </c>
      <c r="G1953">
        <v>45</v>
      </c>
      <c r="H1953">
        <v>1</v>
      </c>
      <c r="I1953">
        <v>11.25</v>
      </c>
      <c r="J1953">
        <v>5</v>
      </c>
      <c r="K1953">
        <v>3</v>
      </c>
      <c r="L1953">
        <v>2</v>
      </c>
      <c r="M1953">
        <v>3</v>
      </c>
      <c r="N1953">
        <v>0</v>
      </c>
    </row>
    <row r="1954" spans="1:14" x14ac:dyDescent="0.45">
      <c r="A1954" t="s">
        <v>239</v>
      </c>
      <c r="B1954" t="s">
        <v>649</v>
      </c>
      <c r="C1954" t="s">
        <v>20</v>
      </c>
      <c r="D1954" t="s">
        <v>597</v>
      </c>
      <c r="E1954">
        <v>4</v>
      </c>
      <c r="F1954">
        <v>0</v>
      </c>
      <c r="G1954">
        <v>40</v>
      </c>
      <c r="H1954">
        <v>1</v>
      </c>
      <c r="I1954">
        <v>10</v>
      </c>
      <c r="J1954">
        <v>6</v>
      </c>
      <c r="K1954">
        <v>4</v>
      </c>
      <c r="L1954">
        <v>2</v>
      </c>
      <c r="M1954">
        <v>0</v>
      </c>
      <c r="N1954">
        <v>0</v>
      </c>
    </row>
    <row r="1955" spans="1:14" x14ac:dyDescent="0.45">
      <c r="A1955" t="s">
        <v>239</v>
      </c>
      <c r="B1955" t="s">
        <v>649</v>
      </c>
      <c r="C1955" t="s">
        <v>20</v>
      </c>
      <c r="D1955" t="s">
        <v>483</v>
      </c>
      <c r="E1955">
        <v>4</v>
      </c>
      <c r="F1955">
        <v>0</v>
      </c>
      <c r="G1955">
        <v>34</v>
      </c>
      <c r="H1955">
        <v>1</v>
      </c>
      <c r="I1955">
        <v>8.5</v>
      </c>
      <c r="J1955">
        <v>4</v>
      </c>
      <c r="K1955">
        <v>2</v>
      </c>
      <c r="L1955">
        <v>1</v>
      </c>
      <c r="M1955">
        <v>0</v>
      </c>
      <c r="N1955">
        <v>0</v>
      </c>
    </row>
    <row r="1956" spans="1:14" x14ac:dyDescent="0.45">
      <c r="A1956" t="s">
        <v>239</v>
      </c>
      <c r="B1956" t="s">
        <v>649</v>
      </c>
      <c r="C1956" t="s">
        <v>20</v>
      </c>
      <c r="D1956" t="s">
        <v>382</v>
      </c>
      <c r="E1956">
        <v>1</v>
      </c>
      <c r="F1956">
        <v>0</v>
      </c>
      <c r="G1956">
        <v>22</v>
      </c>
      <c r="H1956">
        <v>0</v>
      </c>
      <c r="I1956">
        <v>22</v>
      </c>
      <c r="J1956">
        <v>0</v>
      </c>
      <c r="K1956">
        <v>2</v>
      </c>
      <c r="L1956">
        <v>2</v>
      </c>
      <c r="M1956">
        <v>0</v>
      </c>
      <c r="N1956">
        <v>0</v>
      </c>
    </row>
    <row r="1957" spans="1:14" x14ac:dyDescent="0.45">
      <c r="A1957" t="s">
        <v>239</v>
      </c>
      <c r="B1957" t="s">
        <v>649</v>
      </c>
      <c r="C1957" t="s">
        <v>20</v>
      </c>
      <c r="D1957" t="s">
        <v>419</v>
      </c>
      <c r="E1957">
        <v>4</v>
      </c>
      <c r="F1957">
        <v>0</v>
      </c>
      <c r="G1957">
        <v>20</v>
      </c>
      <c r="H1957">
        <v>2</v>
      </c>
      <c r="I1957">
        <v>5</v>
      </c>
      <c r="J1957">
        <v>7</v>
      </c>
      <c r="K1957">
        <v>1</v>
      </c>
      <c r="L1957">
        <v>0</v>
      </c>
      <c r="M1957">
        <v>0</v>
      </c>
      <c r="N1957">
        <v>0</v>
      </c>
    </row>
    <row r="1958" spans="1:14" x14ac:dyDescent="0.45">
      <c r="A1958" t="s">
        <v>239</v>
      </c>
      <c r="B1958" t="s">
        <v>649</v>
      </c>
      <c r="C1958" t="s">
        <v>20</v>
      </c>
      <c r="D1958" t="s">
        <v>373</v>
      </c>
      <c r="E1958">
        <v>3</v>
      </c>
      <c r="F1958">
        <v>0</v>
      </c>
      <c r="G1958">
        <v>26</v>
      </c>
      <c r="H1958">
        <v>1</v>
      </c>
      <c r="I1958">
        <v>8.66</v>
      </c>
      <c r="J1958">
        <v>5</v>
      </c>
      <c r="K1958">
        <v>2</v>
      </c>
      <c r="L1958">
        <v>1</v>
      </c>
      <c r="M1958">
        <v>0</v>
      </c>
      <c r="N1958">
        <v>0</v>
      </c>
    </row>
    <row r="1959" spans="1:14" x14ac:dyDescent="0.45">
      <c r="A1959" t="s">
        <v>240</v>
      </c>
      <c r="B1959" t="s">
        <v>704</v>
      </c>
      <c r="C1959" t="s">
        <v>101</v>
      </c>
      <c r="D1959" t="s">
        <v>403</v>
      </c>
      <c r="E1959">
        <v>4</v>
      </c>
      <c r="F1959">
        <v>0</v>
      </c>
      <c r="G1959">
        <v>33</v>
      </c>
      <c r="H1959">
        <v>3</v>
      </c>
      <c r="I1959">
        <v>8.25</v>
      </c>
      <c r="J1959">
        <v>12</v>
      </c>
      <c r="K1959">
        <v>3</v>
      </c>
      <c r="L1959">
        <v>2</v>
      </c>
      <c r="M1959">
        <v>0</v>
      </c>
      <c r="N1959">
        <v>0</v>
      </c>
    </row>
    <row r="1960" spans="1:14" x14ac:dyDescent="0.45">
      <c r="A1960" t="s">
        <v>240</v>
      </c>
      <c r="B1960" t="s">
        <v>704</v>
      </c>
      <c r="C1960" t="s">
        <v>101</v>
      </c>
      <c r="D1960" t="s">
        <v>361</v>
      </c>
      <c r="E1960">
        <v>3</v>
      </c>
      <c r="F1960">
        <v>0</v>
      </c>
      <c r="G1960">
        <v>34</v>
      </c>
      <c r="H1960">
        <v>0</v>
      </c>
      <c r="I1960">
        <v>11.33</v>
      </c>
      <c r="J1960">
        <v>9</v>
      </c>
      <c r="K1960">
        <v>3</v>
      </c>
      <c r="L1960">
        <v>3</v>
      </c>
      <c r="M1960">
        <v>1</v>
      </c>
      <c r="N1960">
        <v>0</v>
      </c>
    </row>
    <row r="1961" spans="1:14" x14ac:dyDescent="0.45">
      <c r="A1961" t="s">
        <v>240</v>
      </c>
      <c r="B1961" t="s">
        <v>704</v>
      </c>
      <c r="C1961" t="s">
        <v>101</v>
      </c>
      <c r="D1961" t="s">
        <v>379</v>
      </c>
      <c r="E1961">
        <v>4</v>
      </c>
      <c r="F1961">
        <v>0</v>
      </c>
      <c r="G1961">
        <v>54</v>
      </c>
      <c r="H1961">
        <v>0</v>
      </c>
      <c r="I1961">
        <v>13.5</v>
      </c>
      <c r="J1961">
        <v>3</v>
      </c>
      <c r="K1961">
        <v>3</v>
      </c>
      <c r="L1961">
        <v>4</v>
      </c>
      <c r="M1961">
        <v>1</v>
      </c>
      <c r="N1961">
        <v>0</v>
      </c>
    </row>
    <row r="1962" spans="1:14" x14ac:dyDescent="0.45">
      <c r="A1962" t="s">
        <v>240</v>
      </c>
      <c r="B1962" t="s">
        <v>704</v>
      </c>
      <c r="C1962" t="s">
        <v>101</v>
      </c>
      <c r="D1962" t="s">
        <v>557</v>
      </c>
      <c r="E1962">
        <v>4</v>
      </c>
      <c r="F1962">
        <v>0</v>
      </c>
      <c r="G1962">
        <v>25</v>
      </c>
      <c r="H1962">
        <v>2</v>
      </c>
      <c r="I1962">
        <v>6.25</v>
      </c>
      <c r="J1962">
        <v>12</v>
      </c>
      <c r="K1962">
        <v>2</v>
      </c>
      <c r="L1962">
        <v>1</v>
      </c>
      <c r="M1962">
        <v>0</v>
      </c>
      <c r="N1962">
        <v>0</v>
      </c>
    </row>
    <row r="1963" spans="1:14" x14ac:dyDescent="0.45">
      <c r="A1963" t="s">
        <v>240</v>
      </c>
      <c r="B1963" t="s">
        <v>704</v>
      </c>
      <c r="C1963" t="s">
        <v>101</v>
      </c>
      <c r="D1963" t="s">
        <v>556</v>
      </c>
      <c r="E1963">
        <v>4</v>
      </c>
      <c r="F1963">
        <v>0</v>
      </c>
      <c r="G1963">
        <v>21</v>
      </c>
      <c r="H1963">
        <v>2</v>
      </c>
      <c r="I1963">
        <v>5.25</v>
      </c>
      <c r="J1963">
        <v>12</v>
      </c>
      <c r="K1963">
        <v>1</v>
      </c>
      <c r="L1963">
        <v>1</v>
      </c>
      <c r="M1963">
        <v>1</v>
      </c>
      <c r="N1963">
        <v>0</v>
      </c>
    </row>
    <row r="1964" spans="1:14" x14ac:dyDescent="0.45">
      <c r="A1964" t="s">
        <v>240</v>
      </c>
      <c r="B1964" t="s">
        <v>704</v>
      </c>
      <c r="C1964" t="s">
        <v>101</v>
      </c>
      <c r="D1964" t="s">
        <v>558</v>
      </c>
      <c r="E1964">
        <v>1</v>
      </c>
      <c r="F1964">
        <v>0</v>
      </c>
      <c r="G1964">
        <v>12</v>
      </c>
      <c r="H1964">
        <v>0</v>
      </c>
      <c r="I1964">
        <v>12</v>
      </c>
      <c r="J1964">
        <v>1</v>
      </c>
      <c r="K1964">
        <v>0</v>
      </c>
      <c r="L1964">
        <v>1</v>
      </c>
      <c r="M1964">
        <v>0</v>
      </c>
      <c r="N1964">
        <v>0</v>
      </c>
    </row>
    <row r="1965" spans="1:14" x14ac:dyDescent="0.45">
      <c r="A1965" t="s">
        <v>240</v>
      </c>
      <c r="B1965" t="s">
        <v>704</v>
      </c>
      <c r="C1965" t="s">
        <v>7</v>
      </c>
      <c r="D1965" t="s">
        <v>533</v>
      </c>
      <c r="E1965">
        <v>3</v>
      </c>
      <c r="F1965">
        <v>0</v>
      </c>
      <c r="G1965">
        <v>25</v>
      </c>
      <c r="H1965">
        <v>1</v>
      </c>
      <c r="I1965">
        <v>8.33</v>
      </c>
      <c r="J1965">
        <v>6</v>
      </c>
      <c r="K1965">
        <v>4</v>
      </c>
      <c r="L1965">
        <v>0</v>
      </c>
      <c r="M1965">
        <v>1</v>
      </c>
      <c r="N1965">
        <v>0</v>
      </c>
    </row>
    <row r="1966" spans="1:14" x14ac:dyDescent="0.45">
      <c r="A1966" t="s">
        <v>240</v>
      </c>
      <c r="B1966" t="s">
        <v>704</v>
      </c>
      <c r="C1966" t="s">
        <v>7</v>
      </c>
      <c r="D1966" t="s">
        <v>440</v>
      </c>
      <c r="E1966">
        <v>3</v>
      </c>
      <c r="F1966">
        <v>0</v>
      </c>
      <c r="G1966">
        <v>29</v>
      </c>
      <c r="H1966">
        <v>1</v>
      </c>
      <c r="I1966">
        <v>9.66</v>
      </c>
      <c r="J1966">
        <v>6</v>
      </c>
      <c r="K1966">
        <v>3</v>
      </c>
      <c r="L1966">
        <v>1</v>
      </c>
      <c r="M1966">
        <v>1</v>
      </c>
      <c r="N1966">
        <v>0</v>
      </c>
    </row>
    <row r="1967" spans="1:14" x14ac:dyDescent="0.45">
      <c r="A1967" t="s">
        <v>240</v>
      </c>
      <c r="B1967" t="s">
        <v>704</v>
      </c>
      <c r="C1967" t="s">
        <v>7</v>
      </c>
      <c r="D1967" t="s">
        <v>322</v>
      </c>
      <c r="E1967">
        <v>4</v>
      </c>
      <c r="F1967">
        <v>0</v>
      </c>
      <c r="G1967">
        <v>42</v>
      </c>
      <c r="H1967">
        <v>0</v>
      </c>
      <c r="I1967">
        <v>10.5</v>
      </c>
      <c r="J1967">
        <v>7</v>
      </c>
      <c r="K1967">
        <v>3</v>
      </c>
      <c r="L1967">
        <v>3</v>
      </c>
      <c r="M1967">
        <v>0</v>
      </c>
      <c r="N1967">
        <v>0</v>
      </c>
    </row>
    <row r="1968" spans="1:14" x14ac:dyDescent="0.45">
      <c r="A1968" t="s">
        <v>240</v>
      </c>
      <c r="B1968" t="s">
        <v>704</v>
      </c>
      <c r="C1968" t="s">
        <v>7</v>
      </c>
      <c r="D1968" t="s">
        <v>579</v>
      </c>
      <c r="E1968">
        <v>4</v>
      </c>
      <c r="F1968">
        <v>0</v>
      </c>
      <c r="G1968">
        <v>37</v>
      </c>
      <c r="H1968">
        <v>0</v>
      </c>
      <c r="I1968">
        <v>9.25</v>
      </c>
      <c r="J1968">
        <v>7</v>
      </c>
      <c r="K1968">
        <v>3</v>
      </c>
      <c r="L1968">
        <v>2</v>
      </c>
      <c r="M1968">
        <v>0</v>
      </c>
      <c r="N1968">
        <v>0</v>
      </c>
    </row>
    <row r="1969" spans="1:14" x14ac:dyDescent="0.45">
      <c r="A1969" t="s">
        <v>240</v>
      </c>
      <c r="B1969" t="s">
        <v>704</v>
      </c>
      <c r="C1969" t="s">
        <v>7</v>
      </c>
      <c r="D1969" t="s">
        <v>308</v>
      </c>
      <c r="E1969">
        <v>3</v>
      </c>
      <c r="F1969">
        <v>0</v>
      </c>
      <c r="G1969">
        <v>24</v>
      </c>
      <c r="H1969">
        <v>1</v>
      </c>
      <c r="I1969">
        <v>8</v>
      </c>
      <c r="J1969">
        <v>3</v>
      </c>
      <c r="K1969">
        <v>1</v>
      </c>
      <c r="L1969">
        <v>1</v>
      </c>
      <c r="M1969">
        <v>0</v>
      </c>
      <c r="N1969">
        <v>0</v>
      </c>
    </row>
    <row r="1970" spans="1:14" x14ac:dyDescent="0.45">
      <c r="A1970" t="s">
        <v>240</v>
      </c>
      <c r="B1970" t="s">
        <v>704</v>
      </c>
      <c r="C1970" t="s">
        <v>7</v>
      </c>
      <c r="D1970" t="s">
        <v>306</v>
      </c>
      <c r="E1970">
        <v>0.5</v>
      </c>
      <c r="F1970">
        <v>0</v>
      </c>
      <c r="G1970">
        <v>14</v>
      </c>
      <c r="H1970">
        <v>0</v>
      </c>
      <c r="I1970">
        <v>16.8</v>
      </c>
      <c r="J1970">
        <v>0</v>
      </c>
      <c r="K1970">
        <v>1</v>
      </c>
      <c r="L1970">
        <v>1</v>
      </c>
      <c r="M1970">
        <v>1</v>
      </c>
      <c r="N1970">
        <v>0</v>
      </c>
    </row>
    <row r="1971" spans="1:14" x14ac:dyDescent="0.45">
      <c r="A1971" t="s">
        <v>241</v>
      </c>
      <c r="B1971" t="s">
        <v>685</v>
      </c>
      <c r="C1971" t="s">
        <v>26</v>
      </c>
      <c r="D1971" t="s">
        <v>599</v>
      </c>
      <c r="E1971">
        <v>3</v>
      </c>
      <c r="F1971">
        <v>0</v>
      </c>
      <c r="G1971">
        <v>42</v>
      </c>
      <c r="H1971">
        <v>0</v>
      </c>
      <c r="I1971">
        <v>14</v>
      </c>
      <c r="J1971">
        <v>7</v>
      </c>
      <c r="K1971">
        <v>4</v>
      </c>
      <c r="L1971">
        <v>3</v>
      </c>
      <c r="M1971">
        <v>1</v>
      </c>
      <c r="N1971">
        <v>2</v>
      </c>
    </row>
    <row r="1972" spans="1:14" x14ac:dyDescent="0.45">
      <c r="A1972" t="s">
        <v>241</v>
      </c>
      <c r="B1972" t="s">
        <v>685</v>
      </c>
      <c r="C1972" t="s">
        <v>26</v>
      </c>
      <c r="D1972" t="s">
        <v>405</v>
      </c>
      <c r="E1972">
        <v>4</v>
      </c>
      <c r="F1972">
        <v>0</v>
      </c>
      <c r="G1972">
        <v>54</v>
      </c>
      <c r="H1972">
        <v>1</v>
      </c>
      <c r="I1972">
        <v>13.5</v>
      </c>
      <c r="J1972">
        <v>4</v>
      </c>
      <c r="K1972">
        <v>10</v>
      </c>
      <c r="L1972">
        <v>0</v>
      </c>
      <c r="M1972">
        <v>2</v>
      </c>
      <c r="N1972">
        <v>0</v>
      </c>
    </row>
    <row r="1973" spans="1:14" x14ac:dyDescent="0.45">
      <c r="A1973" t="s">
        <v>241</v>
      </c>
      <c r="B1973" t="s">
        <v>685</v>
      </c>
      <c r="C1973" t="s">
        <v>26</v>
      </c>
      <c r="D1973" t="s">
        <v>341</v>
      </c>
      <c r="E1973">
        <v>4</v>
      </c>
      <c r="F1973">
        <v>0</v>
      </c>
      <c r="G1973">
        <v>52</v>
      </c>
      <c r="H1973">
        <v>2</v>
      </c>
      <c r="I1973">
        <v>13</v>
      </c>
      <c r="J1973">
        <v>12</v>
      </c>
      <c r="K1973">
        <v>3</v>
      </c>
      <c r="L1973">
        <v>5</v>
      </c>
      <c r="M1973">
        <v>2</v>
      </c>
      <c r="N1973">
        <v>2</v>
      </c>
    </row>
    <row r="1974" spans="1:14" x14ac:dyDescent="0.45">
      <c r="A1974" t="s">
        <v>241</v>
      </c>
      <c r="B1974" t="s">
        <v>685</v>
      </c>
      <c r="C1974" t="s">
        <v>26</v>
      </c>
      <c r="D1974" t="s">
        <v>590</v>
      </c>
      <c r="E1974">
        <v>1</v>
      </c>
      <c r="F1974">
        <v>0</v>
      </c>
      <c r="G1974">
        <v>17</v>
      </c>
      <c r="H1974">
        <v>0</v>
      </c>
      <c r="I1974">
        <v>17</v>
      </c>
      <c r="J1974">
        <v>2</v>
      </c>
      <c r="K1974">
        <v>1</v>
      </c>
      <c r="L1974">
        <v>2</v>
      </c>
      <c r="M1974">
        <v>0</v>
      </c>
      <c r="N1974">
        <v>0</v>
      </c>
    </row>
    <row r="1975" spans="1:14" x14ac:dyDescent="0.45">
      <c r="A1975" t="s">
        <v>241</v>
      </c>
      <c r="B1975" t="s">
        <v>685</v>
      </c>
      <c r="C1975" t="s">
        <v>26</v>
      </c>
      <c r="D1975" t="s">
        <v>435</v>
      </c>
      <c r="E1975">
        <v>4</v>
      </c>
      <c r="F1975">
        <v>0</v>
      </c>
      <c r="G1975">
        <v>29</v>
      </c>
      <c r="H1975">
        <v>0</v>
      </c>
      <c r="I1975">
        <v>7.25</v>
      </c>
      <c r="J1975">
        <v>8</v>
      </c>
      <c r="K1975">
        <v>2</v>
      </c>
      <c r="L1975">
        <v>1</v>
      </c>
      <c r="M1975">
        <v>0</v>
      </c>
      <c r="N1975">
        <v>0</v>
      </c>
    </row>
    <row r="1976" spans="1:14" x14ac:dyDescent="0.45">
      <c r="A1976" t="s">
        <v>241</v>
      </c>
      <c r="B1976" t="s">
        <v>685</v>
      </c>
      <c r="C1976" t="s">
        <v>26</v>
      </c>
      <c r="D1976" t="s">
        <v>420</v>
      </c>
      <c r="E1976">
        <v>3</v>
      </c>
      <c r="F1976">
        <v>0</v>
      </c>
      <c r="G1976">
        <v>38</v>
      </c>
      <c r="H1976">
        <v>1</v>
      </c>
      <c r="I1976">
        <v>12.66</v>
      </c>
      <c r="J1976">
        <v>5</v>
      </c>
      <c r="K1976">
        <v>4</v>
      </c>
      <c r="L1976">
        <v>2</v>
      </c>
      <c r="M1976">
        <v>0</v>
      </c>
      <c r="N1976">
        <v>0</v>
      </c>
    </row>
    <row r="1977" spans="1:14" x14ac:dyDescent="0.45">
      <c r="A1977" t="s">
        <v>241</v>
      </c>
      <c r="B1977" t="s">
        <v>685</v>
      </c>
      <c r="C1977" t="s">
        <v>26</v>
      </c>
      <c r="D1977" t="s">
        <v>384</v>
      </c>
      <c r="E1977">
        <v>1</v>
      </c>
      <c r="F1977">
        <v>0</v>
      </c>
      <c r="G1977">
        <v>19</v>
      </c>
      <c r="H1977">
        <v>1</v>
      </c>
      <c r="I1977">
        <v>19</v>
      </c>
      <c r="J1977">
        <v>1</v>
      </c>
      <c r="K1977">
        <v>3</v>
      </c>
      <c r="L1977">
        <v>1</v>
      </c>
      <c r="M1977">
        <v>0</v>
      </c>
      <c r="N1977">
        <v>0</v>
      </c>
    </row>
    <row r="1978" spans="1:14" x14ac:dyDescent="0.45">
      <c r="A1978" t="s">
        <v>241</v>
      </c>
      <c r="B1978" t="s">
        <v>685</v>
      </c>
      <c r="C1978" t="s">
        <v>104</v>
      </c>
      <c r="D1978" t="s">
        <v>331</v>
      </c>
      <c r="E1978">
        <v>1.5</v>
      </c>
      <c r="F1978">
        <v>0</v>
      </c>
      <c r="G1978">
        <v>21</v>
      </c>
      <c r="H1978">
        <v>1</v>
      </c>
      <c r="I1978">
        <v>11.45</v>
      </c>
      <c r="J1978">
        <v>5</v>
      </c>
      <c r="K1978">
        <v>2</v>
      </c>
      <c r="L1978">
        <v>1</v>
      </c>
      <c r="M1978">
        <v>4</v>
      </c>
      <c r="N1978">
        <v>0</v>
      </c>
    </row>
    <row r="1979" spans="1:14" x14ac:dyDescent="0.45">
      <c r="A1979" t="s">
        <v>241</v>
      </c>
      <c r="B1979" t="s">
        <v>685</v>
      </c>
      <c r="C1979" t="s">
        <v>104</v>
      </c>
      <c r="D1979" t="s">
        <v>564</v>
      </c>
      <c r="E1979">
        <v>1</v>
      </c>
      <c r="F1979">
        <v>0</v>
      </c>
      <c r="G1979">
        <v>4</v>
      </c>
      <c r="H1979">
        <v>0</v>
      </c>
      <c r="I1979">
        <v>4</v>
      </c>
      <c r="J1979">
        <v>5</v>
      </c>
      <c r="K1979">
        <v>1</v>
      </c>
      <c r="L1979">
        <v>0</v>
      </c>
      <c r="M1979">
        <v>0</v>
      </c>
      <c r="N1979">
        <v>0</v>
      </c>
    </row>
    <row r="1980" spans="1:14" x14ac:dyDescent="0.45">
      <c r="A1980" t="s">
        <v>241</v>
      </c>
      <c r="B1980" t="s">
        <v>685</v>
      </c>
      <c r="C1980" t="s">
        <v>104</v>
      </c>
      <c r="D1980" t="s">
        <v>521</v>
      </c>
      <c r="E1980">
        <v>0.1</v>
      </c>
      <c r="F1980">
        <v>0</v>
      </c>
      <c r="G1980">
        <v>0</v>
      </c>
      <c r="H1980">
        <v>0</v>
      </c>
      <c r="I1980">
        <v>0</v>
      </c>
      <c r="J1980">
        <v>1</v>
      </c>
      <c r="K1980">
        <v>0</v>
      </c>
      <c r="L1980">
        <v>0</v>
      </c>
      <c r="M1980">
        <v>0</v>
      </c>
      <c r="N1980">
        <v>0</v>
      </c>
    </row>
    <row r="1981" spans="1:14" x14ac:dyDescent="0.45">
      <c r="A1981" t="s">
        <v>241</v>
      </c>
      <c r="B1981" t="s">
        <v>685</v>
      </c>
      <c r="C1981" t="s">
        <v>104</v>
      </c>
      <c r="D1981" t="s">
        <v>565</v>
      </c>
      <c r="E1981">
        <v>4</v>
      </c>
      <c r="F1981">
        <v>0</v>
      </c>
      <c r="G1981">
        <v>30</v>
      </c>
      <c r="H1981">
        <v>3</v>
      </c>
      <c r="I1981">
        <v>7.5</v>
      </c>
      <c r="J1981">
        <v>11</v>
      </c>
      <c r="K1981">
        <v>2</v>
      </c>
      <c r="L1981">
        <v>0</v>
      </c>
      <c r="M1981">
        <v>1</v>
      </c>
      <c r="N1981">
        <v>1</v>
      </c>
    </row>
    <row r="1982" spans="1:14" x14ac:dyDescent="0.45">
      <c r="A1982" t="s">
        <v>241</v>
      </c>
      <c r="B1982" t="s">
        <v>685</v>
      </c>
      <c r="C1982" t="s">
        <v>104</v>
      </c>
      <c r="D1982" t="s">
        <v>340</v>
      </c>
      <c r="E1982">
        <v>2</v>
      </c>
      <c r="F1982">
        <v>0</v>
      </c>
      <c r="G1982">
        <v>28</v>
      </c>
      <c r="H1982">
        <v>0</v>
      </c>
      <c r="I1982">
        <v>14</v>
      </c>
      <c r="J1982">
        <v>1</v>
      </c>
      <c r="K1982">
        <v>3</v>
      </c>
      <c r="L1982">
        <v>1</v>
      </c>
      <c r="M1982">
        <v>0</v>
      </c>
      <c r="N1982">
        <v>0</v>
      </c>
    </row>
    <row r="1983" spans="1:14" x14ac:dyDescent="0.45">
      <c r="A1983" t="s">
        <v>241</v>
      </c>
      <c r="B1983" t="s">
        <v>685</v>
      </c>
      <c r="C1983" t="s">
        <v>104</v>
      </c>
      <c r="D1983" t="s">
        <v>468</v>
      </c>
      <c r="E1983">
        <v>2</v>
      </c>
      <c r="F1983">
        <v>0</v>
      </c>
      <c r="G1983">
        <v>23</v>
      </c>
      <c r="H1983">
        <v>0</v>
      </c>
      <c r="I1983">
        <v>11.5</v>
      </c>
      <c r="J1983">
        <v>1</v>
      </c>
      <c r="K1983">
        <v>2</v>
      </c>
      <c r="L1983">
        <v>1</v>
      </c>
      <c r="M1983">
        <v>0</v>
      </c>
      <c r="N1983">
        <v>0</v>
      </c>
    </row>
    <row r="1984" spans="1:14" x14ac:dyDescent="0.45">
      <c r="A1984" t="s">
        <v>241</v>
      </c>
      <c r="B1984" t="s">
        <v>685</v>
      </c>
      <c r="C1984" t="s">
        <v>104</v>
      </c>
      <c r="D1984" t="s">
        <v>407</v>
      </c>
      <c r="E1984">
        <v>4</v>
      </c>
      <c r="F1984">
        <v>0</v>
      </c>
      <c r="G1984">
        <v>41</v>
      </c>
      <c r="H1984">
        <v>2</v>
      </c>
      <c r="I1984">
        <v>10.25</v>
      </c>
      <c r="J1984">
        <v>9</v>
      </c>
      <c r="K1984">
        <v>4</v>
      </c>
      <c r="L1984">
        <v>2</v>
      </c>
      <c r="M1984">
        <v>0</v>
      </c>
      <c r="N1984">
        <v>1</v>
      </c>
    </row>
    <row r="1985" spans="1:14" x14ac:dyDescent="0.45">
      <c r="A1985" t="s">
        <v>241</v>
      </c>
      <c r="B1985" t="s">
        <v>685</v>
      </c>
      <c r="C1985" t="s">
        <v>104</v>
      </c>
      <c r="D1985" t="s">
        <v>566</v>
      </c>
      <c r="E1985">
        <v>3.5</v>
      </c>
      <c r="F1985">
        <v>0</v>
      </c>
      <c r="G1985">
        <v>37</v>
      </c>
      <c r="H1985">
        <v>4</v>
      </c>
      <c r="I1985">
        <v>9.65</v>
      </c>
      <c r="J1985">
        <v>9</v>
      </c>
      <c r="K1985">
        <v>3</v>
      </c>
      <c r="L1985">
        <v>2</v>
      </c>
      <c r="M1985">
        <v>1</v>
      </c>
      <c r="N1985">
        <v>0</v>
      </c>
    </row>
    <row r="1986" spans="1:14" x14ac:dyDescent="0.45">
      <c r="A1986" t="s">
        <v>241</v>
      </c>
      <c r="B1986" t="s">
        <v>685</v>
      </c>
      <c r="C1986" t="s">
        <v>104</v>
      </c>
      <c r="D1986" t="s">
        <v>366</v>
      </c>
      <c r="E1986">
        <v>1</v>
      </c>
      <c r="F1986">
        <v>0</v>
      </c>
      <c r="G1986">
        <v>13</v>
      </c>
      <c r="H1986">
        <v>0</v>
      </c>
      <c r="I1986">
        <v>13</v>
      </c>
      <c r="J1986">
        <v>2</v>
      </c>
      <c r="K1986">
        <v>1</v>
      </c>
      <c r="L1986">
        <v>1</v>
      </c>
      <c r="M1986">
        <v>1</v>
      </c>
      <c r="N1986">
        <v>0</v>
      </c>
    </row>
    <row r="1987" spans="1:14" x14ac:dyDescent="0.45">
      <c r="A1987" t="s">
        <v>243</v>
      </c>
      <c r="B1987" t="s">
        <v>705</v>
      </c>
      <c r="C1987" t="s">
        <v>6</v>
      </c>
      <c r="D1987" t="s">
        <v>418</v>
      </c>
      <c r="E1987">
        <v>2</v>
      </c>
      <c r="F1987">
        <v>0</v>
      </c>
      <c r="G1987">
        <v>32</v>
      </c>
      <c r="H1987">
        <v>0</v>
      </c>
      <c r="I1987">
        <v>16</v>
      </c>
      <c r="J1987">
        <v>3</v>
      </c>
      <c r="K1987">
        <v>6</v>
      </c>
      <c r="L1987">
        <v>1</v>
      </c>
      <c r="M1987">
        <v>0</v>
      </c>
      <c r="N1987">
        <v>0</v>
      </c>
    </row>
    <row r="1988" spans="1:14" x14ac:dyDescent="0.45">
      <c r="A1988" t="s">
        <v>243</v>
      </c>
      <c r="B1988" t="s">
        <v>705</v>
      </c>
      <c r="C1988" t="s">
        <v>6</v>
      </c>
      <c r="D1988" t="s">
        <v>555</v>
      </c>
      <c r="E1988">
        <v>4</v>
      </c>
      <c r="F1988">
        <v>0</v>
      </c>
      <c r="G1988">
        <v>42</v>
      </c>
      <c r="H1988">
        <v>2</v>
      </c>
      <c r="I1988">
        <v>10.5</v>
      </c>
      <c r="J1988">
        <v>10</v>
      </c>
      <c r="K1988">
        <v>5</v>
      </c>
      <c r="L1988">
        <v>2</v>
      </c>
      <c r="M1988">
        <v>0</v>
      </c>
      <c r="N1988">
        <v>0</v>
      </c>
    </row>
    <row r="1989" spans="1:14" x14ac:dyDescent="0.45">
      <c r="A1989" t="s">
        <v>243</v>
      </c>
      <c r="B1989" t="s">
        <v>705</v>
      </c>
      <c r="C1989" t="s">
        <v>6</v>
      </c>
      <c r="D1989" t="s">
        <v>523</v>
      </c>
      <c r="E1989">
        <v>4</v>
      </c>
      <c r="F1989">
        <v>0</v>
      </c>
      <c r="G1989">
        <v>24</v>
      </c>
      <c r="H1989">
        <v>1</v>
      </c>
      <c r="I1989">
        <v>6</v>
      </c>
      <c r="J1989">
        <v>11</v>
      </c>
      <c r="K1989">
        <v>3</v>
      </c>
      <c r="L1989">
        <v>0</v>
      </c>
      <c r="M1989">
        <v>1</v>
      </c>
      <c r="N1989">
        <v>0</v>
      </c>
    </row>
    <row r="1990" spans="1:14" x14ac:dyDescent="0.45">
      <c r="A1990" t="s">
        <v>243</v>
      </c>
      <c r="B1990" t="s">
        <v>705</v>
      </c>
      <c r="C1990" t="s">
        <v>6</v>
      </c>
      <c r="D1990" t="s">
        <v>328</v>
      </c>
      <c r="E1990">
        <v>4</v>
      </c>
      <c r="F1990">
        <v>0</v>
      </c>
      <c r="G1990">
        <v>32</v>
      </c>
      <c r="H1990">
        <v>1</v>
      </c>
      <c r="I1990">
        <v>8</v>
      </c>
      <c r="J1990">
        <v>6</v>
      </c>
      <c r="K1990">
        <v>2</v>
      </c>
      <c r="L1990">
        <v>1</v>
      </c>
      <c r="M1990">
        <v>1</v>
      </c>
      <c r="N1990">
        <v>0</v>
      </c>
    </row>
    <row r="1991" spans="1:14" x14ac:dyDescent="0.45">
      <c r="A1991" t="s">
        <v>243</v>
      </c>
      <c r="B1991" t="s">
        <v>705</v>
      </c>
      <c r="C1991" t="s">
        <v>6</v>
      </c>
      <c r="D1991" t="s">
        <v>299</v>
      </c>
      <c r="E1991">
        <v>2</v>
      </c>
      <c r="F1991">
        <v>0</v>
      </c>
      <c r="G1991">
        <v>17</v>
      </c>
      <c r="H1991">
        <v>0</v>
      </c>
      <c r="I1991">
        <v>8.5</v>
      </c>
      <c r="J1991">
        <v>2</v>
      </c>
      <c r="K1991">
        <v>0</v>
      </c>
      <c r="L1991">
        <v>1</v>
      </c>
      <c r="M1991">
        <v>0</v>
      </c>
      <c r="N1991">
        <v>0</v>
      </c>
    </row>
    <row r="1992" spans="1:14" x14ac:dyDescent="0.45">
      <c r="A1992" t="s">
        <v>243</v>
      </c>
      <c r="B1992" t="s">
        <v>705</v>
      </c>
      <c r="C1992" t="s">
        <v>6</v>
      </c>
      <c r="D1992" t="s">
        <v>510</v>
      </c>
      <c r="E1992">
        <v>4</v>
      </c>
      <c r="F1992">
        <v>0</v>
      </c>
      <c r="G1992">
        <v>48</v>
      </c>
      <c r="H1992">
        <v>0</v>
      </c>
      <c r="I1992">
        <v>12</v>
      </c>
      <c r="J1992">
        <v>5</v>
      </c>
      <c r="K1992">
        <v>5</v>
      </c>
      <c r="L1992">
        <v>1</v>
      </c>
      <c r="M1992">
        <v>2</v>
      </c>
      <c r="N1992">
        <v>0</v>
      </c>
    </row>
    <row r="1993" spans="1:14" x14ac:dyDescent="0.45">
      <c r="A1993" t="s">
        <v>243</v>
      </c>
      <c r="B1993" t="s">
        <v>705</v>
      </c>
      <c r="C1993" t="s">
        <v>23</v>
      </c>
      <c r="D1993" t="s">
        <v>429</v>
      </c>
      <c r="E1993">
        <v>4</v>
      </c>
      <c r="F1993">
        <v>0</v>
      </c>
      <c r="G1993">
        <v>24</v>
      </c>
      <c r="H1993">
        <v>0</v>
      </c>
      <c r="I1993">
        <v>6</v>
      </c>
      <c r="J1993">
        <v>10</v>
      </c>
      <c r="K1993">
        <v>3</v>
      </c>
      <c r="L1993">
        <v>0</v>
      </c>
      <c r="M1993">
        <v>0</v>
      </c>
      <c r="N1993">
        <v>0</v>
      </c>
    </row>
    <row r="1994" spans="1:14" x14ac:dyDescent="0.45">
      <c r="A1994" t="s">
        <v>243</v>
      </c>
      <c r="B1994" t="s">
        <v>705</v>
      </c>
      <c r="C1994" t="s">
        <v>23</v>
      </c>
      <c r="D1994" t="s">
        <v>413</v>
      </c>
      <c r="E1994">
        <v>3</v>
      </c>
      <c r="F1994">
        <v>0</v>
      </c>
      <c r="G1994">
        <v>18</v>
      </c>
      <c r="H1994">
        <v>1</v>
      </c>
      <c r="I1994">
        <v>6</v>
      </c>
      <c r="J1994">
        <v>4</v>
      </c>
      <c r="K1994">
        <v>1</v>
      </c>
      <c r="L1994">
        <v>0</v>
      </c>
      <c r="M1994">
        <v>0</v>
      </c>
      <c r="N1994">
        <v>0</v>
      </c>
    </row>
    <row r="1995" spans="1:14" x14ac:dyDescent="0.45">
      <c r="A1995" t="s">
        <v>243</v>
      </c>
      <c r="B1995" t="s">
        <v>705</v>
      </c>
      <c r="C1995" t="s">
        <v>23</v>
      </c>
      <c r="D1995" t="s">
        <v>378</v>
      </c>
      <c r="E1995">
        <v>4</v>
      </c>
      <c r="F1995">
        <v>0</v>
      </c>
      <c r="G1995">
        <v>49</v>
      </c>
      <c r="H1995">
        <v>0</v>
      </c>
      <c r="I1995">
        <v>12.25</v>
      </c>
      <c r="J1995">
        <v>4</v>
      </c>
      <c r="K1995">
        <v>4</v>
      </c>
      <c r="L1995">
        <v>3</v>
      </c>
      <c r="M1995">
        <v>1</v>
      </c>
      <c r="N1995">
        <v>0</v>
      </c>
    </row>
    <row r="1996" spans="1:14" x14ac:dyDescent="0.45">
      <c r="A1996" t="s">
        <v>243</v>
      </c>
      <c r="B1996" t="s">
        <v>705</v>
      </c>
      <c r="C1996" t="s">
        <v>23</v>
      </c>
      <c r="D1996" t="s">
        <v>339</v>
      </c>
      <c r="E1996">
        <v>4</v>
      </c>
      <c r="F1996">
        <v>0</v>
      </c>
      <c r="G1996">
        <v>35</v>
      </c>
      <c r="H1996">
        <v>2</v>
      </c>
      <c r="I1996">
        <v>8.75</v>
      </c>
      <c r="J1996">
        <v>7</v>
      </c>
      <c r="K1996">
        <v>1</v>
      </c>
      <c r="L1996">
        <v>2</v>
      </c>
      <c r="M1996">
        <v>0</v>
      </c>
      <c r="N1996">
        <v>0</v>
      </c>
    </row>
    <row r="1997" spans="1:14" x14ac:dyDescent="0.45">
      <c r="A1997" t="s">
        <v>243</v>
      </c>
      <c r="B1997" t="s">
        <v>705</v>
      </c>
      <c r="C1997" t="s">
        <v>23</v>
      </c>
      <c r="D1997" t="s">
        <v>585</v>
      </c>
      <c r="E1997">
        <v>3</v>
      </c>
      <c r="F1997">
        <v>0</v>
      </c>
      <c r="G1997">
        <v>22</v>
      </c>
      <c r="H1997">
        <v>3</v>
      </c>
      <c r="I1997">
        <v>7.33</v>
      </c>
      <c r="J1997">
        <v>7</v>
      </c>
      <c r="K1997">
        <v>2</v>
      </c>
      <c r="L1997">
        <v>1</v>
      </c>
      <c r="M1997">
        <v>0</v>
      </c>
      <c r="N1997">
        <v>0</v>
      </c>
    </row>
    <row r="1998" spans="1:14" x14ac:dyDescent="0.45">
      <c r="A1998" t="s">
        <v>243</v>
      </c>
      <c r="B1998" t="s">
        <v>705</v>
      </c>
      <c r="C1998" t="s">
        <v>23</v>
      </c>
      <c r="D1998" t="s">
        <v>353</v>
      </c>
      <c r="E1998">
        <v>2</v>
      </c>
      <c r="F1998">
        <v>0</v>
      </c>
      <c r="G1998">
        <v>21</v>
      </c>
      <c r="H1998">
        <v>0</v>
      </c>
      <c r="I1998">
        <v>10.5</v>
      </c>
      <c r="J1998">
        <v>3</v>
      </c>
      <c r="K1998">
        <v>2</v>
      </c>
      <c r="L1998">
        <v>1</v>
      </c>
      <c r="M1998">
        <v>0</v>
      </c>
      <c r="N1998">
        <v>0</v>
      </c>
    </row>
    <row r="1999" spans="1:14" x14ac:dyDescent="0.45">
      <c r="A1999" t="s">
        <v>244</v>
      </c>
      <c r="B1999" t="s">
        <v>697</v>
      </c>
      <c r="C1999" t="s">
        <v>13</v>
      </c>
      <c r="D1999" t="s">
        <v>352</v>
      </c>
      <c r="E1999">
        <v>4</v>
      </c>
      <c r="F1999">
        <v>0</v>
      </c>
      <c r="G1999">
        <v>33</v>
      </c>
      <c r="H1999">
        <v>1</v>
      </c>
      <c r="I1999">
        <v>8.25</v>
      </c>
      <c r="J1999">
        <v>11</v>
      </c>
      <c r="K1999">
        <v>5</v>
      </c>
      <c r="L1999">
        <v>1</v>
      </c>
      <c r="M1999">
        <v>0</v>
      </c>
      <c r="N1999">
        <v>0</v>
      </c>
    </row>
    <row r="2000" spans="1:14" x14ac:dyDescent="0.45">
      <c r="A2000" t="s">
        <v>244</v>
      </c>
      <c r="B2000" t="s">
        <v>697</v>
      </c>
      <c r="C2000" t="s">
        <v>13</v>
      </c>
      <c r="D2000" t="s">
        <v>550</v>
      </c>
      <c r="E2000">
        <v>3</v>
      </c>
      <c r="F2000">
        <v>0</v>
      </c>
      <c r="G2000">
        <v>31</v>
      </c>
      <c r="H2000">
        <v>0</v>
      </c>
      <c r="I2000">
        <v>10.33</v>
      </c>
      <c r="J2000">
        <v>5</v>
      </c>
      <c r="K2000">
        <v>4</v>
      </c>
      <c r="L2000">
        <v>1</v>
      </c>
      <c r="M2000">
        <v>1</v>
      </c>
      <c r="N2000">
        <v>0</v>
      </c>
    </row>
    <row r="2001" spans="1:14" x14ac:dyDescent="0.45">
      <c r="A2001" t="s">
        <v>244</v>
      </c>
      <c r="B2001" t="s">
        <v>697</v>
      </c>
      <c r="C2001" t="s">
        <v>13</v>
      </c>
      <c r="D2001" t="s">
        <v>448</v>
      </c>
      <c r="E2001">
        <v>4</v>
      </c>
      <c r="F2001">
        <v>0</v>
      </c>
      <c r="G2001">
        <v>24</v>
      </c>
      <c r="H2001">
        <v>2</v>
      </c>
      <c r="I2001">
        <v>6</v>
      </c>
      <c r="J2001">
        <v>10</v>
      </c>
      <c r="K2001">
        <v>3</v>
      </c>
      <c r="L2001">
        <v>0</v>
      </c>
      <c r="M2001">
        <v>0</v>
      </c>
      <c r="N2001">
        <v>0</v>
      </c>
    </row>
    <row r="2002" spans="1:14" x14ac:dyDescent="0.45">
      <c r="A2002" t="s">
        <v>244</v>
      </c>
      <c r="B2002" t="s">
        <v>697</v>
      </c>
      <c r="C2002" t="s">
        <v>13</v>
      </c>
      <c r="D2002" t="s">
        <v>347</v>
      </c>
      <c r="E2002">
        <v>1</v>
      </c>
      <c r="F2002">
        <v>0</v>
      </c>
      <c r="G2002">
        <v>25</v>
      </c>
      <c r="H2002">
        <v>0</v>
      </c>
      <c r="I2002">
        <v>25</v>
      </c>
      <c r="J2002">
        <v>1</v>
      </c>
      <c r="K2002">
        <v>0</v>
      </c>
      <c r="L2002">
        <v>4</v>
      </c>
      <c r="M2002">
        <v>0</v>
      </c>
      <c r="N2002">
        <v>0</v>
      </c>
    </row>
    <row r="2003" spans="1:14" x14ac:dyDescent="0.45">
      <c r="A2003" t="s">
        <v>244</v>
      </c>
      <c r="B2003" t="s">
        <v>697</v>
      </c>
      <c r="C2003" t="s">
        <v>13</v>
      </c>
      <c r="D2003" t="s">
        <v>570</v>
      </c>
      <c r="E2003">
        <v>4</v>
      </c>
      <c r="F2003">
        <v>0</v>
      </c>
      <c r="G2003">
        <v>41</v>
      </c>
      <c r="H2003">
        <v>2</v>
      </c>
      <c r="I2003">
        <v>10.25</v>
      </c>
      <c r="J2003">
        <v>3</v>
      </c>
      <c r="K2003">
        <v>2</v>
      </c>
      <c r="L2003">
        <v>2</v>
      </c>
      <c r="M2003">
        <v>3</v>
      </c>
      <c r="N2003">
        <v>0</v>
      </c>
    </row>
    <row r="2004" spans="1:14" x14ac:dyDescent="0.45">
      <c r="A2004" t="s">
        <v>244</v>
      </c>
      <c r="B2004" t="s">
        <v>697</v>
      </c>
      <c r="C2004" t="s">
        <v>13</v>
      </c>
      <c r="D2004" t="s">
        <v>349</v>
      </c>
      <c r="E2004">
        <v>4</v>
      </c>
      <c r="F2004">
        <v>0</v>
      </c>
      <c r="G2004">
        <v>44</v>
      </c>
      <c r="H2004">
        <v>0</v>
      </c>
      <c r="I2004">
        <v>11</v>
      </c>
      <c r="J2004">
        <v>7</v>
      </c>
      <c r="K2004">
        <v>2</v>
      </c>
      <c r="L2004">
        <v>4</v>
      </c>
      <c r="M2004">
        <v>1</v>
      </c>
      <c r="N2004">
        <v>0</v>
      </c>
    </row>
    <row r="2005" spans="1:14" x14ac:dyDescent="0.45">
      <c r="A2005" t="s">
        <v>244</v>
      </c>
      <c r="B2005" t="s">
        <v>697</v>
      </c>
      <c r="C2005" t="s">
        <v>7</v>
      </c>
      <c r="D2005" t="s">
        <v>542</v>
      </c>
      <c r="E2005">
        <v>2</v>
      </c>
      <c r="F2005">
        <v>0</v>
      </c>
      <c r="G2005">
        <v>22</v>
      </c>
      <c r="H2005">
        <v>0</v>
      </c>
      <c r="I2005">
        <v>11</v>
      </c>
      <c r="J2005">
        <v>3</v>
      </c>
      <c r="K2005">
        <v>3</v>
      </c>
      <c r="L2005">
        <v>0</v>
      </c>
      <c r="M2005">
        <v>1</v>
      </c>
      <c r="N2005">
        <v>0</v>
      </c>
    </row>
    <row r="2006" spans="1:14" x14ac:dyDescent="0.45">
      <c r="A2006" t="s">
        <v>244</v>
      </c>
      <c r="B2006" t="s">
        <v>697</v>
      </c>
      <c r="C2006" t="s">
        <v>7</v>
      </c>
      <c r="D2006" t="s">
        <v>515</v>
      </c>
      <c r="E2006">
        <v>1</v>
      </c>
      <c r="F2006">
        <v>0</v>
      </c>
      <c r="G2006">
        <v>19</v>
      </c>
      <c r="H2006">
        <v>0</v>
      </c>
      <c r="I2006">
        <v>19</v>
      </c>
      <c r="J2006">
        <v>0</v>
      </c>
      <c r="K2006">
        <v>1</v>
      </c>
      <c r="L2006">
        <v>2</v>
      </c>
      <c r="M2006">
        <v>0</v>
      </c>
      <c r="N2006">
        <v>0</v>
      </c>
    </row>
    <row r="2007" spans="1:14" x14ac:dyDescent="0.45">
      <c r="A2007" t="s">
        <v>244</v>
      </c>
      <c r="B2007" t="s">
        <v>697</v>
      </c>
      <c r="C2007" t="s">
        <v>7</v>
      </c>
      <c r="D2007" t="s">
        <v>579</v>
      </c>
      <c r="E2007">
        <v>4</v>
      </c>
      <c r="F2007">
        <v>0</v>
      </c>
      <c r="G2007">
        <v>30</v>
      </c>
      <c r="H2007">
        <v>2</v>
      </c>
      <c r="I2007">
        <v>7.5</v>
      </c>
      <c r="J2007">
        <v>5</v>
      </c>
      <c r="K2007">
        <v>3</v>
      </c>
      <c r="L2007">
        <v>0</v>
      </c>
      <c r="M2007">
        <v>1</v>
      </c>
      <c r="N2007">
        <v>0</v>
      </c>
    </row>
    <row r="2008" spans="1:14" x14ac:dyDescent="0.45">
      <c r="A2008" t="s">
        <v>244</v>
      </c>
      <c r="B2008" t="s">
        <v>697</v>
      </c>
      <c r="C2008" t="s">
        <v>7</v>
      </c>
      <c r="D2008" t="s">
        <v>322</v>
      </c>
      <c r="E2008">
        <v>4</v>
      </c>
      <c r="F2008">
        <v>0</v>
      </c>
      <c r="G2008">
        <v>27</v>
      </c>
      <c r="H2008">
        <v>3</v>
      </c>
      <c r="I2008">
        <v>6.75</v>
      </c>
      <c r="J2008">
        <v>9</v>
      </c>
      <c r="K2008">
        <v>2</v>
      </c>
      <c r="L2008">
        <v>1</v>
      </c>
      <c r="M2008">
        <v>0</v>
      </c>
      <c r="N2008">
        <v>0</v>
      </c>
    </row>
    <row r="2009" spans="1:14" x14ac:dyDescent="0.45">
      <c r="A2009" t="s">
        <v>244</v>
      </c>
      <c r="B2009" t="s">
        <v>697</v>
      </c>
      <c r="C2009" t="s">
        <v>7</v>
      </c>
      <c r="D2009" t="s">
        <v>440</v>
      </c>
      <c r="E2009">
        <v>4</v>
      </c>
      <c r="F2009">
        <v>0</v>
      </c>
      <c r="G2009">
        <v>29</v>
      </c>
      <c r="H2009">
        <v>2</v>
      </c>
      <c r="I2009">
        <v>7.25</v>
      </c>
      <c r="J2009">
        <v>11</v>
      </c>
      <c r="K2009">
        <v>1</v>
      </c>
      <c r="L2009">
        <v>2</v>
      </c>
      <c r="M2009">
        <v>0</v>
      </c>
      <c r="N2009">
        <v>0</v>
      </c>
    </row>
    <row r="2010" spans="1:14" x14ac:dyDescent="0.45">
      <c r="A2010" t="s">
        <v>244</v>
      </c>
      <c r="B2010" t="s">
        <v>697</v>
      </c>
      <c r="C2010" t="s">
        <v>7</v>
      </c>
      <c r="D2010" t="s">
        <v>308</v>
      </c>
      <c r="E2010">
        <v>4</v>
      </c>
      <c r="F2010">
        <v>0</v>
      </c>
      <c r="G2010">
        <v>41</v>
      </c>
      <c r="H2010">
        <v>0</v>
      </c>
      <c r="I2010">
        <v>10.25</v>
      </c>
      <c r="J2010">
        <v>2</v>
      </c>
      <c r="K2010">
        <v>1</v>
      </c>
      <c r="L2010">
        <v>2</v>
      </c>
      <c r="M2010">
        <v>0</v>
      </c>
      <c r="N2010">
        <v>0</v>
      </c>
    </row>
    <row r="2011" spans="1:14" x14ac:dyDescent="0.45">
      <c r="A2011" t="s">
        <v>244</v>
      </c>
      <c r="B2011" t="s">
        <v>697</v>
      </c>
      <c r="C2011" t="s">
        <v>7</v>
      </c>
      <c r="D2011" t="s">
        <v>306</v>
      </c>
      <c r="E2011">
        <v>1</v>
      </c>
      <c r="F2011">
        <v>0</v>
      </c>
      <c r="G2011">
        <v>8</v>
      </c>
      <c r="H2011">
        <v>0</v>
      </c>
      <c r="I2011">
        <v>8</v>
      </c>
      <c r="J2011">
        <v>1</v>
      </c>
      <c r="K2011">
        <v>1</v>
      </c>
      <c r="L2011">
        <v>0</v>
      </c>
      <c r="M2011">
        <v>0</v>
      </c>
      <c r="N2011">
        <v>0</v>
      </c>
    </row>
    <row r="2012" spans="1:14" x14ac:dyDescent="0.45">
      <c r="A2012" t="s">
        <v>245</v>
      </c>
      <c r="B2012" t="s">
        <v>700</v>
      </c>
      <c r="C2012" t="s">
        <v>19</v>
      </c>
      <c r="D2012" t="s">
        <v>600</v>
      </c>
      <c r="E2012">
        <v>2</v>
      </c>
      <c r="F2012">
        <v>0</v>
      </c>
      <c r="G2012">
        <v>9</v>
      </c>
      <c r="H2012">
        <v>1</v>
      </c>
      <c r="I2012">
        <v>4.5</v>
      </c>
      <c r="J2012">
        <v>7</v>
      </c>
      <c r="K2012">
        <v>0</v>
      </c>
      <c r="L2012">
        <v>0</v>
      </c>
      <c r="M2012">
        <v>0</v>
      </c>
      <c r="N2012">
        <v>0</v>
      </c>
    </row>
    <row r="2013" spans="1:14" x14ac:dyDescent="0.45">
      <c r="A2013" t="s">
        <v>245</v>
      </c>
      <c r="B2013" t="s">
        <v>700</v>
      </c>
      <c r="C2013" t="s">
        <v>19</v>
      </c>
      <c r="D2013" t="s">
        <v>562</v>
      </c>
      <c r="E2013">
        <v>4</v>
      </c>
      <c r="F2013">
        <v>0</v>
      </c>
      <c r="G2013">
        <v>37</v>
      </c>
      <c r="H2013">
        <v>1</v>
      </c>
      <c r="I2013">
        <v>9.25</v>
      </c>
      <c r="J2013">
        <v>8</v>
      </c>
      <c r="K2013">
        <v>2</v>
      </c>
      <c r="L2013">
        <v>2</v>
      </c>
      <c r="M2013">
        <v>2</v>
      </c>
      <c r="N2013">
        <v>0</v>
      </c>
    </row>
    <row r="2014" spans="1:14" x14ac:dyDescent="0.45">
      <c r="A2014" t="s">
        <v>245</v>
      </c>
      <c r="B2014" t="s">
        <v>700</v>
      </c>
      <c r="C2014" t="s">
        <v>19</v>
      </c>
      <c r="D2014" t="s">
        <v>457</v>
      </c>
      <c r="E2014">
        <v>4</v>
      </c>
      <c r="F2014">
        <v>0</v>
      </c>
      <c r="G2014">
        <v>49</v>
      </c>
      <c r="H2014">
        <v>1</v>
      </c>
      <c r="I2014">
        <v>12.25</v>
      </c>
      <c r="J2014">
        <v>6</v>
      </c>
      <c r="K2014">
        <v>4</v>
      </c>
      <c r="L2014">
        <v>3</v>
      </c>
      <c r="M2014">
        <v>2</v>
      </c>
      <c r="N2014">
        <v>0</v>
      </c>
    </row>
    <row r="2015" spans="1:14" x14ac:dyDescent="0.45">
      <c r="A2015" t="s">
        <v>245</v>
      </c>
      <c r="B2015" t="s">
        <v>700</v>
      </c>
      <c r="C2015" t="s">
        <v>19</v>
      </c>
      <c r="D2015" t="s">
        <v>560</v>
      </c>
      <c r="E2015">
        <v>2</v>
      </c>
      <c r="F2015">
        <v>0</v>
      </c>
      <c r="G2015">
        <v>39</v>
      </c>
      <c r="H2015">
        <v>0</v>
      </c>
      <c r="I2015">
        <v>19.5</v>
      </c>
      <c r="J2015">
        <v>0</v>
      </c>
      <c r="K2015">
        <v>2</v>
      </c>
      <c r="L2015">
        <v>4</v>
      </c>
      <c r="M2015">
        <v>0</v>
      </c>
      <c r="N2015">
        <v>0</v>
      </c>
    </row>
    <row r="2016" spans="1:14" x14ac:dyDescent="0.45">
      <c r="A2016" t="s">
        <v>245</v>
      </c>
      <c r="B2016" t="s">
        <v>700</v>
      </c>
      <c r="C2016" t="s">
        <v>19</v>
      </c>
      <c r="D2016" t="s">
        <v>368</v>
      </c>
      <c r="E2016">
        <v>4</v>
      </c>
      <c r="F2016">
        <v>0</v>
      </c>
      <c r="G2016">
        <v>34</v>
      </c>
      <c r="H2016">
        <v>2</v>
      </c>
      <c r="I2016">
        <v>8.5</v>
      </c>
      <c r="J2016">
        <v>7</v>
      </c>
      <c r="K2016">
        <v>3</v>
      </c>
      <c r="L2016">
        <v>1</v>
      </c>
      <c r="M2016">
        <v>1</v>
      </c>
      <c r="N2016">
        <v>0</v>
      </c>
    </row>
    <row r="2017" spans="1:14" x14ac:dyDescent="0.45">
      <c r="A2017" t="s">
        <v>245</v>
      </c>
      <c r="B2017" t="s">
        <v>700</v>
      </c>
      <c r="C2017" t="s">
        <v>19</v>
      </c>
      <c r="D2017" t="s">
        <v>524</v>
      </c>
      <c r="E2017">
        <v>4</v>
      </c>
      <c r="F2017">
        <v>0</v>
      </c>
      <c r="G2017">
        <v>39</v>
      </c>
      <c r="H2017">
        <v>1</v>
      </c>
      <c r="I2017">
        <v>9.75</v>
      </c>
      <c r="J2017">
        <v>7</v>
      </c>
      <c r="K2017">
        <v>3</v>
      </c>
      <c r="L2017">
        <v>2</v>
      </c>
      <c r="M2017">
        <v>0</v>
      </c>
      <c r="N2017">
        <v>0</v>
      </c>
    </row>
    <row r="2018" spans="1:14" x14ac:dyDescent="0.45">
      <c r="A2018" t="s">
        <v>245</v>
      </c>
      <c r="B2018" t="s">
        <v>700</v>
      </c>
      <c r="C2018" t="s">
        <v>101</v>
      </c>
      <c r="D2018" t="s">
        <v>403</v>
      </c>
      <c r="E2018">
        <v>4</v>
      </c>
      <c r="F2018">
        <v>0</v>
      </c>
      <c r="G2018">
        <v>18</v>
      </c>
      <c r="H2018">
        <v>0</v>
      </c>
      <c r="I2018">
        <v>4.5</v>
      </c>
      <c r="J2018">
        <v>14</v>
      </c>
      <c r="K2018">
        <v>2</v>
      </c>
      <c r="L2018">
        <v>0</v>
      </c>
      <c r="M2018">
        <v>1</v>
      </c>
      <c r="N2018">
        <v>0</v>
      </c>
    </row>
    <row r="2019" spans="1:14" x14ac:dyDescent="0.45">
      <c r="A2019" t="s">
        <v>245</v>
      </c>
      <c r="B2019" t="s">
        <v>700</v>
      </c>
      <c r="C2019" t="s">
        <v>101</v>
      </c>
      <c r="D2019" t="s">
        <v>361</v>
      </c>
      <c r="E2019">
        <v>2</v>
      </c>
      <c r="F2019">
        <v>0</v>
      </c>
      <c r="G2019">
        <v>10</v>
      </c>
      <c r="H2019">
        <v>1</v>
      </c>
      <c r="I2019">
        <v>5</v>
      </c>
      <c r="J2019">
        <v>8</v>
      </c>
      <c r="K2019">
        <v>0</v>
      </c>
      <c r="L2019">
        <v>1</v>
      </c>
      <c r="M2019">
        <v>0</v>
      </c>
      <c r="N2019">
        <v>0</v>
      </c>
    </row>
    <row r="2020" spans="1:14" x14ac:dyDescent="0.45">
      <c r="A2020" t="s">
        <v>245</v>
      </c>
      <c r="B2020" t="s">
        <v>700</v>
      </c>
      <c r="C2020" t="s">
        <v>101</v>
      </c>
      <c r="D2020" t="s">
        <v>379</v>
      </c>
      <c r="E2020">
        <v>4</v>
      </c>
      <c r="F2020">
        <v>0</v>
      </c>
      <c r="G2020">
        <v>27</v>
      </c>
      <c r="H2020">
        <v>2</v>
      </c>
      <c r="I2020">
        <v>6.75</v>
      </c>
      <c r="J2020">
        <v>10</v>
      </c>
      <c r="K2020">
        <v>2</v>
      </c>
      <c r="L2020">
        <v>1</v>
      </c>
      <c r="M2020">
        <v>0</v>
      </c>
      <c r="N2020">
        <v>0</v>
      </c>
    </row>
    <row r="2021" spans="1:14" x14ac:dyDescent="0.45">
      <c r="A2021" t="s">
        <v>245</v>
      </c>
      <c r="B2021" t="s">
        <v>700</v>
      </c>
      <c r="C2021" t="s">
        <v>101</v>
      </c>
      <c r="D2021" t="s">
        <v>556</v>
      </c>
      <c r="E2021">
        <v>4</v>
      </c>
      <c r="F2021">
        <v>0</v>
      </c>
      <c r="G2021">
        <v>37</v>
      </c>
      <c r="H2021">
        <v>3</v>
      </c>
      <c r="I2021">
        <v>9.25</v>
      </c>
      <c r="J2021">
        <v>10</v>
      </c>
      <c r="K2021">
        <v>2</v>
      </c>
      <c r="L2021">
        <v>3</v>
      </c>
      <c r="M2021">
        <v>0</v>
      </c>
      <c r="N2021">
        <v>0</v>
      </c>
    </row>
    <row r="2022" spans="1:14" x14ac:dyDescent="0.45">
      <c r="A2022" t="s">
        <v>245</v>
      </c>
      <c r="B2022" t="s">
        <v>700</v>
      </c>
      <c r="C2022" t="s">
        <v>101</v>
      </c>
      <c r="D2022" t="s">
        <v>558</v>
      </c>
      <c r="E2022">
        <v>4</v>
      </c>
      <c r="F2022">
        <v>0</v>
      </c>
      <c r="G2022">
        <v>38</v>
      </c>
      <c r="H2022">
        <v>2</v>
      </c>
      <c r="I2022">
        <v>9.5</v>
      </c>
      <c r="J2022">
        <v>7</v>
      </c>
      <c r="K2022">
        <v>1</v>
      </c>
      <c r="L2022">
        <v>3</v>
      </c>
      <c r="M2022">
        <v>0</v>
      </c>
      <c r="N2022">
        <v>0</v>
      </c>
    </row>
    <row r="2023" spans="1:14" x14ac:dyDescent="0.45">
      <c r="A2023" t="s">
        <v>245</v>
      </c>
      <c r="B2023" t="s">
        <v>700</v>
      </c>
      <c r="C2023" t="s">
        <v>101</v>
      </c>
      <c r="D2023" t="s">
        <v>557</v>
      </c>
      <c r="E2023">
        <v>2</v>
      </c>
      <c r="F2023">
        <v>0</v>
      </c>
      <c r="G2023">
        <v>18</v>
      </c>
      <c r="H2023">
        <v>0</v>
      </c>
      <c r="I2023">
        <v>9</v>
      </c>
      <c r="J2023">
        <v>2</v>
      </c>
      <c r="K2023">
        <v>1</v>
      </c>
      <c r="L2023">
        <v>1</v>
      </c>
      <c r="M2023">
        <v>0</v>
      </c>
      <c r="N2023">
        <v>0</v>
      </c>
    </row>
    <row r="2024" spans="1:14" x14ac:dyDescent="0.45">
      <c r="A2024" t="s">
        <v>246</v>
      </c>
      <c r="B2024" t="s">
        <v>679</v>
      </c>
      <c r="C2024" t="s">
        <v>20</v>
      </c>
      <c r="D2024" t="s">
        <v>409</v>
      </c>
      <c r="E2024">
        <v>4</v>
      </c>
      <c r="F2024">
        <v>0</v>
      </c>
      <c r="G2024">
        <v>11</v>
      </c>
      <c r="H2024">
        <v>2</v>
      </c>
      <c r="I2024">
        <v>2.75</v>
      </c>
      <c r="J2024">
        <v>16</v>
      </c>
      <c r="K2024">
        <v>1</v>
      </c>
      <c r="L2024">
        <v>0</v>
      </c>
      <c r="M2024">
        <v>0</v>
      </c>
      <c r="N2024">
        <v>0</v>
      </c>
    </row>
    <row r="2025" spans="1:14" x14ac:dyDescent="0.45">
      <c r="A2025" t="s">
        <v>246</v>
      </c>
      <c r="B2025" t="s">
        <v>679</v>
      </c>
      <c r="C2025" t="s">
        <v>20</v>
      </c>
      <c r="D2025" t="s">
        <v>484</v>
      </c>
      <c r="E2025">
        <v>2</v>
      </c>
      <c r="F2025">
        <v>0</v>
      </c>
      <c r="G2025">
        <v>27</v>
      </c>
      <c r="H2025">
        <v>0</v>
      </c>
      <c r="I2025">
        <v>13.5</v>
      </c>
      <c r="J2025">
        <v>4</v>
      </c>
      <c r="K2025">
        <v>4</v>
      </c>
      <c r="L2025">
        <v>1</v>
      </c>
      <c r="M2025">
        <v>0</v>
      </c>
      <c r="N2025">
        <v>0</v>
      </c>
    </row>
    <row r="2026" spans="1:14" x14ac:dyDescent="0.45">
      <c r="A2026" t="s">
        <v>246</v>
      </c>
      <c r="B2026" t="s">
        <v>679</v>
      </c>
      <c r="C2026" t="s">
        <v>20</v>
      </c>
      <c r="D2026" t="s">
        <v>467</v>
      </c>
      <c r="E2026">
        <v>4</v>
      </c>
      <c r="F2026">
        <v>0</v>
      </c>
      <c r="G2026">
        <v>28</v>
      </c>
      <c r="H2026">
        <v>3</v>
      </c>
      <c r="I2026">
        <v>7</v>
      </c>
      <c r="J2026">
        <v>10</v>
      </c>
      <c r="K2026">
        <v>2</v>
      </c>
      <c r="L2026">
        <v>1</v>
      </c>
      <c r="M2026">
        <v>0</v>
      </c>
      <c r="N2026">
        <v>0</v>
      </c>
    </row>
    <row r="2027" spans="1:14" x14ac:dyDescent="0.45">
      <c r="A2027" t="s">
        <v>246</v>
      </c>
      <c r="B2027" t="s">
        <v>679</v>
      </c>
      <c r="C2027" t="s">
        <v>20</v>
      </c>
      <c r="D2027" t="s">
        <v>483</v>
      </c>
      <c r="E2027">
        <v>3</v>
      </c>
      <c r="F2027">
        <v>0</v>
      </c>
      <c r="G2027">
        <v>21</v>
      </c>
      <c r="H2027">
        <v>1</v>
      </c>
      <c r="I2027">
        <v>7</v>
      </c>
      <c r="J2027">
        <v>3</v>
      </c>
      <c r="K2027">
        <v>2</v>
      </c>
      <c r="L2027">
        <v>0</v>
      </c>
      <c r="M2027">
        <v>0</v>
      </c>
      <c r="N2027">
        <v>0</v>
      </c>
    </row>
    <row r="2028" spans="1:14" x14ac:dyDescent="0.45">
      <c r="A2028" t="s">
        <v>246</v>
      </c>
      <c r="B2028" t="s">
        <v>679</v>
      </c>
      <c r="C2028" t="s">
        <v>20</v>
      </c>
      <c r="D2028" t="s">
        <v>419</v>
      </c>
      <c r="E2028">
        <v>4</v>
      </c>
      <c r="F2028">
        <v>0</v>
      </c>
      <c r="G2028">
        <v>34</v>
      </c>
      <c r="H2028">
        <v>0</v>
      </c>
      <c r="I2028">
        <v>8.5</v>
      </c>
      <c r="J2028">
        <v>7</v>
      </c>
      <c r="K2028">
        <v>4</v>
      </c>
      <c r="L2028">
        <v>0</v>
      </c>
      <c r="M2028">
        <v>1</v>
      </c>
      <c r="N2028">
        <v>0</v>
      </c>
    </row>
    <row r="2029" spans="1:14" x14ac:dyDescent="0.45">
      <c r="A2029" t="s">
        <v>246</v>
      </c>
      <c r="B2029" t="s">
        <v>679</v>
      </c>
      <c r="C2029" t="s">
        <v>20</v>
      </c>
      <c r="D2029" t="s">
        <v>382</v>
      </c>
      <c r="E2029">
        <v>2</v>
      </c>
      <c r="F2029">
        <v>0</v>
      </c>
      <c r="G2029">
        <v>14</v>
      </c>
      <c r="H2029">
        <v>0</v>
      </c>
      <c r="I2029">
        <v>7</v>
      </c>
      <c r="J2029">
        <v>4</v>
      </c>
      <c r="K2029">
        <v>2</v>
      </c>
      <c r="L2029">
        <v>0</v>
      </c>
      <c r="M2029">
        <v>0</v>
      </c>
      <c r="N2029">
        <v>0</v>
      </c>
    </row>
    <row r="2030" spans="1:14" x14ac:dyDescent="0.45">
      <c r="A2030" t="s">
        <v>246</v>
      </c>
      <c r="B2030" t="s">
        <v>679</v>
      </c>
      <c r="C2030" t="s">
        <v>20</v>
      </c>
      <c r="D2030" t="s">
        <v>401</v>
      </c>
      <c r="E2030">
        <v>1</v>
      </c>
      <c r="F2030">
        <v>0</v>
      </c>
      <c r="G2030">
        <v>7</v>
      </c>
      <c r="H2030">
        <v>0</v>
      </c>
      <c r="I2030">
        <v>7</v>
      </c>
      <c r="J2030">
        <v>0</v>
      </c>
      <c r="K2030">
        <v>0</v>
      </c>
      <c r="L2030">
        <v>0</v>
      </c>
      <c r="M2030">
        <v>0</v>
      </c>
      <c r="N2030">
        <v>0</v>
      </c>
    </row>
    <row r="2031" spans="1:14" x14ac:dyDescent="0.45">
      <c r="A2031" t="s">
        <v>246</v>
      </c>
      <c r="B2031" t="s">
        <v>679</v>
      </c>
      <c r="C2031" t="s">
        <v>10</v>
      </c>
      <c r="D2031" t="s">
        <v>456</v>
      </c>
      <c r="E2031">
        <v>3</v>
      </c>
      <c r="F2031">
        <v>0</v>
      </c>
      <c r="G2031">
        <v>18</v>
      </c>
      <c r="H2031">
        <v>1</v>
      </c>
      <c r="I2031">
        <v>6</v>
      </c>
      <c r="J2031">
        <v>8</v>
      </c>
      <c r="K2031">
        <v>2</v>
      </c>
      <c r="L2031">
        <v>0</v>
      </c>
      <c r="M2031">
        <v>0</v>
      </c>
      <c r="N2031">
        <v>0</v>
      </c>
    </row>
    <row r="2032" spans="1:14" x14ac:dyDescent="0.45">
      <c r="A2032" t="s">
        <v>246</v>
      </c>
      <c r="B2032" t="s">
        <v>679</v>
      </c>
      <c r="C2032" t="s">
        <v>10</v>
      </c>
      <c r="D2032" t="s">
        <v>338</v>
      </c>
      <c r="E2032">
        <v>4</v>
      </c>
      <c r="F2032">
        <v>0</v>
      </c>
      <c r="G2032">
        <v>33</v>
      </c>
      <c r="H2032">
        <v>2</v>
      </c>
      <c r="I2032">
        <v>8.25</v>
      </c>
      <c r="J2032">
        <v>10</v>
      </c>
      <c r="K2032">
        <v>4</v>
      </c>
      <c r="L2032">
        <v>1</v>
      </c>
      <c r="M2032">
        <v>0</v>
      </c>
      <c r="N2032">
        <v>0</v>
      </c>
    </row>
    <row r="2033" spans="1:14" x14ac:dyDescent="0.45">
      <c r="A2033" t="s">
        <v>246</v>
      </c>
      <c r="B2033" t="s">
        <v>679</v>
      </c>
      <c r="C2033" t="s">
        <v>10</v>
      </c>
      <c r="D2033" t="s">
        <v>587</v>
      </c>
      <c r="E2033">
        <v>3</v>
      </c>
      <c r="F2033">
        <v>0</v>
      </c>
      <c r="G2033">
        <v>27</v>
      </c>
      <c r="H2033">
        <v>0</v>
      </c>
      <c r="I2033">
        <v>9</v>
      </c>
      <c r="J2033">
        <v>4</v>
      </c>
      <c r="K2033">
        <v>4</v>
      </c>
      <c r="L2033">
        <v>0</v>
      </c>
      <c r="M2033">
        <v>0</v>
      </c>
      <c r="N2033">
        <v>0</v>
      </c>
    </row>
    <row r="2034" spans="1:14" x14ac:dyDescent="0.45">
      <c r="A2034" t="s">
        <v>246</v>
      </c>
      <c r="B2034" t="s">
        <v>679</v>
      </c>
      <c r="C2034" t="s">
        <v>10</v>
      </c>
      <c r="D2034" t="s">
        <v>337</v>
      </c>
      <c r="E2034">
        <v>4</v>
      </c>
      <c r="F2034">
        <v>0</v>
      </c>
      <c r="G2034">
        <v>21</v>
      </c>
      <c r="H2034">
        <v>2</v>
      </c>
      <c r="I2034">
        <v>5.25</v>
      </c>
      <c r="J2034">
        <v>8</v>
      </c>
      <c r="K2034">
        <v>1</v>
      </c>
      <c r="L2034">
        <v>0</v>
      </c>
      <c r="M2034">
        <v>0</v>
      </c>
      <c r="N2034">
        <v>0</v>
      </c>
    </row>
    <row r="2035" spans="1:14" x14ac:dyDescent="0.45">
      <c r="A2035" t="s">
        <v>246</v>
      </c>
      <c r="B2035" t="s">
        <v>679</v>
      </c>
      <c r="C2035" t="s">
        <v>10</v>
      </c>
      <c r="D2035" t="s">
        <v>500</v>
      </c>
      <c r="E2035">
        <v>4</v>
      </c>
      <c r="F2035">
        <v>0</v>
      </c>
      <c r="G2035">
        <v>22</v>
      </c>
      <c r="H2035">
        <v>1</v>
      </c>
      <c r="I2035">
        <v>5.5</v>
      </c>
      <c r="J2035">
        <v>6</v>
      </c>
      <c r="K2035">
        <v>1</v>
      </c>
      <c r="L2035">
        <v>0</v>
      </c>
      <c r="M2035">
        <v>0</v>
      </c>
      <c r="N2035">
        <v>0</v>
      </c>
    </row>
    <row r="2036" spans="1:14" x14ac:dyDescent="0.45">
      <c r="A2036" t="s">
        <v>246</v>
      </c>
      <c r="B2036" t="s">
        <v>679</v>
      </c>
      <c r="C2036" t="s">
        <v>10</v>
      </c>
      <c r="D2036" t="s">
        <v>498</v>
      </c>
      <c r="E2036">
        <v>2</v>
      </c>
      <c r="F2036">
        <v>0</v>
      </c>
      <c r="G2036">
        <v>16</v>
      </c>
      <c r="H2036">
        <v>0</v>
      </c>
      <c r="I2036">
        <v>8</v>
      </c>
      <c r="J2036">
        <v>3</v>
      </c>
      <c r="K2036">
        <v>1</v>
      </c>
      <c r="L2036">
        <v>0</v>
      </c>
      <c r="M2036">
        <v>0</v>
      </c>
      <c r="N2036">
        <v>1</v>
      </c>
    </row>
    <row r="2037" spans="1:14" x14ac:dyDescent="0.45">
      <c r="A2037" t="s">
        <v>248</v>
      </c>
      <c r="B2037" t="s">
        <v>621</v>
      </c>
      <c r="C2037" t="s">
        <v>7</v>
      </c>
      <c r="D2037" t="s">
        <v>515</v>
      </c>
      <c r="E2037">
        <v>3</v>
      </c>
      <c r="F2037">
        <v>0</v>
      </c>
      <c r="G2037">
        <v>35</v>
      </c>
      <c r="H2037">
        <v>0</v>
      </c>
      <c r="I2037">
        <v>11.66</v>
      </c>
      <c r="J2037">
        <v>7</v>
      </c>
      <c r="K2037">
        <v>3</v>
      </c>
      <c r="L2037">
        <v>3</v>
      </c>
      <c r="M2037">
        <v>0</v>
      </c>
      <c r="N2037">
        <v>0</v>
      </c>
    </row>
    <row r="2038" spans="1:14" x14ac:dyDescent="0.45">
      <c r="A2038" t="s">
        <v>248</v>
      </c>
      <c r="B2038" t="s">
        <v>621</v>
      </c>
      <c r="C2038" t="s">
        <v>7</v>
      </c>
      <c r="D2038" t="s">
        <v>598</v>
      </c>
      <c r="E2038">
        <v>3</v>
      </c>
      <c r="F2038">
        <v>0</v>
      </c>
      <c r="G2038">
        <v>38</v>
      </c>
      <c r="H2038">
        <v>0</v>
      </c>
      <c r="I2038">
        <v>12.66</v>
      </c>
      <c r="J2038">
        <v>3</v>
      </c>
      <c r="K2038">
        <v>3</v>
      </c>
      <c r="L2038">
        <v>2</v>
      </c>
      <c r="M2038">
        <v>0</v>
      </c>
      <c r="N2038">
        <v>0</v>
      </c>
    </row>
    <row r="2039" spans="1:14" x14ac:dyDescent="0.45">
      <c r="A2039" t="s">
        <v>248</v>
      </c>
      <c r="B2039" t="s">
        <v>621</v>
      </c>
      <c r="C2039" t="s">
        <v>7</v>
      </c>
      <c r="D2039" t="s">
        <v>322</v>
      </c>
      <c r="E2039">
        <v>4</v>
      </c>
      <c r="F2039">
        <v>0</v>
      </c>
      <c r="G2039">
        <v>49</v>
      </c>
      <c r="H2039">
        <v>1</v>
      </c>
      <c r="I2039">
        <v>12.25</v>
      </c>
      <c r="J2039">
        <v>8</v>
      </c>
      <c r="K2039">
        <v>2</v>
      </c>
      <c r="L2039">
        <v>5</v>
      </c>
      <c r="M2039">
        <v>0</v>
      </c>
      <c r="N2039">
        <v>0</v>
      </c>
    </row>
    <row r="2040" spans="1:14" x14ac:dyDescent="0.45">
      <c r="A2040" t="s">
        <v>248</v>
      </c>
      <c r="B2040" t="s">
        <v>621</v>
      </c>
      <c r="C2040" t="s">
        <v>7</v>
      </c>
      <c r="D2040" t="s">
        <v>601</v>
      </c>
      <c r="E2040">
        <v>3</v>
      </c>
      <c r="F2040">
        <v>0</v>
      </c>
      <c r="G2040">
        <v>44</v>
      </c>
      <c r="H2040">
        <v>2</v>
      </c>
      <c r="I2040">
        <v>14.66</v>
      </c>
      <c r="J2040">
        <v>5</v>
      </c>
      <c r="K2040">
        <v>2</v>
      </c>
      <c r="L2040">
        <v>4</v>
      </c>
      <c r="M2040">
        <v>0</v>
      </c>
      <c r="N2040">
        <v>1</v>
      </c>
    </row>
    <row r="2041" spans="1:14" x14ac:dyDescent="0.45">
      <c r="A2041" t="s">
        <v>248</v>
      </c>
      <c r="B2041" t="s">
        <v>621</v>
      </c>
      <c r="C2041" t="s">
        <v>7</v>
      </c>
      <c r="D2041" t="s">
        <v>308</v>
      </c>
      <c r="E2041">
        <v>2</v>
      </c>
      <c r="F2041">
        <v>0</v>
      </c>
      <c r="G2041">
        <v>23</v>
      </c>
      <c r="H2041">
        <v>0</v>
      </c>
      <c r="I2041">
        <v>11.5</v>
      </c>
      <c r="J2041">
        <v>3</v>
      </c>
      <c r="K2041">
        <v>1</v>
      </c>
      <c r="L2041">
        <v>2</v>
      </c>
      <c r="M2041">
        <v>0</v>
      </c>
      <c r="N2041">
        <v>0</v>
      </c>
    </row>
    <row r="2042" spans="1:14" x14ac:dyDescent="0.45">
      <c r="A2042" t="s">
        <v>248</v>
      </c>
      <c r="B2042" t="s">
        <v>621</v>
      </c>
      <c r="C2042" t="s">
        <v>7</v>
      </c>
      <c r="D2042" t="s">
        <v>579</v>
      </c>
      <c r="E2042">
        <v>4</v>
      </c>
      <c r="F2042">
        <v>0</v>
      </c>
      <c r="G2042">
        <v>29</v>
      </c>
      <c r="H2042">
        <v>1</v>
      </c>
      <c r="I2042">
        <v>7.25</v>
      </c>
      <c r="J2042">
        <v>8</v>
      </c>
      <c r="K2042">
        <v>2</v>
      </c>
      <c r="L2042">
        <v>1</v>
      </c>
      <c r="M2042">
        <v>0</v>
      </c>
      <c r="N2042">
        <v>0</v>
      </c>
    </row>
    <row r="2043" spans="1:14" x14ac:dyDescent="0.45">
      <c r="A2043" t="s">
        <v>248</v>
      </c>
      <c r="B2043" t="s">
        <v>621</v>
      </c>
      <c r="C2043" t="s">
        <v>7</v>
      </c>
      <c r="D2043" t="s">
        <v>440</v>
      </c>
      <c r="E2043">
        <v>1</v>
      </c>
      <c r="F2043">
        <v>0</v>
      </c>
      <c r="G2043">
        <v>17</v>
      </c>
      <c r="H2043">
        <v>0</v>
      </c>
      <c r="I2043">
        <v>17</v>
      </c>
      <c r="J2043">
        <v>0</v>
      </c>
      <c r="K2043">
        <v>1</v>
      </c>
      <c r="L2043">
        <v>1</v>
      </c>
      <c r="M2043">
        <v>2</v>
      </c>
      <c r="N2043">
        <v>0</v>
      </c>
    </row>
    <row r="2044" spans="1:14" x14ac:dyDescent="0.45">
      <c r="A2044" t="s">
        <v>248</v>
      </c>
      <c r="B2044" t="s">
        <v>621</v>
      </c>
      <c r="C2044" t="s">
        <v>6</v>
      </c>
      <c r="D2044" t="s">
        <v>418</v>
      </c>
      <c r="E2044">
        <v>4</v>
      </c>
      <c r="F2044">
        <v>0</v>
      </c>
      <c r="G2044">
        <v>29</v>
      </c>
      <c r="H2044">
        <v>1</v>
      </c>
      <c r="I2044">
        <v>7.25</v>
      </c>
      <c r="J2044">
        <v>13</v>
      </c>
      <c r="K2044">
        <v>4</v>
      </c>
      <c r="L2044">
        <v>1</v>
      </c>
      <c r="M2044">
        <v>1</v>
      </c>
      <c r="N2044">
        <v>0</v>
      </c>
    </row>
    <row r="2045" spans="1:14" x14ac:dyDescent="0.45">
      <c r="A2045" t="s">
        <v>248</v>
      </c>
      <c r="B2045" t="s">
        <v>621</v>
      </c>
      <c r="C2045" t="s">
        <v>6</v>
      </c>
      <c r="D2045" t="s">
        <v>555</v>
      </c>
      <c r="E2045">
        <v>4</v>
      </c>
      <c r="F2045">
        <v>0</v>
      </c>
      <c r="G2045">
        <v>43</v>
      </c>
      <c r="H2045">
        <v>2</v>
      </c>
      <c r="I2045">
        <v>10.75</v>
      </c>
      <c r="J2045">
        <v>12</v>
      </c>
      <c r="K2045">
        <v>3</v>
      </c>
      <c r="L2045">
        <v>3</v>
      </c>
      <c r="M2045">
        <v>4</v>
      </c>
      <c r="N2045">
        <v>0</v>
      </c>
    </row>
    <row r="2046" spans="1:14" x14ac:dyDescent="0.45">
      <c r="A2046" t="s">
        <v>248</v>
      </c>
      <c r="B2046" t="s">
        <v>621</v>
      </c>
      <c r="C2046" t="s">
        <v>6</v>
      </c>
      <c r="D2046" t="s">
        <v>523</v>
      </c>
      <c r="E2046">
        <v>4</v>
      </c>
      <c r="F2046">
        <v>0</v>
      </c>
      <c r="G2046">
        <v>32</v>
      </c>
      <c r="H2046">
        <v>2</v>
      </c>
      <c r="I2046">
        <v>8</v>
      </c>
      <c r="J2046">
        <v>8</v>
      </c>
      <c r="K2046">
        <v>3</v>
      </c>
      <c r="L2046">
        <v>1</v>
      </c>
      <c r="M2046">
        <v>1</v>
      </c>
      <c r="N2046">
        <v>0</v>
      </c>
    </row>
    <row r="2047" spans="1:14" x14ac:dyDescent="0.45">
      <c r="A2047" t="s">
        <v>248</v>
      </c>
      <c r="B2047" t="s">
        <v>621</v>
      </c>
      <c r="C2047" t="s">
        <v>6</v>
      </c>
      <c r="D2047" t="s">
        <v>299</v>
      </c>
      <c r="E2047">
        <v>1</v>
      </c>
      <c r="F2047">
        <v>0</v>
      </c>
      <c r="G2047">
        <v>20</v>
      </c>
      <c r="H2047">
        <v>1</v>
      </c>
      <c r="I2047">
        <v>20</v>
      </c>
      <c r="J2047">
        <v>1</v>
      </c>
      <c r="K2047">
        <v>0</v>
      </c>
      <c r="L2047">
        <v>3</v>
      </c>
      <c r="M2047">
        <v>0</v>
      </c>
      <c r="N2047">
        <v>0</v>
      </c>
    </row>
    <row r="2048" spans="1:14" x14ac:dyDescent="0.45">
      <c r="A2048" t="s">
        <v>248</v>
      </c>
      <c r="B2048" t="s">
        <v>621</v>
      </c>
      <c r="C2048" t="s">
        <v>6</v>
      </c>
      <c r="D2048" t="s">
        <v>328</v>
      </c>
      <c r="E2048">
        <v>3</v>
      </c>
      <c r="F2048">
        <v>0</v>
      </c>
      <c r="G2048">
        <v>34</v>
      </c>
      <c r="H2048">
        <v>1</v>
      </c>
      <c r="I2048">
        <v>11.33</v>
      </c>
      <c r="J2048">
        <v>5</v>
      </c>
      <c r="K2048">
        <v>2</v>
      </c>
      <c r="L2048">
        <v>3</v>
      </c>
      <c r="M2048">
        <v>0</v>
      </c>
      <c r="N2048">
        <v>0</v>
      </c>
    </row>
    <row r="2049" spans="1:14" x14ac:dyDescent="0.45">
      <c r="A2049" t="s">
        <v>248</v>
      </c>
      <c r="B2049" t="s">
        <v>621</v>
      </c>
      <c r="C2049" t="s">
        <v>6</v>
      </c>
      <c r="D2049" t="s">
        <v>510</v>
      </c>
      <c r="E2049">
        <v>4</v>
      </c>
      <c r="F2049">
        <v>0</v>
      </c>
      <c r="G2049">
        <v>27</v>
      </c>
      <c r="H2049">
        <v>1</v>
      </c>
      <c r="I2049">
        <v>6.75</v>
      </c>
      <c r="J2049">
        <v>11</v>
      </c>
      <c r="K2049">
        <v>2</v>
      </c>
      <c r="L2049">
        <v>1</v>
      </c>
      <c r="M2049">
        <v>3</v>
      </c>
      <c r="N2049">
        <v>0</v>
      </c>
    </row>
    <row r="2050" spans="1:14" x14ac:dyDescent="0.45">
      <c r="A2050" t="s">
        <v>249</v>
      </c>
      <c r="B2050" t="s">
        <v>665</v>
      </c>
      <c r="C2050" t="s">
        <v>23</v>
      </c>
      <c r="D2050" t="s">
        <v>370</v>
      </c>
      <c r="E2050">
        <v>4</v>
      </c>
      <c r="F2050">
        <v>0</v>
      </c>
      <c r="G2050">
        <v>41</v>
      </c>
      <c r="H2050">
        <v>2</v>
      </c>
      <c r="I2050">
        <v>10.25</v>
      </c>
      <c r="J2050">
        <v>8</v>
      </c>
      <c r="K2050">
        <v>6</v>
      </c>
      <c r="L2050">
        <v>0</v>
      </c>
      <c r="M2050">
        <v>1</v>
      </c>
      <c r="N2050">
        <v>0</v>
      </c>
    </row>
    <row r="2051" spans="1:14" x14ac:dyDescent="0.45">
      <c r="A2051" t="s">
        <v>249</v>
      </c>
      <c r="B2051" t="s">
        <v>665</v>
      </c>
      <c r="C2051" t="s">
        <v>23</v>
      </c>
      <c r="D2051" t="s">
        <v>429</v>
      </c>
      <c r="E2051">
        <v>4</v>
      </c>
      <c r="F2051">
        <v>0</v>
      </c>
      <c r="G2051">
        <v>49</v>
      </c>
      <c r="H2051">
        <v>2</v>
      </c>
      <c r="I2051">
        <v>12.25</v>
      </c>
      <c r="J2051">
        <v>9</v>
      </c>
      <c r="K2051">
        <v>7</v>
      </c>
      <c r="L2051">
        <v>2</v>
      </c>
      <c r="M2051">
        <v>1</v>
      </c>
      <c r="N2051">
        <v>0</v>
      </c>
    </row>
    <row r="2052" spans="1:14" x14ac:dyDescent="0.45">
      <c r="A2052" t="s">
        <v>249</v>
      </c>
      <c r="B2052" t="s">
        <v>665</v>
      </c>
      <c r="C2052" t="s">
        <v>23</v>
      </c>
      <c r="D2052" t="s">
        <v>339</v>
      </c>
      <c r="E2052">
        <v>4</v>
      </c>
      <c r="F2052">
        <v>0</v>
      </c>
      <c r="G2052">
        <v>36</v>
      </c>
      <c r="H2052">
        <v>1</v>
      </c>
      <c r="I2052">
        <v>9</v>
      </c>
      <c r="J2052">
        <v>7</v>
      </c>
      <c r="K2052">
        <v>2</v>
      </c>
      <c r="L2052">
        <v>2</v>
      </c>
      <c r="M2052">
        <v>1</v>
      </c>
      <c r="N2052">
        <v>0</v>
      </c>
    </row>
    <row r="2053" spans="1:14" x14ac:dyDescent="0.45">
      <c r="A2053" t="s">
        <v>249</v>
      </c>
      <c r="B2053" t="s">
        <v>665</v>
      </c>
      <c r="C2053" t="s">
        <v>23</v>
      </c>
      <c r="D2053" t="s">
        <v>353</v>
      </c>
      <c r="E2053">
        <v>4</v>
      </c>
      <c r="F2053">
        <v>0</v>
      </c>
      <c r="G2053">
        <v>28</v>
      </c>
      <c r="H2053">
        <v>1</v>
      </c>
      <c r="I2053">
        <v>7</v>
      </c>
      <c r="J2053">
        <v>7</v>
      </c>
      <c r="K2053">
        <v>0</v>
      </c>
      <c r="L2053">
        <v>1</v>
      </c>
      <c r="M2053">
        <v>2</v>
      </c>
      <c r="N2053">
        <v>0</v>
      </c>
    </row>
    <row r="2054" spans="1:14" x14ac:dyDescent="0.45">
      <c r="A2054" t="s">
        <v>249</v>
      </c>
      <c r="B2054" t="s">
        <v>665</v>
      </c>
      <c r="C2054" t="s">
        <v>23</v>
      </c>
      <c r="D2054" t="s">
        <v>378</v>
      </c>
      <c r="E2054">
        <v>4</v>
      </c>
      <c r="F2054">
        <v>0</v>
      </c>
      <c r="G2054">
        <v>32</v>
      </c>
      <c r="H2054">
        <v>0</v>
      </c>
      <c r="I2054">
        <v>8</v>
      </c>
      <c r="J2054">
        <v>6</v>
      </c>
      <c r="K2054">
        <v>3</v>
      </c>
      <c r="L2054">
        <v>1</v>
      </c>
      <c r="M2054">
        <v>0</v>
      </c>
      <c r="N2054">
        <v>0</v>
      </c>
    </row>
    <row r="2055" spans="1:14" x14ac:dyDescent="0.45">
      <c r="A2055" t="s">
        <v>249</v>
      </c>
      <c r="B2055" t="s">
        <v>665</v>
      </c>
      <c r="C2055" t="s">
        <v>13</v>
      </c>
      <c r="D2055" t="s">
        <v>352</v>
      </c>
      <c r="E2055">
        <v>4</v>
      </c>
      <c r="F2055">
        <v>0</v>
      </c>
      <c r="G2055">
        <v>39</v>
      </c>
      <c r="H2055">
        <v>1</v>
      </c>
      <c r="I2055">
        <v>9.75</v>
      </c>
      <c r="J2055">
        <v>8</v>
      </c>
      <c r="K2055">
        <v>4</v>
      </c>
      <c r="L2055">
        <v>1</v>
      </c>
      <c r="M2055">
        <v>3</v>
      </c>
      <c r="N2055">
        <v>0</v>
      </c>
    </row>
    <row r="2056" spans="1:14" x14ac:dyDescent="0.45">
      <c r="A2056" t="s">
        <v>249</v>
      </c>
      <c r="B2056" t="s">
        <v>665</v>
      </c>
      <c r="C2056" t="s">
        <v>13</v>
      </c>
      <c r="D2056" t="s">
        <v>550</v>
      </c>
      <c r="E2056">
        <v>4</v>
      </c>
      <c r="F2056">
        <v>0</v>
      </c>
      <c r="G2056">
        <v>26</v>
      </c>
      <c r="H2056">
        <v>1</v>
      </c>
      <c r="I2056">
        <v>6.5</v>
      </c>
      <c r="J2056">
        <v>11</v>
      </c>
      <c r="K2056">
        <v>2</v>
      </c>
      <c r="L2056">
        <v>1</v>
      </c>
      <c r="M2056">
        <v>1</v>
      </c>
      <c r="N2056">
        <v>0</v>
      </c>
    </row>
    <row r="2057" spans="1:14" x14ac:dyDescent="0.45">
      <c r="A2057" t="s">
        <v>249</v>
      </c>
      <c r="B2057" t="s">
        <v>665</v>
      </c>
      <c r="C2057" t="s">
        <v>13</v>
      </c>
      <c r="D2057" t="s">
        <v>570</v>
      </c>
      <c r="E2057">
        <v>2</v>
      </c>
      <c r="F2057">
        <v>0</v>
      </c>
      <c r="G2057">
        <v>24</v>
      </c>
      <c r="H2057">
        <v>0</v>
      </c>
      <c r="I2057">
        <v>12</v>
      </c>
      <c r="J2057">
        <v>4</v>
      </c>
      <c r="K2057">
        <v>5</v>
      </c>
      <c r="L2057">
        <v>0</v>
      </c>
      <c r="M2057">
        <v>1</v>
      </c>
      <c r="N2057">
        <v>0</v>
      </c>
    </row>
    <row r="2058" spans="1:14" x14ac:dyDescent="0.45">
      <c r="A2058" t="s">
        <v>249</v>
      </c>
      <c r="B2058" t="s">
        <v>665</v>
      </c>
      <c r="C2058" t="s">
        <v>13</v>
      </c>
      <c r="D2058" t="s">
        <v>345</v>
      </c>
      <c r="E2058">
        <v>2</v>
      </c>
      <c r="F2058">
        <v>0</v>
      </c>
      <c r="G2058">
        <v>25</v>
      </c>
      <c r="H2058">
        <v>0</v>
      </c>
      <c r="I2058">
        <v>12.5</v>
      </c>
      <c r="J2058">
        <v>3</v>
      </c>
      <c r="K2058">
        <v>2</v>
      </c>
      <c r="L2058">
        <v>2</v>
      </c>
      <c r="M2058">
        <v>0</v>
      </c>
      <c r="N2058">
        <v>0</v>
      </c>
    </row>
    <row r="2059" spans="1:14" x14ac:dyDescent="0.45">
      <c r="A2059" t="s">
        <v>249</v>
      </c>
      <c r="B2059" t="s">
        <v>665</v>
      </c>
      <c r="C2059" t="s">
        <v>13</v>
      </c>
      <c r="D2059" t="s">
        <v>349</v>
      </c>
      <c r="E2059">
        <v>4</v>
      </c>
      <c r="F2059">
        <v>0</v>
      </c>
      <c r="G2059">
        <v>32</v>
      </c>
      <c r="H2059">
        <v>3</v>
      </c>
      <c r="I2059">
        <v>8</v>
      </c>
      <c r="J2059">
        <v>8</v>
      </c>
      <c r="K2059">
        <v>3</v>
      </c>
      <c r="L2059">
        <v>1</v>
      </c>
      <c r="M2059">
        <v>1</v>
      </c>
      <c r="N2059">
        <v>0</v>
      </c>
    </row>
    <row r="2060" spans="1:14" x14ac:dyDescent="0.45">
      <c r="A2060" t="s">
        <v>249</v>
      </c>
      <c r="B2060" t="s">
        <v>665</v>
      </c>
      <c r="C2060" t="s">
        <v>13</v>
      </c>
      <c r="D2060" t="s">
        <v>448</v>
      </c>
      <c r="E2060">
        <v>4</v>
      </c>
      <c r="F2060">
        <v>0</v>
      </c>
      <c r="G2060">
        <v>32</v>
      </c>
      <c r="H2060">
        <v>0</v>
      </c>
      <c r="I2060">
        <v>8</v>
      </c>
      <c r="J2060">
        <v>5</v>
      </c>
      <c r="K2060">
        <v>2</v>
      </c>
      <c r="L2060">
        <v>1</v>
      </c>
      <c r="M2060">
        <v>0</v>
      </c>
      <c r="N2060">
        <v>0</v>
      </c>
    </row>
    <row r="2061" spans="1:14" x14ac:dyDescent="0.45">
      <c r="A2061" t="s">
        <v>250</v>
      </c>
      <c r="B2061" t="s">
        <v>641</v>
      </c>
      <c r="C2061" t="s">
        <v>19</v>
      </c>
      <c r="D2061" t="s">
        <v>600</v>
      </c>
      <c r="E2061">
        <v>3</v>
      </c>
      <c r="F2061">
        <v>0</v>
      </c>
      <c r="G2061">
        <v>48</v>
      </c>
      <c r="H2061">
        <v>1</v>
      </c>
      <c r="I2061">
        <v>16</v>
      </c>
      <c r="J2061">
        <v>4</v>
      </c>
      <c r="K2061">
        <v>6</v>
      </c>
      <c r="L2061">
        <v>2</v>
      </c>
      <c r="M2061">
        <v>4</v>
      </c>
      <c r="N2061">
        <v>1</v>
      </c>
    </row>
    <row r="2062" spans="1:14" x14ac:dyDescent="0.45">
      <c r="A2062" t="s">
        <v>250</v>
      </c>
      <c r="B2062" t="s">
        <v>641</v>
      </c>
      <c r="C2062" t="s">
        <v>19</v>
      </c>
      <c r="D2062" t="s">
        <v>562</v>
      </c>
      <c r="E2062">
        <v>3</v>
      </c>
      <c r="F2062">
        <v>0</v>
      </c>
      <c r="G2062">
        <v>41</v>
      </c>
      <c r="H2062">
        <v>1</v>
      </c>
      <c r="I2062">
        <v>13.66</v>
      </c>
      <c r="J2062">
        <v>6</v>
      </c>
      <c r="K2062">
        <v>2</v>
      </c>
      <c r="L2062">
        <v>4</v>
      </c>
      <c r="M2062">
        <v>1</v>
      </c>
      <c r="N2062">
        <v>0</v>
      </c>
    </row>
    <row r="2063" spans="1:14" x14ac:dyDescent="0.45">
      <c r="A2063" t="s">
        <v>250</v>
      </c>
      <c r="B2063" t="s">
        <v>641</v>
      </c>
      <c r="C2063" t="s">
        <v>19</v>
      </c>
      <c r="D2063" t="s">
        <v>560</v>
      </c>
      <c r="E2063">
        <v>4</v>
      </c>
      <c r="F2063">
        <v>0</v>
      </c>
      <c r="G2063">
        <v>41</v>
      </c>
      <c r="H2063">
        <v>2</v>
      </c>
      <c r="I2063">
        <v>10.25</v>
      </c>
      <c r="J2063">
        <v>9</v>
      </c>
      <c r="K2063">
        <v>2</v>
      </c>
      <c r="L2063">
        <v>4</v>
      </c>
      <c r="M2063">
        <v>0</v>
      </c>
      <c r="N2063">
        <v>0</v>
      </c>
    </row>
    <row r="2064" spans="1:14" x14ac:dyDescent="0.45">
      <c r="A2064" t="s">
        <v>250</v>
      </c>
      <c r="B2064" t="s">
        <v>641</v>
      </c>
      <c r="C2064" t="s">
        <v>19</v>
      </c>
      <c r="D2064" t="s">
        <v>594</v>
      </c>
      <c r="E2064">
        <v>4</v>
      </c>
      <c r="F2064">
        <v>0</v>
      </c>
      <c r="G2064">
        <v>42</v>
      </c>
      <c r="H2064">
        <v>1</v>
      </c>
      <c r="I2064">
        <v>10.5</v>
      </c>
      <c r="J2064">
        <v>8</v>
      </c>
      <c r="K2064">
        <v>3</v>
      </c>
      <c r="L2064">
        <v>3</v>
      </c>
      <c r="M2064">
        <v>1</v>
      </c>
      <c r="N2064">
        <v>0</v>
      </c>
    </row>
    <row r="2065" spans="1:14" x14ac:dyDescent="0.45">
      <c r="A2065" t="s">
        <v>250</v>
      </c>
      <c r="B2065" t="s">
        <v>641</v>
      </c>
      <c r="C2065" t="s">
        <v>19</v>
      </c>
      <c r="D2065" t="s">
        <v>368</v>
      </c>
      <c r="E2065">
        <v>3</v>
      </c>
      <c r="F2065">
        <v>0</v>
      </c>
      <c r="G2065">
        <v>15</v>
      </c>
      <c r="H2065">
        <v>2</v>
      </c>
      <c r="I2065">
        <v>5</v>
      </c>
      <c r="J2065">
        <v>12</v>
      </c>
      <c r="K2065">
        <v>2</v>
      </c>
      <c r="L2065">
        <v>0</v>
      </c>
      <c r="M2065">
        <v>1</v>
      </c>
      <c r="N2065">
        <v>0</v>
      </c>
    </row>
    <row r="2066" spans="1:14" x14ac:dyDescent="0.45">
      <c r="A2066" t="s">
        <v>250</v>
      </c>
      <c r="B2066" t="s">
        <v>641</v>
      </c>
      <c r="C2066" t="s">
        <v>19</v>
      </c>
      <c r="D2066" t="s">
        <v>504</v>
      </c>
      <c r="E2066">
        <v>3</v>
      </c>
      <c r="F2066">
        <v>0</v>
      </c>
      <c r="G2066">
        <v>24</v>
      </c>
      <c r="H2066">
        <v>0</v>
      </c>
      <c r="I2066">
        <v>8</v>
      </c>
      <c r="J2066">
        <v>7</v>
      </c>
      <c r="K2066">
        <v>1</v>
      </c>
      <c r="L2066">
        <v>1</v>
      </c>
      <c r="M2066">
        <v>0</v>
      </c>
      <c r="N2066">
        <v>1</v>
      </c>
    </row>
    <row r="2067" spans="1:14" x14ac:dyDescent="0.45">
      <c r="A2067" t="s">
        <v>250</v>
      </c>
      <c r="B2067" t="s">
        <v>641</v>
      </c>
      <c r="C2067" t="s">
        <v>26</v>
      </c>
      <c r="D2067" t="s">
        <v>596</v>
      </c>
      <c r="E2067">
        <v>1</v>
      </c>
      <c r="F2067">
        <v>0</v>
      </c>
      <c r="G2067">
        <v>7</v>
      </c>
      <c r="H2067">
        <v>0</v>
      </c>
      <c r="I2067">
        <v>7</v>
      </c>
      <c r="J2067">
        <v>3</v>
      </c>
      <c r="K2067">
        <v>1</v>
      </c>
      <c r="L2067">
        <v>0</v>
      </c>
      <c r="M2067">
        <v>1</v>
      </c>
      <c r="N2067">
        <v>0</v>
      </c>
    </row>
    <row r="2068" spans="1:14" x14ac:dyDescent="0.45">
      <c r="A2068" t="s">
        <v>250</v>
      </c>
      <c r="B2068" t="s">
        <v>641</v>
      </c>
      <c r="C2068" t="s">
        <v>26</v>
      </c>
      <c r="D2068" t="s">
        <v>405</v>
      </c>
      <c r="E2068">
        <v>4</v>
      </c>
      <c r="F2068">
        <v>0</v>
      </c>
      <c r="G2068">
        <v>29</v>
      </c>
      <c r="H2068">
        <v>4</v>
      </c>
      <c r="I2068">
        <v>7.25</v>
      </c>
      <c r="J2068">
        <v>12</v>
      </c>
      <c r="K2068">
        <v>2</v>
      </c>
      <c r="L2068">
        <v>2</v>
      </c>
      <c r="M2068">
        <v>1</v>
      </c>
      <c r="N2068">
        <v>0</v>
      </c>
    </row>
    <row r="2069" spans="1:14" x14ac:dyDescent="0.45">
      <c r="A2069" t="s">
        <v>250</v>
      </c>
      <c r="B2069" t="s">
        <v>641</v>
      </c>
      <c r="C2069" t="s">
        <v>26</v>
      </c>
      <c r="D2069" t="s">
        <v>404</v>
      </c>
      <c r="E2069">
        <v>2</v>
      </c>
      <c r="F2069">
        <v>0</v>
      </c>
      <c r="G2069">
        <v>15</v>
      </c>
      <c r="H2069">
        <v>0</v>
      </c>
      <c r="I2069">
        <v>7.5</v>
      </c>
      <c r="J2069">
        <v>5</v>
      </c>
      <c r="K2069">
        <v>1</v>
      </c>
      <c r="L2069">
        <v>1</v>
      </c>
      <c r="M2069">
        <v>0</v>
      </c>
      <c r="N2069">
        <v>0</v>
      </c>
    </row>
    <row r="2070" spans="1:14" x14ac:dyDescent="0.45">
      <c r="A2070" t="s">
        <v>250</v>
      </c>
      <c r="B2070" t="s">
        <v>641</v>
      </c>
      <c r="C2070" t="s">
        <v>26</v>
      </c>
      <c r="D2070" t="s">
        <v>420</v>
      </c>
      <c r="E2070">
        <v>3</v>
      </c>
      <c r="F2070">
        <v>0</v>
      </c>
      <c r="G2070">
        <v>41</v>
      </c>
      <c r="H2070">
        <v>0</v>
      </c>
      <c r="I2070">
        <v>13.66</v>
      </c>
      <c r="J2070">
        <v>2</v>
      </c>
      <c r="K2070">
        <v>3</v>
      </c>
      <c r="L2070">
        <v>3</v>
      </c>
      <c r="M2070">
        <v>1</v>
      </c>
      <c r="N2070">
        <v>0</v>
      </c>
    </row>
    <row r="2071" spans="1:14" x14ac:dyDescent="0.45">
      <c r="A2071" t="s">
        <v>250</v>
      </c>
      <c r="B2071" t="s">
        <v>641</v>
      </c>
      <c r="C2071" t="s">
        <v>26</v>
      </c>
      <c r="D2071" t="s">
        <v>428</v>
      </c>
      <c r="E2071">
        <v>4</v>
      </c>
      <c r="F2071">
        <v>0</v>
      </c>
      <c r="G2071">
        <v>44</v>
      </c>
      <c r="H2071">
        <v>1</v>
      </c>
      <c r="I2071">
        <v>11</v>
      </c>
      <c r="J2071">
        <v>5</v>
      </c>
      <c r="K2071">
        <v>2</v>
      </c>
      <c r="L2071">
        <v>3</v>
      </c>
      <c r="M2071">
        <v>0</v>
      </c>
      <c r="N2071">
        <v>0</v>
      </c>
    </row>
    <row r="2072" spans="1:14" x14ac:dyDescent="0.45">
      <c r="A2072" t="s">
        <v>250</v>
      </c>
      <c r="B2072" t="s">
        <v>641</v>
      </c>
      <c r="C2072" t="s">
        <v>26</v>
      </c>
      <c r="D2072" t="s">
        <v>435</v>
      </c>
      <c r="E2072">
        <v>4</v>
      </c>
      <c r="F2072">
        <v>0</v>
      </c>
      <c r="G2072">
        <v>42</v>
      </c>
      <c r="H2072">
        <v>0</v>
      </c>
      <c r="I2072">
        <v>10.5</v>
      </c>
      <c r="J2072">
        <v>4</v>
      </c>
      <c r="K2072">
        <v>4</v>
      </c>
      <c r="L2072">
        <v>2</v>
      </c>
      <c r="M2072">
        <v>0</v>
      </c>
      <c r="N2072">
        <v>0</v>
      </c>
    </row>
    <row r="2073" spans="1:14" x14ac:dyDescent="0.45">
      <c r="A2073" t="s">
        <v>250</v>
      </c>
      <c r="B2073" t="s">
        <v>641</v>
      </c>
      <c r="C2073" t="s">
        <v>26</v>
      </c>
      <c r="D2073" t="s">
        <v>384</v>
      </c>
      <c r="E2073">
        <v>2</v>
      </c>
      <c r="F2073">
        <v>0</v>
      </c>
      <c r="G2073">
        <v>23</v>
      </c>
      <c r="H2073">
        <v>1</v>
      </c>
      <c r="I2073">
        <v>11.5</v>
      </c>
      <c r="J2073">
        <v>2</v>
      </c>
      <c r="K2073">
        <v>4</v>
      </c>
      <c r="L2073">
        <v>0</v>
      </c>
      <c r="M2073">
        <v>0</v>
      </c>
      <c r="N2073">
        <v>0</v>
      </c>
    </row>
    <row r="2074" spans="1:14" x14ac:dyDescent="0.45">
      <c r="A2074" t="s">
        <v>251</v>
      </c>
      <c r="B2074" t="s">
        <v>676</v>
      </c>
      <c r="C2074" t="s">
        <v>104</v>
      </c>
      <c r="D2074" t="s">
        <v>565</v>
      </c>
      <c r="E2074">
        <v>4</v>
      </c>
      <c r="F2074">
        <v>0</v>
      </c>
      <c r="G2074">
        <v>19</v>
      </c>
      <c r="H2074">
        <v>1</v>
      </c>
      <c r="I2074">
        <v>4.75</v>
      </c>
      <c r="J2074">
        <v>12</v>
      </c>
      <c r="K2074">
        <v>1</v>
      </c>
      <c r="L2074">
        <v>0</v>
      </c>
      <c r="M2074">
        <v>0</v>
      </c>
      <c r="N2074">
        <v>0</v>
      </c>
    </row>
    <row r="2075" spans="1:14" x14ac:dyDescent="0.45">
      <c r="A2075" t="s">
        <v>251</v>
      </c>
      <c r="B2075" t="s">
        <v>676</v>
      </c>
      <c r="C2075" t="s">
        <v>104</v>
      </c>
      <c r="D2075" t="s">
        <v>366</v>
      </c>
      <c r="E2075">
        <v>4</v>
      </c>
      <c r="F2075">
        <v>0</v>
      </c>
      <c r="G2075">
        <v>16</v>
      </c>
      <c r="H2075">
        <v>2</v>
      </c>
      <c r="I2075">
        <v>4</v>
      </c>
      <c r="J2075">
        <v>13</v>
      </c>
      <c r="K2075">
        <v>1</v>
      </c>
      <c r="L2075">
        <v>0</v>
      </c>
      <c r="M2075">
        <v>0</v>
      </c>
      <c r="N2075">
        <v>0</v>
      </c>
    </row>
    <row r="2076" spans="1:14" x14ac:dyDescent="0.45">
      <c r="A2076" t="s">
        <v>251</v>
      </c>
      <c r="B2076" t="s">
        <v>676</v>
      </c>
      <c r="C2076" t="s">
        <v>104</v>
      </c>
      <c r="D2076" t="s">
        <v>340</v>
      </c>
      <c r="E2076">
        <v>3</v>
      </c>
      <c r="F2076">
        <v>0</v>
      </c>
      <c r="G2076">
        <v>21</v>
      </c>
      <c r="H2076">
        <v>0</v>
      </c>
      <c r="I2076">
        <v>7</v>
      </c>
      <c r="J2076">
        <v>6</v>
      </c>
      <c r="K2076">
        <v>2</v>
      </c>
      <c r="L2076">
        <v>0</v>
      </c>
      <c r="M2076">
        <v>0</v>
      </c>
      <c r="N2076">
        <v>0</v>
      </c>
    </row>
    <row r="2077" spans="1:14" x14ac:dyDescent="0.45">
      <c r="A2077" t="s">
        <v>251</v>
      </c>
      <c r="B2077" t="s">
        <v>676</v>
      </c>
      <c r="C2077" t="s">
        <v>104</v>
      </c>
      <c r="D2077" t="s">
        <v>407</v>
      </c>
      <c r="E2077">
        <v>4</v>
      </c>
      <c r="F2077">
        <v>0</v>
      </c>
      <c r="G2077">
        <v>49</v>
      </c>
      <c r="H2077">
        <v>0</v>
      </c>
      <c r="I2077">
        <v>12.25</v>
      </c>
      <c r="J2077">
        <v>4</v>
      </c>
      <c r="K2077">
        <v>4</v>
      </c>
      <c r="L2077">
        <v>3</v>
      </c>
      <c r="M2077">
        <v>0</v>
      </c>
      <c r="N2077">
        <v>0</v>
      </c>
    </row>
    <row r="2078" spans="1:14" x14ac:dyDescent="0.45">
      <c r="A2078" t="s">
        <v>251</v>
      </c>
      <c r="B2078" t="s">
        <v>676</v>
      </c>
      <c r="C2078" t="s">
        <v>104</v>
      </c>
      <c r="D2078" t="s">
        <v>331</v>
      </c>
      <c r="E2078">
        <v>3</v>
      </c>
      <c r="F2078">
        <v>0</v>
      </c>
      <c r="G2078">
        <v>20</v>
      </c>
      <c r="H2078">
        <v>2</v>
      </c>
      <c r="I2078">
        <v>6.66</v>
      </c>
      <c r="J2078">
        <v>7</v>
      </c>
      <c r="K2078">
        <v>1</v>
      </c>
      <c r="L2078">
        <v>1</v>
      </c>
      <c r="M2078">
        <v>0</v>
      </c>
      <c r="N2078">
        <v>0</v>
      </c>
    </row>
    <row r="2079" spans="1:14" x14ac:dyDescent="0.45">
      <c r="A2079" t="s">
        <v>251</v>
      </c>
      <c r="B2079" t="s">
        <v>676</v>
      </c>
      <c r="C2079" t="s">
        <v>104</v>
      </c>
      <c r="D2079" t="s">
        <v>468</v>
      </c>
      <c r="E2079">
        <v>2</v>
      </c>
      <c r="F2079">
        <v>0</v>
      </c>
      <c r="G2079">
        <v>9</v>
      </c>
      <c r="H2079">
        <v>1</v>
      </c>
      <c r="I2079">
        <v>4.5</v>
      </c>
      <c r="J2079">
        <v>4</v>
      </c>
      <c r="K2079">
        <v>0</v>
      </c>
      <c r="L2079">
        <v>0</v>
      </c>
      <c r="M2079">
        <v>0</v>
      </c>
      <c r="N2079">
        <v>0</v>
      </c>
    </row>
    <row r="2080" spans="1:14" x14ac:dyDescent="0.45">
      <c r="A2080" t="s">
        <v>251</v>
      </c>
      <c r="B2080" t="s">
        <v>676</v>
      </c>
      <c r="C2080" t="s">
        <v>101</v>
      </c>
      <c r="D2080" t="s">
        <v>403</v>
      </c>
      <c r="E2080">
        <v>3</v>
      </c>
      <c r="F2080">
        <v>1</v>
      </c>
      <c r="G2080">
        <v>18</v>
      </c>
      <c r="H2080">
        <v>0</v>
      </c>
      <c r="I2080">
        <v>6</v>
      </c>
      <c r="J2080">
        <v>9</v>
      </c>
      <c r="K2080">
        <v>3</v>
      </c>
      <c r="L2080">
        <v>0</v>
      </c>
      <c r="M2080">
        <v>0</v>
      </c>
      <c r="N2080">
        <v>0</v>
      </c>
    </row>
    <row r="2081" spans="1:14" x14ac:dyDescent="0.45">
      <c r="A2081" t="s">
        <v>251</v>
      </c>
      <c r="B2081" t="s">
        <v>676</v>
      </c>
      <c r="C2081" t="s">
        <v>101</v>
      </c>
      <c r="D2081" t="s">
        <v>414</v>
      </c>
      <c r="E2081">
        <v>4</v>
      </c>
      <c r="F2081">
        <v>0</v>
      </c>
      <c r="G2081">
        <v>26</v>
      </c>
      <c r="H2081">
        <v>0</v>
      </c>
      <c r="I2081">
        <v>6.5</v>
      </c>
      <c r="J2081">
        <v>8</v>
      </c>
      <c r="K2081">
        <v>2</v>
      </c>
      <c r="L2081">
        <v>0</v>
      </c>
      <c r="M2081">
        <v>0</v>
      </c>
      <c r="N2081">
        <v>0</v>
      </c>
    </row>
    <row r="2082" spans="1:14" x14ac:dyDescent="0.45">
      <c r="A2082" t="s">
        <v>251</v>
      </c>
      <c r="B2082" t="s">
        <v>676</v>
      </c>
      <c r="C2082" t="s">
        <v>101</v>
      </c>
      <c r="D2082" t="s">
        <v>379</v>
      </c>
      <c r="E2082">
        <v>4</v>
      </c>
      <c r="F2082">
        <v>0</v>
      </c>
      <c r="G2082">
        <v>33</v>
      </c>
      <c r="H2082">
        <v>1</v>
      </c>
      <c r="I2082">
        <v>8.25</v>
      </c>
      <c r="J2082">
        <v>9</v>
      </c>
      <c r="K2082">
        <v>4</v>
      </c>
      <c r="L2082">
        <v>1</v>
      </c>
      <c r="M2082">
        <v>0</v>
      </c>
      <c r="N2082">
        <v>0</v>
      </c>
    </row>
    <row r="2083" spans="1:14" x14ac:dyDescent="0.45">
      <c r="A2083" t="s">
        <v>251</v>
      </c>
      <c r="B2083" t="s">
        <v>676</v>
      </c>
      <c r="C2083" t="s">
        <v>101</v>
      </c>
      <c r="D2083" t="s">
        <v>558</v>
      </c>
      <c r="E2083">
        <v>3</v>
      </c>
      <c r="F2083">
        <v>0</v>
      </c>
      <c r="G2083">
        <v>17</v>
      </c>
      <c r="H2083">
        <v>2</v>
      </c>
      <c r="I2083">
        <v>5.66</v>
      </c>
      <c r="J2083">
        <v>5</v>
      </c>
      <c r="K2083">
        <v>1</v>
      </c>
      <c r="L2083">
        <v>0</v>
      </c>
      <c r="M2083">
        <v>0</v>
      </c>
      <c r="N2083">
        <v>0</v>
      </c>
    </row>
    <row r="2084" spans="1:14" x14ac:dyDescent="0.45">
      <c r="A2084" t="s">
        <v>251</v>
      </c>
      <c r="B2084" t="s">
        <v>676</v>
      </c>
      <c r="C2084" t="s">
        <v>101</v>
      </c>
      <c r="D2084" t="s">
        <v>556</v>
      </c>
      <c r="E2084">
        <v>4</v>
      </c>
      <c r="F2084">
        <v>0</v>
      </c>
      <c r="G2084">
        <v>18</v>
      </c>
      <c r="H2084">
        <v>2</v>
      </c>
      <c r="I2084">
        <v>4.5</v>
      </c>
      <c r="J2084">
        <v>13</v>
      </c>
      <c r="K2084">
        <v>1</v>
      </c>
      <c r="L2084">
        <v>0</v>
      </c>
      <c r="M2084">
        <v>0</v>
      </c>
      <c r="N2084">
        <v>0</v>
      </c>
    </row>
    <row r="2085" spans="1:14" x14ac:dyDescent="0.45">
      <c r="A2085" t="s">
        <v>251</v>
      </c>
      <c r="B2085" t="s">
        <v>676</v>
      </c>
      <c r="C2085" t="s">
        <v>101</v>
      </c>
      <c r="D2085" t="s">
        <v>361</v>
      </c>
      <c r="E2085">
        <v>1</v>
      </c>
      <c r="F2085">
        <v>0</v>
      </c>
      <c r="G2085">
        <v>7</v>
      </c>
      <c r="H2085">
        <v>0</v>
      </c>
      <c r="I2085">
        <v>7</v>
      </c>
      <c r="J2085">
        <v>2</v>
      </c>
      <c r="K2085">
        <v>1</v>
      </c>
      <c r="L2085">
        <v>0</v>
      </c>
      <c r="M2085">
        <v>0</v>
      </c>
      <c r="N2085">
        <v>0</v>
      </c>
    </row>
    <row r="2086" spans="1:14" x14ac:dyDescent="0.45">
      <c r="A2086" t="s">
        <v>251</v>
      </c>
      <c r="B2086" t="s">
        <v>676</v>
      </c>
      <c r="C2086" t="s">
        <v>101</v>
      </c>
      <c r="D2086" t="s">
        <v>390</v>
      </c>
      <c r="E2086">
        <v>1</v>
      </c>
      <c r="F2086">
        <v>0</v>
      </c>
      <c r="G2086">
        <v>8</v>
      </c>
      <c r="H2086">
        <v>0</v>
      </c>
      <c r="I2086">
        <v>8</v>
      </c>
      <c r="J2086">
        <v>4</v>
      </c>
      <c r="K2086">
        <v>0</v>
      </c>
      <c r="L2086">
        <v>1</v>
      </c>
      <c r="M2086">
        <v>1</v>
      </c>
      <c r="N2086">
        <v>0</v>
      </c>
    </row>
    <row r="2087" spans="1:14" x14ac:dyDescent="0.45">
      <c r="A2087" t="s">
        <v>252</v>
      </c>
      <c r="B2087" t="s">
        <v>639</v>
      </c>
      <c r="C2087" t="s">
        <v>6</v>
      </c>
      <c r="D2087" t="s">
        <v>418</v>
      </c>
      <c r="E2087">
        <v>3</v>
      </c>
      <c r="F2087">
        <v>0</v>
      </c>
      <c r="G2087">
        <v>17</v>
      </c>
      <c r="H2087">
        <v>1</v>
      </c>
      <c r="I2087">
        <v>5.66</v>
      </c>
      <c r="J2087">
        <v>10</v>
      </c>
      <c r="K2087">
        <v>1</v>
      </c>
      <c r="L2087">
        <v>1</v>
      </c>
      <c r="M2087">
        <v>0</v>
      </c>
      <c r="N2087">
        <v>0</v>
      </c>
    </row>
    <row r="2088" spans="1:14" x14ac:dyDescent="0.45">
      <c r="A2088" t="s">
        <v>252</v>
      </c>
      <c r="B2088" t="s">
        <v>639</v>
      </c>
      <c r="C2088" t="s">
        <v>6</v>
      </c>
      <c r="D2088" t="s">
        <v>555</v>
      </c>
      <c r="E2088">
        <v>3</v>
      </c>
      <c r="F2088">
        <v>0</v>
      </c>
      <c r="G2088">
        <v>26</v>
      </c>
      <c r="H2088">
        <v>0</v>
      </c>
      <c r="I2088">
        <v>8.66</v>
      </c>
      <c r="J2088">
        <v>7</v>
      </c>
      <c r="K2088">
        <v>4</v>
      </c>
      <c r="L2088">
        <v>0</v>
      </c>
      <c r="M2088">
        <v>1</v>
      </c>
      <c r="N2088">
        <v>0</v>
      </c>
    </row>
    <row r="2089" spans="1:14" x14ac:dyDescent="0.45">
      <c r="A2089" t="s">
        <v>252</v>
      </c>
      <c r="B2089" t="s">
        <v>639</v>
      </c>
      <c r="C2089" t="s">
        <v>6</v>
      </c>
      <c r="D2089" t="s">
        <v>523</v>
      </c>
      <c r="E2089">
        <v>4</v>
      </c>
      <c r="F2089">
        <v>0</v>
      </c>
      <c r="G2089">
        <v>27</v>
      </c>
      <c r="H2089">
        <v>1</v>
      </c>
      <c r="I2089">
        <v>6.75</v>
      </c>
      <c r="J2089">
        <v>5</v>
      </c>
      <c r="K2089">
        <v>2</v>
      </c>
      <c r="L2089">
        <v>0</v>
      </c>
      <c r="M2089">
        <v>0</v>
      </c>
      <c r="N2089">
        <v>0</v>
      </c>
    </row>
    <row r="2090" spans="1:14" x14ac:dyDescent="0.45">
      <c r="A2090" t="s">
        <v>252</v>
      </c>
      <c r="B2090" t="s">
        <v>639</v>
      </c>
      <c r="C2090" t="s">
        <v>6</v>
      </c>
      <c r="D2090" t="s">
        <v>299</v>
      </c>
      <c r="E2090">
        <v>2</v>
      </c>
      <c r="F2090">
        <v>0</v>
      </c>
      <c r="G2090">
        <v>18</v>
      </c>
      <c r="H2090">
        <v>0</v>
      </c>
      <c r="I2090">
        <v>9</v>
      </c>
      <c r="J2090">
        <v>2</v>
      </c>
      <c r="K2090">
        <v>1</v>
      </c>
      <c r="L2090">
        <v>1</v>
      </c>
      <c r="M2090">
        <v>0</v>
      </c>
      <c r="N2090">
        <v>0</v>
      </c>
    </row>
    <row r="2091" spans="1:14" x14ac:dyDescent="0.45">
      <c r="A2091" t="s">
        <v>252</v>
      </c>
      <c r="B2091" t="s">
        <v>639</v>
      </c>
      <c r="C2091" t="s">
        <v>6</v>
      </c>
      <c r="D2091" t="s">
        <v>328</v>
      </c>
      <c r="E2091">
        <v>4</v>
      </c>
      <c r="F2091">
        <v>0</v>
      </c>
      <c r="G2091">
        <v>22</v>
      </c>
      <c r="H2091">
        <v>3</v>
      </c>
      <c r="I2091">
        <v>5.5</v>
      </c>
      <c r="J2091">
        <v>8</v>
      </c>
      <c r="K2091">
        <v>1</v>
      </c>
      <c r="L2091">
        <v>0</v>
      </c>
      <c r="M2091">
        <v>0</v>
      </c>
      <c r="N2091">
        <v>0</v>
      </c>
    </row>
    <row r="2092" spans="1:14" x14ac:dyDescent="0.45">
      <c r="A2092" t="s">
        <v>252</v>
      </c>
      <c r="B2092" t="s">
        <v>639</v>
      </c>
      <c r="C2092" t="s">
        <v>6</v>
      </c>
      <c r="D2092" t="s">
        <v>510</v>
      </c>
      <c r="E2092">
        <v>4</v>
      </c>
      <c r="F2092">
        <v>0</v>
      </c>
      <c r="G2092">
        <v>22</v>
      </c>
      <c r="H2092">
        <v>1</v>
      </c>
      <c r="I2092">
        <v>5.5</v>
      </c>
      <c r="J2092">
        <v>9</v>
      </c>
      <c r="K2092">
        <v>2</v>
      </c>
      <c r="L2092">
        <v>0</v>
      </c>
      <c r="M2092">
        <v>1</v>
      </c>
      <c r="N2092">
        <v>0</v>
      </c>
    </row>
    <row r="2093" spans="1:14" x14ac:dyDescent="0.45">
      <c r="A2093" t="s">
        <v>252</v>
      </c>
      <c r="B2093" t="s">
        <v>639</v>
      </c>
      <c r="C2093" t="s">
        <v>20</v>
      </c>
      <c r="D2093" t="s">
        <v>409</v>
      </c>
      <c r="E2093">
        <v>2</v>
      </c>
      <c r="F2093">
        <v>0</v>
      </c>
      <c r="G2093">
        <v>10</v>
      </c>
      <c r="H2093">
        <v>0</v>
      </c>
      <c r="I2093">
        <v>5</v>
      </c>
      <c r="J2093">
        <v>7</v>
      </c>
      <c r="K2093">
        <v>1</v>
      </c>
      <c r="L2093">
        <v>0</v>
      </c>
      <c r="M2093">
        <v>0</v>
      </c>
      <c r="N2093">
        <v>0</v>
      </c>
    </row>
    <row r="2094" spans="1:14" x14ac:dyDescent="0.45">
      <c r="A2094" t="s">
        <v>252</v>
      </c>
      <c r="B2094" t="s">
        <v>639</v>
      </c>
      <c r="C2094" t="s">
        <v>20</v>
      </c>
      <c r="D2094" t="s">
        <v>484</v>
      </c>
      <c r="E2094">
        <v>3</v>
      </c>
      <c r="F2094">
        <v>0</v>
      </c>
      <c r="G2094">
        <v>37</v>
      </c>
      <c r="H2094">
        <v>0</v>
      </c>
      <c r="I2094">
        <v>12.33</v>
      </c>
      <c r="J2094">
        <v>5</v>
      </c>
      <c r="K2094">
        <v>6</v>
      </c>
      <c r="L2094">
        <v>1</v>
      </c>
      <c r="M2094">
        <v>0</v>
      </c>
      <c r="N2094">
        <v>0</v>
      </c>
    </row>
    <row r="2095" spans="1:14" x14ac:dyDescent="0.45">
      <c r="A2095" t="s">
        <v>252</v>
      </c>
      <c r="B2095" t="s">
        <v>639</v>
      </c>
      <c r="C2095" t="s">
        <v>20</v>
      </c>
      <c r="D2095" t="s">
        <v>401</v>
      </c>
      <c r="E2095">
        <v>1</v>
      </c>
      <c r="F2095">
        <v>0</v>
      </c>
      <c r="G2095">
        <v>11</v>
      </c>
      <c r="H2095">
        <v>0</v>
      </c>
      <c r="I2095">
        <v>11</v>
      </c>
      <c r="J2095">
        <v>2</v>
      </c>
      <c r="K2095">
        <v>2</v>
      </c>
      <c r="L2095">
        <v>0</v>
      </c>
      <c r="M2095">
        <v>0</v>
      </c>
      <c r="N2095">
        <v>0</v>
      </c>
    </row>
    <row r="2096" spans="1:14" x14ac:dyDescent="0.45">
      <c r="A2096" t="s">
        <v>252</v>
      </c>
      <c r="B2096" t="s">
        <v>639</v>
      </c>
      <c r="C2096" t="s">
        <v>20</v>
      </c>
      <c r="D2096" t="s">
        <v>467</v>
      </c>
      <c r="E2096">
        <v>2.4</v>
      </c>
      <c r="F2096">
        <v>0</v>
      </c>
      <c r="G2096">
        <v>16</v>
      </c>
      <c r="H2096">
        <v>0</v>
      </c>
      <c r="I2096">
        <v>6</v>
      </c>
      <c r="J2096">
        <v>4</v>
      </c>
      <c r="K2096">
        <v>1</v>
      </c>
      <c r="L2096">
        <v>0</v>
      </c>
      <c r="M2096">
        <v>0</v>
      </c>
      <c r="N2096">
        <v>0</v>
      </c>
    </row>
    <row r="2097" spans="1:14" x14ac:dyDescent="0.45">
      <c r="A2097" t="s">
        <v>252</v>
      </c>
      <c r="B2097" t="s">
        <v>639</v>
      </c>
      <c r="C2097" t="s">
        <v>20</v>
      </c>
      <c r="D2097" t="s">
        <v>419</v>
      </c>
      <c r="E2097">
        <v>4</v>
      </c>
      <c r="F2097">
        <v>0</v>
      </c>
      <c r="G2097">
        <v>23</v>
      </c>
      <c r="H2097">
        <v>2</v>
      </c>
      <c r="I2097">
        <v>5.75</v>
      </c>
      <c r="J2097">
        <v>8</v>
      </c>
      <c r="K2097">
        <v>2</v>
      </c>
      <c r="L2097">
        <v>0</v>
      </c>
      <c r="M2097">
        <v>0</v>
      </c>
      <c r="N2097">
        <v>0</v>
      </c>
    </row>
    <row r="2098" spans="1:14" x14ac:dyDescent="0.45">
      <c r="A2098" t="s">
        <v>252</v>
      </c>
      <c r="B2098" t="s">
        <v>639</v>
      </c>
      <c r="C2098" t="s">
        <v>20</v>
      </c>
      <c r="D2098" t="s">
        <v>382</v>
      </c>
      <c r="E2098">
        <v>3</v>
      </c>
      <c r="F2098">
        <v>0</v>
      </c>
      <c r="G2098">
        <v>18</v>
      </c>
      <c r="H2098">
        <v>0</v>
      </c>
      <c r="I2098">
        <v>6</v>
      </c>
      <c r="J2098">
        <v>8</v>
      </c>
      <c r="K2098">
        <v>2</v>
      </c>
      <c r="L2098">
        <v>0</v>
      </c>
      <c r="M2098">
        <v>0</v>
      </c>
      <c r="N2098">
        <v>0</v>
      </c>
    </row>
    <row r="2099" spans="1:14" x14ac:dyDescent="0.45">
      <c r="A2099" t="s">
        <v>252</v>
      </c>
      <c r="B2099" t="s">
        <v>639</v>
      </c>
      <c r="C2099" t="s">
        <v>20</v>
      </c>
      <c r="D2099" t="s">
        <v>577</v>
      </c>
      <c r="E2099">
        <v>3</v>
      </c>
      <c r="F2099">
        <v>0</v>
      </c>
      <c r="G2099">
        <v>21</v>
      </c>
      <c r="H2099">
        <v>0</v>
      </c>
      <c r="I2099">
        <v>7</v>
      </c>
      <c r="J2099">
        <v>5</v>
      </c>
      <c r="K2099">
        <v>2</v>
      </c>
      <c r="L2099">
        <v>0</v>
      </c>
      <c r="M2099">
        <v>0</v>
      </c>
      <c r="N2099">
        <v>0</v>
      </c>
    </row>
    <row r="2100" spans="1:14" x14ac:dyDescent="0.45">
      <c r="A2100" t="s">
        <v>253</v>
      </c>
      <c r="B2100" t="s">
        <v>654</v>
      </c>
      <c r="C2100" t="s">
        <v>10</v>
      </c>
      <c r="D2100" t="s">
        <v>456</v>
      </c>
      <c r="E2100">
        <v>4</v>
      </c>
      <c r="F2100">
        <v>0</v>
      </c>
      <c r="G2100">
        <v>19</v>
      </c>
      <c r="H2100">
        <v>2</v>
      </c>
      <c r="I2100">
        <v>4.75</v>
      </c>
      <c r="J2100">
        <v>13</v>
      </c>
      <c r="K2100">
        <v>2</v>
      </c>
      <c r="L2100">
        <v>0</v>
      </c>
      <c r="M2100">
        <v>1</v>
      </c>
      <c r="N2100">
        <v>0</v>
      </c>
    </row>
    <row r="2101" spans="1:14" x14ac:dyDescent="0.45">
      <c r="A2101" t="s">
        <v>253</v>
      </c>
      <c r="B2101" t="s">
        <v>654</v>
      </c>
      <c r="C2101" t="s">
        <v>10</v>
      </c>
      <c r="D2101" t="s">
        <v>587</v>
      </c>
      <c r="E2101">
        <v>4</v>
      </c>
      <c r="F2101">
        <v>0</v>
      </c>
      <c r="G2101">
        <v>34</v>
      </c>
      <c r="H2101">
        <v>1</v>
      </c>
      <c r="I2101">
        <v>8.5</v>
      </c>
      <c r="J2101">
        <v>15</v>
      </c>
      <c r="K2101">
        <v>2</v>
      </c>
      <c r="L2101">
        <v>3</v>
      </c>
      <c r="M2101">
        <v>4</v>
      </c>
      <c r="N2101">
        <v>0</v>
      </c>
    </row>
    <row r="2102" spans="1:14" x14ac:dyDescent="0.45">
      <c r="A2102" t="s">
        <v>253</v>
      </c>
      <c r="B2102" t="s">
        <v>654</v>
      </c>
      <c r="C2102" t="s">
        <v>10</v>
      </c>
      <c r="D2102" t="s">
        <v>338</v>
      </c>
      <c r="E2102">
        <v>4</v>
      </c>
      <c r="F2102">
        <v>0</v>
      </c>
      <c r="G2102">
        <v>20</v>
      </c>
      <c r="H2102">
        <v>2</v>
      </c>
      <c r="I2102">
        <v>5</v>
      </c>
      <c r="J2102">
        <v>16</v>
      </c>
      <c r="K2102">
        <v>3</v>
      </c>
      <c r="L2102">
        <v>0</v>
      </c>
      <c r="M2102">
        <v>2</v>
      </c>
      <c r="N2102">
        <v>0</v>
      </c>
    </row>
    <row r="2103" spans="1:14" x14ac:dyDescent="0.45">
      <c r="A2103" t="s">
        <v>253</v>
      </c>
      <c r="B2103" t="s">
        <v>654</v>
      </c>
      <c r="C2103" t="s">
        <v>10</v>
      </c>
      <c r="D2103" t="s">
        <v>337</v>
      </c>
      <c r="E2103">
        <v>3</v>
      </c>
      <c r="F2103">
        <v>0</v>
      </c>
      <c r="G2103">
        <v>13</v>
      </c>
      <c r="H2103">
        <v>2</v>
      </c>
      <c r="I2103">
        <v>4.33</v>
      </c>
      <c r="J2103">
        <v>12</v>
      </c>
      <c r="K2103">
        <v>2</v>
      </c>
      <c r="L2103">
        <v>0</v>
      </c>
      <c r="M2103">
        <v>0</v>
      </c>
      <c r="N2103">
        <v>0</v>
      </c>
    </row>
    <row r="2104" spans="1:14" x14ac:dyDescent="0.45">
      <c r="A2104" t="s">
        <v>253</v>
      </c>
      <c r="B2104" t="s">
        <v>654</v>
      </c>
      <c r="C2104" t="s">
        <v>10</v>
      </c>
      <c r="D2104" t="s">
        <v>498</v>
      </c>
      <c r="E2104">
        <v>2</v>
      </c>
      <c r="F2104">
        <v>0</v>
      </c>
      <c r="G2104">
        <v>25</v>
      </c>
      <c r="H2104">
        <v>0</v>
      </c>
      <c r="I2104">
        <v>12.5</v>
      </c>
      <c r="J2104">
        <v>2</v>
      </c>
      <c r="K2104">
        <v>1</v>
      </c>
      <c r="L2104">
        <v>2</v>
      </c>
      <c r="M2104">
        <v>2</v>
      </c>
      <c r="N2104">
        <v>0</v>
      </c>
    </row>
    <row r="2105" spans="1:14" x14ac:dyDescent="0.45">
      <c r="A2105" t="s">
        <v>253</v>
      </c>
      <c r="B2105" t="s">
        <v>654</v>
      </c>
      <c r="C2105" t="s">
        <v>10</v>
      </c>
      <c r="D2105" t="s">
        <v>500</v>
      </c>
      <c r="E2105">
        <v>3</v>
      </c>
      <c r="F2105">
        <v>0</v>
      </c>
      <c r="G2105">
        <v>15</v>
      </c>
      <c r="H2105">
        <v>2</v>
      </c>
      <c r="I2105">
        <v>5</v>
      </c>
      <c r="J2105">
        <v>9</v>
      </c>
      <c r="K2105">
        <v>0</v>
      </c>
      <c r="L2105">
        <v>1</v>
      </c>
      <c r="M2105">
        <v>1</v>
      </c>
      <c r="N2105">
        <v>0</v>
      </c>
    </row>
    <row r="2106" spans="1:14" x14ac:dyDescent="0.45">
      <c r="A2106" t="s">
        <v>253</v>
      </c>
      <c r="B2106" t="s">
        <v>654</v>
      </c>
      <c r="C2106" t="s">
        <v>7</v>
      </c>
      <c r="D2106" t="s">
        <v>515</v>
      </c>
      <c r="E2106">
        <v>1</v>
      </c>
      <c r="F2106">
        <v>0</v>
      </c>
      <c r="G2106">
        <v>6</v>
      </c>
      <c r="H2106">
        <v>0</v>
      </c>
      <c r="I2106">
        <v>6</v>
      </c>
      <c r="J2106">
        <v>3</v>
      </c>
      <c r="K2106">
        <v>1</v>
      </c>
      <c r="L2106">
        <v>0</v>
      </c>
      <c r="M2106">
        <v>0</v>
      </c>
      <c r="N2106">
        <v>0</v>
      </c>
    </row>
    <row r="2107" spans="1:14" x14ac:dyDescent="0.45">
      <c r="A2107" t="s">
        <v>253</v>
      </c>
      <c r="B2107" t="s">
        <v>654</v>
      </c>
      <c r="C2107" t="s">
        <v>7</v>
      </c>
      <c r="D2107" t="s">
        <v>601</v>
      </c>
      <c r="E2107">
        <v>1.2</v>
      </c>
      <c r="F2107">
        <v>0</v>
      </c>
      <c r="G2107">
        <v>20</v>
      </c>
      <c r="H2107">
        <v>0</v>
      </c>
      <c r="I2107">
        <v>15</v>
      </c>
      <c r="J2107">
        <v>2</v>
      </c>
      <c r="K2107">
        <v>3</v>
      </c>
      <c r="L2107">
        <v>0</v>
      </c>
      <c r="M2107">
        <v>0</v>
      </c>
      <c r="N2107">
        <v>1</v>
      </c>
    </row>
    <row r="2108" spans="1:14" x14ac:dyDescent="0.45">
      <c r="A2108" t="s">
        <v>253</v>
      </c>
      <c r="B2108" t="s">
        <v>654</v>
      </c>
      <c r="C2108" t="s">
        <v>7</v>
      </c>
      <c r="D2108" t="s">
        <v>440</v>
      </c>
      <c r="E2108">
        <v>1</v>
      </c>
      <c r="F2108">
        <v>0</v>
      </c>
      <c r="G2108">
        <v>12</v>
      </c>
      <c r="H2108">
        <v>0</v>
      </c>
      <c r="I2108">
        <v>12</v>
      </c>
      <c r="J2108">
        <v>3</v>
      </c>
      <c r="K2108">
        <v>2</v>
      </c>
      <c r="L2108">
        <v>0</v>
      </c>
      <c r="M2108">
        <v>0</v>
      </c>
      <c r="N2108">
        <v>1</v>
      </c>
    </row>
    <row r="2109" spans="1:14" x14ac:dyDescent="0.45">
      <c r="A2109" t="s">
        <v>253</v>
      </c>
      <c r="B2109" t="s">
        <v>654</v>
      </c>
      <c r="C2109" t="s">
        <v>7</v>
      </c>
      <c r="D2109" t="s">
        <v>308</v>
      </c>
      <c r="E2109">
        <v>4</v>
      </c>
      <c r="F2109">
        <v>0</v>
      </c>
      <c r="G2109">
        <v>36</v>
      </c>
      <c r="H2109">
        <v>0</v>
      </c>
      <c r="I2109">
        <v>9</v>
      </c>
      <c r="J2109">
        <v>7</v>
      </c>
      <c r="K2109">
        <v>6</v>
      </c>
      <c r="L2109">
        <v>0</v>
      </c>
      <c r="M2109">
        <v>1</v>
      </c>
      <c r="N2109">
        <v>0</v>
      </c>
    </row>
    <row r="2110" spans="1:14" x14ac:dyDescent="0.45">
      <c r="A2110" t="s">
        <v>253</v>
      </c>
      <c r="B2110" t="s">
        <v>654</v>
      </c>
      <c r="C2110" t="s">
        <v>7</v>
      </c>
      <c r="D2110" t="s">
        <v>322</v>
      </c>
      <c r="E2110">
        <v>4</v>
      </c>
      <c r="F2110">
        <v>1</v>
      </c>
      <c r="G2110">
        <v>16</v>
      </c>
      <c r="H2110">
        <v>2</v>
      </c>
      <c r="I2110">
        <v>4</v>
      </c>
      <c r="J2110">
        <v>14</v>
      </c>
      <c r="K2110">
        <v>2</v>
      </c>
      <c r="L2110">
        <v>0</v>
      </c>
      <c r="M2110">
        <v>0</v>
      </c>
      <c r="N2110">
        <v>0</v>
      </c>
    </row>
    <row r="2111" spans="1:14" x14ac:dyDescent="0.45">
      <c r="A2111" t="s">
        <v>253</v>
      </c>
      <c r="B2111" t="s">
        <v>654</v>
      </c>
      <c r="C2111" t="s">
        <v>7</v>
      </c>
      <c r="D2111" t="s">
        <v>532</v>
      </c>
      <c r="E2111">
        <v>4</v>
      </c>
      <c r="F2111">
        <v>0</v>
      </c>
      <c r="G2111">
        <v>19</v>
      </c>
      <c r="H2111">
        <v>2</v>
      </c>
      <c r="I2111">
        <v>4.75</v>
      </c>
      <c r="J2111">
        <v>13</v>
      </c>
      <c r="K2111">
        <v>2</v>
      </c>
      <c r="L2111">
        <v>0</v>
      </c>
      <c r="M2111">
        <v>2</v>
      </c>
      <c r="N2111">
        <v>0</v>
      </c>
    </row>
    <row r="2112" spans="1:14" x14ac:dyDescent="0.45">
      <c r="A2112" t="s">
        <v>253</v>
      </c>
      <c r="B2112" t="s">
        <v>654</v>
      </c>
      <c r="C2112" t="s">
        <v>7</v>
      </c>
      <c r="D2112" t="s">
        <v>306</v>
      </c>
      <c r="E2112">
        <v>4</v>
      </c>
      <c r="F2112">
        <v>0</v>
      </c>
      <c r="G2112">
        <v>17</v>
      </c>
      <c r="H2112">
        <v>2</v>
      </c>
      <c r="I2112">
        <v>4.25</v>
      </c>
      <c r="J2112">
        <v>10</v>
      </c>
      <c r="K2112">
        <v>1</v>
      </c>
      <c r="L2112">
        <v>0</v>
      </c>
      <c r="M2112">
        <v>0</v>
      </c>
      <c r="N2112">
        <v>0</v>
      </c>
    </row>
    <row r="2113" spans="1:14" x14ac:dyDescent="0.45">
      <c r="A2113" t="s">
        <v>254</v>
      </c>
      <c r="B2113" t="s">
        <v>635</v>
      </c>
      <c r="C2113" t="s">
        <v>26</v>
      </c>
      <c r="D2113" t="s">
        <v>405</v>
      </c>
      <c r="E2113">
        <v>4</v>
      </c>
      <c r="F2113">
        <v>0</v>
      </c>
      <c r="G2113">
        <v>34</v>
      </c>
      <c r="H2113">
        <v>1</v>
      </c>
      <c r="I2113">
        <v>8.5</v>
      </c>
      <c r="J2113">
        <v>8</v>
      </c>
      <c r="K2113">
        <v>5</v>
      </c>
      <c r="L2113">
        <v>0</v>
      </c>
      <c r="M2113">
        <v>1</v>
      </c>
      <c r="N2113">
        <v>0</v>
      </c>
    </row>
    <row r="2114" spans="1:14" x14ac:dyDescent="0.45">
      <c r="A2114" t="s">
        <v>254</v>
      </c>
      <c r="B2114" t="s">
        <v>635</v>
      </c>
      <c r="C2114" t="s">
        <v>26</v>
      </c>
      <c r="D2114" t="s">
        <v>404</v>
      </c>
      <c r="E2114">
        <v>3</v>
      </c>
      <c r="F2114">
        <v>0</v>
      </c>
      <c r="G2114">
        <v>31</v>
      </c>
      <c r="H2114">
        <v>2</v>
      </c>
      <c r="I2114">
        <v>10.33</v>
      </c>
      <c r="J2114">
        <v>7</v>
      </c>
      <c r="K2114">
        <v>1</v>
      </c>
      <c r="L2114">
        <v>3</v>
      </c>
      <c r="M2114">
        <v>0</v>
      </c>
      <c r="N2114">
        <v>0</v>
      </c>
    </row>
    <row r="2115" spans="1:14" x14ac:dyDescent="0.45">
      <c r="A2115" t="s">
        <v>254</v>
      </c>
      <c r="B2115" t="s">
        <v>635</v>
      </c>
      <c r="C2115" t="s">
        <v>26</v>
      </c>
      <c r="D2115" t="s">
        <v>428</v>
      </c>
      <c r="E2115">
        <v>4</v>
      </c>
      <c r="F2115">
        <v>0</v>
      </c>
      <c r="G2115">
        <v>41</v>
      </c>
      <c r="H2115">
        <v>1</v>
      </c>
      <c r="I2115">
        <v>10.25</v>
      </c>
      <c r="J2115">
        <v>8</v>
      </c>
      <c r="K2115">
        <v>2</v>
      </c>
      <c r="L2115">
        <v>3</v>
      </c>
      <c r="M2115">
        <v>1</v>
      </c>
      <c r="N2115">
        <v>0</v>
      </c>
    </row>
    <row r="2116" spans="1:14" x14ac:dyDescent="0.45">
      <c r="A2116" t="s">
        <v>254</v>
      </c>
      <c r="B2116" t="s">
        <v>635</v>
      </c>
      <c r="C2116" t="s">
        <v>26</v>
      </c>
      <c r="D2116" t="s">
        <v>420</v>
      </c>
      <c r="E2116">
        <v>4</v>
      </c>
      <c r="F2116">
        <v>0</v>
      </c>
      <c r="G2116">
        <v>27</v>
      </c>
      <c r="H2116">
        <v>0</v>
      </c>
      <c r="I2116">
        <v>6.75</v>
      </c>
      <c r="J2116">
        <v>6</v>
      </c>
      <c r="K2116">
        <v>1</v>
      </c>
      <c r="L2116">
        <v>0</v>
      </c>
      <c r="M2116">
        <v>0</v>
      </c>
      <c r="N2116">
        <v>1</v>
      </c>
    </row>
    <row r="2117" spans="1:14" x14ac:dyDescent="0.45">
      <c r="A2117" t="s">
        <v>254</v>
      </c>
      <c r="B2117" t="s">
        <v>635</v>
      </c>
      <c r="C2117" t="s">
        <v>26</v>
      </c>
      <c r="D2117" t="s">
        <v>435</v>
      </c>
      <c r="E2117">
        <v>4</v>
      </c>
      <c r="F2117">
        <v>0</v>
      </c>
      <c r="G2117">
        <v>24</v>
      </c>
      <c r="H2117">
        <v>0</v>
      </c>
      <c r="I2117">
        <v>6</v>
      </c>
      <c r="J2117">
        <v>7</v>
      </c>
      <c r="K2117">
        <v>2</v>
      </c>
      <c r="L2117">
        <v>0</v>
      </c>
      <c r="M2117">
        <v>0</v>
      </c>
      <c r="N2117">
        <v>0</v>
      </c>
    </row>
    <row r="2118" spans="1:14" x14ac:dyDescent="0.45">
      <c r="A2118" t="s">
        <v>254</v>
      </c>
      <c r="B2118" t="s">
        <v>635</v>
      </c>
      <c r="C2118" t="s">
        <v>26</v>
      </c>
      <c r="D2118" t="s">
        <v>384</v>
      </c>
      <c r="E2118">
        <v>1</v>
      </c>
      <c r="F2118">
        <v>0</v>
      </c>
      <c r="G2118">
        <v>9</v>
      </c>
      <c r="H2118">
        <v>0</v>
      </c>
      <c r="I2118">
        <v>9</v>
      </c>
      <c r="J2118">
        <v>0</v>
      </c>
      <c r="K2118">
        <v>1</v>
      </c>
      <c r="L2118">
        <v>0</v>
      </c>
      <c r="M2118">
        <v>0</v>
      </c>
      <c r="N2118">
        <v>0</v>
      </c>
    </row>
    <row r="2119" spans="1:14" x14ac:dyDescent="0.45">
      <c r="A2119" t="s">
        <v>254</v>
      </c>
      <c r="B2119" t="s">
        <v>635</v>
      </c>
      <c r="C2119" t="s">
        <v>13</v>
      </c>
      <c r="D2119" t="s">
        <v>352</v>
      </c>
      <c r="E2119">
        <v>4</v>
      </c>
      <c r="F2119">
        <v>0</v>
      </c>
      <c r="G2119">
        <v>21</v>
      </c>
      <c r="H2119">
        <v>4</v>
      </c>
      <c r="I2119">
        <v>5.25</v>
      </c>
      <c r="J2119">
        <v>13</v>
      </c>
      <c r="K2119">
        <v>3</v>
      </c>
      <c r="L2119">
        <v>0</v>
      </c>
      <c r="M2119">
        <v>0</v>
      </c>
      <c r="N2119">
        <v>0</v>
      </c>
    </row>
    <row r="2120" spans="1:14" x14ac:dyDescent="0.45">
      <c r="A2120" t="s">
        <v>254</v>
      </c>
      <c r="B2120" t="s">
        <v>635</v>
      </c>
      <c r="C2120" t="s">
        <v>13</v>
      </c>
      <c r="D2120" t="s">
        <v>569</v>
      </c>
      <c r="E2120">
        <v>3</v>
      </c>
      <c r="F2120">
        <v>0</v>
      </c>
      <c r="G2120">
        <v>32</v>
      </c>
      <c r="H2120">
        <v>1</v>
      </c>
      <c r="I2120">
        <v>10.66</v>
      </c>
      <c r="J2120">
        <v>9</v>
      </c>
      <c r="K2120">
        <v>1</v>
      </c>
      <c r="L2120">
        <v>4</v>
      </c>
      <c r="M2120">
        <v>0</v>
      </c>
      <c r="N2120">
        <v>0</v>
      </c>
    </row>
    <row r="2121" spans="1:14" x14ac:dyDescent="0.45">
      <c r="A2121" t="s">
        <v>254</v>
      </c>
      <c r="B2121" t="s">
        <v>635</v>
      </c>
      <c r="C2121" t="s">
        <v>13</v>
      </c>
      <c r="D2121" t="s">
        <v>448</v>
      </c>
      <c r="E2121">
        <v>4</v>
      </c>
      <c r="F2121">
        <v>0</v>
      </c>
      <c r="G2121">
        <v>39</v>
      </c>
      <c r="H2121">
        <v>2</v>
      </c>
      <c r="I2121">
        <v>9.75</v>
      </c>
      <c r="J2121">
        <v>7</v>
      </c>
      <c r="K2121">
        <v>2</v>
      </c>
      <c r="L2121">
        <v>3</v>
      </c>
      <c r="M2121">
        <v>0</v>
      </c>
      <c r="N2121">
        <v>0</v>
      </c>
    </row>
    <row r="2122" spans="1:14" x14ac:dyDescent="0.45">
      <c r="A2122" t="s">
        <v>254</v>
      </c>
      <c r="B2122" t="s">
        <v>635</v>
      </c>
      <c r="C2122" t="s">
        <v>13</v>
      </c>
      <c r="D2122" t="s">
        <v>570</v>
      </c>
      <c r="E2122">
        <v>3</v>
      </c>
      <c r="F2122">
        <v>0</v>
      </c>
      <c r="G2122">
        <v>29</v>
      </c>
      <c r="H2122">
        <v>0</v>
      </c>
      <c r="I2122">
        <v>9.66</v>
      </c>
      <c r="J2122">
        <v>6</v>
      </c>
      <c r="K2122">
        <v>2</v>
      </c>
      <c r="L2122">
        <v>2</v>
      </c>
      <c r="M2122">
        <v>1</v>
      </c>
      <c r="N2122">
        <v>0</v>
      </c>
    </row>
    <row r="2123" spans="1:14" x14ac:dyDescent="0.45">
      <c r="A2123" t="s">
        <v>254</v>
      </c>
      <c r="B2123" t="s">
        <v>635</v>
      </c>
      <c r="C2123" t="s">
        <v>13</v>
      </c>
      <c r="D2123" t="s">
        <v>345</v>
      </c>
      <c r="E2123">
        <v>1</v>
      </c>
      <c r="F2123">
        <v>0</v>
      </c>
      <c r="G2123">
        <v>5</v>
      </c>
      <c r="H2123">
        <v>0</v>
      </c>
      <c r="I2123">
        <v>5</v>
      </c>
      <c r="J2123">
        <v>1</v>
      </c>
      <c r="K2123">
        <v>0</v>
      </c>
      <c r="L2123">
        <v>0</v>
      </c>
      <c r="M2123">
        <v>0</v>
      </c>
      <c r="N2123">
        <v>0</v>
      </c>
    </row>
    <row r="2124" spans="1:14" x14ac:dyDescent="0.45">
      <c r="A2124" t="s">
        <v>254</v>
      </c>
      <c r="B2124" t="s">
        <v>635</v>
      </c>
      <c r="C2124" t="s">
        <v>13</v>
      </c>
      <c r="D2124" t="s">
        <v>349</v>
      </c>
      <c r="E2124">
        <v>3.2</v>
      </c>
      <c r="F2124">
        <v>0</v>
      </c>
      <c r="G2124">
        <v>22</v>
      </c>
      <c r="H2124">
        <v>1</v>
      </c>
      <c r="I2124">
        <v>6.6</v>
      </c>
      <c r="J2124">
        <v>10</v>
      </c>
      <c r="K2124">
        <v>1</v>
      </c>
      <c r="L2124">
        <v>1</v>
      </c>
      <c r="M2124">
        <v>1</v>
      </c>
      <c r="N2124">
        <v>1</v>
      </c>
    </row>
    <row r="2125" spans="1:14" x14ac:dyDescent="0.45">
      <c r="A2125" t="s">
        <v>255</v>
      </c>
      <c r="B2125" t="s">
        <v>706</v>
      </c>
      <c r="C2125" t="s">
        <v>23</v>
      </c>
      <c r="D2125" t="s">
        <v>370</v>
      </c>
      <c r="E2125">
        <v>4</v>
      </c>
      <c r="F2125">
        <v>1</v>
      </c>
      <c r="G2125">
        <v>16</v>
      </c>
      <c r="H2125">
        <v>1</v>
      </c>
      <c r="I2125">
        <v>4</v>
      </c>
      <c r="J2125">
        <v>18</v>
      </c>
      <c r="K2125">
        <v>1</v>
      </c>
      <c r="L2125">
        <v>1</v>
      </c>
      <c r="M2125">
        <v>0</v>
      </c>
      <c r="N2125">
        <v>0</v>
      </c>
    </row>
    <row r="2126" spans="1:14" x14ac:dyDescent="0.45">
      <c r="A2126" t="s">
        <v>255</v>
      </c>
      <c r="B2126" t="s">
        <v>706</v>
      </c>
      <c r="C2126" t="s">
        <v>23</v>
      </c>
      <c r="D2126" t="s">
        <v>429</v>
      </c>
      <c r="E2126">
        <v>4</v>
      </c>
      <c r="F2126">
        <v>0</v>
      </c>
      <c r="G2126">
        <v>32</v>
      </c>
      <c r="H2126">
        <v>1</v>
      </c>
      <c r="I2126">
        <v>8</v>
      </c>
      <c r="J2126">
        <v>8</v>
      </c>
      <c r="K2126">
        <v>4</v>
      </c>
      <c r="L2126">
        <v>0</v>
      </c>
      <c r="M2126">
        <v>0</v>
      </c>
      <c r="N2126">
        <v>1</v>
      </c>
    </row>
    <row r="2127" spans="1:14" x14ac:dyDescent="0.45">
      <c r="A2127" t="s">
        <v>255</v>
      </c>
      <c r="B2127" t="s">
        <v>706</v>
      </c>
      <c r="C2127" t="s">
        <v>23</v>
      </c>
      <c r="D2127" t="s">
        <v>339</v>
      </c>
      <c r="E2127">
        <v>4</v>
      </c>
      <c r="F2127">
        <v>0</v>
      </c>
      <c r="G2127">
        <v>23</v>
      </c>
      <c r="H2127">
        <v>2</v>
      </c>
      <c r="I2127">
        <v>5.75</v>
      </c>
      <c r="J2127">
        <v>9</v>
      </c>
      <c r="K2127">
        <v>2</v>
      </c>
      <c r="L2127">
        <v>0</v>
      </c>
      <c r="M2127">
        <v>1</v>
      </c>
      <c r="N2127">
        <v>0</v>
      </c>
    </row>
    <row r="2128" spans="1:14" x14ac:dyDescent="0.45">
      <c r="A2128" t="s">
        <v>255</v>
      </c>
      <c r="B2128" t="s">
        <v>706</v>
      </c>
      <c r="C2128" t="s">
        <v>23</v>
      </c>
      <c r="D2128" t="s">
        <v>353</v>
      </c>
      <c r="E2128">
        <v>4</v>
      </c>
      <c r="F2128">
        <v>0</v>
      </c>
      <c r="G2128">
        <v>41</v>
      </c>
      <c r="H2128">
        <v>0</v>
      </c>
      <c r="I2128">
        <v>10.25</v>
      </c>
      <c r="J2128">
        <v>5</v>
      </c>
      <c r="K2128">
        <v>3</v>
      </c>
      <c r="L2128">
        <v>2</v>
      </c>
      <c r="M2128">
        <v>0</v>
      </c>
      <c r="N2128">
        <v>0</v>
      </c>
    </row>
    <row r="2129" spans="1:14" x14ac:dyDescent="0.45">
      <c r="A2129" t="s">
        <v>255</v>
      </c>
      <c r="B2129" t="s">
        <v>706</v>
      </c>
      <c r="C2129" t="s">
        <v>23</v>
      </c>
      <c r="D2129" t="s">
        <v>378</v>
      </c>
      <c r="E2129">
        <v>4</v>
      </c>
      <c r="F2129">
        <v>0</v>
      </c>
      <c r="G2129">
        <v>38</v>
      </c>
      <c r="H2129">
        <v>1</v>
      </c>
      <c r="I2129">
        <v>9.5</v>
      </c>
      <c r="J2129">
        <v>7</v>
      </c>
      <c r="K2129">
        <v>3</v>
      </c>
      <c r="L2129">
        <v>2</v>
      </c>
      <c r="M2129">
        <v>0</v>
      </c>
      <c r="N2129">
        <v>0</v>
      </c>
    </row>
    <row r="2130" spans="1:14" x14ac:dyDescent="0.45">
      <c r="A2130" t="s">
        <v>255</v>
      </c>
      <c r="B2130" t="s">
        <v>706</v>
      </c>
      <c r="C2130" t="s">
        <v>104</v>
      </c>
      <c r="D2130" t="s">
        <v>565</v>
      </c>
      <c r="E2130">
        <v>4</v>
      </c>
      <c r="F2130">
        <v>0</v>
      </c>
      <c r="G2130">
        <v>19</v>
      </c>
      <c r="H2130">
        <v>0</v>
      </c>
      <c r="I2130">
        <v>4.75</v>
      </c>
      <c r="J2130">
        <v>11</v>
      </c>
      <c r="K2130">
        <v>0</v>
      </c>
      <c r="L2130">
        <v>1</v>
      </c>
      <c r="M2130">
        <v>1</v>
      </c>
      <c r="N2130">
        <v>0</v>
      </c>
    </row>
    <row r="2131" spans="1:14" x14ac:dyDescent="0.45">
      <c r="A2131" t="s">
        <v>255</v>
      </c>
      <c r="B2131" t="s">
        <v>706</v>
      </c>
      <c r="C2131" t="s">
        <v>104</v>
      </c>
      <c r="D2131" t="s">
        <v>592</v>
      </c>
      <c r="E2131">
        <v>2</v>
      </c>
      <c r="F2131">
        <v>0</v>
      </c>
      <c r="G2131">
        <v>27</v>
      </c>
      <c r="H2131">
        <v>0</v>
      </c>
      <c r="I2131">
        <v>13.5</v>
      </c>
      <c r="J2131">
        <v>6</v>
      </c>
      <c r="K2131">
        <v>2</v>
      </c>
      <c r="L2131">
        <v>2</v>
      </c>
      <c r="M2131">
        <v>1</v>
      </c>
      <c r="N2131">
        <v>0</v>
      </c>
    </row>
    <row r="2132" spans="1:14" x14ac:dyDescent="0.45">
      <c r="A2132" t="s">
        <v>255</v>
      </c>
      <c r="B2132" t="s">
        <v>706</v>
      </c>
      <c r="C2132" t="s">
        <v>104</v>
      </c>
      <c r="D2132" t="s">
        <v>340</v>
      </c>
      <c r="E2132">
        <v>4</v>
      </c>
      <c r="F2132">
        <v>0</v>
      </c>
      <c r="G2132">
        <v>25</v>
      </c>
      <c r="H2132">
        <v>3</v>
      </c>
      <c r="I2132">
        <v>6.25</v>
      </c>
      <c r="J2132">
        <v>12</v>
      </c>
      <c r="K2132">
        <v>4</v>
      </c>
      <c r="L2132">
        <v>0</v>
      </c>
      <c r="M2132">
        <v>0</v>
      </c>
      <c r="N2132">
        <v>0</v>
      </c>
    </row>
    <row r="2133" spans="1:14" x14ac:dyDescent="0.45">
      <c r="A2133" t="s">
        <v>255</v>
      </c>
      <c r="B2133" t="s">
        <v>706</v>
      </c>
      <c r="C2133" t="s">
        <v>104</v>
      </c>
      <c r="D2133" t="s">
        <v>331</v>
      </c>
      <c r="E2133">
        <v>4</v>
      </c>
      <c r="F2133">
        <v>0</v>
      </c>
      <c r="G2133">
        <v>28</v>
      </c>
      <c r="H2133">
        <v>2</v>
      </c>
      <c r="I2133">
        <v>7</v>
      </c>
      <c r="J2133">
        <v>11</v>
      </c>
      <c r="K2133">
        <v>3</v>
      </c>
      <c r="L2133">
        <v>1</v>
      </c>
      <c r="M2133">
        <v>0</v>
      </c>
      <c r="N2133">
        <v>0</v>
      </c>
    </row>
    <row r="2134" spans="1:14" x14ac:dyDescent="0.45">
      <c r="A2134" t="s">
        <v>255</v>
      </c>
      <c r="B2134" t="s">
        <v>706</v>
      </c>
      <c r="C2134" t="s">
        <v>104</v>
      </c>
      <c r="D2134" t="s">
        <v>407</v>
      </c>
      <c r="E2134">
        <v>4</v>
      </c>
      <c r="F2134">
        <v>0</v>
      </c>
      <c r="G2134">
        <v>25</v>
      </c>
      <c r="H2134">
        <v>0</v>
      </c>
      <c r="I2134">
        <v>6.25</v>
      </c>
      <c r="J2134">
        <v>8</v>
      </c>
      <c r="K2134">
        <v>2</v>
      </c>
      <c r="L2134">
        <v>0</v>
      </c>
      <c r="M2134">
        <v>0</v>
      </c>
      <c r="N2134">
        <v>1</v>
      </c>
    </row>
    <row r="2135" spans="1:14" x14ac:dyDescent="0.45">
      <c r="A2135" t="s">
        <v>255</v>
      </c>
      <c r="B2135" t="s">
        <v>706</v>
      </c>
      <c r="C2135" t="s">
        <v>104</v>
      </c>
      <c r="D2135" t="s">
        <v>468</v>
      </c>
      <c r="E2135">
        <v>2</v>
      </c>
      <c r="F2135">
        <v>0</v>
      </c>
      <c r="G2135">
        <v>15</v>
      </c>
      <c r="H2135">
        <v>0</v>
      </c>
      <c r="I2135">
        <v>7.5</v>
      </c>
      <c r="J2135">
        <v>3</v>
      </c>
      <c r="K2135">
        <v>2</v>
      </c>
      <c r="L2135">
        <v>0</v>
      </c>
      <c r="M2135">
        <v>0</v>
      </c>
      <c r="N2135">
        <v>0</v>
      </c>
    </row>
    <row r="2136" spans="1:14" x14ac:dyDescent="0.45">
      <c r="A2136" t="s">
        <v>256</v>
      </c>
      <c r="B2136" t="s">
        <v>628</v>
      </c>
      <c r="C2136" t="s">
        <v>20</v>
      </c>
      <c r="D2136" t="s">
        <v>409</v>
      </c>
      <c r="E2136">
        <v>4</v>
      </c>
      <c r="F2136">
        <v>0</v>
      </c>
      <c r="G2136">
        <v>31</v>
      </c>
      <c r="H2136">
        <v>1</v>
      </c>
      <c r="I2136">
        <v>7.75</v>
      </c>
      <c r="J2136">
        <v>8</v>
      </c>
      <c r="K2136">
        <v>1</v>
      </c>
      <c r="L2136">
        <v>2</v>
      </c>
      <c r="M2136">
        <v>0</v>
      </c>
      <c r="N2136">
        <v>0</v>
      </c>
    </row>
    <row r="2137" spans="1:14" x14ac:dyDescent="0.45">
      <c r="A2137" t="s">
        <v>256</v>
      </c>
      <c r="B2137" t="s">
        <v>628</v>
      </c>
      <c r="C2137" t="s">
        <v>20</v>
      </c>
      <c r="D2137" t="s">
        <v>484</v>
      </c>
      <c r="E2137">
        <v>4</v>
      </c>
      <c r="F2137">
        <v>0</v>
      </c>
      <c r="G2137">
        <v>43</v>
      </c>
      <c r="H2137">
        <v>2</v>
      </c>
      <c r="I2137">
        <v>10.75</v>
      </c>
      <c r="J2137">
        <v>11</v>
      </c>
      <c r="K2137">
        <v>3</v>
      </c>
      <c r="L2137">
        <v>4</v>
      </c>
      <c r="M2137">
        <v>1</v>
      </c>
      <c r="N2137">
        <v>0</v>
      </c>
    </row>
    <row r="2138" spans="1:14" x14ac:dyDescent="0.45">
      <c r="A2138" t="s">
        <v>256</v>
      </c>
      <c r="B2138" t="s">
        <v>628</v>
      </c>
      <c r="C2138" t="s">
        <v>20</v>
      </c>
      <c r="D2138" t="s">
        <v>467</v>
      </c>
      <c r="E2138">
        <v>4</v>
      </c>
      <c r="F2138">
        <v>0</v>
      </c>
      <c r="G2138">
        <v>33</v>
      </c>
      <c r="H2138">
        <v>0</v>
      </c>
      <c r="I2138">
        <v>8.25</v>
      </c>
      <c r="J2138">
        <v>10</v>
      </c>
      <c r="K2138">
        <v>4</v>
      </c>
      <c r="L2138">
        <v>1</v>
      </c>
      <c r="M2138">
        <v>0</v>
      </c>
      <c r="N2138">
        <v>0</v>
      </c>
    </row>
    <row r="2139" spans="1:14" x14ac:dyDescent="0.45">
      <c r="A2139" t="s">
        <v>256</v>
      </c>
      <c r="B2139" t="s">
        <v>628</v>
      </c>
      <c r="C2139" t="s">
        <v>20</v>
      </c>
      <c r="D2139" t="s">
        <v>483</v>
      </c>
      <c r="E2139">
        <v>4</v>
      </c>
      <c r="F2139">
        <v>0</v>
      </c>
      <c r="G2139">
        <v>50</v>
      </c>
      <c r="H2139">
        <v>1</v>
      </c>
      <c r="I2139">
        <v>12.5</v>
      </c>
      <c r="J2139">
        <v>3</v>
      </c>
      <c r="K2139">
        <v>7</v>
      </c>
      <c r="L2139">
        <v>1</v>
      </c>
      <c r="M2139">
        <v>0</v>
      </c>
      <c r="N2139">
        <v>0</v>
      </c>
    </row>
    <row r="2140" spans="1:14" x14ac:dyDescent="0.45">
      <c r="A2140" t="s">
        <v>256</v>
      </c>
      <c r="B2140" t="s">
        <v>628</v>
      </c>
      <c r="C2140" t="s">
        <v>20</v>
      </c>
      <c r="D2140" t="s">
        <v>419</v>
      </c>
      <c r="E2140">
        <v>4</v>
      </c>
      <c r="F2140">
        <v>0</v>
      </c>
      <c r="G2140">
        <v>35</v>
      </c>
      <c r="H2140">
        <v>0</v>
      </c>
      <c r="I2140">
        <v>8.75</v>
      </c>
      <c r="J2140">
        <v>9</v>
      </c>
      <c r="K2140">
        <v>4</v>
      </c>
      <c r="L2140">
        <v>1</v>
      </c>
      <c r="M2140">
        <v>1</v>
      </c>
      <c r="N2140">
        <v>0</v>
      </c>
    </row>
    <row r="2141" spans="1:14" x14ac:dyDescent="0.45">
      <c r="A2141" t="s">
        <v>256</v>
      </c>
      <c r="B2141" t="s">
        <v>628</v>
      </c>
      <c r="C2141" t="s">
        <v>19</v>
      </c>
      <c r="D2141" t="s">
        <v>600</v>
      </c>
      <c r="E2141">
        <v>2.5</v>
      </c>
      <c r="F2141">
        <v>0</v>
      </c>
      <c r="G2141">
        <v>18</v>
      </c>
      <c r="H2141">
        <v>1</v>
      </c>
      <c r="I2141">
        <v>6.35</v>
      </c>
      <c r="J2141">
        <v>9</v>
      </c>
      <c r="K2141">
        <v>2</v>
      </c>
      <c r="L2141">
        <v>0</v>
      </c>
      <c r="M2141">
        <v>3</v>
      </c>
      <c r="N2141">
        <v>0</v>
      </c>
    </row>
    <row r="2142" spans="1:14" x14ac:dyDescent="0.45">
      <c r="A2142" t="s">
        <v>256</v>
      </c>
      <c r="B2142" t="s">
        <v>628</v>
      </c>
      <c r="C2142" t="s">
        <v>19</v>
      </c>
      <c r="D2142" t="s">
        <v>562</v>
      </c>
      <c r="E2142">
        <v>4</v>
      </c>
      <c r="F2142">
        <v>0</v>
      </c>
      <c r="G2142">
        <v>37</v>
      </c>
      <c r="H2142">
        <v>2</v>
      </c>
      <c r="I2142">
        <v>9.25</v>
      </c>
      <c r="J2142">
        <v>7</v>
      </c>
      <c r="K2142">
        <v>5</v>
      </c>
      <c r="L2142">
        <v>0</v>
      </c>
      <c r="M2142">
        <v>1</v>
      </c>
      <c r="N2142">
        <v>0</v>
      </c>
    </row>
    <row r="2143" spans="1:14" x14ac:dyDescent="0.45">
      <c r="A2143" t="s">
        <v>256</v>
      </c>
      <c r="B2143" t="s">
        <v>628</v>
      </c>
      <c r="C2143" t="s">
        <v>19</v>
      </c>
      <c r="D2143" t="s">
        <v>457</v>
      </c>
      <c r="E2143">
        <v>4</v>
      </c>
      <c r="F2143">
        <v>0</v>
      </c>
      <c r="G2143">
        <v>33</v>
      </c>
      <c r="H2143">
        <v>2</v>
      </c>
      <c r="I2143">
        <v>8.25</v>
      </c>
      <c r="J2143">
        <v>10</v>
      </c>
      <c r="K2143">
        <v>3</v>
      </c>
      <c r="L2143">
        <v>1</v>
      </c>
      <c r="M2143">
        <v>3</v>
      </c>
      <c r="N2143">
        <v>0</v>
      </c>
    </row>
    <row r="2144" spans="1:14" x14ac:dyDescent="0.45">
      <c r="A2144" t="s">
        <v>256</v>
      </c>
      <c r="B2144" t="s">
        <v>628</v>
      </c>
      <c r="C2144" t="s">
        <v>19</v>
      </c>
      <c r="D2144" t="s">
        <v>504</v>
      </c>
      <c r="E2144">
        <v>1</v>
      </c>
      <c r="F2144">
        <v>0</v>
      </c>
      <c r="G2144">
        <v>12</v>
      </c>
      <c r="H2144">
        <v>0</v>
      </c>
      <c r="I2144">
        <v>12</v>
      </c>
      <c r="J2144">
        <v>1</v>
      </c>
      <c r="K2144">
        <v>0</v>
      </c>
      <c r="L2144">
        <v>1</v>
      </c>
      <c r="M2144">
        <v>0</v>
      </c>
      <c r="N2144">
        <v>0</v>
      </c>
    </row>
    <row r="2145" spans="1:14" x14ac:dyDescent="0.45">
      <c r="A2145" t="s">
        <v>256</v>
      </c>
      <c r="B2145" t="s">
        <v>628</v>
      </c>
      <c r="C2145" t="s">
        <v>19</v>
      </c>
      <c r="D2145" t="s">
        <v>368</v>
      </c>
      <c r="E2145">
        <v>4</v>
      </c>
      <c r="F2145">
        <v>0</v>
      </c>
      <c r="G2145">
        <v>43</v>
      </c>
      <c r="H2145">
        <v>2</v>
      </c>
      <c r="I2145">
        <v>10.75</v>
      </c>
      <c r="J2145">
        <v>5</v>
      </c>
      <c r="K2145">
        <v>4</v>
      </c>
      <c r="L2145">
        <v>2</v>
      </c>
      <c r="M2145">
        <v>0</v>
      </c>
      <c r="N2145">
        <v>0</v>
      </c>
    </row>
    <row r="2146" spans="1:14" x14ac:dyDescent="0.45">
      <c r="A2146" t="s">
        <v>256</v>
      </c>
      <c r="B2146" t="s">
        <v>628</v>
      </c>
      <c r="C2146" t="s">
        <v>19</v>
      </c>
      <c r="D2146" t="s">
        <v>560</v>
      </c>
      <c r="E2146">
        <v>4</v>
      </c>
      <c r="F2146">
        <v>0</v>
      </c>
      <c r="G2146">
        <v>29</v>
      </c>
      <c r="H2146">
        <v>1</v>
      </c>
      <c r="I2146">
        <v>7.25</v>
      </c>
      <c r="J2146">
        <v>9</v>
      </c>
      <c r="K2146">
        <v>4</v>
      </c>
      <c r="L2146">
        <v>0</v>
      </c>
      <c r="M2146">
        <v>1</v>
      </c>
      <c r="N2146">
        <v>0</v>
      </c>
    </row>
    <row r="2147" spans="1:14" x14ac:dyDescent="0.45">
      <c r="A2147" t="s">
        <v>257</v>
      </c>
      <c r="B2147" t="s">
        <v>657</v>
      </c>
      <c r="C2147" t="s">
        <v>13</v>
      </c>
      <c r="D2147" t="s">
        <v>352</v>
      </c>
      <c r="E2147">
        <v>4</v>
      </c>
      <c r="F2147">
        <v>0</v>
      </c>
      <c r="G2147">
        <v>30</v>
      </c>
      <c r="H2147">
        <v>1</v>
      </c>
      <c r="I2147">
        <v>7.5</v>
      </c>
      <c r="J2147">
        <v>10</v>
      </c>
      <c r="K2147">
        <v>1</v>
      </c>
      <c r="L2147">
        <v>2</v>
      </c>
      <c r="M2147">
        <v>1</v>
      </c>
      <c r="N2147">
        <v>0</v>
      </c>
    </row>
    <row r="2148" spans="1:14" x14ac:dyDescent="0.45">
      <c r="A2148" t="s">
        <v>257</v>
      </c>
      <c r="B2148" t="s">
        <v>657</v>
      </c>
      <c r="C2148" t="s">
        <v>13</v>
      </c>
      <c r="D2148" t="s">
        <v>569</v>
      </c>
      <c r="E2148">
        <v>4</v>
      </c>
      <c r="F2148">
        <v>0</v>
      </c>
      <c r="G2148">
        <v>48</v>
      </c>
      <c r="H2148">
        <v>1</v>
      </c>
      <c r="I2148">
        <v>12</v>
      </c>
      <c r="J2148">
        <v>7</v>
      </c>
      <c r="K2148">
        <v>3</v>
      </c>
      <c r="L2148">
        <v>4</v>
      </c>
      <c r="M2148">
        <v>0</v>
      </c>
      <c r="N2148">
        <v>0</v>
      </c>
    </row>
    <row r="2149" spans="1:14" x14ac:dyDescent="0.45">
      <c r="A2149" t="s">
        <v>257</v>
      </c>
      <c r="B2149" t="s">
        <v>657</v>
      </c>
      <c r="C2149" t="s">
        <v>13</v>
      </c>
      <c r="D2149" t="s">
        <v>570</v>
      </c>
      <c r="E2149">
        <v>4</v>
      </c>
      <c r="F2149">
        <v>0</v>
      </c>
      <c r="G2149">
        <v>62</v>
      </c>
      <c r="H2149">
        <v>1</v>
      </c>
      <c r="I2149">
        <v>15.5</v>
      </c>
      <c r="J2149">
        <v>3</v>
      </c>
      <c r="K2149">
        <v>5</v>
      </c>
      <c r="L2149">
        <v>5</v>
      </c>
      <c r="M2149">
        <v>0</v>
      </c>
      <c r="N2149">
        <v>0</v>
      </c>
    </row>
    <row r="2150" spans="1:14" x14ac:dyDescent="0.45">
      <c r="A2150" t="s">
        <v>257</v>
      </c>
      <c r="B2150" t="s">
        <v>657</v>
      </c>
      <c r="C2150" t="s">
        <v>13</v>
      </c>
      <c r="D2150" t="s">
        <v>345</v>
      </c>
      <c r="E2150">
        <v>2.4</v>
      </c>
      <c r="F2150">
        <v>0</v>
      </c>
      <c r="G2150">
        <v>28</v>
      </c>
      <c r="H2150">
        <v>1</v>
      </c>
      <c r="I2150">
        <v>10.5</v>
      </c>
      <c r="J2150">
        <v>4</v>
      </c>
      <c r="K2150">
        <v>0</v>
      </c>
      <c r="L2150">
        <v>3</v>
      </c>
      <c r="M2150">
        <v>1</v>
      </c>
      <c r="N2150">
        <v>0</v>
      </c>
    </row>
    <row r="2151" spans="1:14" x14ac:dyDescent="0.45">
      <c r="A2151" t="s">
        <v>257</v>
      </c>
      <c r="B2151" t="s">
        <v>657</v>
      </c>
      <c r="C2151" t="s">
        <v>13</v>
      </c>
      <c r="D2151" t="s">
        <v>448</v>
      </c>
      <c r="E2151">
        <v>2</v>
      </c>
      <c r="F2151">
        <v>0</v>
      </c>
      <c r="G2151">
        <v>21</v>
      </c>
      <c r="H2151">
        <v>1</v>
      </c>
      <c r="I2151">
        <v>10.5</v>
      </c>
      <c r="J2151">
        <v>1</v>
      </c>
      <c r="K2151">
        <v>1</v>
      </c>
      <c r="L2151">
        <v>1</v>
      </c>
      <c r="M2151">
        <v>0</v>
      </c>
      <c r="N2151">
        <v>0</v>
      </c>
    </row>
    <row r="2152" spans="1:14" x14ac:dyDescent="0.45">
      <c r="A2152" t="s">
        <v>257</v>
      </c>
      <c r="B2152" t="s">
        <v>657</v>
      </c>
      <c r="C2152" t="s">
        <v>13</v>
      </c>
      <c r="D2152" t="s">
        <v>349</v>
      </c>
      <c r="E2152">
        <v>3.2</v>
      </c>
      <c r="F2152">
        <v>0</v>
      </c>
      <c r="G2152">
        <v>36</v>
      </c>
      <c r="H2152">
        <v>1</v>
      </c>
      <c r="I2152">
        <v>10.8</v>
      </c>
      <c r="J2152">
        <v>8</v>
      </c>
      <c r="K2152">
        <v>2</v>
      </c>
      <c r="L2152">
        <v>2</v>
      </c>
      <c r="M2152">
        <v>2</v>
      </c>
      <c r="N2152">
        <v>2</v>
      </c>
    </row>
    <row r="2153" spans="1:14" x14ac:dyDescent="0.45">
      <c r="A2153" t="s">
        <v>257</v>
      </c>
      <c r="B2153" t="s">
        <v>657</v>
      </c>
      <c r="C2153" t="s">
        <v>6</v>
      </c>
      <c r="D2153" t="s">
        <v>418</v>
      </c>
      <c r="E2153">
        <v>3</v>
      </c>
      <c r="F2153">
        <v>0</v>
      </c>
      <c r="G2153">
        <v>35</v>
      </c>
      <c r="H2153">
        <v>1</v>
      </c>
      <c r="I2153">
        <v>11.66</v>
      </c>
      <c r="J2153">
        <v>9</v>
      </c>
      <c r="K2153">
        <v>3</v>
      </c>
      <c r="L2153">
        <v>3</v>
      </c>
      <c r="M2153">
        <v>0</v>
      </c>
      <c r="N2153">
        <v>0</v>
      </c>
    </row>
    <row r="2154" spans="1:14" x14ac:dyDescent="0.45">
      <c r="A2154" t="s">
        <v>257</v>
      </c>
      <c r="B2154" t="s">
        <v>657</v>
      </c>
      <c r="C2154" t="s">
        <v>6</v>
      </c>
      <c r="D2154" t="s">
        <v>555</v>
      </c>
      <c r="E2154">
        <v>4</v>
      </c>
      <c r="F2154">
        <v>0</v>
      </c>
      <c r="G2154">
        <v>45</v>
      </c>
      <c r="H2154">
        <v>3</v>
      </c>
      <c r="I2154">
        <v>11.25</v>
      </c>
      <c r="J2154">
        <v>9</v>
      </c>
      <c r="K2154">
        <v>5</v>
      </c>
      <c r="L2154">
        <v>2</v>
      </c>
      <c r="M2154">
        <v>3</v>
      </c>
      <c r="N2154">
        <v>0</v>
      </c>
    </row>
    <row r="2155" spans="1:14" x14ac:dyDescent="0.45">
      <c r="A2155" t="s">
        <v>257</v>
      </c>
      <c r="B2155" t="s">
        <v>657</v>
      </c>
      <c r="C2155" t="s">
        <v>6</v>
      </c>
      <c r="D2155" t="s">
        <v>523</v>
      </c>
      <c r="E2155">
        <v>4</v>
      </c>
      <c r="F2155">
        <v>0</v>
      </c>
      <c r="G2155">
        <v>41</v>
      </c>
      <c r="H2155">
        <v>1</v>
      </c>
      <c r="I2155">
        <v>10.25</v>
      </c>
      <c r="J2155">
        <v>4</v>
      </c>
      <c r="K2155">
        <v>1</v>
      </c>
      <c r="L2155">
        <v>3</v>
      </c>
      <c r="M2155">
        <v>1</v>
      </c>
      <c r="N2155">
        <v>0</v>
      </c>
    </row>
    <row r="2156" spans="1:14" x14ac:dyDescent="0.45">
      <c r="A2156" t="s">
        <v>257</v>
      </c>
      <c r="B2156" t="s">
        <v>657</v>
      </c>
      <c r="C2156" t="s">
        <v>6</v>
      </c>
      <c r="D2156" t="s">
        <v>328</v>
      </c>
      <c r="E2156">
        <v>4</v>
      </c>
      <c r="F2156">
        <v>0</v>
      </c>
      <c r="G2156">
        <v>37</v>
      </c>
      <c r="H2156">
        <v>0</v>
      </c>
      <c r="I2156">
        <v>9.25</v>
      </c>
      <c r="J2156">
        <v>3</v>
      </c>
      <c r="K2156">
        <v>0</v>
      </c>
      <c r="L2156">
        <v>3</v>
      </c>
      <c r="M2156">
        <v>0</v>
      </c>
      <c r="N2156">
        <v>0</v>
      </c>
    </row>
    <row r="2157" spans="1:14" x14ac:dyDescent="0.45">
      <c r="A2157" t="s">
        <v>257</v>
      </c>
      <c r="B2157" t="s">
        <v>657</v>
      </c>
      <c r="C2157" t="s">
        <v>6</v>
      </c>
      <c r="D2157" t="s">
        <v>510</v>
      </c>
      <c r="E2157">
        <v>4</v>
      </c>
      <c r="F2157">
        <v>0</v>
      </c>
      <c r="G2157">
        <v>42</v>
      </c>
      <c r="H2157">
        <v>2</v>
      </c>
      <c r="I2157">
        <v>10.5</v>
      </c>
      <c r="J2157">
        <v>9</v>
      </c>
      <c r="K2157">
        <v>3</v>
      </c>
      <c r="L2157">
        <v>3</v>
      </c>
      <c r="M2157">
        <v>2</v>
      </c>
      <c r="N2157">
        <v>0</v>
      </c>
    </row>
    <row r="2158" spans="1:14" x14ac:dyDescent="0.45">
      <c r="A2158" t="s">
        <v>257</v>
      </c>
      <c r="B2158" t="s">
        <v>657</v>
      </c>
      <c r="C2158" t="s">
        <v>6</v>
      </c>
      <c r="D2158" t="s">
        <v>299</v>
      </c>
      <c r="E2158">
        <v>1</v>
      </c>
      <c r="F2158">
        <v>0</v>
      </c>
      <c r="G2158">
        <v>13</v>
      </c>
      <c r="H2158">
        <v>1</v>
      </c>
      <c r="I2158">
        <v>13</v>
      </c>
      <c r="J2158">
        <v>3</v>
      </c>
      <c r="K2158">
        <v>0</v>
      </c>
      <c r="L2158">
        <v>2</v>
      </c>
      <c r="M2158">
        <v>0</v>
      </c>
      <c r="N2158">
        <v>0</v>
      </c>
    </row>
    <row r="2159" spans="1:14" x14ac:dyDescent="0.45">
      <c r="A2159" t="s">
        <v>258</v>
      </c>
      <c r="B2159" t="s">
        <v>690</v>
      </c>
      <c r="C2159" t="s">
        <v>23</v>
      </c>
      <c r="D2159" t="s">
        <v>370</v>
      </c>
      <c r="E2159">
        <v>4</v>
      </c>
      <c r="F2159">
        <v>0</v>
      </c>
      <c r="G2159">
        <v>46</v>
      </c>
      <c r="H2159">
        <v>1</v>
      </c>
      <c r="I2159">
        <v>11.5</v>
      </c>
      <c r="J2159">
        <v>6</v>
      </c>
      <c r="K2159">
        <v>4</v>
      </c>
      <c r="L2159">
        <v>2</v>
      </c>
      <c r="M2159">
        <v>2</v>
      </c>
      <c r="N2159">
        <v>0</v>
      </c>
    </row>
    <row r="2160" spans="1:14" x14ac:dyDescent="0.45">
      <c r="A2160" t="s">
        <v>258</v>
      </c>
      <c r="B2160" t="s">
        <v>690</v>
      </c>
      <c r="C2160" t="s">
        <v>23</v>
      </c>
      <c r="D2160" t="s">
        <v>429</v>
      </c>
      <c r="E2160">
        <v>4</v>
      </c>
      <c r="F2160">
        <v>0</v>
      </c>
      <c r="G2160">
        <v>25</v>
      </c>
      <c r="H2160">
        <v>2</v>
      </c>
      <c r="I2160">
        <v>6.25</v>
      </c>
      <c r="J2160">
        <v>10</v>
      </c>
      <c r="K2160">
        <v>3</v>
      </c>
      <c r="L2160">
        <v>0</v>
      </c>
      <c r="M2160">
        <v>1</v>
      </c>
      <c r="N2160">
        <v>0</v>
      </c>
    </row>
    <row r="2161" spans="1:14" x14ac:dyDescent="0.45">
      <c r="A2161" t="s">
        <v>258</v>
      </c>
      <c r="B2161" t="s">
        <v>690</v>
      </c>
      <c r="C2161" t="s">
        <v>23</v>
      </c>
      <c r="D2161" t="s">
        <v>585</v>
      </c>
      <c r="E2161">
        <v>4</v>
      </c>
      <c r="F2161">
        <v>0</v>
      </c>
      <c r="G2161">
        <v>32</v>
      </c>
      <c r="H2161">
        <v>1</v>
      </c>
      <c r="I2161">
        <v>8</v>
      </c>
      <c r="J2161">
        <v>9</v>
      </c>
      <c r="K2161">
        <v>2</v>
      </c>
      <c r="L2161">
        <v>2</v>
      </c>
      <c r="M2161">
        <v>0</v>
      </c>
      <c r="N2161">
        <v>0</v>
      </c>
    </row>
    <row r="2162" spans="1:14" x14ac:dyDescent="0.45">
      <c r="A2162" t="s">
        <v>258</v>
      </c>
      <c r="B2162" t="s">
        <v>690</v>
      </c>
      <c r="C2162" t="s">
        <v>23</v>
      </c>
      <c r="D2162" t="s">
        <v>339</v>
      </c>
      <c r="E2162">
        <v>4</v>
      </c>
      <c r="F2162">
        <v>0</v>
      </c>
      <c r="G2162">
        <v>37</v>
      </c>
      <c r="H2162">
        <v>0</v>
      </c>
      <c r="I2162">
        <v>9.25</v>
      </c>
      <c r="J2162">
        <v>5</v>
      </c>
      <c r="K2162">
        <v>4</v>
      </c>
      <c r="L2162">
        <v>1</v>
      </c>
      <c r="M2162">
        <v>0</v>
      </c>
      <c r="N2162">
        <v>0</v>
      </c>
    </row>
    <row r="2163" spans="1:14" x14ac:dyDescent="0.45">
      <c r="A2163" t="s">
        <v>258</v>
      </c>
      <c r="B2163" t="s">
        <v>690</v>
      </c>
      <c r="C2163" t="s">
        <v>23</v>
      </c>
      <c r="D2163" t="s">
        <v>353</v>
      </c>
      <c r="E2163">
        <v>4</v>
      </c>
      <c r="F2163">
        <v>0</v>
      </c>
      <c r="G2163">
        <v>36</v>
      </c>
      <c r="H2163">
        <v>1</v>
      </c>
      <c r="I2163">
        <v>9</v>
      </c>
      <c r="J2163">
        <v>3</v>
      </c>
      <c r="K2163">
        <v>0</v>
      </c>
      <c r="L2163">
        <v>2</v>
      </c>
      <c r="M2163">
        <v>1</v>
      </c>
      <c r="N2163">
        <v>0</v>
      </c>
    </row>
    <row r="2164" spans="1:14" x14ac:dyDescent="0.45">
      <c r="A2164" t="s">
        <v>258</v>
      </c>
      <c r="B2164" t="s">
        <v>690</v>
      </c>
      <c r="C2164" t="s">
        <v>101</v>
      </c>
      <c r="D2164" t="s">
        <v>403</v>
      </c>
      <c r="E2164">
        <v>4</v>
      </c>
      <c r="F2164">
        <v>1</v>
      </c>
      <c r="G2164">
        <v>25</v>
      </c>
      <c r="H2164">
        <v>3</v>
      </c>
      <c r="I2164">
        <v>6.25</v>
      </c>
      <c r="J2164">
        <v>18</v>
      </c>
      <c r="K2164">
        <v>1</v>
      </c>
      <c r="L2164">
        <v>3</v>
      </c>
      <c r="M2164">
        <v>1</v>
      </c>
      <c r="N2164">
        <v>0</v>
      </c>
    </row>
    <row r="2165" spans="1:14" x14ac:dyDescent="0.45">
      <c r="A2165" t="s">
        <v>258</v>
      </c>
      <c r="B2165" t="s">
        <v>690</v>
      </c>
      <c r="C2165" t="s">
        <v>101</v>
      </c>
      <c r="D2165" t="s">
        <v>361</v>
      </c>
      <c r="E2165">
        <v>4</v>
      </c>
      <c r="F2165">
        <v>0</v>
      </c>
      <c r="G2165">
        <v>24</v>
      </c>
      <c r="H2165">
        <v>1</v>
      </c>
      <c r="I2165">
        <v>6</v>
      </c>
      <c r="J2165">
        <v>14</v>
      </c>
      <c r="K2165">
        <v>3</v>
      </c>
      <c r="L2165">
        <v>1</v>
      </c>
      <c r="M2165">
        <v>0</v>
      </c>
      <c r="N2165">
        <v>0</v>
      </c>
    </row>
    <row r="2166" spans="1:14" x14ac:dyDescent="0.45">
      <c r="A2166" t="s">
        <v>258</v>
      </c>
      <c r="B2166" t="s">
        <v>690</v>
      </c>
      <c r="C2166" t="s">
        <v>101</v>
      </c>
      <c r="D2166" t="s">
        <v>493</v>
      </c>
      <c r="E2166">
        <v>3</v>
      </c>
      <c r="F2166">
        <v>0</v>
      </c>
      <c r="G2166">
        <v>47</v>
      </c>
      <c r="H2166">
        <v>0</v>
      </c>
      <c r="I2166">
        <v>15.66</v>
      </c>
      <c r="J2166">
        <v>2</v>
      </c>
      <c r="K2166">
        <v>3</v>
      </c>
      <c r="L2166">
        <v>4</v>
      </c>
      <c r="M2166">
        <v>0</v>
      </c>
      <c r="N2166">
        <v>0</v>
      </c>
    </row>
    <row r="2167" spans="1:14" x14ac:dyDescent="0.45">
      <c r="A2167" t="s">
        <v>258</v>
      </c>
      <c r="B2167" t="s">
        <v>690</v>
      </c>
      <c r="C2167" t="s">
        <v>101</v>
      </c>
      <c r="D2167" t="s">
        <v>379</v>
      </c>
      <c r="E2167">
        <v>4</v>
      </c>
      <c r="F2167">
        <v>0</v>
      </c>
      <c r="G2167">
        <v>46</v>
      </c>
      <c r="H2167">
        <v>2</v>
      </c>
      <c r="I2167">
        <v>11.5</v>
      </c>
      <c r="J2167">
        <v>7</v>
      </c>
      <c r="K2167">
        <v>1</v>
      </c>
      <c r="L2167">
        <v>5</v>
      </c>
      <c r="M2167">
        <v>0</v>
      </c>
      <c r="N2167">
        <v>0</v>
      </c>
    </row>
    <row r="2168" spans="1:14" x14ac:dyDescent="0.45">
      <c r="A2168" t="s">
        <v>258</v>
      </c>
      <c r="B2168" t="s">
        <v>690</v>
      </c>
      <c r="C2168" t="s">
        <v>101</v>
      </c>
      <c r="D2168" t="s">
        <v>558</v>
      </c>
      <c r="E2168">
        <v>2</v>
      </c>
      <c r="F2168">
        <v>0</v>
      </c>
      <c r="G2168">
        <v>7</v>
      </c>
      <c r="H2168">
        <v>0</v>
      </c>
      <c r="I2168">
        <v>3.5</v>
      </c>
      <c r="J2168">
        <v>5</v>
      </c>
      <c r="K2168">
        <v>0</v>
      </c>
      <c r="L2168">
        <v>0</v>
      </c>
      <c r="M2168">
        <v>0</v>
      </c>
      <c r="N2168">
        <v>0</v>
      </c>
    </row>
    <row r="2169" spans="1:14" x14ac:dyDescent="0.45">
      <c r="A2169" t="s">
        <v>258</v>
      </c>
      <c r="B2169" t="s">
        <v>690</v>
      </c>
      <c r="C2169" t="s">
        <v>101</v>
      </c>
      <c r="D2169" t="s">
        <v>556</v>
      </c>
      <c r="E2169">
        <v>2.2000000000000002</v>
      </c>
      <c r="F2169">
        <v>0</v>
      </c>
      <c r="G2169">
        <v>29</v>
      </c>
      <c r="H2169">
        <v>1</v>
      </c>
      <c r="I2169">
        <v>12.42</v>
      </c>
      <c r="J2169">
        <v>3</v>
      </c>
      <c r="K2169">
        <v>2</v>
      </c>
      <c r="L2169">
        <v>2</v>
      </c>
      <c r="M2169">
        <v>1</v>
      </c>
      <c r="N2169">
        <v>0</v>
      </c>
    </row>
    <row r="2170" spans="1:14" x14ac:dyDescent="0.45">
      <c r="A2170" t="s">
        <v>259</v>
      </c>
      <c r="B2170" t="s">
        <v>677</v>
      </c>
      <c r="C2170" t="s">
        <v>19</v>
      </c>
      <c r="D2170" t="s">
        <v>600</v>
      </c>
      <c r="E2170">
        <v>2</v>
      </c>
      <c r="F2170">
        <v>0</v>
      </c>
      <c r="G2170">
        <v>17</v>
      </c>
      <c r="H2170">
        <v>0</v>
      </c>
      <c r="I2170">
        <v>8.5</v>
      </c>
      <c r="J2170">
        <v>6</v>
      </c>
      <c r="K2170">
        <v>1</v>
      </c>
      <c r="L2170">
        <v>1</v>
      </c>
      <c r="M2170">
        <v>1</v>
      </c>
      <c r="N2170">
        <v>0</v>
      </c>
    </row>
    <row r="2171" spans="1:14" x14ac:dyDescent="0.45">
      <c r="A2171" t="s">
        <v>259</v>
      </c>
      <c r="B2171" t="s">
        <v>677</v>
      </c>
      <c r="C2171" t="s">
        <v>19</v>
      </c>
      <c r="D2171" t="s">
        <v>560</v>
      </c>
      <c r="E2171">
        <v>2</v>
      </c>
      <c r="F2171">
        <v>0</v>
      </c>
      <c r="G2171">
        <v>20</v>
      </c>
      <c r="H2171">
        <v>1</v>
      </c>
      <c r="I2171">
        <v>10</v>
      </c>
      <c r="J2171">
        <v>6</v>
      </c>
      <c r="K2171">
        <v>1</v>
      </c>
      <c r="L2171">
        <v>1</v>
      </c>
      <c r="M2171">
        <v>2</v>
      </c>
      <c r="N2171">
        <v>0</v>
      </c>
    </row>
    <row r="2172" spans="1:14" x14ac:dyDescent="0.45">
      <c r="A2172" t="s">
        <v>259</v>
      </c>
      <c r="B2172" t="s">
        <v>677</v>
      </c>
      <c r="C2172" t="s">
        <v>19</v>
      </c>
      <c r="D2172" t="s">
        <v>605</v>
      </c>
      <c r="E2172">
        <v>4</v>
      </c>
      <c r="F2172">
        <v>0</v>
      </c>
      <c r="G2172">
        <v>53</v>
      </c>
      <c r="H2172">
        <v>1</v>
      </c>
      <c r="I2172">
        <v>13.25</v>
      </c>
      <c r="J2172">
        <v>6</v>
      </c>
      <c r="K2172">
        <v>3</v>
      </c>
      <c r="L2172">
        <v>4</v>
      </c>
      <c r="M2172">
        <v>4</v>
      </c>
      <c r="N2172">
        <v>0</v>
      </c>
    </row>
    <row r="2173" spans="1:14" x14ac:dyDescent="0.45">
      <c r="A2173" t="s">
        <v>259</v>
      </c>
      <c r="B2173" t="s">
        <v>677</v>
      </c>
      <c r="C2173" t="s">
        <v>19</v>
      </c>
      <c r="D2173" t="s">
        <v>368</v>
      </c>
      <c r="E2173">
        <v>4</v>
      </c>
      <c r="F2173">
        <v>0</v>
      </c>
      <c r="G2173">
        <v>19</v>
      </c>
      <c r="H2173">
        <v>1</v>
      </c>
      <c r="I2173">
        <v>4.75</v>
      </c>
      <c r="J2173">
        <v>10</v>
      </c>
      <c r="K2173">
        <v>1</v>
      </c>
      <c r="L2173">
        <v>0</v>
      </c>
      <c r="M2173">
        <v>0</v>
      </c>
      <c r="N2173">
        <v>0</v>
      </c>
    </row>
    <row r="2174" spans="1:14" x14ac:dyDescent="0.45">
      <c r="A2174" t="s">
        <v>259</v>
      </c>
      <c r="B2174" t="s">
        <v>677</v>
      </c>
      <c r="C2174" t="s">
        <v>19</v>
      </c>
      <c r="D2174" t="s">
        <v>504</v>
      </c>
      <c r="E2174">
        <v>4</v>
      </c>
      <c r="F2174">
        <v>0</v>
      </c>
      <c r="G2174">
        <v>34</v>
      </c>
      <c r="H2174">
        <v>2</v>
      </c>
      <c r="I2174">
        <v>8.5</v>
      </c>
      <c r="J2174">
        <v>7</v>
      </c>
      <c r="K2174">
        <v>3</v>
      </c>
      <c r="L2174">
        <v>1</v>
      </c>
      <c r="M2174">
        <v>1</v>
      </c>
      <c r="N2174">
        <v>0</v>
      </c>
    </row>
    <row r="2175" spans="1:14" x14ac:dyDescent="0.45">
      <c r="A2175" t="s">
        <v>259</v>
      </c>
      <c r="B2175" t="s">
        <v>677</v>
      </c>
      <c r="C2175" t="s">
        <v>19</v>
      </c>
      <c r="D2175" t="s">
        <v>457</v>
      </c>
      <c r="E2175">
        <v>4</v>
      </c>
      <c r="F2175">
        <v>0</v>
      </c>
      <c r="G2175">
        <v>40</v>
      </c>
      <c r="H2175">
        <v>1</v>
      </c>
      <c r="I2175">
        <v>10</v>
      </c>
      <c r="J2175">
        <v>9</v>
      </c>
      <c r="K2175">
        <v>3</v>
      </c>
      <c r="L2175">
        <v>3</v>
      </c>
      <c r="M2175">
        <v>0</v>
      </c>
      <c r="N2175">
        <v>0</v>
      </c>
    </row>
    <row r="2176" spans="1:14" x14ac:dyDescent="0.45">
      <c r="A2176" t="s">
        <v>259</v>
      </c>
      <c r="B2176" t="s">
        <v>677</v>
      </c>
      <c r="C2176" t="s">
        <v>7</v>
      </c>
      <c r="D2176" t="s">
        <v>515</v>
      </c>
      <c r="E2176">
        <v>2</v>
      </c>
      <c r="F2176">
        <v>0</v>
      </c>
      <c r="G2176">
        <v>19</v>
      </c>
      <c r="H2176">
        <v>0</v>
      </c>
      <c r="I2176">
        <v>9.5</v>
      </c>
      <c r="J2176">
        <v>6</v>
      </c>
      <c r="K2176">
        <v>1</v>
      </c>
      <c r="L2176">
        <v>2</v>
      </c>
      <c r="M2176">
        <v>0</v>
      </c>
      <c r="N2176">
        <v>0</v>
      </c>
    </row>
    <row r="2177" spans="1:14" x14ac:dyDescent="0.45">
      <c r="A2177" t="s">
        <v>259</v>
      </c>
      <c r="B2177" t="s">
        <v>677</v>
      </c>
      <c r="C2177" t="s">
        <v>7</v>
      </c>
      <c r="D2177" t="s">
        <v>326</v>
      </c>
      <c r="E2177">
        <v>2</v>
      </c>
      <c r="F2177">
        <v>0</v>
      </c>
      <c r="G2177">
        <v>25</v>
      </c>
      <c r="H2177">
        <v>1</v>
      </c>
      <c r="I2177">
        <v>12.5</v>
      </c>
      <c r="J2177">
        <v>2</v>
      </c>
      <c r="K2177">
        <v>3</v>
      </c>
      <c r="L2177">
        <v>1</v>
      </c>
      <c r="M2177">
        <v>1</v>
      </c>
      <c r="N2177">
        <v>0</v>
      </c>
    </row>
    <row r="2178" spans="1:14" x14ac:dyDescent="0.45">
      <c r="A2178" t="s">
        <v>259</v>
      </c>
      <c r="B2178" t="s">
        <v>677</v>
      </c>
      <c r="C2178" t="s">
        <v>7</v>
      </c>
      <c r="D2178" t="s">
        <v>308</v>
      </c>
      <c r="E2178">
        <v>3</v>
      </c>
      <c r="F2178">
        <v>0</v>
      </c>
      <c r="G2178">
        <v>41</v>
      </c>
      <c r="H2178">
        <v>0</v>
      </c>
      <c r="I2178">
        <v>13.66</v>
      </c>
      <c r="J2178">
        <v>4</v>
      </c>
      <c r="K2178">
        <v>3</v>
      </c>
      <c r="L2178">
        <v>3</v>
      </c>
      <c r="M2178">
        <v>1</v>
      </c>
      <c r="N2178">
        <v>0</v>
      </c>
    </row>
    <row r="2179" spans="1:14" x14ac:dyDescent="0.45">
      <c r="A2179" t="s">
        <v>259</v>
      </c>
      <c r="B2179" t="s">
        <v>677</v>
      </c>
      <c r="C2179" t="s">
        <v>7</v>
      </c>
      <c r="D2179" t="s">
        <v>579</v>
      </c>
      <c r="E2179">
        <v>4</v>
      </c>
      <c r="F2179">
        <v>0</v>
      </c>
      <c r="G2179">
        <v>27</v>
      </c>
      <c r="H2179">
        <v>2</v>
      </c>
      <c r="I2179">
        <v>6.75</v>
      </c>
      <c r="J2179">
        <v>11</v>
      </c>
      <c r="K2179">
        <v>3</v>
      </c>
      <c r="L2179">
        <v>1</v>
      </c>
      <c r="M2179">
        <v>0</v>
      </c>
      <c r="N2179">
        <v>0</v>
      </c>
    </row>
    <row r="2180" spans="1:14" x14ac:dyDescent="0.45">
      <c r="A2180" t="s">
        <v>259</v>
      </c>
      <c r="B2180" t="s">
        <v>677</v>
      </c>
      <c r="C2180" t="s">
        <v>7</v>
      </c>
      <c r="D2180" t="s">
        <v>322</v>
      </c>
      <c r="E2180">
        <v>4</v>
      </c>
      <c r="F2180">
        <v>0</v>
      </c>
      <c r="G2180">
        <v>38</v>
      </c>
      <c r="H2180">
        <v>1</v>
      </c>
      <c r="I2180">
        <v>9.5</v>
      </c>
      <c r="J2180">
        <v>10</v>
      </c>
      <c r="K2180">
        <v>2</v>
      </c>
      <c r="L2180">
        <v>3</v>
      </c>
      <c r="M2180">
        <v>1</v>
      </c>
      <c r="N2180">
        <v>0</v>
      </c>
    </row>
    <row r="2181" spans="1:14" x14ac:dyDescent="0.45">
      <c r="A2181" t="s">
        <v>259</v>
      </c>
      <c r="B2181" t="s">
        <v>677</v>
      </c>
      <c r="C2181" t="s">
        <v>7</v>
      </c>
      <c r="D2181" t="s">
        <v>317</v>
      </c>
      <c r="E2181">
        <v>1.4</v>
      </c>
      <c r="F2181">
        <v>0</v>
      </c>
      <c r="G2181">
        <v>19</v>
      </c>
      <c r="H2181">
        <v>1</v>
      </c>
      <c r="I2181">
        <v>11.4</v>
      </c>
      <c r="J2181">
        <v>4</v>
      </c>
      <c r="K2181">
        <v>1</v>
      </c>
      <c r="L2181">
        <v>2</v>
      </c>
      <c r="M2181">
        <v>0</v>
      </c>
      <c r="N2181">
        <v>0</v>
      </c>
    </row>
    <row r="2182" spans="1:14" x14ac:dyDescent="0.45">
      <c r="A2182" t="s">
        <v>259</v>
      </c>
      <c r="B2182" t="s">
        <v>677</v>
      </c>
      <c r="C2182" t="s">
        <v>7</v>
      </c>
      <c r="D2182" t="s">
        <v>440</v>
      </c>
      <c r="E2182">
        <v>1</v>
      </c>
      <c r="F2182">
        <v>0</v>
      </c>
      <c r="G2182">
        <v>17</v>
      </c>
      <c r="H2182">
        <v>0</v>
      </c>
      <c r="I2182">
        <v>17</v>
      </c>
      <c r="J2182">
        <v>1</v>
      </c>
      <c r="K2182">
        <v>2</v>
      </c>
      <c r="L2182">
        <v>1</v>
      </c>
      <c r="M2182">
        <v>0</v>
      </c>
      <c r="N2182">
        <v>0</v>
      </c>
    </row>
    <row r="2183" spans="1:14" x14ac:dyDescent="0.45">
      <c r="A2183" t="s">
        <v>260</v>
      </c>
      <c r="B2183" t="s">
        <v>685</v>
      </c>
      <c r="C2183" t="s">
        <v>26</v>
      </c>
      <c r="D2183" t="s">
        <v>596</v>
      </c>
      <c r="E2183">
        <v>2</v>
      </c>
      <c r="F2183">
        <v>0</v>
      </c>
      <c r="G2183">
        <v>10</v>
      </c>
      <c r="H2183">
        <v>0</v>
      </c>
      <c r="I2183">
        <v>5</v>
      </c>
      <c r="J2183">
        <v>7</v>
      </c>
      <c r="K2183">
        <v>0</v>
      </c>
      <c r="L2183">
        <v>1</v>
      </c>
      <c r="M2183">
        <v>0</v>
      </c>
      <c r="N2183">
        <v>0</v>
      </c>
    </row>
    <row r="2184" spans="1:14" x14ac:dyDescent="0.45">
      <c r="A2184" t="s">
        <v>260</v>
      </c>
      <c r="B2184" t="s">
        <v>685</v>
      </c>
      <c r="C2184" t="s">
        <v>26</v>
      </c>
      <c r="D2184" t="s">
        <v>405</v>
      </c>
      <c r="E2184">
        <v>3</v>
      </c>
      <c r="F2184">
        <v>0</v>
      </c>
      <c r="G2184">
        <v>22</v>
      </c>
      <c r="H2184">
        <v>1</v>
      </c>
      <c r="I2184">
        <v>7.33</v>
      </c>
      <c r="J2184">
        <v>7</v>
      </c>
      <c r="K2184">
        <v>3</v>
      </c>
      <c r="L2184">
        <v>0</v>
      </c>
      <c r="M2184">
        <v>1</v>
      </c>
      <c r="N2184">
        <v>0</v>
      </c>
    </row>
    <row r="2185" spans="1:14" x14ac:dyDescent="0.45">
      <c r="A2185" t="s">
        <v>260</v>
      </c>
      <c r="B2185" t="s">
        <v>685</v>
      </c>
      <c r="C2185" t="s">
        <v>26</v>
      </c>
      <c r="D2185" t="s">
        <v>341</v>
      </c>
      <c r="E2185">
        <v>4</v>
      </c>
      <c r="F2185">
        <v>0</v>
      </c>
      <c r="G2185">
        <v>34</v>
      </c>
      <c r="H2185">
        <v>2</v>
      </c>
      <c r="I2185">
        <v>8.5</v>
      </c>
      <c r="J2185">
        <v>11</v>
      </c>
      <c r="K2185">
        <v>2</v>
      </c>
      <c r="L2185">
        <v>2</v>
      </c>
      <c r="M2185">
        <v>2</v>
      </c>
      <c r="N2185">
        <v>0</v>
      </c>
    </row>
    <row r="2186" spans="1:14" x14ac:dyDescent="0.45">
      <c r="A2186" t="s">
        <v>260</v>
      </c>
      <c r="B2186" t="s">
        <v>685</v>
      </c>
      <c r="C2186" t="s">
        <v>26</v>
      </c>
      <c r="D2186" t="s">
        <v>420</v>
      </c>
      <c r="E2186">
        <v>4</v>
      </c>
      <c r="F2186">
        <v>0</v>
      </c>
      <c r="G2186">
        <v>31</v>
      </c>
      <c r="H2186">
        <v>3</v>
      </c>
      <c r="I2186">
        <v>7.75</v>
      </c>
      <c r="J2186">
        <v>9</v>
      </c>
      <c r="K2186">
        <v>2</v>
      </c>
      <c r="L2186">
        <v>1</v>
      </c>
      <c r="M2186">
        <v>2</v>
      </c>
      <c r="N2186">
        <v>0</v>
      </c>
    </row>
    <row r="2187" spans="1:14" x14ac:dyDescent="0.45">
      <c r="A2187" t="s">
        <v>260</v>
      </c>
      <c r="B2187" t="s">
        <v>685</v>
      </c>
      <c r="C2187" t="s">
        <v>26</v>
      </c>
      <c r="D2187" t="s">
        <v>404</v>
      </c>
      <c r="E2187">
        <v>2</v>
      </c>
      <c r="F2187">
        <v>0</v>
      </c>
      <c r="G2187">
        <v>10</v>
      </c>
      <c r="H2187">
        <v>1</v>
      </c>
      <c r="I2187">
        <v>5</v>
      </c>
      <c r="J2187">
        <v>6</v>
      </c>
      <c r="K2187">
        <v>1</v>
      </c>
      <c r="L2187">
        <v>0</v>
      </c>
      <c r="M2187">
        <v>0</v>
      </c>
      <c r="N2187">
        <v>0</v>
      </c>
    </row>
    <row r="2188" spans="1:14" x14ac:dyDescent="0.45">
      <c r="A2188" t="s">
        <v>260</v>
      </c>
      <c r="B2188" t="s">
        <v>685</v>
      </c>
      <c r="C2188" t="s">
        <v>26</v>
      </c>
      <c r="D2188" t="s">
        <v>590</v>
      </c>
      <c r="E2188">
        <v>2</v>
      </c>
      <c r="F2188">
        <v>0</v>
      </c>
      <c r="G2188">
        <v>19</v>
      </c>
      <c r="H2188">
        <v>1</v>
      </c>
      <c r="I2188">
        <v>9.5</v>
      </c>
      <c r="J2188">
        <v>2</v>
      </c>
      <c r="K2188">
        <v>2</v>
      </c>
      <c r="L2188">
        <v>0</v>
      </c>
      <c r="M2188">
        <v>0</v>
      </c>
      <c r="N2188">
        <v>1</v>
      </c>
    </row>
    <row r="2189" spans="1:14" x14ac:dyDescent="0.45">
      <c r="A2189" t="s">
        <v>260</v>
      </c>
      <c r="B2189" t="s">
        <v>685</v>
      </c>
      <c r="C2189" t="s">
        <v>26</v>
      </c>
      <c r="D2189" t="s">
        <v>435</v>
      </c>
      <c r="E2189">
        <v>3</v>
      </c>
      <c r="F2189">
        <v>0</v>
      </c>
      <c r="G2189">
        <v>28</v>
      </c>
      <c r="H2189">
        <v>0</v>
      </c>
      <c r="I2189">
        <v>9.33</v>
      </c>
      <c r="J2189">
        <v>5</v>
      </c>
      <c r="K2189">
        <v>1</v>
      </c>
      <c r="L2189">
        <v>2</v>
      </c>
      <c r="M2189">
        <v>1</v>
      </c>
      <c r="N2189">
        <v>0</v>
      </c>
    </row>
    <row r="2190" spans="1:14" x14ac:dyDescent="0.45">
      <c r="A2190" t="s">
        <v>260</v>
      </c>
      <c r="B2190" t="s">
        <v>685</v>
      </c>
      <c r="C2190" t="s">
        <v>104</v>
      </c>
      <c r="D2190" t="s">
        <v>592</v>
      </c>
      <c r="E2190">
        <v>3</v>
      </c>
      <c r="F2190">
        <v>0</v>
      </c>
      <c r="G2190">
        <v>19</v>
      </c>
      <c r="H2190">
        <v>2</v>
      </c>
      <c r="I2190">
        <v>6.33</v>
      </c>
      <c r="J2190">
        <v>11</v>
      </c>
      <c r="K2190">
        <v>4</v>
      </c>
      <c r="L2190">
        <v>0</v>
      </c>
      <c r="M2190">
        <v>0</v>
      </c>
      <c r="N2190">
        <v>0</v>
      </c>
    </row>
    <row r="2191" spans="1:14" x14ac:dyDescent="0.45">
      <c r="A2191" t="s">
        <v>260</v>
      </c>
      <c r="B2191" t="s">
        <v>685</v>
      </c>
      <c r="C2191" t="s">
        <v>104</v>
      </c>
      <c r="D2191" t="s">
        <v>340</v>
      </c>
      <c r="E2191">
        <v>3</v>
      </c>
      <c r="F2191">
        <v>0</v>
      </c>
      <c r="G2191">
        <v>24</v>
      </c>
      <c r="H2191">
        <v>0</v>
      </c>
      <c r="I2191">
        <v>8</v>
      </c>
      <c r="J2191">
        <v>8</v>
      </c>
      <c r="K2191">
        <v>4</v>
      </c>
      <c r="L2191">
        <v>0</v>
      </c>
      <c r="M2191">
        <v>1</v>
      </c>
      <c r="N2191">
        <v>0</v>
      </c>
    </row>
    <row r="2192" spans="1:14" x14ac:dyDescent="0.45">
      <c r="A2192" t="s">
        <v>260</v>
      </c>
      <c r="B2192" t="s">
        <v>685</v>
      </c>
      <c r="C2192" t="s">
        <v>104</v>
      </c>
      <c r="D2192" t="s">
        <v>606</v>
      </c>
      <c r="E2192">
        <v>4</v>
      </c>
      <c r="F2192">
        <v>0</v>
      </c>
      <c r="G2192">
        <v>35</v>
      </c>
      <c r="H2192">
        <v>2</v>
      </c>
      <c r="I2192">
        <v>8.75</v>
      </c>
      <c r="J2192">
        <v>10</v>
      </c>
      <c r="K2192">
        <v>2</v>
      </c>
      <c r="L2192">
        <v>2</v>
      </c>
      <c r="M2192">
        <v>2</v>
      </c>
      <c r="N2192">
        <v>0</v>
      </c>
    </row>
    <row r="2193" spans="1:14" x14ac:dyDescent="0.45">
      <c r="A2193" t="s">
        <v>260</v>
      </c>
      <c r="B2193" t="s">
        <v>685</v>
      </c>
      <c r="C2193" t="s">
        <v>104</v>
      </c>
      <c r="D2193" t="s">
        <v>516</v>
      </c>
      <c r="E2193">
        <v>4</v>
      </c>
      <c r="F2193">
        <v>0</v>
      </c>
      <c r="G2193">
        <v>31</v>
      </c>
      <c r="H2193">
        <v>1</v>
      </c>
      <c r="I2193">
        <v>7.75</v>
      </c>
      <c r="J2193">
        <v>10</v>
      </c>
      <c r="K2193">
        <v>1</v>
      </c>
      <c r="L2193">
        <v>2</v>
      </c>
      <c r="M2193">
        <v>1</v>
      </c>
      <c r="N2193">
        <v>0</v>
      </c>
    </row>
    <row r="2194" spans="1:14" x14ac:dyDescent="0.45">
      <c r="A2194" t="s">
        <v>260</v>
      </c>
      <c r="B2194" t="s">
        <v>685</v>
      </c>
      <c r="C2194" t="s">
        <v>104</v>
      </c>
      <c r="D2194" t="s">
        <v>366</v>
      </c>
      <c r="E2194">
        <v>3</v>
      </c>
      <c r="F2194">
        <v>0</v>
      </c>
      <c r="G2194">
        <v>32</v>
      </c>
      <c r="H2194">
        <v>1</v>
      </c>
      <c r="I2194">
        <v>10.66</v>
      </c>
      <c r="J2194">
        <v>6</v>
      </c>
      <c r="K2194">
        <v>3</v>
      </c>
      <c r="L2194">
        <v>2</v>
      </c>
      <c r="M2194">
        <v>0</v>
      </c>
      <c r="N2194">
        <v>0</v>
      </c>
    </row>
    <row r="2195" spans="1:14" x14ac:dyDescent="0.45">
      <c r="A2195" t="s">
        <v>260</v>
      </c>
      <c r="B2195" t="s">
        <v>685</v>
      </c>
      <c r="C2195" t="s">
        <v>104</v>
      </c>
      <c r="D2195" t="s">
        <v>407</v>
      </c>
      <c r="E2195">
        <v>2.2999999999999998</v>
      </c>
      <c r="F2195">
        <v>0</v>
      </c>
      <c r="G2195">
        <v>18</v>
      </c>
      <c r="H2195">
        <v>2</v>
      </c>
      <c r="I2195">
        <v>7.2</v>
      </c>
      <c r="J2195">
        <v>7</v>
      </c>
      <c r="K2195">
        <v>2</v>
      </c>
      <c r="L2195">
        <v>0</v>
      </c>
      <c r="M2195">
        <v>1</v>
      </c>
      <c r="N2195">
        <v>0</v>
      </c>
    </row>
    <row r="2196" spans="1:14" x14ac:dyDescent="0.45">
      <c r="A2196" t="s">
        <v>261</v>
      </c>
      <c r="B2196" t="s">
        <v>655</v>
      </c>
      <c r="C2196" t="s">
        <v>10</v>
      </c>
      <c r="D2196" t="s">
        <v>338</v>
      </c>
      <c r="E2196">
        <v>4</v>
      </c>
      <c r="F2196">
        <v>0</v>
      </c>
      <c r="G2196">
        <v>31</v>
      </c>
      <c r="H2196">
        <v>0</v>
      </c>
      <c r="I2196">
        <v>7.75</v>
      </c>
      <c r="J2196">
        <v>9</v>
      </c>
      <c r="K2196">
        <v>3</v>
      </c>
      <c r="L2196">
        <v>0</v>
      </c>
      <c r="M2196">
        <v>2</v>
      </c>
      <c r="N2196">
        <v>1</v>
      </c>
    </row>
    <row r="2197" spans="1:14" x14ac:dyDescent="0.45">
      <c r="A2197" t="s">
        <v>261</v>
      </c>
      <c r="B2197" t="s">
        <v>655</v>
      </c>
      <c r="C2197" t="s">
        <v>10</v>
      </c>
      <c r="D2197" t="s">
        <v>337</v>
      </c>
      <c r="E2197">
        <v>3</v>
      </c>
      <c r="F2197">
        <v>0</v>
      </c>
      <c r="G2197">
        <v>25</v>
      </c>
      <c r="H2197">
        <v>1</v>
      </c>
      <c r="I2197">
        <v>8.33</v>
      </c>
      <c r="J2197">
        <v>9</v>
      </c>
      <c r="K2197">
        <v>0</v>
      </c>
      <c r="L2197">
        <v>3</v>
      </c>
      <c r="M2197">
        <v>0</v>
      </c>
      <c r="N2197">
        <v>0</v>
      </c>
    </row>
    <row r="2198" spans="1:14" x14ac:dyDescent="0.45">
      <c r="A2198" t="s">
        <v>261</v>
      </c>
      <c r="B2198" t="s">
        <v>655</v>
      </c>
      <c r="C2198" t="s">
        <v>10</v>
      </c>
      <c r="D2198" t="s">
        <v>396</v>
      </c>
      <c r="E2198">
        <v>3</v>
      </c>
      <c r="F2198">
        <v>0</v>
      </c>
      <c r="G2198">
        <v>41</v>
      </c>
      <c r="H2198">
        <v>0</v>
      </c>
      <c r="I2198">
        <v>13.66</v>
      </c>
      <c r="J2198">
        <v>2</v>
      </c>
      <c r="K2198">
        <v>5</v>
      </c>
      <c r="L2198">
        <v>2</v>
      </c>
      <c r="M2198">
        <v>0</v>
      </c>
      <c r="N2198">
        <v>0</v>
      </c>
    </row>
    <row r="2199" spans="1:14" x14ac:dyDescent="0.45">
      <c r="A2199" t="s">
        <v>261</v>
      </c>
      <c r="B2199" t="s">
        <v>655</v>
      </c>
      <c r="C2199" t="s">
        <v>10</v>
      </c>
      <c r="D2199" t="s">
        <v>498</v>
      </c>
      <c r="E2199">
        <v>2</v>
      </c>
      <c r="F2199">
        <v>0</v>
      </c>
      <c r="G2199">
        <v>18</v>
      </c>
      <c r="H2199">
        <v>2</v>
      </c>
      <c r="I2199">
        <v>9</v>
      </c>
      <c r="J2199">
        <v>5</v>
      </c>
      <c r="K2199">
        <v>2</v>
      </c>
      <c r="L2199">
        <v>1</v>
      </c>
      <c r="M2199">
        <v>0</v>
      </c>
      <c r="N2199">
        <v>0</v>
      </c>
    </row>
    <row r="2200" spans="1:14" x14ac:dyDescent="0.45">
      <c r="A2200" t="s">
        <v>261</v>
      </c>
      <c r="B2200" t="s">
        <v>655</v>
      </c>
      <c r="C2200" t="s">
        <v>10</v>
      </c>
      <c r="D2200" t="s">
        <v>436</v>
      </c>
      <c r="E2200">
        <v>4</v>
      </c>
      <c r="F2200">
        <v>0</v>
      </c>
      <c r="G2200">
        <v>29</v>
      </c>
      <c r="H2200">
        <v>1</v>
      </c>
      <c r="I2200">
        <v>7.25</v>
      </c>
      <c r="J2200">
        <v>7</v>
      </c>
      <c r="K2200">
        <v>0</v>
      </c>
      <c r="L2200">
        <v>2</v>
      </c>
      <c r="M2200">
        <v>1</v>
      </c>
      <c r="N2200">
        <v>0</v>
      </c>
    </row>
    <row r="2201" spans="1:14" x14ac:dyDescent="0.45">
      <c r="A2201" t="s">
        <v>261</v>
      </c>
      <c r="B2201" t="s">
        <v>655</v>
      </c>
      <c r="C2201" t="s">
        <v>10</v>
      </c>
      <c r="D2201" t="s">
        <v>500</v>
      </c>
      <c r="E2201">
        <v>4</v>
      </c>
      <c r="F2201">
        <v>1</v>
      </c>
      <c r="G2201">
        <v>23</v>
      </c>
      <c r="H2201">
        <v>2</v>
      </c>
      <c r="I2201">
        <v>5.75</v>
      </c>
      <c r="J2201">
        <v>10</v>
      </c>
      <c r="K2201">
        <v>3</v>
      </c>
      <c r="L2201">
        <v>0</v>
      </c>
      <c r="M2201">
        <v>0</v>
      </c>
      <c r="N2201">
        <v>0</v>
      </c>
    </row>
    <row r="2202" spans="1:14" x14ac:dyDescent="0.45">
      <c r="A2202" t="s">
        <v>261</v>
      </c>
      <c r="B2202" t="s">
        <v>655</v>
      </c>
      <c r="C2202" t="s">
        <v>13</v>
      </c>
      <c r="D2202" t="s">
        <v>352</v>
      </c>
      <c r="E2202">
        <v>4</v>
      </c>
      <c r="F2202">
        <v>0</v>
      </c>
      <c r="G2202">
        <v>23</v>
      </c>
      <c r="H2202">
        <v>2</v>
      </c>
      <c r="I2202">
        <v>5.75</v>
      </c>
      <c r="J2202">
        <v>14</v>
      </c>
      <c r="K2202">
        <v>4</v>
      </c>
      <c r="L2202">
        <v>0</v>
      </c>
      <c r="M2202">
        <v>0</v>
      </c>
      <c r="N2202">
        <v>0</v>
      </c>
    </row>
    <row r="2203" spans="1:14" x14ac:dyDescent="0.45">
      <c r="A2203" t="s">
        <v>261</v>
      </c>
      <c r="B2203" t="s">
        <v>655</v>
      </c>
      <c r="C2203" t="s">
        <v>13</v>
      </c>
      <c r="D2203" t="s">
        <v>569</v>
      </c>
      <c r="E2203">
        <v>4</v>
      </c>
      <c r="F2203">
        <v>0</v>
      </c>
      <c r="G2203">
        <v>28</v>
      </c>
      <c r="H2203">
        <v>1</v>
      </c>
      <c r="I2203">
        <v>7</v>
      </c>
      <c r="J2203">
        <v>10</v>
      </c>
      <c r="K2203">
        <v>3</v>
      </c>
      <c r="L2203">
        <v>1</v>
      </c>
      <c r="M2203">
        <v>0</v>
      </c>
      <c r="N2203">
        <v>0</v>
      </c>
    </row>
    <row r="2204" spans="1:14" x14ac:dyDescent="0.45">
      <c r="A2204" t="s">
        <v>261</v>
      </c>
      <c r="B2204" t="s">
        <v>655</v>
      </c>
      <c r="C2204" t="s">
        <v>13</v>
      </c>
      <c r="D2204" t="s">
        <v>570</v>
      </c>
      <c r="E2204">
        <v>4</v>
      </c>
      <c r="F2204">
        <v>0</v>
      </c>
      <c r="G2204">
        <v>20</v>
      </c>
      <c r="H2204">
        <v>3</v>
      </c>
      <c r="I2204">
        <v>5</v>
      </c>
      <c r="J2204">
        <v>11</v>
      </c>
      <c r="K2204">
        <v>2</v>
      </c>
      <c r="L2204">
        <v>0</v>
      </c>
      <c r="M2204">
        <v>0</v>
      </c>
      <c r="N2204">
        <v>0</v>
      </c>
    </row>
    <row r="2205" spans="1:14" x14ac:dyDescent="0.45">
      <c r="A2205" t="s">
        <v>261</v>
      </c>
      <c r="B2205" t="s">
        <v>655</v>
      </c>
      <c r="C2205" t="s">
        <v>13</v>
      </c>
      <c r="D2205" t="s">
        <v>347</v>
      </c>
      <c r="E2205">
        <v>1</v>
      </c>
      <c r="F2205">
        <v>0</v>
      </c>
      <c r="G2205">
        <v>11</v>
      </c>
      <c r="H2205">
        <v>0</v>
      </c>
      <c r="I2205">
        <v>11</v>
      </c>
      <c r="J2205">
        <v>0</v>
      </c>
      <c r="K2205">
        <v>1</v>
      </c>
      <c r="L2205">
        <v>0</v>
      </c>
      <c r="M2205">
        <v>0</v>
      </c>
      <c r="N2205">
        <v>0</v>
      </c>
    </row>
    <row r="2206" spans="1:14" x14ac:dyDescent="0.45">
      <c r="A2206" t="s">
        <v>261</v>
      </c>
      <c r="B2206" t="s">
        <v>655</v>
      </c>
      <c r="C2206" t="s">
        <v>13</v>
      </c>
      <c r="D2206" t="s">
        <v>448</v>
      </c>
      <c r="E2206">
        <v>3</v>
      </c>
      <c r="F2206">
        <v>0</v>
      </c>
      <c r="G2206">
        <v>37</v>
      </c>
      <c r="H2206">
        <v>1</v>
      </c>
      <c r="I2206">
        <v>12.33</v>
      </c>
      <c r="J2206">
        <v>4</v>
      </c>
      <c r="K2206">
        <v>5</v>
      </c>
      <c r="L2206">
        <v>1</v>
      </c>
      <c r="M2206">
        <v>0</v>
      </c>
      <c r="N2206">
        <v>0</v>
      </c>
    </row>
    <row r="2207" spans="1:14" x14ac:dyDescent="0.45">
      <c r="A2207" t="s">
        <v>261</v>
      </c>
      <c r="B2207" t="s">
        <v>655</v>
      </c>
      <c r="C2207" t="s">
        <v>13</v>
      </c>
      <c r="D2207" t="s">
        <v>349</v>
      </c>
      <c r="E2207">
        <v>4</v>
      </c>
      <c r="F2207">
        <v>0</v>
      </c>
      <c r="G2207">
        <v>32</v>
      </c>
      <c r="H2207">
        <v>1</v>
      </c>
      <c r="I2207">
        <v>8</v>
      </c>
      <c r="J2207">
        <v>7</v>
      </c>
      <c r="K2207">
        <v>3</v>
      </c>
      <c r="L2207">
        <v>0</v>
      </c>
      <c r="M2207">
        <v>3</v>
      </c>
      <c r="N2207">
        <v>0</v>
      </c>
    </row>
    <row r="2208" spans="1:14" x14ac:dyDescent="0.45">
      <c r="A2208" t="s">
        <v>262</v>
      </c>
      <c r="B2208" t="s">
        <v>634</v>
      </c>
      <c r="C2208" t="s">
        <v>7</v>
      </c>
      <c r="D2208" t="s">
        <v>515</v>
      </c>
      <c r="E2208">
        <v>3</v>
      </c>
      <c r="F2208">
        <v>0</v>
      </c>
      <c r="G2208">
        <v>42</v>
      </c>
      <c r="H2208">
        <v>0</v>
      </c>
      <c r="I2208">
        <v>14</v>
      </c>
      <c r="J2208">
        <v>3</v>
      </c>
      <c r="K2208">
        <v>3</v>
      </c>
      <c r="L2208">
        <v>3</v>
      </c>
      <c r="M2208">
        <v>1</v>
      </c>
      <c r="N2208">
        <v>0</v>
      </c>
    </row>
    <row r="2209" spans="1:14" x14ac:dyDescent="0.45">
      <c r="A2209" t="s">
        <v>262</v>
      </c>
      <c r="B2209" t="s">
        <v>634</v>
      </c>
      <c r="C2209" t="s">
        <v>7</v>
      </c>
      <c r="D2209" t="s">
        <v>317</v>
      </c>
      <c r="E2209">
        <v>2</v>
      </c>
      <c r="F2209">
        <v>0</v>
      </c>
      <c r="G2209">
        <v>37</v>
      </c>
      <c r="H2209">
        <v>0</v>
      </c>
      <c r="I2209">
        <v>18.5</v>
      </c>
      <c r="J2209">
        <v>4</v>
      </c>
      <c r="K2209">
        <v>5</v>
      </c>
      <c r="L2209">
        <v>1</v>
      </c>
      <c r="M2209">
        <v>1</v>
      </c>
      <c r="N2209">
        <v>1</v>
      </c>
    </row>
    <row r="2210" spans="1:14" x14ac:dyDescent="0.45">
      <c r="A2210" t="s">
        <v>262</v>
      </c>
      <c r="B2210" t="s">
        <v>634</v>
      </c>
      <c r="C2210" t="s">
        <v>7</v>
      </c>
      <c r="D2210" t="s">
        <v>308</v>
      </c>
      <c r="E2210">
        <v>4</v>
      </c>
      <c r="F2210">
        <v>0</v>
      </c>
      <c r="G2210">
        <v>28</v>
      </c>
      <c r="H2210">
        <v>0</v>
      </c>
      <c r="I2210">
        <v>7</v>
      </c>
      <c r="J2210">
        <v>7</v>
      </c>
      <c r="K2210">
        <v>1</v>
      </c>
      <c r="L2210">
        <v>1</v>
      </c>
      <c r="M2210">
        <v>2</v>
      </c>
      <c r="N2210">
        <v>0</v>
      </c>
    </row>
    <row r="2211" spans="1:14" x14ac:dyDescent="0.45">
      <c r="A2211" t="s">
        <v>262</v>
      </c>
      <c r="B2211" t="s">
        <v>634</v>
      </c>
      <c r="C2211" t="s">
        <v>7</v>
      </c>
      <c r="D2211" t="s">
        <v>440</v>
      </c>
      <c r="E2211">
        <v>2.1</v>
      </c>
      <c r="F2211">
        <v>0</v>
      </c>
      <c r="G2211">
        <v>22</v>
      </c>
      <c r="H2211">
        <v>3</v>
      </c>
      <c r="I2211">
        <v>10.15</v>
      </c>
      <c r="J2211">
        <v>4</v>
      </c>
      <c r="K2211">
        <v>2</v>
      </c>
      <c r="L2211">
        <v>1</v>
      </c>
      <c r="M2211">
        <v>2</v>
      </c>
      <c r="N2211">
        <v>0</v>
      </c>
    </row>
    <row r="2212" spans="1:14" x14ac:dyDescent="0.45">
      <c r="A2212" t="s">
        <v>262</v>
      </c>
      <c r="B2212" t="s">
        <v>634</v>
      </c>
      <c r="C2212" t="s">
        <v>7</v>
      </c>
      <c r="D2212" t="s">
        <v>322</v>
      </c>
      <c r="E2212">
        <v>4</v>
      </c>
      <c r="F2212">
        <v>0</v>
      </c>
      <c r="G2212">
        <v>41</v>
      </c>
      <c r="H2212">
        <v>1</v>
      </c>
      <c r="I2212">
        <v>10.25</v>
      </c>
      <c r="J2212">
        <v>4</v>
      </c>
      <c r="K2212">
        <v>3</v>
      </c>
      <c r="L2212">
        <v>2</v>
      </c>
      <c r="M2212">
        <v>1</v>
      </c>
      <c r="N2212">
        <v>0</v>
      </c>
    </row>
    <row r="2213" spans="1:14" x14ac:dyDescent="0.45">
      <c r="A2213" t="s">
        <v>262</v>
      </c>
      <c r="B2213" t="s">
        <v>634</v>
      </c>
      <c r="C2213" t="s">
        <v>7</v>
      </c>
      <c r="D2213" t="s">
        <v>579</v>
      </c>
      <c r="E2213">
        <v>4</v>
      </c>
      <c r="F2213">
        <v>0</v>
      </c>
      <c r="G2213">
        <v>44</v>
      </c>
      <c r="H2213">
        <v>0</v>
      </c>
      <c r="I2213">
        <v>11</v>
      </c>
      <c r="J2213">
        <v>8</v>
      </c>
      <c r="K2213">
        <v>4</v>
      </c>
      <c r="L2213">
        <v>3</v>
      </c>
      <c r="M2213">
        <v>0</v>
      </c>
      <c r="N2213">
        <v>0</v>
      </c>
    </row>
    <row r="2214" spans="1:14" x14ac:dyDescent="0.45">
      <c r="A2214" t="s">
        <v>262</v>
      </c>
      <c r="B2214" t="s">
        <v>634</v>
      </c>
      <c r="C2214" t="s">
        <v>7</v>
      </c>
      <c r="D2214" t="s">
        <v>326</v>
      </c>
      <c r="E2214">
        <v>0.5</v>
      </c>
      <c r="F2214">
        <v>0</v>
      </c>
      <c r="G2214">
        <v>14</v>
      </c>
      <c r="H2214">
        <v>0</v>
      </c>
      <c r="I2214">
        <v>16.8</v>
      </c>
      <c r="J2214">
        <v>0</v>
      </c>
      <c r="K2214">
        <v>3</v>
      </c>
      <c r="L2214">
        <v>0</v>
      </c>
      <c r="M2214">
        <v>0</v>
      </c>
      <c r="N2214">
        <v>0</v>
      </c>
    </row>
    <row r="2215" spans="1:14" x14ac:dyDescent="0.45">
      <c r="A2215" t="s">
        <v>262</v>
      </c>
      <c r="B2215" t="s">
        <v>634</v>
      </c>
      <c r="C2215" t="s">
        <v>20</v>
      </c>
      <c r="D2215" t="s">
        <v>409</v>
      </c>
      <c r="E2215">
        <v>4</v>
      </c>
      <c r="F2215">
        <v>1</v>
      </c>
      <c r="G2215">
        <v>29</v>
      </c>
      <c r="H2215">
        <v>1</v>
      </c>
      <c r="I2215">
        <v>7.25</v>
      </c>
      <c r="J2215">
        <v>10</v>
      </c>
      <c r="K2215">
        <v>4</v>
      </c>
      <c r="L2215">
        <v>0</v>
      </c>
      <c r="M2215">
        <v>1</v>
      </c>
      <c r="N2215">
        <v>0</v>
      </c>
    </row>
    <row r="2216" spans="1:14" x14ac:dyDescent="0.45">
      <c r="A2216" t="s">
        <v>262</v>
      </c>
      <c r="B2216" t="s">
        <v>634</v>
      </c>
      <c r="C2216" t="s">
        <v>20</v>
      </c>
      <c r="D2216" t="s">
        <v>484</v>
      </c>
      <c r="E2216">
        <v>4</v>
      </c>
      <c r="F2216">
        <v>0</v>
      </c>
      <c r="G2216">
        <v>37</v>
      </c>
      <c r="H2216">
        <v>2</v>
      </c>
      <c r="I2216">
        <v>9.25</v>
      </c>
      <c r="J2216">
        <v>12</v>
      </c>
      <c r="K2216">
        <v>1</v>
      </c>
      <c r="L2216">
        <v>3</v>
      </c>
      <c r="M2216">
        <v>4</v>
      </c>
      <c r="N2216">
        <v>2</v>
      </c>
    </row>
    <row r="2217" spans="1:14" x14ac:dyDescent="0.45">
      <c r="A2217" t="s">
        <v>262</v>
      </c>
      <c r="B2217" t="s">
        <v>634</v>
      </c>
      <c r="C2217" t="s">
        <v>20</v>
      </c>
      <c r="D2217" t="s">
        <v>483</v>
      </c>
      <c r="E2217">
        <v>4</v>
      </c>
      <c r="F2217">
        <v>0</v>
      </c>
      <c r="G2217">
        <v>54</v>
      </c>
      <c r="H2217">
        <v>1</v>
      </c>
      <c r="I2217">
        <v>13.5</v>
      </c>
      <c r="J2217">
        <v>6</v>
      </c>
      <c r="K2217">
        <v>6</v>
      </c>
      <c r="L2217">
        <v>3</v>
      </c>
      <c r="M2217">
        <v>1</v>
      </c>
      <c r="N2217">
        <v>0</v>
      </c>
    </row>
    <row r="2218" spans="1:14" x14ac:dyDescent="0.45">
      <c r="A2218" t="s">
        <v>262</v>
      </c>
      <c r="B2218" t="s">
        <v>634</v>
      </c>
      <c r="C2218" t="s">
        <v>20</v>
      </c>
      <c r="D2218" t="s">
        <v>382</v>
      </c>
      <c r="E2218">
        <v>2</v>
      </c>
      <c r="F2218">
        <v>0</v>
      </c>
      <c r="G2218">
        <v>36</v>
      </c>
      <c r="H2218">
        <v>1</v>
      </c>
      <c r="I2218">
        <v>18</v>
      </c>
      <c r="J2218">
        <v>3</v>
      </c>
      <c r="K2218">
        <v>4</v>
      </c>
      <c r="L2218">
        <v>3</v>
      </c>
      <c r="M2218">
        <v>0</v>
      </c>
      <c r="N2218">
        <v>0</v>
      </c>
    </row>
    <row r="2219" spans="1:14" x14ac:dyDescent="0.45">
      <c r="A2219" t="s">
        <v>262</v>
      </c>
      <c r="B2219" t="s">
        <v>634</v>
      </c>
      <c r="C2219" t="s">
        <v>20</v>
      </c>
      <c r="D2219" t="s">
        <v>419</v>
      </c>
      <c r="E2219">
        <v>4</v>
      </c>
      <c r="F2219">
        <v>0</v>
      </c>
      <c r="G2219">
        <v>27</v>
      </c>
      <c r="H2219">
        <v>2</v>
      </c>
      <c r="I2219">
        <v>6.75</v>
      </c>
      <c r="J2219">
        <v>10</v>
      </c>
      <c r="K2219">
        <v>2</v>
      </c>
      <c r="L2219">
        <v>1</v>
      </c>
      <c r="M2219">
        <v>0</v>
      </c>
      <c r="N2219">
        <v>0</v>
      </c>
    </row>
    <row r="2220" spans="1:14" x14ac:dyDescent="0.45">
      <c r="A2220" t="s">
        <v>262</v>
      </c>
      <c r="B2220" t="s">
        <v>634</v>
      </c>
      <c r="C2220" t="s">
        <v>20</v>
      </c>
      <c r="D2220" t="s">
        <v>467</v>
      </c>
      <c r="E2220">
        <v>2</v>
      </c>
      <c r="F2220">
        <v>0</v>
      </c>
      <c r="G2220">
        <v>20</v>
      </c>
      <c r="H2220">
        <v>0</v>
      </c>
      <c r="I2220">
        <v>10</v>
      </c>
      <c r="J2220">
        <v>2</v>
      </c>
      <c r="K2220">
        <v>1</v>
      </c>
      <c r="L2220">
        <v>1</v>
      </c>
      <c r="M2220">
        <v>0</v>
      </c>
      <c r="N2220">
        <v>0</v>
      </c>
    </row>
    <row r="2221" spans="1:14" x14ac:dyDescent="0.45">
      <c r="A2221" t="s">
        <v>263</v>
      </c>
      <c r="B2221" t="s">
        <v>692</v>
      </c>
      <c r="C2221" t="s">
        <v>101</v>
      </c>
      <c r="D2221" t="s">
        <v>403</v>
      </c>
      <c r="E2221">
        <v>4</v>
      </c>
      <c r="F2221">
        <v>0</v>
      </c>
      <c r="G2221">
        <v>44</v>
      </c>
      <c r="H2221">
        <v>1</v>
      </c>
      <c r="I2221">
        <v>11</v>
      </c>
      <c r="J2221">
        <v>9</v>
      </c>
      <c r="K2221">
        <v>7</v>
      </c>
      <c r="L2221">
        <v>1</v>
      </c>
      <c r="M2221">
        <v>1</v>
      </c>
      <c r="N2221">
        <v>0</v>
      </c>
    </row>
    <row r="2222" spans="1:14" x14ac:dyDescent="0.45">
      <c r="A2222" t="s">
        <v>263</v>
      </c>
      <c r="B2222" t="s">
        <v>692</v>
      </c>
      <c r="C2222" t="s">
        <v>101</v>
      </c>
      <c r="D2222" t="s">
        <v>557</v>
      </c>
      <c r="E2222">
        <v>4</v>
      </c>
      <c r="F2222">
        <v>0</v>
      </c>
      <c r="G2222">
        <v>31</v>
      </c>
      <c r="H2222">
        <v>1</v>
      </c>
      <c r="I2222">
        <v>7.75</v>
      </c>
      <c r="J2222">
        <v>11</v>
      </c>
      <c r="K2222">
        <v>3</v>
      </c>
      <c r="L2222">
        <v>1</v>
      </c>
      <c r="M2222">
        <v>3</v>
      </c>
      <c r="N2222">
        <v>0</v>
      </c>
    </row>
    <row r="2223" spans="1:14" x14ac:dyDescent="0.45">
      <c r="A2223" t="s">
        <v>263</v>
      </c>
      <c r="B2223" t="s">
        <v>692</v>
      </c>
      <c r="C2223" t="s">
        <v>101</v>
      </c>
      <c r="D2223" t="s">
        <v>493</v>
      </c>
      <c r="E2223">
        <v>4</v>
      </c>
      <c r="F2223">
        <v>0</v>
      </c>
      <c r="G2223">
        <v>32</v>
      </c>
      <c r="H2223">
        <v>1</v>
      </c>
      <c r="I2223">
        <v>8</v>
      </c>
      <c r="J2223">
        <v>11</v>
      </c>
      <c r="K2223">
        <v>1</v>
      </c>
      <c r="L2223">
        <v>2</v>
      </c>
      <c r="M2223">
        <v>5</v>
      </c>
      <c r="N2223">
        <v>0</v>
      </c>
    </row>
    <row r="2224" spans="1:14" x14ac:dyDescent="0.45">
      <c r="A2224" t="s">
        <v>263</v>
      </c>
      <c r="B2224" t="s">
        <v>692</v>
      </c>
      <c r="C2224" t="s">
        <v>101</v>
      </c>
      <c r="D2224" t="s">
        <v>379</v>
      </c>
      <c r="E2224">
        <v>4</v>
      </c>
      <c r="F2224">
        <v>0</v>
      </c>
      <c r="G2224">
        <v>26</v>
      </c>
      <c r="H2224">
        <v>1</v>
      </c>
      <c r="I2224">
        <v>6.5</v>
      </c>
      <c r="J2224">
        <v>13</v>
      </c>
      <c r="K2224">
        <v>3</v>
      </c>
      <c r="L2224">
        <v>1</v>
      </c>
      <c r="M2224">
        <v>0</v>
      </c>
      <c r="N2224">
        <v>0</v>
      </c>
    </row>
    <row r="2225" spans="1:14" x14ac:dyDescent="0.45">
      <c r="A2225" t="s">
        <v>263</v>
      </c>
      <c r="B2225" t="s">
        <v>692</v>
      </c>
      <c r="C2225" t="s">
        <v>101</v>
      </c>
      <c r="D2225" t="s">
        <v>558</v>
      </c>
      <c r="E2225">
        <v>4</v>
      </c>
      <c r="F2225">
        <v>0</v>
      </c>
      <c r="G2225">
        <v>18</v>
      </c>
      <c r="H2225">
        <v>2</v>
      </c>
      <c r="I2225">
        <v>4.5</v>
      </c>
      <c r="J2225">
        <v>12</v>
      </c>
      <c r="K2225">
        <v>2</v>
      </c>
      <c r="L2225">
        <v>0</v>
      </c>
      <c r="M2225">
        <v>0</v>
      </c>
      <c r="N2225">
        <v>0</v>
      </c>
    </row>
    <row r="2226" spans="1:14" x14ac:dyDescent="0.45">
      <c r="A2226" t="s">
        <v>263</v>
      </c>
      <c r="B2226" t="s">
        <v>692</v>
      </c>
      <c r="C2226" t="s">
        <v>26</v>
      </c>
      <c r="D2226" t="s">
        <v>405</v>
      </c>
      <c r="E2226">
        <v>4</v>
      </c>
      <c r="F2226">
        <v>0</v>
      </c>
      <c r="G2226">
        <v>33</v>
      </c>
      <c r="H2226">
        <v>1</v>
      </c>
      <c r="I2226">
        <v>8.25</v>
      </c>
      <c r="J2226">
        <v>8</v>
      </c>
      <c r="K2226">
        <v>5</v>
      </c>
      <c r="L2226">
        <v>0</v>
      </c>
      <c r="M2226">
        <v>0</v>
      </c>
      <c r="N2226">
        <v>0</v>
      </c>
    </row>
    <row r="2227" spans="1:14" x14ac:dyDescent="0.45">
      <c r="A2227" t="s">
        <v>263</v>
      </c>
      <c r="B2227" t="s">
        <v>692</v>
      </c>
      <c r="C2227" t="s">
        <v>26</v>
      </c>
      <c r="D2227" t="s">
        <v>341</v>
      </c>
      <c r="E2227">
        <v>4</v>
      </c>
      <c r="F2227">
        <v>0</v>
      </c>
      <c r="G2227">
        <v>36</v>
      </c>
      <c r="H2227">
        <v>1</v>
      </c>
      <c r="I2227">
        <v>9</v>
      </c>
      <c r="J2227">
        <v>11</v>
      </c>
      <c r="K2227">
        <v>5</v>
      </c>
      <c r="L2227">
        <v>1</v>
      </c>
      <c r="M2227">
        <v>0</v>
      </c>
      <c r="N2227">
        <v>0</v>
      </c>
    </row>
    <row r="2228" spans="1:14" x14ac:dyDescent="0.45">
      <c r="A2228" t="s">
        <v>263</v>
      </c>
      <c r="B2228" t="s">
        <v>692</v>
      </c>
      <c r="C2228" t="s">
        <v>26</v>
      </c>
      <c r="D2228" t="s">
        <v>404</v>
      </c>
      <c r="E2228">
        <v>4</v>
      </c>
      <c r="F2228">
        <v>0</v>
      </c>
      <c r="G2228">
        <v>20</v>
      </c>
      <c r="H2228">
        <v>1</v>
      </c>
      <c r="I2228">
        <v>5</v>
      </c>
      <c r="J2228">
        <v>8</v>
      </c>
      <c r="K2228">
        <v>1</v>
      </c>
      <c r="L2228">
        <v>0</v>
      </c>
      <c r="M2228">
        <v>0</v>
      </c>
      <c r="N2228">
        <v>0</v>
      </c>
    </row>
    <row r="2229" spans="1:14" x14ac:dyDescent="0.45">
      <c r="A2229" t="s">
        <v>263</v>
      </c>
      <c r="B2229" t="s">
        <v>692</v>
      </c>
      <c r="C2229" t="s">
        <v>26</v>
      </c>
      <c r="D2229" t="s">
        <v>420</v>
      </c>
      <c r="E2229">
        <v>3.5</v>
      </c>
      <c r="F2229">
        <v>0</v>
      </c>
      <c r="G2229">
        <v>25</v>
      </c>
      <c r="H2229">
        <v>1</v>
      </c>
      <c r="I2229">
        <v>6.52</v>
      </c>
      <c r="J2229">
        <v>7</v>
      </c>
      <c r="K2229">
        <v>2</v>
      </c>
      <c r="L2229">
        <v>0</v>
      </c>
      <c r="M2229">
        <v>0</v>
      </c>
      <c r="N2229">
        <v>0</v>
      </c>
    </row>
    <row r="2230" spans="1:14" x14ac:dyDescent="0.45">
      <c r="A2230" t="s">
        <v>263</v>
      </c>
      <c r="B2230" t="s">
        <v>692</v>
      </c>
      <c r="C2230" t="s">
        <v>26</v>
      </c>
      <c r="D2230" t="s">
        <v>435</v>
      </c>
      <c r="E2230">
        <v>3</v>
      </c>
      <c r="F2230">
        <v>0</v>
      </c>
      <c r="G2230">
        <v>24</v>
      </c>
      <c r="H2230">
        <v>0</v>
      </c>
      <c r="I2230">
        <v>8</v>
      </c>
      <c r="J2230">
        <v>4</v>
      </c>
      <c r="K2230">
        <v>3</v>
      </c>
      <c r="L2230">
        <v>0</v>
      </c>
      <c r="M2230">
        <v>0</v>
      </c>
      <c r="N2230">
        <v>0</v>
      </c>
    </row>
    <row r="2231" spans="1:14" x14ac:dyDescent="0.45">
      <c r="A2231" t="s">
        <v>263</v>
      </c>
      <c r="B2231" t="s">
        <v>692</v>
      </c>
      <c r="C2231" t="s">
        <v>26</v>
      </c>
      <c r="D2231" t="s">
        <v>596</v>
      </c>
      <c r="E2231">
        <v>1</v>
      </c>
      <c r="F2231">
        <v>0</v>
      </c>
      <c r="G2231">
        <v>8</v>
      </c>
      <c r="H2231">
        <v>0</v>
      </c>
      <c r="I2231">
        <v>8</v>
      </c>
      <c r="J2231">
        <v>1</v>
      </c>
      <c r="K2231">
        <v>1</v>
      </c>
      <c r="L2231">
        <v>0</v>
      </c>
      <c r="M2231">
        <v>0</v>
      </c>
      <c r="N2231">
        <v>0</v>
      </c>
    </row>
    <row r="2232" spans="1:14" x14ac:dyDescent="0.45">
      <c r="A2232" t="s">
        <v>264</v>
      </c>
      <c r="B2232" t="s">
        <v>705</v>
      </c>
      <c r="C2232" t="s">
        <v>6</v>
      </c>
      <c r="D2232" t="s">
        <v>418</v>
      </c>
      <c r="E2232">
        <v>4</v>
      </c>
      <c r="F2232">
        <v>0</v>
      </c>
      <c r="G2232">
        <v>40</v>
      </c>
      <c r="H2232">
        <v>2</v>
      </c>
      <c r="I2232">
        <v>10</v>
      </c>
      <c r="J2232">
        <v>7</v>
      </c>
      <c r="K2232">
        <v>2</v>
      </c>
      <c r="L2232">
        <v>3</v>
      </c>
      <c r="M2232">
        <v>1</v>
      </c>
      <c r="N2232">
        <v>0</v>
      </c>
    </row>
    <row r="2233" spans="1:14" x14ac:dyDescent="0.45">
      <c r="A2233" t="s">
        <v>264</v>
      </c>
      <c r="B2233" t="s">
        <v>705</v>
      </c>
      <c r="C2233" t="s">
        <v>6</v>
      </c>
      <c r="D2233" t="s">
        <v>555</v>
      </c>
      <c r="E2233">
        <v>4</v>
      </c>
      <c r="F2233">
        <v>0</v>
      </c>
      <c r="G2233">
        <v>37</v>
      </c>
      <c r="H2233">
        <v>2</v>
      </c>
      <c r="I2233">
        <v>9.25</v>
      </c>
      <c r="J2233">
        <v>7</v>
      </c>
      <c r="K2233">
        <v>4</v>
      </c>
      <c r="L2233">
        <v>1</v>
      </c>
      <c r="M2233">
        <v>1</v>
      </c>
      <c r="N2233">
        <v>0</v>
      </c>
    </row>
    <row r="2234" spans="1:14" x14ac:dyDescent="0.45">
      <c r="A2234" t="s">
        <v>264</v>
      </c>
      <c r="B2234" t="s">
        <v>705</v>
      </c>
      <c r="C2234" t="s">
        <v>6</v>
      </c>
      <c r="D2234" t="s">
        <v>523</v>
      </c>
      <c r="E2234">
        <v>4</v>
      </c>
      <c r="F2234">
        <v>0</v>
      </c>
      <c r="G2234">
        <v>42</v>
      </c>
      <c r="H2234">
        <v>0</v>
      </c>
      <c r="I2234">
        <v>10.5</v>
      </c>
      <c r="J2234">
        <v>4</v>
      </c>
      <c r="K2234">
        <v>5</v>
      </c>
      <c r="L2234">
        <v>1</v>
      </c>
      <c r="M2234">
        <v>0</v>
      </c>
      <c r="N2234">
        <v>0</v>
      </c>
    </row>
    <row r="2235" spans="1:14" x14ac:dyDescent="0.45">
      <c r="A2235" t="s">
        <v>264</v>
      </c>
      <c r="B2235" t="s">
        <v>705</v>
      </c>
      <c r="C2235" t="s">
        <v>6</v>
      </c>
      <c r="D2235" t="s">
        <v>328</v>
      </c>
      <c r="E2235">
        <v>4</v>
      </c>
      <c r="F2235">
        <v>0</v>
      </c>
      <c r="G2235">
        <v>21</v>
      </c>
      <c r="H2235">
        <v>2</v>
      </c>
      <c r="I2235">
        <v>5.25</v>
      </c>
      <c r="J2235">
        <v>11</v>
      </c>
      <c r="K2235">
        <v>0</v>
      </c>
      <c r="L2235">
        <v>0</v>
      </c>
      <c r="M2235">
        <v>3</v>
      </c>
      <c r="N2235">
        <v>0</v>
      </c>
    </row>
    <row r="2236" spans="1:14" x14ac:dyDescent="0.45">
      <c r="A2236" t="s">
        <v>264</v>
      </c>
      <c r="B2236" t="s">
        <v>705</v>
      </c>
      <c r="C2236" t="s">
        <v>6</v>
      </c>
      <c r="D2236" t="s">
        <v>299</v>
      </c>
      <c r="E2236">
        <v>2</v>
      </c>
      <c r="F2236">
        <v>0</v>
      </c>
      <c r="G2236">
        <v>21</v>
      </c>
      <c r="H2236">
        <v>1</v>
      </c>
      <c r="I2236">
        <v>10.5</v>
      </c>
      <c r="J2236">
        <v>3</v>
      </c>
      <c r="K2236">
        <v>0</v>
      </c>
      <c r="L2236">
        <v>2</v>
      </c>
      <c r="M2236">
        <v>0</v>
      </c>
      <c r="N2236">
        <v>0</v>
      </c>
    </row>
    <row r="2237" spans="1:14" x14ac:dyDescent="0.45">
      <c r="A2237" t="s">
        <v>264</v>
      </c>
      <c r="B2237" t="s">
        <v>705</v>
      </c>
      <c r="C2237" t="s">
        <v>6</v>
      </c>
      <c r="D2237" t="s">
        <v>608</v>
      </c>
      <c r="E2237">
        <v>2</v>
      </c>
      <c r="F2237">
        <v>0</v>
      </c>
      <c r="G2237">
        <v>14</v>
      </c>
      <c r="H2237">
        <v>0</v>
      </c>
      <c r="I2237">
        <v>7</v>
      </c>
      <c r="J2237">
        <v>2</v>
      </c>
      <c r="K2237">
        <v>0</v>
      </c>
      <c r="L2237">
        <v>0</v>
      </c>
      <c r="M2237">
        <v>1</v>
      </c>
      <c r="N2237">
        <v>0</v>
      </c>
    </row>
    <row r="2238" spans="1:14" x14ac:dyDescent="0.45">
      <c r="A2238" t="s">
        <v>264</v>
      </c>
      <c r="B2238" t="s">
        <v>705</v>
      </c>
      <c r="C2238" t="s">
        <v>23</v>
      </c>
      <c r="D2238" t="s">
        <v>429</v>
      </c>
      <c r="E2238">
        <v>3</v>
      </c>
      <c r="F2238">
        <v>0</v>
      </c>
      <c r="G2238">
        <v>30</v>
      </c>
      <c r="H2238">
        <v>1</v>
      </c>
      <c r="I2238">
        <v>10</v>
      </c>
      <c r="J2238">
        <v>6</v>
      </c>
      <c r="K2238">
        <v>1</v>
      </c>
      <c r="L2238">
        <v>2</v>
      </c>
      <c r="M2238">
        <v>2</v>
      </c>
      <c r="N2238">
        <v>0</v>
      </c>
    </row>
    <row r="2239" spans="1:14" x14ac:dyDescent="0.45">
      <c r="A2239" t="s">
        <v>264</v>
      </c>
      <c r="B2239" t="s">
        <v>705</v>
      </c>
      <c r="C2239" t="s">
        <v>23</v>
      </c>
      <c r="D2239" t="s">
        <v>527</v>
      </c>
      <c r="E2239">
        <v>2</v>
      </c>
      <c r="F2239">
        <v>0</v>
      </c>
      <c r="G2239">
        <v>8</v>
      </c>
      <c r="H2239">
        <v>0</v>
      </c>
      <c r="I2239">
        <v>4</v>
      </c>
      <c r="J2239">
        <v>4</v>
      </c>
      <c r="K2239">
        <v>0</v>
      </c>
      <c r="L2239">
        <v>0</v>
      </c>
      <c r="M2239">
        <v>0</v>
      </c>
      <c r="N2239">
        <v>0</v>
      </c>
    </row>
    <row r="2240" spans="1:14" x14ac:dyDescent="0.45">
      <c r="A2240" t="s">
        <v>264</v>
      </c>
      <c r="B2240" t="s">
        <v>705</v>
      </c>
      <c r="C2240" t="s">
        <v>23</v>
      </c>
      <c r="D2240" t="s">
        <v>378</v>
      </c>
      <c r="E2240">
        <v>3</v>
      </c>
      <c r="F2240">
        <v>0</v>
      </c>
      <c r="G2240">
        <v>37</v>
      </c>
      <c r="H2240">
        <v>0</v>
      </c>
      <c r="I2240">
        <v>12.33</v>
      </c>
      <c r="J2240">
        <v>4</v>
      </c>
      <c r="K2240">
        <v>4</v>
      </c>
      <c r="L2240">
        <v>2</v>
      </c>
      <c r="M2240">
        <v>1</v>
      </c>
      <c r="N2240">
        <v>0</v>
      </c>
    </row>
    <row r="2241" spans="1:14" x14ac:dyDescent="0.45">
      <c r="A2241" t="s">
        <v>264</v>
      </c>
      <c r="B2241" t="s">
        <v>705</v>
      </c>
      <c r="C2241" t="s">
        <v>23</v>
      </c>
      <c r="D2241" t="s">
        <v>585</v>
      </c>
      <c r="E2241">
        <v>4</v>
      </c>
      <c r="F2241">
        <v>0</v>
      </c>
      <c r="G2241">
        <v>43</v>
      </c>
      <c r="H2241">
        <v>1</v>
      </c>
      <c r="I2241">
        <v>10.75</v>
      </c>
      <c r="J2241">
        <v>5</v>
      </c>
      <c r="K2241">
        <v>4</v>
      </c>
      <c r="L2241">
        <v>1</v>
      </c>
      <c r="M2241">
        <v>1</v>
      </c>
      <c r="N2241">
        <v>0</v>
      </c>
    </row>
    <row r="2242" spans="1:14" x14ac:dyDescent="0.45">
      <c r="A2242" t="s">
        <v>264</v>
      </c>
      <c r="B2242" t="s">
        <v>705</v>
      </c>
      <c r="C2242" t="s">
        <v>23</v>
      </c>
      <c r="D2242" t="s">
        <v>339</v>
      </c>
      <c r="E2242">
        <v>4</v>
      </c>
      <c r="F2242">
        <v>0</v>
      </c>
      <c r="G2242">
        <v>25</v>
      </c>
      <c r="H2242">
        <v>2</v>
      </c>
      <c r="I2242">
        <v>6.25</v>
      </c>
      <c r="J2242">
        <v>10</v>
      </c>
      <c r="K2242">
        <v>1</v>
      </c>
      <c r="L2242">
        <v>1</v>
      </c>
      <c r="M2242">
        <v>2</v>
      </c>
      <c r="N2242">
        <v>0</v>
      </c>
    </row>
    <row r="2243" spans="1:14" x14ac:dyDescent="0.45">
      <c r="A2243" t="s">
        <v>264</v>
      </c>
      <c r="B2243" t="s">
        <v>705</v>
      </c>
      <c r="C2243" t="s">
        <v>23</v>
      </c>
      <c r="D2243" t="s">
        <v>353</v>
      </c>
      <c r="E2243">
        <v>4</v>
      </c>
      <c r="F2243">
        <v>0</v>
      </c>
      <c r="G2243">
        <v>27</v>
      </c>
      <c r="H2243">
        <v>2</v>
      </c>
      <c r="I2243">
        <v>6.75</v>
      </c>
      <c r="J2243">
        <v>8</v>
      </c>
      <c r="K2243">
        <v>2</v>
      </c>
      <c r="L2243">
        <v>0</v>
      </c>
      <c r="M2243">
        <v>1</v>
      </c>
      <c r="N2243">
        <v>0</v>
      </c>
    </row>
    <row r="2244" spans="1:14" x14ac:dyDescent="0.45">
      <c r="A2244" t="s">
        <v>265</v>
      </c>
      <c r="B2244" t="s">
        <v>668</v>
      </c>
      <c r="C2244" t="s">
        <v>19</v>
      </c>
      <c r="D2244" t="s">
        <v>562</v>
      </c>
      <c r="E2244">
        <v>3</v>
      </c>
      <c r="F2244">
        <v>0</v>
      </c>
      <c r="G2244">
        <v>23</v>
      </c>
      <c r="H2244">
        <v>3</v>
      </c>
      <c r="I2244">
        <v>7.66</v>
      </c>
      <c r="J2244">
        <v>8</v>
      </c>
      <c r="K2244">
        <v>1</v>
      </c>
      <c r="L2244">
        <v>2</v>
      </c>
      <c r="M2244">
        <v>0</v>
      </c>
      <c r="N2244">
        <v>0</v>
      </c>
    </row>
    <row r="2245" spans="1:14" x14ac:dyDescent="0.45">
      <c r="A2245" t="s">
        <v>265</v>
      </c>
      <c r="B2245" t="s">
        <v>668</v>
      </c>
      <c r="C2245" t="s">
        <v>19</v>
      </c>
      <c r="D2245" t="s">
        <v>593</v>
      </c>
      <c r="E2245">
        <v>1</v>
      </c>
      <c r="F2245">
        <v>0</v>
      </c>
      <c r="G2245">
        <v>12</v>
      </c>
      <c r="H2245">
        <v>0</v>
      </c>
      <c r="I2245">
        <v>12</v>
      </c>
      <c r="J2245">
        <v>1</v>
      </c>
      <c r="K2245">
        <v>2</v>
      </c>
      <c r="L2245">
        <v>0</v>
      </c>
      <c r="M2245">
        <v>1</v>
      </c>
      <c r="N2245">
        <v>0</v>
      </c>
    </row>
    <row r="2246" spans="1:14" x14ac:dyDescent="0.45">
      <c r="A2246" t="s">
        <v>265</v>
      </c>
      <c r="B2246" t="s">
        <v>668</v>
      </c>
      <c r="C2246" t="s">
        <v>19</v>
      </c>
      <c r="D2246" t="s">
        <v>560</v>
      </c>
      <c r="E2246">
        <v>3</v>
      </c>
      <c r="F2246">
        <v>0</v>
      </c>
      <c r="G2246">
        <v>30</v>
      </c>
      <c r="H2246">
        <v>0</v>
      </c>
      <c r="I2246">
        <v>10</v>
      </c>
      <c r="J2246">
        <v>4</v>
      </c>
      <c r="K2246">
        <v>5</v>
      </c>
      <c r="L2246">
        <v>0</v>
      </c>
      <c r="M2246">
        <v>1</v>
      </c>
      <c r="N2246">
        <v>0</v>
      </c>
    </row>
    <row r="2247" spans="1:14" x14ac:dyDescent="0.45">
      <c r="A2247" t="s">
        <v>265</v>
      </c>
      <c r="B2247" t="s">
        <v>668</v>
      </c>
      <c r="C2247" t="s">
        <v>19</v>
      </c>
      <c r="D2247" t="s">
        <v>504</v>
      </c>
      <c r="E2247">
        <v>4</v>
      </c>
      <c r="F2247">
        <v>0</v>
      </c>
      <c r="G2247">
        <v>43</v>
      </c>
      <c r="H2247">
        <v>1</v>
      </c>
      <c r="I2247">
        <v>10.75</v>
      </c>
      <c r="J2247">
        <v>10</v>
      </c>
      <c r="K2247">
        <v>4</v>
      </c>
      <c r="L2247">
        <v>2</v>
      </c>
      <c r="M2247">
        <v>1</v>
      </c>
      <c r="N2247">
        <v>1</v>
      </c>
    </row>
    <row r="2248" spans="1:14" x14ac:dyDescent="0.45">
      <c r="A2248" t="s">
        <v>265</v>
      </c>
      <c r="B2248" t="s">
        <v>668</v>
      </c>
      <c r="C2248" t="s">
        <v>19</v>
      </c>
      <c r="D2248" t="s">
        <v>457</v>
      </c>
      <c r="E2248">
        <v>3.4</v>
      </c>
      <c r="F2248">
        <v>0</v>
      </c>
      <c r="G2248">
        <v>34</v>
      </c>
      <c r="H2248">
        <v>2</v>
      </c>
      <c r="I2248">
        <v>9.27</v>
      </c>
      <c r="J2248">
        <v>10</v>
      </c>
      <c r="K2248">
        <v>5</v>
      </c>
      <c r="L2248">
        <v>1</v>
      </c>
      <c r="M2248">
        <v>0</v>
      </c>
      <c r="N2248">
        <v>1</v>
      </c>
    </row>
    <row r="2249" spans="1:14" x14ac:dyDescent="0.45">
      <c r="A2249" t="s">
        <v>265</v>
      </c>
      <c r="B2249" t="s">
        <v>668</v>
      </c>
      <c r="C2249" t="s">
        <v>19</v>
      </c>
      <c r="D2249" t="s">
        <v>368</v>
      </c>
      <c r="E2249">
        <v>4</v>
      </c>
      <c r="F2249">
        <v>0</v>
      </c>
      <c r="G2249">
        <v>22</v>
      </c>
      <c r="H2249">
        <v>3</v>
      </c>
      <c r="I2249">
        <v>5.5</v>
      </c>
      <c r="J2249">
        <v>9</v>
      </c>
      <c r="K2249">
        <v>2</v>
      </c>
      <c r="L2249">
        <v>0</v>
      </c>
      <c r="M2249">
        <v>0</v>
      </c>
      <c r="N2249">
        <v>0</v>
      </c>
    </row>
    <row r="2250" spans="1:14" x14ac:dyDescent="0.45">
      <c r="A2250" t="s">
        <v>265</v>
      </c>
      <c r="B2250" t="s">
        <v>668</v>
      </c>
      <c r="C2250" t="s">
        <v>19</v>
      </c>
      <c r="D2250" t="s">
        <v>502</v>
      </c>
      <c r="E2250">
        <v>1</v>
      </c>
      <c r="F2250">
        <v>0</v>
      </c>
      <c r="G2250">
        <v>7</v>
      </c>
      <c r="H2250">
        <v>0</v>
      </c>
      <c r="I2250">
        <v>7</v>
      </c>
      <c r="J2250">
        <v>3</v>
      </c>
      <c r="K2250">
        <v>1</v>
      </c>
      <c r="L2250">
        <v>0</v>
      </c>
      <c r="M2250">
        <v>1</v>
      </c>
      <c r="N2250">
        <v>0</v>
      </c>
    </row>
    <row r="2251" spans="1:14" x14ac:dyDescent="0.45">
      <c r="A2251" t="s">
        <v>265</v>
      </c>
      <c r="B2251" t="s">
        <v>668</v>
      </c>
      <c r="C2251" t="s">
        <v>10</v>
      </c>
      <c r="D2251" t="s">
        <v>587</v>
      </c>
      <c r="E2251">
        <v>2</v>
      </c>
      <c r="F2251">
        <v>0</v>
      </c>
      <c r="G2251">
        <v>30</v>
      </c>
      <c r="H2251">
        <v>2</v>
      </c>
      <c r="I2251">
        <v>15</v>
      </c>
      <c r="J2251">
        <v>6</v>
      </c>
      <c r="K2251">
        <v>3</v>
      </c>
      <c r="L2251">
        <v>3</v>
      </c>
      <c r="M2251">
        <v>0</v>
      </c>
      <c r="N2251">
        <v>0</v>
      </c>
    </row>
    <row r="2252" spans="1:14" x14ac:dyDescent="0.45">
      <c r="A2252" t="s">
        <v>265</v>
      </c>
      <c r="B2252" t="s">
        <v>668</v>
      </c>
      <c r="C2252" t="s">
        <v>10</v>
      </c>
      <c r="D2252" t="s">
        <v>396</v>
      </c>
      <c r="E2252">
        <v>4</v>
      </c>
      <c r="F2252">
        <v>0</v>
      </c>
      <c r="G2252">
        <v>38</v>
      </c>
      <c r="H2252">
        <v>1</v>
      </c>
      <c r="I2252">
        <v>9.5</v>
      </c>
      <c r="J2252">
        <v>11</v>
      </c>
      <c r="K2252">
        <v>5</v>
      </c>
      <c r="L2252">
        <v>2</v>
      </c>
      <c r="M2252">
        <v>0</v>
      </c>
      <c r="N2252">
        <v>0</v>
      </c>
    </row>
    <row r="2253" spans="1:14" x14ac:dyDescent="0.45">
      <c r="A2253" t="s">
        <v>265</v>
      </c>
      <c r="B2253" t="s">
        <v>668</v>
      </c>
      <c r="C2253" t="s">
        <v>10</v>
      </c>
      <c r="D2253" t="s">
        <v>338</v>
      </c>
      <c r="E2253">
        <v>4</v>
      </c>
      <c r="F2253">
        <v>0</v>
      </c>
      <c r="G2253">
        <v>35</v>
      </c>
      <c r="H2253">
        <v>0</v>
      </c>
      <c r="I2253">
        <v>8.75</v>
      </c>
      <c r="J2253">
        <v>8</v>
      </c>
      <c r="K2253">
        <v>2</v>
      </c>
      <c r="L2253">
        <v>2</v>
      </c>
      <c r="M2253">
        <v>0</v>
      </c>
      <c r="N2253">
        <v>0</v>
      </c>
    </row>
    <row r="2254" spans="1:14" x14ac:dyDescent="0.45">
      <c r="A2254" t="s">
        <v>265</v>
      </c>
      <c r="B2254" t="s">
        <v>668</v>
      </c>
      <c r="C2254" t="s">
        <v>10</v>
      </c>
      <c r="D2254" t="s">
        <v>436</v>
      </c>
      <c r="E2254">
        <v>4</v>
      </c>
      <c r="F2254">
        <v>0</v>
      </c>
      <c r="G2254">
        <v>23</v>
      </c>
      <c r="H2254">
        <v>0</v>
      </c>
      <c r="I2254">
        <v>5.75</v>
      </c>
      <c r="J2254">
        <v>10</v>
      </c>
      <c r="K2254">
        <v>1</v>
      </c>
      <c r="L2254">
        <v>1</v>
      </c>
      <c r="M2254">
        <v>1</v>
      </c>
      <c r="N2254">
        <v>0</v>
      </c>
    </row>
    <row r="2255" spans="1:14" x14ac:dyDescent="0.45">
      <c r="A2255" t="s">
        <v>265</v>
      </c>
      <c r="B2255" t="s">
        <v>668</v>
      </c>
      <c r="C2255" t="s">
        <v>10</v>
      </c>
      <c r="D2255" t="s">
        <v>337</v>
      </c>
      <c r="E2255">
        <v>4</v>
      </c>
      <c r="F2255">
        <v>0</v>
      </c>
      <c r="G2255">
        <v>20</v>
      </c>
      <c r="H2255">
        <v>0</v>
      </c>
      <c r="I2255">
        <v>5</v>
      </c>
      <c r="J2255">
        <v>12</v>
      </c>
      <c r="K2255">
        <v>2</v>
      </c>
      <c r="L2255">
        <v>0</v>
      </c>
      <c r="M2255">
        <v>1</v>
      </c>
      <c r="N2255">
        <v>0</v>
      </c>
    </row>
    <row r="2256" spans="1:14" x14ac:dyDescent="0.45">
      <c r="A2256" t="s">
        <v>265</v>
      </c>
      <c r="B2256" t="s">
        <v>668</v>
      </c>
      <c r="C2256" t="s">
        <v>10</v>
      </c>
      <c r="D2256" t="s">
        <v>500</v>
      </c>
      <c r="E2256">
        <v>2</v>
      </c>
      <c r="F2256">
        <v>0</v>
      </c>
      <c r="G2256">
        <v>23</v>
      </c>
      <c r="H2256">
        <v>0</v>
      </c>
      <c r="I2256">
        <v>11.5</v>
      </c>
      <c r="J2256">
        <v>2</v>
      </c>
      <c r="K2256">
        <v>1</v>
      </c>
      <c r="L2256">
        <v>2</v>
      </c>
      <c r="M2256">
        <v>0</v>
      </c>
      <c r="N2256">
        <v>0</v>
      </c>
    </row>
    <row r="2257" spans="1:14" x14ac:dyDescent="0.45">
      <c r="A2257" t="s">
        <v>267</v>
      </c>
      <c r="B2257" t="s">
        <v>666</v>
      </c>
      <c r="C2257" t="s">
        <v>104</v>
      </c>
      <c r="D2257" t="s">
        <v>392</v>
      </c>
      <c r="E2257">
        <v>2</v>
      </c>
      <c r="F2257">
        <v>0</v>
      </c>
      <c r="G2257">
        <v>27</v>
      </c>
      <c r="H2257">
        <v>0</v>
      </c>
      <c r="I2257">
        <v>13.5</v>
      </c>
      <c r="J2257">
        <v>3</v>
      </c>
      <c r="K2257">
        <v>2</v>
      </c>
      <c r="L2257">
        <v>2</v>
      </c>
      <c r="M2257">
        <v>1</v>
      </c>
      <c r="N2257">
        <v>0</v>
      </c>
    </row>
    <row r="2258" spans="1:14" x14ac:dyDescent="0.45">
      <c r="A2258" t="s">
        <v>267</v>
      </c>
      <c r="B2258" t="s">
        <v>666</v>
      </c>
      <c r="C2258" t="s">
        <v>104</v>
      </c>
      <c r="D2258" t="s">
        <v>340</v>
      </c>
      <c r="E2258">
        <v>4</v>
      </c>
      <c r="F2258">
        <v>0</v>
      </c>
      <c r="G2258">
        <v>53</v>
      </c>
      <c r="H2258">
        <v>0</v>
      </c>
      <c r="I2258">
        <v>13.25</v>
      </c>
      <c r="J2258">
        <v>8</v>
      </c>
      <c r="K2258">
        <v>5</v>
      </c>
      <c r="L2258">
        <v>4</v>
      </c>
      <c r="M2258">
        <v>0</v>
      </c>
      <c r="N2258">
        <v>0</v>
      </c>
    </row>
    <row r="2259" spans="1:14" x14ac:dyDescent="0.45">
      <c r="A2259" t="s">
        <v>267</v>
      </c>
      <c r="B2259" t="s">
        <v>666</v>
      </c>
      <c r="C2259" t="s">
        <v>104</v>
      </c>
      <c r="D2259" t="s">
        <v>366</v>
      </c>
      <c r="E2259">
        <v>4</v>
      </c>
      <c r="F2259">
        <v>0</v>
      </c>
      <c r="G2259">
        <v>35</v>
      </c>
      <c r="H2259">
        <v>0</v>
      </c>
      <c r="I2259">
        <v>8.75</v>
      </c>
      <c r="J2259">
        <v>5</v>
      </c>
      <c r="K2259">
        <v>2</v>
      </c>
      <c r="L2259">
        <v>2</v>
      </c>
      <c r="M2259">
        <v>0</v>
      </c>
      <c r="N2259">
        <v>0</v>
      </c>
    </row>
    <row r="2260" spans="1:14" x14ac:dyDescent="0.45">
      <c r="A2260" t="s">
        <v>267</v>
      </c>
      <c r="B2260" t="s">
        <v>666</v>
      </c>
      <c r="C2260" t="s">
        <v>104</v>
      </c>
      <c r="D2260" t="s">
        <v>606</v>
      </c>
      <c r="E2260">
        <v>4</v>
      </c>
      <c r="F2260">
        <v>1</v>
      </c>
      <c r="G2260">
        <v>32</v>
      </c>
      <c r="H2260">
        <v>1</v>
      </c>
      <c r="I2260">
        <v>8</v>
      </c>
      <c r="J2260">
        <v>12</v>
      </c>
      <c r="K2260">
        <v>1</v>
      </c>
      <c r="L2260">
        <v>3</v>
      </c>
      <c r="M2260">
        <v>2</v>
      </c>
      <c r="N2260">
        <v>0</v>
      </c>
    </row>
    <row r="2261" spans="1:14" x14ac:dyDescent="0.45">
      <c r="A2261" t="s">
        <v>267</v>
      </c>
      <c r="B2261" t="s">
        <v>666</v>
      </c>
      <c r="C2261" t="s">
        <v>104</v>
      </c>
      <c r="D2261" t="s">
        <v>407</v>
      </c>
      <c r="E2261">
        <v>4</v>
      </c>
      <c r="F2261">
        <v>0</v>
      </c>
      <c r="G2261">
        <v>39</v>
      </c>
      <c r="H2261">
        <v>0</v>
      </c>
      <c r="I2261">
        <v>9.75</v>
      </c>
      <c r="J2261">
        <v>5</v>
      </c>
      <c r="K2261">
        <v>1</v>
      </c>
      <c r="L2261">
        <v>3</v>
      </c>
      <c r="M2261">
        <v>1</v>
      </c>
      <c r="N2261">
        <v>0</v>
      </c>
    </row>
    <row r="2262" spans="1:14" x14ac:dyDescent="0.45">
      <c r="A2262" t="s">
        <v>267</v>
      </c>
      <c r="B2262" t="s">
        <v>666</v>
      </c>
      <c r="C2262" t="s">
        <v>104</v>
      </c>
      <c r="D2262" t="s">
        <v>468</v>
      </c>
      <c r="E2262">
        <v>2</v>
      </c>
      <c r="F2262">
        <v>0</v>
      </c>
      <c r="G2262">
        <v>18</v>
      </c>
      <c r="H2262">
        <v>1</v>
      </c>
      <c r="I2262">
        <v>9</v>
      </c>
      <c r="J2262">
        <v>2</v>
      </c>
      <c r="K2262">
        <v>1</v>
      </c>
      <c r="L2262">
        <v>1</v>
      </c>
      <c r="M2262">
        <v>0</v>
      </c>
      <c r="N2262">
        <v>0</v>
      </c>
    </row>
    <row r="2263" spans="1:14" x14ac:dyDescent="0.45">
      <c r="A2263" t="s">
        <v>267</v>
      </c>
      <c r="B2263" t="s">
        <v>666</v>
      </c>
      <c r="C2263" t="s">
        <v>13</v>
      </c>
      <c r="D2263" t="s">
        <v>352</v>
      </c>
      <c r="E2263">
        <v>4</v>
      </c>
      <c r="F2263">
        <v>0</v>
      </c>
      <c r="G2263">
        <v>22</v>
      </c>
      <c r="H2263">
        <v>3</v>
      </c>
      <c r="I2263">
        <v>5.5</v>
      </c>
      <c r="J2263">
        <v>16</v>
      </c>
      <c r="K2263">
        <v>3</v>
      </c>
      <c r="L2263">
        <v>0</v>
      </c>
      <c r="M2263">
        <v>4</v>
      </c>
      <c r="N2263">
        <v>0</v>
      </c>
    </row>
    <row r="2264" spans="1:14" x14ac:dyDescent="0.45">
      <c r="A2264" t="s">
        <v>267</v>
      </c>
      <c r="B2264" t="s">
        <v>666</v>
      </c>
      <c r="C2264" t="s">
        <v>13</v>
      </c>
      <c r="D2264" t="s">
        <v>550</v>
      </c>
      <c r="E2264">
        <v>4</v>
      </c>
      <c r="F2264">
        <v>0</v>
      </c>
      <c r="G2264">
        <v>32</v>
      </c>
      <c r="H2264">
        <v>0</v>
      </c>
      <c r="I2264">
        <v>8</v>
      </c>
      <c r="J2264">
        <v>6</v>
      </c>
      <c r="K2264">
        <v>2</v>
      </c>
      <c r="L2264">
        <v>1</v>
      </c>
      <c r="M2264">
        <v>1</v>
      </c>
      <c r="N2264">
        <v>0</v>
      </c>
    </row>
    <row r="2265" spans="1:14" x14ac:dyDescent="0.45">
      <c r="A2265" t="s">
        <v>267</v>
      </c>
      <c r="B2265" t="s">
        <v>666</v>
      </c>
      <c r="C2265" t="s">
        <v>13</v>
      </c>
      <c r="D2265" t="s">
        <v>569</v>
      </c>
      <c r="E2265">
        <v>4</v>
      </c>
      <c r="F2265">
        <v>0</v>
      </c>
      <c r="G2265">
        <v>41</v>
      </c>
      <c r="H2265">
        <v>3</v>
      </c>
      <c r="I2265">
        <v>10.25</v>
      </c>
      <c r="J2265">
        <v>6</v>
      </c>
      <c r="K2265">
        <v>5</v>
      </c>
      <c r="L2265">
        <v>1</v>
      </c>
      <c r="M2265">
        <v>3</v>
      </c>
      <c r="N2265">
        <v>0</v>
      </c>
    </row>
    <row r="2266" spans="1:14" x14ac:dyDescent="0.45">
      <c r="A2266" t="s">
        <v>267</v>
      </c>
      <c r="B2266" t="s">
        <v>666</v>
      </c>
      <c r="C2266" t="s">
        <v>13</v>
      </c>
      <c r="D2266" t="s">
        <v>349</v>
      </c>
      <c r="E2266">
        <v>4</v>
      </c>
      <c r="F2266">
        <v>0</v>
      </c>
      <c r="G2266">
        <v>48</v>
      </c>
      <c r="H2266">
        <v>2</v>
      </c>
      <c r="I2266">
        <v>12</v>
      </c>
      <c r="J2266">
        <v>5</v>
      </c>
      <c r="K2266">
        <v>4</v>
      </c>
      <c r="L2266">
        <v>3</v>
      </c>
      <c r="M2266">
        <v>0</v>
      </c>
      <c r="N2266">
        <v>0</v>
      </c>
    </row>
    <row r="2267" spans="1:14" x14ac:dyDescent="0.45">
      <c r="A2267" t="s">
        <v>267</v>
      </c>
      <c r="B2267" t="s">
        <v>666</v>
      </c>
      <c r="C2267" t="s">
        <v>13</v>
      </c>
      <c r="D2267" t="s">
        <v>586</v>
      </c>
      <c r="E2267">
        <v>3</v>
      </c>
      <c r="F2267">
        <v>0</v>
      </c>
      <c r="G2267">
        <v>48</v>
      </c>
      <c r="H2267">
        <v>1</v>
      </c>
      <c r="I2267">
        <v>16</v>
      </c>
      <c r="J2267">
        <v>5</v>
      </c>
      <c r="K2267">
        <v>3</v>
      </c>
      <c r="L2267">
        <v>5</v>
      </c>
      <c r="M2267">
        <v>1</v>
      </c>
      <c r="N2267">
        <v>0</v>
      </c>
    </row>
    <row r="2268" spans="1:14" x14ac:dyDescent="0.45">
      <c r="A2268" t="s">
        <v>267</v>
      </c>
      <c r="B2268" t="s">
        <v>666</v>
      </c>
      <c r="C2268" t="s">
        <v>13</v>
      </c>
      <c r="D2268" t="s">
        <v>347</v>
      </c>
      <c r="E2268">
        <v>1</v>
      </c>
      <c r="F2268">
        <v>0</v>
      </c>
      <c r="G2268">
        <v>15</v>
      </c>
      <c r="H2268">
        <v>0</v>
      </c>
      <c r="I2268">
        <v>15</v>
      </c>
      <c r="J2268">
        <v>1</v>
      </c>
      <c r="K2268">
        <v>0</v>
      </c>
      <c r="L2268">
        <v>2</v>
      </c>
      <c r="M2268">
        <v>0</v>
      </c>
      <c r="N2268">
        <v>0</v>
      </c>
    </row>
    <row r="2269" spans="1:14" x14ac:dyDescent="0.45">
      <c r="A2269" t="s">
        <v>268</v>
      </c>
      <c r="B2269" t="s">
        <v>645</v>
      </c>
      <c r="C2269" t="s">
        <v>20</v>
      </c>
      <c r="D2269" t="s">
        <v>409</v>
      </c>
      <c r="E2269">
        <v>4</v>
      </c>
      <c r="F2269">
        <v>0</v>
      </c>
      <c r="G2269">
        <v>33</v>
      </c>
      <c r="H2269">
        <v>1</v>
      </c>
      <c r="I2269">
        <v>8.25</v>
      </c>
      <c r="J2269">
        <v>13</v>
      </c>
      <c r="K2269">
        <v>6</v>
      </c>
      <c r="L2269">
        <v>0</v>
      </c>
      <c r="M2269">
        <v>3</v>
      </c>
      <c r="N2269">
        <v>0</v>
      </c>
    </row>
    <row r="2270" spans="1:14" x14ac:dyDescent="0.45">
      <c r="A2270" t="s">
        <v>268</v>
      </c>
      <c r="B2270" t="s">
        <v>645</v>
      </c>
      <c r="C2270" t="s">
        <v>20</v>
      </c>
      <c r="D2270" t="s">
        <v>484</v>
      </c>
      <c r="E2270">
        <v>3</v>
      </c>
      <c r="F2270">
        <v>1</v>
      </c>
      <c r="G2270">
        <v>16</v>
      </c>
      <c r="H2270">
        <v>2</v>
      </c>
      <c r="I2270">
        <v>5.33</v>
      </c>
      <c r="J2270">
        <v>14</v>
      </c>
      <c r="K2270">
        <v>2</v>
      </c>
      <c r="L2270">
        <v>1</v>
      </c>
      <c r="M2270">
        <v>1</v>
      </c>
      <c r="N2270">
        <v>0</v>
      </c>
    </row>
    <row r="2271" spans="1:14" x14ac:dyDescent="0.45">
      <c r="A2271" t="s">
        <v>268</v>
      </c>
      <c r="B2271" t="s">
        <v>645</v>
      </c>
      <c r="C2271" t="s">
        <v>20</v>
      </c>
      <c r="D2271" t="s">
        <v>483</v>
      </c>
      <c r="E2271">
        <v>4</v>
      </c>
      <c r="F2271">
        <v>0</v>
      </c>
      <c r="G2271">
        <v>40</v>
      </c>
      <c r="H2271">
        <v>0</v>
      </c>
      <c r="I2271">
        <v>10</v>
      </c>
      <c r="J2271">
        <v>10</v>
      </c>
      <c r="K2271">
        <v>3</v>
      </c>
      <c r="L2271">
        <v>3</v>
      </c>
      <c r="M2271">
        <v>0</v>
      </c>
      <c r="N2271">
        <v>0</v>
      </c>
    </row>
    <row r="2272" spans="1:14" x14ac:dyDescent="0.45">
      <c r="A2272" t="s">
        <v>268</v>
      </c>
      <c r="B2272" t="s">
        <v>645</v>
      </c>
      <c r="C2272" t="s">
        <v>20</v>
      </c>
      <c r="D2272" t="s">
        <v>467</v>
      </c>
      <c r="E2272">
        <v>1</v>
      </c>
      <c r="F2272">
        <v>0</v>
      </c>
      <c r="G2272">
        <v>6</v>
      </c>
      <c r="H2272">
        <v>0</v>
      </c>
      <c r="I2272">
        <v>6</v>
      </c>
      <c r="J2272">
        <v>3</v>
      </c>
      <c r="K2272">
        <v>1</v>
      </c>
      <c r="L2272">
        <v>0</v>
      </c>
      <c r="M2272">
        <v>0</v>
      </c>
      <c r="N2272">
        <v>0</v>
      </c>
    </row>
    <row r="2273" spans="1:14" x14ac:dyDescent="0.45">
      <c r="A2273" t="s">
        <v>268</v>
      </c>
      <c r="B2273" t="s">
        <v>645</v>
      </c>
      <c r="C2273" t="s">
        <v>20</v>
      </c>
      <c r="D2273" t="s">
        <v>419</v>
      </c>
      <c r="E2273">
        <v>4</v>
      </c>
      <c r="F2273">
        <v>0</v>
      </c>
      <c r="G2273">
        <v>15</v>
      </c>
      <c r="H2273">
        <v>4</v>
      </c>
      <c r="I2273">
        <v>3.75</v>
      </c>
      <c r="J2273">
        <v>15</v>
      </c>
      <c r="K2273">
        <v>2</v>
      </c>
      <c r="L2273">
        <v>0</v>
      </c>
      <c r="M2273">
        <v>0</v>
      </c>
      <c r="N2273">
        <v>0</v>
      </c>
    </row>
    <row r="2274" spans="1:14" x14ac:dyDescent="0.45">
      <c r="A2274" t="s">
        <v>268</v>
      </c>
      <c r="B2274" t="s">
        <v>645</v>
      </c>
      <c r="C2274" t="s">
        <v>20</v>
      </c>
      <c r="D2274" t="s">
        <v>382</v>
      </c>
      <c r="E2274">
        <v>4</v>
      </c>
      <c r="F2274">
        <v>0</v>
      </c>
      <c r="G2274">
        <v>32</v>
      </c>
      <c r="H2274">
        <v>2</v>
      </c>
      <c r="I2274">
        <v>8</v>
      </c>
      <c r="J2274">
        <v>14</v>
      </c>
      <c r="K2274">
        <v>3</v>
      </c>
      <c r="L2274">
        <v>2</v>
      </c>
      <c r="M2274">
        <v>1</v>
      </c>
      <c r="N2274">
        <v>0</v>
      </c>
    </row>
    <row r="2275" spans="1:14" x14ac:dyDescent="0.45">
      <c r="A2275" t="s">
        <v>268</v>
      </c>
      <c r="B2275" t="s">
        <v>645</v>
      </c>
      <c r="C2275" t="s">
        <v>26</v>
      </c>
      <c r="D2275" t="s">
        <v>420</v>
      </c>
      <c r="E2275">
        <v>3</v>
      </c>
      <c r="F2275">
        <v>0</v>
      </c>
      <c r="G2275">
        <v>14</v>
      </c>
      <c r="H2275">
        <v>0</v>
      </c>
      <c r="I2275">
        <v>4.66</v>
      </c>
      <c r="J2275">
        <v>8</v>
      </c>
      <c r="K2275">
        <v>1</v>
      </c>
      <c r="L2275">
        <v>0</v>
      </c>
      <c r="M2275">
        <v>0</v>
      </c>
      <c r="N2275">
        <v>0</v>
      </c>
    </row>
    <row r="2276" spans="1:14" x14ac:dyDescent="0.45">
      <c r="A2276" t="s">
        <v>268</v>
      </c>
      <c r="B2276" t="s">
        <v>645</v>
      </c>
      <c r="C2276" t="s">
        <v>26</v>
      </c>
      <c r="D2276" t="s">
        <v>405</v>
      </c>
      <c r="E2276">
        <v>3</v>
      </c>
      <c r="F2276">
        <v>0</v>
      </c>
      <c r="G2276">
        <v>20</v>
      </c>
      <c r="H2276">
        <v>1</v>
      </c>
      <c r="I2276">
        <v>6.66</v>
      </c>
      <c r="J2276">
        <v>10</v>
      </c>
      <c r="K2276">
        <v>4</v>
      </c>
      <c r="L2276">
        <v>0</v>
      </c>
      <c r="M2276">
        <v>0</v>
      </c>
      <c r="N2276">
        <v>0</v>
      </c>
    </row>
    <row r="2277" spans="1:14" x14ac:dyDescent="0.45">
      <c r="A2277" t="s">
        <v>268</v>
      </c>
      <c r="B2277" t="s">
        <v>645</v>
      </c>
      <c r="C2277" t="s">
        <v>26</v>
      </c>
      <c r="D2277" t="s">
        <v>404</v>
      </c>
      <c r="E2277">
        <v>3.1</v>
      </c>
      <c r="F2277">
        <v>0</v>
      </c>
      <c r="G2277">
        <v>26</v>
      </c>
      <c r="H2277">
        <v>0</v>
      </c>
      <c r="I2277">
        <v>8.2100000000000009</v>
      </c>
      <c r="J2277">
        <v>8</v>
      </c>
      <c r="K2277">
        <v>5</v>
      </c>
      <c r="L2277">
        <v>0</v>
      </c>
      <c r="M2277">
        <v>0</v>
      </c>
      <c r="N2277">
        <v>0</v>
      </c>
    </row>
    <row r="2278" spans="1:14" x14ac:dyDescent="0.45">
      <c r="A2278" t="s">
        <v>268</v>
      </c>
      <c r="B2278" t="s">
        <v>645</v>
      </c>
      <c r="C2278" t="s">
        <v>26</v>
      </c>
      <c r="D2278" t="s">
        <v>428</v>
      </c>
      <c r="E2278">
        <v>3</v>
      </c>
      <c r="F2278">
        <v>0</v>
      </c>
      <c r="G2278">
        <v>28</v>
      </c>
      <c r="H2278">
        <v>0</v>
      </c>
      <c r="I2278">
        <v>9.33</v>
      </c>
      <c r="J2278">
        <v>5</v>
      </c>
      <c r="K2278">
        <v>5</v>
      </c>
      <c r="L2278">
        <v>0</v>
      </c>
      <c r="M2278">
        <v>0</v>
      </c>
      <c r="N2278">
        <v>0</v>
      </c>
    </row>
    <row r="2279" spans="1:14" x14ac:dyDescent="0.45">
      <c r="A2279" t="s">
        <v>268</v>
      </c>
      <c r="B2279" t="s">
        <v>645</v>
      </c>
      <c r="C2279" t="s">
        <v>26</v>
      </c>
      <c r="D2279" t="s">
        <v>435</v>
      </c>
      <c r="E2279">
        <v>3</v>
      </c>
      <c r="F2279">
        <v>0</v>
      </c>
      <c r="G2279">
        <v>28</v>
      </c>
      <c r="H2279">
        <v>1</v>
      </c>
      <c r="I2279">
        <v>9.33</v>
      </c>
      <c r="J2279">
        <v>8</v>
      </c>
      <c r="K2279">
        <v>4</v>
      </c>
      <c r="L2279">
        <v>1</v>
      </c>
      <c r="M2279">
        <v>0</v>
      </c>
      <c r="N2279">
        <v>0</v>
      </c>
    </row>
    <row r="2280" spans="1:14" x14ac:dyDescent="0.45">
      <c r="A2280" t="s">
        <v>268</v>
      </c>
      <c r="B2280" t="s">
        <v>645</v>
      </c>
      <c r="C2280" t="s">
        <v>26</v>
      </c>
      <c r="D2280" t="s">
        <v>609</v>
      </c>
      <c r="E2280">
        <v>2</v>
      </c>
      <c r="F2280">
        <v>0</v>
      </c>
      <c r="G2280">
        <v>29</v>
      </c>
      <c r="H2280">
        <v>0</v>
      </c>
      <c r="I2280">
        <v>14.5</v>
      </c>
      <c r="J2280">
        <v>3</v>
      </c>
      <c r="K2280">
        <v>3</v>
      </c>
      <c r="L2280">
        <v>2</v>
      </c>
      <c r="M2280">
        <v>0</v>
      </c>
      <c r="N2280">
        <v>0</v>
      </c>
    </row>
    <row r="2281" spans="1:14" x14ac:dyDescent="0.45">
      <c r="A2281" t="s">
        <v>269</v>
      </c>
      <c r="B2281" t="s">
        <v>688</v>
      </c>
      <c r="C2281" t="s">
        <v>7</v>
      </c>
      <c r="D2281" t="s">
        <v>515</v>
      </c>
      <c r="E2281">
        <v>3</v>
      </c>
      <c r="F2281">
        <v>0</v>
      </c>
      <c r="G2281">
        <v>24</v>
      </c>
      <c r="H2281">
        <v>0</v>
      </c>
      <c r="I2281">
        <v>8</v>
      </c>
      <c r="J2281">
        <v>7</v>
      </c>
      <c r="K2281">
        <v>4</v>
      </c>
      <c r="L2281">
        <v>0</v>
      </c>
      <c r="M2281">
        <v>1</v>
      </c>
      <c r="N2281">
        <v>0</v>
      </c>
    </row>
    <row r="2282" spans="1:14" x14ac:dyDescent="0.45">
      <c r="A2282" t="s">
        <v>269</v>
      </c>
      <c r="B2282" t="s">
        <v>688</v>
      </c>
      <c r="C2282" t="s">
        <v>7</v>
      </c>
      <c r="D2282" t="s">
        <v>326</v>
      </c>
      <c r="E2282">
        <v>3</v>
      </c>
      <c r="F2282">
        <v>0</v>
      </c>
      <c r="G2282">
        <v>40</v>
      </c>
      <c r="H2282">
        <v>0</v>
      </c>
      <c r="I2282">
        <v>13.33</v>
      </c>
      <c r="J2282">
        <v>4</v>
      </c>
      <c r="K2282">
        <v>3</v>
      </c>
      <c r="L2282">
        <v>3</v>
      </c>
      <c r="M2282">
        <v>1</v>
      </c>
      <c r="N2282">
        <v>0</v>
      </c>
    </row>
    <row r="2283" spans="1:14" x14ac:dyDescent="0.45">
      <c r="A2283" t="s">
        <v>269</v>
      </c>
      <c r="B2283" t="s">
        <v>688</v>
      </c>
      <c r="C2283" t="s">
        <v>7</v>
      </c>
      <c r="D2283" t="s">
        <v>317</v>
      </c>
      <c r="E2283">
        <v>4</v>
      </c>
      <c r="F2283">
        <v>0</v>
      </c>
      <c r="G2283">
        <v>40</v>
      </c>
      <c r="H2283">
        <v>0</v>
      </c>
      <c r="I2283">
        <v>10</v>
      </c>
      <c r="J2283">
        <v>8</v>
      </c>
      <c r="K2283">
        <v>3</v>
      </c>
      <c r="L2283">
        <v>2</v>
      </c>
      <c r="M2283">
        <v>1</v>
      </c>
      <c r="N2283">
        <v>1</v>
      </c>
    </row>
    <row r="2284" spans="1:14" x14ac:dyDescent="0.45">
      <c r="A2284" t="s">
        <v>269</v>
      </c>
      <c r="B2284" t="s">
        <v>688</v>
      </c>
      <c r="C2284" t="s">
        <v>7</v>
      </c>
      <c r="D2284" t="s">
        <v>308</v>
      </c>
      <c r="E2284">
        <v>4</v>
      </c>
      <c r="F2284">
        <v>0</v>
      </c>
      <c r="G2284">
        <v>33</v>
      </c>
      <c r="H2284">
        <v>3</v>
      </c>
      <c r="I2284">
        <v>8.25</v>
      </c>
      <c r="J2284">
        <v>8</v>
      </c>
      <c r="K2284">
        <v>3</v>
      </c>
      <c r="L2284">
        <v>1</v>
      </c>
      <c r="M2284">
        <v>1</v>
      </c>
      <c r="N2284">
        <v>0</v>
      </c>
    </row>
    <row r="2285" spans="1:14" x14ac:dyDescent="0.45">
      <c r="A2285" t="s">
        <v>269</v>
      </c>
      <c r="B2285" t="s">
        <v>688</v>
      </c>
      <c r="C2285" t="s">
        <v>7</v>
      </c>
      <c r="D2285" t="s">
        <v>322</v>
      </c>
      <c r="E2285">
        <v>2</v>
      </c>
      <c r="F2285">
        <v>0</v>
      </c>
      <c r="G2285">
        <v>27</v>
      </c>
      <c r="H2285">
        <v>0</v>
      </c>
      <c r="I2285">
        <v>13.5</v>
      </c>
      <c r="J2285">
        <v>1</v>
      </c>
      <c r="K2285">
        <v>2</v>
      </c>
      <c r="L2285">
        <v>1</v>
      </c>
      <c r="M2285">
        <v>1</v>
      </c>
      <c r="N2285">
        <v>0</v>
      </c>
    </row>
    <row r="2286" spans="1:14" x14ac:dyDescent="0.45">
      <c r="A2286" t="s">
        <v>269</v>
      </c>
      <c r="B2286" t="s">
        <v>688</v>
      </c>
      <c r="C2286" t="s">
        <v>7</v>
      </c>
      <c r="D2286" t="s">
        <v>579</v>
      </c>
      <c r="E2286">
        <v>4</v>
      </c>
      <c r="F2286">
        <v>0</v>
      </c>
      <c r="G2286">
        <v>35</v>
      </c>
      <c r="H2286">
        <v>1</v>
      </c>
      <c r="I2286">
        <v>8.75</v>
      </c>
      <c r="J2286">
        <v>6</v>
      </c>
      <c r="K2286">
        <v>3</v>
      </c>
      <c r="L2286">
        <v>0</v>
      </c>
      <c r="M2286">
        <v>1</v>
      </c>
      <c r="N2286">
        <v>0</v>
      </c>
    </row>
    <row r="2287" spans="1:14" x14ac:dyDescent="0.45">
      <c r="A2287" t="s">
        <v>269</v>
      </c>
      <c r="B2287" t="s">
        <v>688</v>
      </c>
      <c r="C2287" t="s">
        <v>101</v>
      </c>
      <c r="D2287" t="s">
        <v>403</v>
      </c>
      <c r="E2287">
        <v>4</v>
      </c>
      <c r="F2287">
        <v>0</v>
      </c>
      <c r="G2287">
        <v>28</v>
      </c>
      <c r="H2287">
        <v>1</v>
      </c>
      <c r="I2287">
        <v>7</v>
      </c>
      <c r="J2287">
        <v>10</v>
      </c>
      <c r="K2287">
        <v>2</v>
      </c>
      <c r="L2287">
        <v>1</v>
      </c>
      <c r="M2287">
        <v>0</v>
      </c>
      <c r="N2287">
        <v>0</v>
      </c>
    </row>
    <row r="2288" spans="1:14" x14ac:dyDescent="0.45">
      <c r="A2288" t="s">
        <v>269</v>
      </c>
      <c r="B2288" t="s">
        <v>688</v>
      </c>
      <c r="C2288" t="s">
        <v>101</v>
      </c>
      <c r="D2288" t="s">
        <v>557</v>
      </c>
      <c r="E2288">
        <v>4</v>
      </c>
      <c r="F2288">
        <v>0</v>
      </c>
      <c r="G2288">
        <v>45</v>
      </c>
      <c r="H2288">
        <v>1</v>
      </c>
      <c r="I2288">
        <v>11.25</v>
      </c>
      <c r="J2288">
        <v>9</v>
      </c>
      <c r="K2288">
        <v>4</v>
      </c>
      <c r="L2288">
        <v>3</v>
      </c>
      <c r="M2288">
        <v>3</v>
      </c>
      <c r="N2288">
        <v>0</v>
      </c>
    </row>
    <row r="2289" spans="1:14" x14ac:dyDescent="0.45">
      <c r="A2289" t="s">
        <v>269</v>
      </c>
      <c r="B2289" t="s">
        <v>688</v>
      </c>
      <c r="C2289" t="s">
        <v>101</v>
      </c>
      <c r="D2289" t="s">
        <v>493</v>
      </c>
      <c r="E2289">
        <v>4</v>
      </c>
      <c r="F2289">
        <v>0</v>
      </c>
      <c r="G2289">
        <v>27</v>
      </c>
      <c r="H2289">
        <v>2</v>
      </c>
      <c r="I2289">
        <v>6.75</v>
      </c>
      <c r="J2289">
        <v>14</v>
      </c>
      <c r="K2289">
        <v>2</v>
      </c>
      <c r="L2289">
        <v>2</v>
      </c>
      <c r="M2289">
        <v>0</v>
      </c>
      <c r="N2289">
        <v>0</v>
      </c>
    </row>
    <row r="2290" spans="1:14" x14ac:dyDescent="0.45">
      <c r="A2290" t="s">
        <v>269</v>
      </c>
      <c r="B2290" t="s">
        <v>688</v>
      </c>
      <c r="C2290" t="s">
        <v>101</v>
      </c>
      <c r="D2290" t="s">
        <v>489</v>
      </c>
      <c r="E2290">
        <v>4</v>
      </c>
      <c r="F2290">
        <v>0</v>
      </c>
      <c r="G2290">
        <v>69</v>
      </c>
      <c r="H2290">
        <v>0</v>
      </c>
      <c r="I2290">
        <v>17.25</v>
      </c>
      <c r="J2290">
        <v>4</v>
      </c>
      <c r="K2290">
        <v>3</v>
      </c>
      <c r="L2290">
        <v>8</v>
      </c>
      <c r="M2290">
        <v>0</v>
      </c>
      <c r="N2290">
        <v>0</v>
      </c>
    </row>
    <row r="2291" spans="1:14" x14ac:dyDescent="0.45">
      <c r="A2291" t="s">
        <v>269</v>
      </c>
      <c r="B2291" t="s">
        <v>688</v>
      </c>
      <c r="C2291" t="s">
        <v>101</v>
      </c>
      <c r="D2291" t="s">
        <v>379</v>
      </c>
      <c r="E2291">
        <v>4</v>
      </c>
      <c r="F2291">
        <v>0</v>
      </c>
      <c r="G2291">
        <v>37</v>
      </c>
      <c r="H2291">
        <v>3</v>
      </c>
      <c r="I2291">
        <v>9.25</v>
      </c>
      <c r="J2291">
        <v>6</v>
      </c>
      <c r="K2291">
        <v>4</v>
      </c>
      <c r="L2291">
        <v>1</v>
      </c>
      <c r="M2291">
        <v>0</v>
      </c>
      <c r="N2291">
        <v>0</v>
      </c>
    </row>
    <row r="2292" spans="1:14" x14ac:dyDescent="0.45">
      <c r="A2292" t="s">
        <v>270</v>
      </c>
      <c r="B2292" t="s">
        <v>689</v>
      </c>
      <c r="C2292" t="s">
        <v>6</v>
      </c>
      <c r="D2292" t="s">
        <v>324</v>
      </c>
      <c r="E2292">
        <v>1</v>
      </c>
      <c r="F2292">
        <v>0</v>
      </c>
      <c r="G2292">
        <v>10</v>
      </c>
      <c r="H2292">
        <v>0</v>
      </c>
      <c r="I2292">
        <v>10</v>
      </c>
      <c r="J2292">
        <v>2</v>
      </c>
      <c r="K2292">
        <v>2</v>
      </c>
      <c r="L2292">
        <v>0</v>
      </c>
      <c r="M2292">
        <v>0</v>
      </c>
      <c r="N2292">
        <v>0</v>
      </c>
    </row>
    <row r="2293" spans="1:14" x14ac:dyDescent="0.45">
      <c r="A2293" t="s">
        <v>270</v>
      </c>
      <c r="B2293" t="s">
        <v>689</v>
      </c>
      <c r="C2293" t="s">
        <v>6</v>
      </c>
      <c r="D2293" t="s">
        <v>555</v>
      </c>
      <c r="E2293">
        <v>3</v>
      </c>
      <c r="F2293">
        <v>0</v>
      </c>
      <c r="G2293">
        <v>31</v>
      </c>
      <c r="H2293">
        <v>2</v>
      </c>
      <c r="I2293">
        <v>10.33</v>
      </c>
      <c r="J2293">
        <v>9</v>
      </c>
      <c r="K2293">
        <v>2</v>
      </c>
      <c r="L2293">
        <v>3</v>
      </c>
      <c r="M2293">
        <v>1</v>
      </c>
      <c r="N2293">
        <v>0</v>
      </c>
    </row>
    <row r="2294" spans="1:14" x14ac:dyDescent="0.45">
      <c r="A2294" t="s">
        <v>270</v>
      </c>
      <c r="B2294" t="s">
        <v>689</v>
      </c>
      <c r="C2294" t="s">
        <v>6</v>
      </c>
      <c r="D2294" t="s">
        <v>608</v>
      </c>
      <c r="E2294">
        <v>4</v>
      </c>
      <c r="F2294">
        <v>0</v>
      </c>
      <c r="G2294">
        <v>37</v>
      </c>
      <c r="H2294">
        <v>1</v>
      </c>
      <c r="I2294">
        <v>9.25</v>
      </c>
      <c r="J2294">
        <v>4</v>
      </c>
      <c r="K2294">
        <v>5</v>
      </c>
      <c r="L2294">
        <v>0</v>
      </c>
      <c r="M2294">
        <v>0</v>
      </c>
      <c r="N2294">
        <v>0</v>
      </c>
    </row>
    <row r="2295" spans="1:14" x14ac:dyDescent="0.45">
      <c r="A2295" t="s">
        <v>270</v>
      </c>
      <c r="B2295" t="s">
        <v>689</v>
      </c>
      <c r="C2295" t="s">
        <v>6</v>
      </c>
      <c r="D2295" t="s">
        <v>507</v>
      </c>
      <c r="E2295">
        <v>4</v>
      </c>
      <c r="F2295">
        <v>0</v>
      </c>
      <c r="G2295">
        <v>28</v>
      </c>
      <c r="H2295">
        <v>2</v>
      </c>
      <c r="I2295">
        <v>7</v>
      </c>
      <c r="J2295">
        <v>6</v>
      </c>
      <c r="K2295">
        <v>3</v>
      </c>
      <c r="L2295">
        <v>0</v>
      </c>
      <c r="M2295">
        <v>0</v>
      </c>
      <c r="N2295">
        <v>0</v>
      </c>
    </row>
    <row r="2296" spans="1:14" x14ac:dyDescent="0.45">
      <c r="A2296" t="s">
        <v>270</v>
      </c>
      <c r="B2296" t="s">
        <v>689</v>
      </c>
      <c r="C2296" t="s">
        <v>6</v>
      </c>
      <c r="D2296" t="s">
        <v>328</v>
      </c>
      <c r="E2296">
        <v>4</v>
      </c>
      <c r="F2296">
        <v>0</v>
      </c>
      <c r="G2296">
        <v>20</v>
      </c>
      <c r="H2296">
        <v>3</v>
      </c>
      <c r="I2296">
        <v>5</v>
      </c>
      <c r="J2296">
        <v>9</v>
      </c>
      <c r="K2296">
        <v>0</v>
      </c>
      <c r="L2296">
        <v>1</v>
      </c>
      <c r="M2296">
        <v>0</v>
      </c>
      <c r="N2296">
        <v>0</v>
      </c>
    </row>
    <row r="2297" spans="1:14" x14ac:dyDescent="0.45">
      <c r="A2297" t="s">
        <v>270</v>
      </c>
      <c r="B2297" t="s">
        <v>689</v>
      </c>
      <c r="C2297" t="s">
        <v>6</v>
      </c>
      <c r="D2297" t="s">
        <v>537</v>
      </c>
      <c r="E2297">
        <v>4</v>
      </c>
      <c r="F2297">
        <v>0</v>
      </c>
      <c r="G2297">
        <v>28</v>
      </c>
      <c r="H2297">
        <v>0</v>
      </c>
      <c r="I2297">
        <v>7</v>
      </c>
      <c r="J2297">
        <v>9</v>
      </c>
      <c r="K2297">
        <v>3</v>
      </c>
      <c r="L2297">
        <v>0</v>
      </c>
      <c r="M2297">
        <v>4</v>
      </c>
      <c r="N2297">
        <v>0</v>
      </c>
    </row>
    <row r="2298" spans="1:14" x14ac:dyDescent="0.45">
      <c r="A2298" t="s">
        <v>270</v>
      </c>
      <c r="B2298" t="s">
        <v>689</v>
      </c>
      <c r="C2298" t="s">
        <v>19</v>
      </c>
      <c r="D2298" t="s">
        <v>562</v>
      </c>
      <c r="E2298">
        <v>3</v>
      </c>
      <c r="F2298">
        <v>0</v>
      </c>
      <c r="G2298">
        <v>24</v>
      </c>
      <c r="H2298">
        <v>1</v>
      </c>
      <c r="I2298">
        <v>8</v>
      </c>
      <c r="J2298">
        <v>9</v>
      </c>
      <c r="K2298">
        <v>2</v>
      </c>
      <c r="L2298">
        <v>1</v>
      </c>
      <c r="M2298">
        <v>1</v>
      </c>
      <c r="N2298">
        <v>0</v>
      </c>
    </row>
    <row r="2299" spans="1:14" x14ac:dyDescent="0.45">
      <c r="A2299" t="s">
        <v>270</v>
      </c>
      <c r="B2299" t="s">
        <v>689</v>
      </c>
      <c r="C2299" t="s">
        <v>19</v>
      </c>
      <c r="D2299" t="s">
        <v>593</v>
      </c>
      <c r="E2299">
        <v>2.1</v>
      </c>
      <c r="F2299">
        <v>0</v>
      </c>
      <c r="G2299">
        <v>35</v>
      </c>
      <c r="H2299">
        <v>0</v>
      </c>
      <c r="I2299">
        <v>16.149999999999999</v>
      </c>
      <c r="J2299">
        <v>2</v>
      </c>
      <c r="K2299">
        <v>5</v>
      </c>
      <c r="L2299">
        <v>1</v>
      </c>
      <c r="M2299">
        <v>3</v>
      </c>
      <c r="N2299">
        <v>0</v>
      </c>
    </row>
    <row r="2300" spans="1:14" x14ac:dyDescent="0.45">
      <c r="A2300" t="s">
        <v>270</v>
      </c>
      <c r="B2300" t="s">
        <v>689</v>
      </c>
      <c r="C2300" t="s">
        <v>19</v>
      </c>
      <c r="D2300" t="s">
        <v>560</v>
      </c>
      <c r="E2300">
        <v>3</v>
      </c>
      <c r="F2300">
        <v>0</v>
      </c>
      <c r="G2300">
        <v>20</v>
      </c>
      <c r="H2300">
        <v>0</v>
      </c>
      <c r="I2300">
        <v>6.66</v>
      </c>
      <c r="J2300">
        <v>6</v>
      </c>
      <c r="K2300">
        <v>0</v>
      </c>
      <c r="L2300">
        <v>1</v>
      </c>
      <c r="M2300">
        <v>1</v>
      </c>
      <c r="N2300">
        <v>0</v>
      </c>
    </row>
    <row r="2301" spans="1:14" x14ac:dyDescent="0.45">
      <c r="A2301" t="s">
        <v>270</v>
      </c>
      <c r="B2301" t="s">
        <v>689</v>
      </c>
      <c r="C2301" t="s">
        <v>19</v>
      </c>
      <c r="D2301" t="s">
        <v>368</v>
      </c>
      <c r="E2301">
        <v>4</v>
      </c>
      <c r="F2301">
        <v>0</v>
      </c>
      <c r="G2301">
        <v>33</v>
      </c>
      <c r="H2301">
        <v>1</v>
      </c>
      <c r="I2301">
        <v>8.25</v>
      </c>
      <c r="J2301">
        <v>8</v>
      </c>
      <c r="K2301">
        <v>5</v>
      </c>
      <c r="L2301">
        <v>0</v>
      </c>
      <c r="M2301">
        <v>0</v>
      </c>
      <c r="N2301">
        <v>0</v>
      </c>
    </row>
    <row r="2302" spans="1:14" x14ac:dyDescent="0.45">
      <c r="A2302" t="s">
        <v>270</v>
      </c>
      <c r="B2302" t="s">
        <v>689</v>
      </c>
      <c r="C2302" t="s">
        <v>19</v>
      </c>
      <c r="D2302" t="s">
        <v>524</v>
      </c>
      <c r="E2302">
        <v>4</v>
      </c>
      <c r="F2302">
        <v>0</v>
      </c>
      <c r="G2302">
        <v>24</v>
      </c>
      <c r="H2302">
        <v>1</v>
      </c>
      <c r="I2302">
        <v>6</v>
      </c>
      <c r="J2302">
        <v>6</v>
      </c>
      <c r="K2302">
        <v>0</v>
      </c>
      <c r="L2302">
        <v>1</v>
      </c>
      <c r="M2302">
        <v>0</v>
      </c>
      <c r="N2302">
        <v>0</v>
      </c>
    </row>
    <row r="2303" spans="1:14" x14ac:dyDescent="0.45">
      <c r="A2303" t="s">
        <v>270</v>
      </c>
      <c r="B2303" t="s">
        <v>689</v>
      </c>
      <c r="C2303" t="s">
        <v>19</v>
      </c>
      <c r="D2303" t="s">
        <v>504</v>
      </c>
      <c r="E2303">
        <v>2</v>
      </c>
      <c r="F2303">
        <v>0</v>
      </c>
      <c r="G2303">
        <v>19</v>
      </c>
      <c r="H2303">
        <v>0</v>
      </c>
      <c r="I2303">
        <v>9.5</v>
      </c>
      <c r="J2303">
        <v>4</v>
      </c>
      <c r="K2303">
        <v>2</v>
      </c>
      <c r="L2303">
        <v>1</v>
      </c>
      <c r="M2303">
        <v>0</v>
      </c>
      <c r="N2303">
        <v>0</v>
      </c>
    </row>
    <row r="2304" spans="1:14" x14ac:dyDescent="0.45">
      <c r="A2304" t="s">
        <v>272</v>
      </c>
      <c r="B2304" t="s">
        <v>675</v>
      </c>
      <c r="C2304" t="s">
        <v>10</v>
      </c>
      <c r="D2304" t="s">
        <v>444</v>
      </c>
      <c r="E2304">
        <v>2</v>
      </c>
      <c r="F2304">
        <v>0</v>
      </c>
      <c r="G2304">
        <v>31</v>
      </c>
      <c r="H2304">
        <v>0</v>
      </c>
      <c r="I2304">
        <v>15.5</v>
      </c>
      <c r="J2304">
        <v>3</v>
      </c>
      <c r="K2304">
        <v>6</v>
      </c>
      <c r="L2304">
        <v>0</v>
      </c>
      <c r="M2304">
        <v>2</v>
      </c>
      <c r="N2304">
        <v>0</v>
      </c>
    </row>
    <row r="2305" spans="1:14" x14ac:dyDescent="0.45">
      <c r="A2305" t="s">
        <v>272</v>
      </c>
      <c r="B2305" t="s">
        <v>675</v>
      </c>
      <c r="C2305" t="s">
        <v>10</v>
      </c>
      <c r="D2305" t="s">
        <v>338</v>
      </c>
      <c r="E2305">
        <v>4</v>
      </c>
      <c r="F2305">
        <v>0</v>
      </c>
      <c r="G2305">
        <v>44</v>
      </c>
      <c r="H2305">
        <v>0</v>
      </c>
      <c r="I2305">
        <v>11</v>
      </c>
      <c r="J2305">
        <v>10</v>
      </c>
      <c r="K2305">
        <v>6</v>
      </c>
      <c r="L2305">
        <v>2</v>
      </c>
      <c r="M2305">
        <v>0</v>
      </c>
      <c r="N2305">
        <v>0</v>
      </c>
    </row>
    <row r="2306" spans="1:14" x14ac:dyDescent="0.45">
      <c r="A2306" t="s">
        <v>272</v>
      </c>
      <c r="B2306" t="s">
        <v>675</v>
      </c>
      <c r="C2306" t="s">
        <v>10</v>
      </c>
      <c r="D2306" t="s">
        <v>587</v>
      </c>
      <c r="E2306">
        <v>4</v>
      </c>
      <c r="F2306">
        <v>0</v>
      </c>
      <c r="G2306">
        <v>36</v>
      </c>
      <c r="H2306">
        <v>2</v>
      </c>
      <c r="I2306">
        <v>9</v>
      </c>
      <c r="J2306">
        <v>8</v>
      </c>
      <c r="K2306">
        <v>3</v>
      </c>
      <c r="L2306">
        <v>2</v>
      </c>
      <c r="M2306">
        <v>0</v>
      </c>
      <c r="N2306">
        <v>0</v>
      </c>
    </row>
    <row r="2307" spans="1:14" x14ac:dyDescent="0.45">
      <c r="A2307" t="s">
        <v>272</v>
      </c>
      <c r="B2307" t="s">
        <v>675</v>
      </c>
      <c r="C2307" t="s">
        <v>10</v>
      </c>
      <c r="D2307" t="s">
        <v>337</v>
      </c>
      <c r="E2307">
        <v>4</v>
      </c>
      <c r="F2307">
        <v>0</v>
      </c>
      <c r="G2307">
        <v>38</v>
      </c>
      <c r="H2307">
        <v>0</v>
      </c>
      <c r="I2307">
        <v>9.5</v>
      </c>
      <c r="J2307">
        <v>6</v>
      </c>
      <c r="K2307">
        <v>5</v>
      </c>
      <c r="L2307">
        <v>1</v>
      </c>
      <c r="M2307">
        <v>0</v>
      </c>
      <c r="N2307">
        <v>0</v>
      </c>
    </row>
    <row r="2308" spans="1:14" x14ac:dyDescent="0.45">
      <c r="A2308" t="s">
        <v>272</v>
      </c>
      <c r="B2308" t="s">
        <v>675</v>
      </c>
      <c r="C2308" t="s">
        <v>10</v>
      </c>
      <c r="D2308" t="s">
        <v>500</v>
      </c>
      <c r="E2308">
        <v>4</v>
      </c>
      <c r="F2308">
        <v>0</v>
      </c>
      <c r="G2308">
        <v>31</v>
      </c>
      <c r="H2308">
        <v>1</v>
      </c>
      <c r="I2308">
        <v>7.75</v>
      </c>
      <c r="J2308">
        <v>8</v>
      </c>
      <c r="K2308">
        <v>2</v>
      </c>
      <c r="L2308">
        <v>1</v>
      </c>
      <c r="M2308">
        <v>0</v>
      </c>
      <c r="N2308">
        <v>0</v>
      </c>
    </row>
    <row r="2309" spans="1:14" x14ac:dyDescent="0.45">
      <c r="A2309" t="s">
        <v>272</v>
      </c>
      <c r="B2309" t="s">
        <v>675</v>
      </c>
      <c r="C2309" t="s">
        <v>10</v>
      </c>
      <c r="D2309" t="s">
        <v>499</v>
      </c>
      <c r="E2309">
        <v>2</v>
      </c>
      <c r="F2309">
        <v>0</v>
      </c>
      <c r="G2309">
        <v>18</v>
      </c>
      <c r="H2309">
        <v>1</v>
      </c>
      <c r="I2309">
        <v>9</v>
      </c>
      <c r="J2309">
        <v>4</v>
      </c>
      <c r="K2309">
        <v>1</v>
      </c>
      <c r="L2309">
        <v>1</v>
      </c>
      <c r="M2309">
        <v>1</v>
      </c>
      <c r="N2309">
        <v>1</v>
      </c>
    </row>
    <row r="2310" spans="1:14" x14ac:dyDescent="0.45">
      <c r="A2310" t="s">
        <v>272</v>
      </c>
      <c r="B2310" t="s">
        <v>675</v>
      </c>
      <c r="C2310" t="s">
        <v>23</v>
      </c>
      <c r="D2310" t="s">
        <v>370</v>
      </c>
      <c r="E2310">
        <v>4</v>
      </c>
      <c r="F2310">
        <v>1</v>
      </c>
      <c r="G2310">
        <v>29</v>
      </c>
      <c r="H2310">
        <v>3</v>
      </c>
      <c r="I2310">
        <v>7.25</v>
      </c>
      <c r="J2310">
        <v>11</v>
      </c>
      <c r="K2310">
        <v>5</v>
      </c>
      <c r="L2310">
        <v>0</v>
      </c>
      <c r="M2310">
        <v>0</v>
      </c>
      <c r="N2310">
        <v>0</v>
      </c>
    </row>
    <row r="2311" spans="1:14" x14ac:dyDescent="0.45">
      <c r="A2311" t="s">
        <v>272</v>
      </c>
      <c r="B2311" t="s">
        <v>675</v>
      </c>
      <c r="C2311" t="s">
        <v>23</v>
      </c>
      <c r="D2311" t="s">
        <v>429</v>
      </c>
      <c r="E2311">
        <v>4</v>
      </c>
      <c r="F2311">
        <v>0</v>
      </c>
      <c r="G2311">
        <v>20</v>
      </c>
      <c r="H2311">
        <v>1</v>
      </c>
      <c r="I2311">
        <v>5</v>
      </c>
      <c r="J2311">
        <v>11</v>
      </c>
      <c r="K2311">
        <v>2</v>
      </c>
      <c r="L2311">
        <v>0</v>
      </c>
      <c r="M2311">
        <v>1</v>
      </c>
      <c r="N2311">
        <v>0</v>
      </c>
    </row>
    <row r="2312" spans="1:14" x14ac:dyDescent="0.45">
      <c r="A2312" t="s">
        <v>272</v>
      </c>
      <c r="B2312" t="s">
        <v>675</v>
      </c>
      <c r="C2312" t="s">
        <v>23</v>
      </c>
      <c r="D2312" t="s">
        <v>339</v>
      </c>
      <c r="E2312">
        <v>4</v>
      </c>
      <c r="F2312">
        <v>0</v>
      </c>
      <c r="G2312">
        <v>25</v>
      </c>
      <c r="H2312">
        <v>2</v>
      </c>
      <c r="I2312">
        <v>6.25</v>
      </c>
      <c r="J2312">
        <v>10</v>
      </c>
      <c r="K2312">
        <v>2</v>
      </c>
      <c r="L2312">
        <v>0</v>
      </c>
      <c r="M2312">
        <v>3</v>
      </c>
      <c r="N2312">
        <v>0</v>
      </c>
    </row>
    <row r="2313" spans="1:14" x14ac:dyDescent="0.45">
      <c r="A2313" t="s">
        <v>272</v>
      </c>
      <c r="B2313" t="s">
        <v>675</v>
      </c>
      <c r="C2313" t="s">
        <v>23</v>
      </c>
      <c r="D2313" t="s">
        <v>378</v>
      </c>
      <c r="E2313">
        <v>3</v>
      </c>
      <c r="F2313">
        <v>0</v>
      </c>
      <c r="G2313">
        <v>28</v>
      </c>
      <c r="H2313">
        <v>0</v>
      </c>
      <c r="I2313">
        <v>9.33</v>
      </c>
      <c r="J2313">
        <v>4</v>
      </c>
      <c r="K2313">
        <v>4</v>
      </c>
      <c r="L2313">
        <v>0</v>
      </c>
      <c r="M2313">
        <v>1</v>
      </c>
      <c r="N2313">
        <v>0</v>
      </c>
    </row>
    <row r="2314" spans="1:14" x14ac:dyDescent="0.45">
      <c r="A2314" t="s">
        <v>272</v>
      </c>
      <c r="B2314" t="s">
        <v>675</v>
      </c>
      <c r="C2314" t="s">
        <v>23</v>
      </c>
      <c r="D2314" t="s">
        <v>353</v>
      </c>
      <c r="E2314">
        <v>4</v>
      </c>
      <c r="F2314">
        <v>0</v>
      </c>
      <c r="G2314">
        <v>27</v>
      </c>
      <c r="H2314">
        <v>3</v>
      </c>
      <c r="I2314">
        <v>6.75</v>
      </c>
      <c r="J2314">
        <v>8</v>
      </c>
      <c r="K2314">
        <v>2</v>
      </c>
      <c r="L2314">
        <v>0</v>
      </c>
      <c r="M2314">
        <v>2</v>
      </c>
      <c r="N2314">
        <v>0</v>
      </c>
    </row>
    <row r="2315" spans="1:14" x14ac:dyDescent="0.45">
      <c r="A2315" t="s">
        <v>272</v>
      </c>
      <c r="B2315" t="s">
        <v>675</v>
      </c>
      <c r="C2315" t="s">
        <v>23</v>
      </c>
      <c r="D2315" t="s">
        <v>473</v>
      </c>
      <c r="E2315">
        <v>1</v>
      </c>
      <c r="F2315">
        <v>0</v>
      </c>
      <c r="G2315">
        <v>11</v>
      </c>
      <c r="H2315">
        <v>0</v>
      </c>
      <c r="I2315">
        <v>11</v>
      </c>
      <c r="J2315">
        <v>0</v>
      </c>
      <c r="K2315">
        <v>0</v>
      </c>
      <c r="L2315">
        <v>0</v>
      </c>
      <c r="M2315">
        <v>0</v>
      </c>
      <c r="N2315">
        <v>1</v>
      </c>
    </row>
    <row r="2316" spans="1:14" x14ac:dyDescent="0.45">
      <c r="A2316" t="s">
        <v>273</v>
      </c>
      <c r="B2316" t="s">
        <v>702</v>
      </c>
      <c r="C2316" t="s">
        <v>104</v>
      </c>
      <c r="D2316" t="s">
        <v>564</v>
      </c>
      <c r="E2316">
        <v>1</v>
      </c>
      <c r="F2316">
        <v>0</v>
      </c>
      <c r="G2316">
        <v>5</v>
      </c>
      <c r="H2316">
        <v>0</v>
      </c>
      <c r="I2316">
        <v>5</v>
      </c>
      <c r="J2316">
        <v>1</v>
      </c>
      <c r="K2316">
        <v>0</v>
      </c>
      <c r="L2316">
        <v>0</v>
      </c>
      <c r="M2316">
        <v>0</v>
      </c>
      <c r="N2316">
        <v>0</v>
      </c>
    </row>
    <row r="2317" spans="1:14" x14ac:dyDescent="0.45">
      <c r="A2317" t="s">
        <v>273</v>
      </c>
      <c r="B2317" t="s">
        <v>702</v>
      </c>
      <c r="C2317" t="s">
        <v>104</v>
      </c>
      <c r="D2317" t="s">
        <v>392</v>
      </c>
      <c r="E2317">
        <v>3</v>
      </c>
      <c r="F2317">
        <v>0</v>
      </c>
      <c r="G2317">
        <v>26</v>
      </c>
      <c r="H2317">
        <v>0</v>
      </c>
      <c r="I2317">
        <v>8.66</v>
      </c>
      <c r="J2317">
        <v>9</v>
      </c>
      <c r="K2317">
        <v>0</v>
      </c>
      <c r="L2317">
        <v>3</v>
      </c>
      <c r="M2317">
        <v>1</v>
      </c>
      <c r="N2317">
        <v>0</v>
      </c>
    </row>
    <row r="2318" spans="1:14" x14ac:dyDescent="0.45">
      <c r="A2318" t="s">
        <v>273</v>
      </c>
      <c r="B2318" t="s">
        <v>702</v>
      </c>
      <c r="C2318" t="s">
        <v>104</v>
      </c>
      <c r="D2318" t="s">
        <v>366</v>
      </c>
      <c r="E2318">
        <v>4</v>
      </c>
      <c r="F2318">
        <v>0</v>
      </c>
      <c r="G2318">
        <v>18</v>
      </c>
      <c r="H2318">
        <v>3</v>
      </c>
      <c r="I2318">
        <v>4.5</v>
      </c>
      <c r="J2318">
        <v>15</v>
      </c>
      <c r="K2318">
        <v>3</v>
      </c>
      <c r="L2318">
        <v>0</v>
      </c>
      <c r="M2318">
        <v>0</v>
      </c>
      <c r="N2318">
        <v>0</v>
      </c>
    </row>
    <row r="2319" spans="1:14" x14ac:dyDescent="0.45">
      <c r="A2319" t="s">
        <v>273</v>
      </c>
      <c r="B2319" t="s">
        <v>702</v>
      </c>
      <c r="C2319" t="s">
        <v>104</v>
      </c>
      <c r="D2319" t="s">
        <v>566</v>
      </c>
      <c r="E2319">
        <v>3</v>
      </c>
      <c r="F2319">
        <v>0</v>
      </c>
      <c r="G2319">
        <v>23</v>
      </c>
      <c r="H2319">
        <v>1</v>
      </c>
      <c r="I2319">
        <v>7.66</v>
      </c>
      <c r="J2319">
        <v>6</v>
      </c>
      <c r="K2319">
        <v>3</v>
      </c>
      <c r="L2319">
        <v>0</v>
      </c>
      <c r="M2319">
        <v>0</v>
      </c>
      <c r="N2319">
        <v>0</v>
      </c>
    </row>
    <row r="2320" spans="1:14" x14ac:dyDescent="0.45">
      <c r="A2320" t="s">
        <v>273</v>
      </c>
      <c r="B2320" t="s">
        <v>702</v>
      </c>
      <c r="C2320" t="s">
        <v>104</v>
      </c>
      <c r="D2320" t="s">
        <v>407</v>
      </c>
      <c r="E2320">
        <v>4</v>
      </c>
      <c r="F2320">
        <v>0</v>
      </c>
      <c r="G2320">
        <v>16</v>
      </c>
      <c r="H2320">
        <v>1</v>
      </c>
      <c r="I2320">
        <v>4</v>
      </c>
      <c r="J2320">
        <v>10</v>
      </c>
      <c r="K2320">
        <v>0</v>
      </c>
      <c r="L2320">
        <v>0</v>
      </c>
      <c r="M2320">
        <v>1</v>
      </c>
      <c r="N2320">
        <v>0</v>
      </c>
    </row>
    <row r="2321" spans="1:14" x14ac:dyDescent="0.45">
      <c r="A2321" t="s">
        <v>273</v>
      </c>
      <c r="B2321" t="s">
        <v>702</v>
      </c>
      <c r="C2321" t="s">
        <v>104</v>
      </c>
      <c r="D2321" t="s">
        <v>426</v>
      </c>
      <c r="E2321">
        <v>1</v>
      </c>
      <c r="F2321">
        <v>0</v>
      </c>
      <c r="G2321">
        <v>8</v>
      </c>
      <c r="H2321">
        <v>0</v>
      </c>
      <c r="I2321">
        <v>8</v>
      </c>
      <c r="J2321">
        <v>1</v>
      </c>
      <c r="K2321">
        <v>1</v>
      </c>
      <c r="L2321">
        <v>0</v>
      </c>
      <c r="M2321">
        <v>0</v>
      </c>
      <c r="N2321">
        <v>0</v>
      </c>
    </row>
    <row r="2322" spans="1:14" x14ac:dyDescent="0.45">
      <c r="A2322" t="s">
        <v>273</v>
      </c>
      <c r="B2322" t="s">
        <v>702</v>
      </c>
      <c r="C2322" t="s">
        <v>104</v>
      </c>
      <c r="D2322" t="s">
        <v>468</v>
      </c>
      <c r="E2322">
        <v>4</v>
      </c>
      <c r="F2322">
        <v>0</v>
      </c>
      <c r="G2322">
        <v>23</v>
      </c>
      <c r="H2322">
        <v>2</v>
      </c>
      <c r="I2322">
        <v>5.75</v>
      </c>
      <c r="J2322">
        <v>10</v>
      </c>
      <c r="K2322">
        <v>3</v>
      </c>
      <c r="L2322">
        <v>0</v>
      </c>
      <c r="M2322">
        <v>0</v>
      </c>
      <c r="N2322">
        <v>0</v>
      </c>
    </row>
    <row r="2323" spans="1:14" x14ac:dyDescent="0.45">
      <c r="A2323" t="s">
        <v>273</v>
      </c>
      <c r="B2323" t="s">
        <v>702</v>
      </c>
      <c r="C2323" t="s">
        <v>20</v>
      </c>
      <c r="D2323" t="s">
        <v>409</v>
      </c>
      <c r="E2323">
        <v>2</v>
      </c>
      <c r="F2323">
        <v>0</v>
      </c>
      <c r="G2323">
        <v>19</v>
      </c>
      <c r="H2323">
        <v>1</v>
      </c>
      <c r="I2323">
        <v>9.5</v>
      </c>
      <c r="J2323">
        <v>7</v>
      </c>
      <c r="K2323">
        <v>1</v>
      </c>
      <c r="L2323">
        <v>1</v>
      </c>
      <c r="M2323">
        <v>1</v>
      </c>
      <c r="N2323">
        <v>0</v>
      </c>
    </row>
    <row r="2324" spans="1:14" x14ac:dyDescent="0.45">
      <c r="A2324" t="s">
        <v>273</v>
      </c>
      <c r="B2324" t="s">
        <v>702</v>
      </c>
      <c r="C2324" t="s">
        <v>20</v>
      </c>
      <c r="D2324" t="s">
        <v>467</v>
      </c>
      <c r="E2324">
        <v>1</v>
      </c>
      <c r="F2324">
        <v>0</v>
      </c>
      <c r="G2324">
        <v>11</v>
      </c>
      <c r="H2324">
        <v>0</v>
      </c>
      <c r="I2324">
        <v>11</v>
      </c>
      <c r="J2324">
        <v>1</v>
      </c>
      <c r="K2324">
        <v>2</v>
      </c>
      <c r="L2324">
        <v>0</v>
      </c>
      <c r="M2324">
        <v>0</v>
      </c>
      <c r="N2324">
        <v>0</v>
      </c>
    </row>
    <row r="2325" spans="1:14" x14ac:dyDescent="0.45">
      <c r="A2325" t="s">
        <v>273</v>
      </c>
      <c r="B2325" t="s">
        <v>702</v>
      </c>
      <c r="C2325" t="s">
        <v>20</v>
      </c>
      <c r="D2325" t="s">
        <v>497</v>
      </c>
      <c r="E2325">
        <v>3</v>
      </c>
      <c r="F2325">
        <v>0</v>
      </c>
      <c r="G2325">
        <v>13</v>
      </c>
      <c r="H2325">
        <v>1</v>
      </c>
      <c r="I2325">
        <v>4.33</v>
      </c>
      <c r="J2325">
        <v>12</v>
      </c>
      <c r="K2325">
        <v>2</v>
      </c>
      <c r="L2325">
        <v>0</v>
      </c>
      <c r="M2325">
        <v>1</v>
      </c>
      <c r="N2325">
        <v>0</v>
      </c>
    </row>
    <row r="2326" spans="1:14" x14ac:dyDescent="0.45">
      <c r="A2326" t="s">
        <v>273</v>
      </c>
      <c r="B2326" t="s">
        <v>702</v>
      </c>
      <c r="C2326" t="s">
        <v>20</v>
      </c>
      <c r="D2326" t="s">
        <v>401</v>
      </c>
      <c r="E2326">
        <v>2</v>
      </c>
      <c r="F2326">
        <v>0</v>
      </c>
      <c r="G2326">
        <v>14</v>
      </c>
      <c r="H2326">
        <v>0</v>
      </c>
      <c r="I2326">
        <v>7</v>
      </c>
      <c r="J2326">
        <v>5</v>
      </c>
      <c r="K2326">
        <v>2</v>
      </c>
      <c r="L2326">
        <v>0</v>
      </c>
      <c r="M2326">
        <v>0</v>
      </c>
      <c r="N2326">
        <v>0</v>
      </c>
    </row>
    <row r="2327" spans="1:14" x14ac:dyDescent="0.45">
      <c r="A2327" t="s">
        <v>273</v>
      </c>
      <c r="B2327" t="s">
        <v>702</v>
      </c>
      <c r="C2327" t="s">
        <v>20</v>
      </c>
      <c r="D2327" t="s">
        <v>451</v>
      </c>
      <c r="E2327">
        <v>3</v>
      </c>
      <c r="F2327">
        <v>0</v>
      </c>
      <c r="G2327">
        <v>23</v>
      </c>
      <c r="H2327">
        <v>2</v>
      </c>
      <c r="I2327">
        <v>7.66</v>
      </c>
      <c r="J2327">
        <v>8</v>
      </c>
      <c r="K2327">
        <v>2</v>
      </c>
      <c r="L2327">
        <v>1</v>
      </c>
      <c r="M2327">
        <v>0</v>
      </c>
      <c r="N2327">
        <v>0</v>
      </c>
    </row>
    <row r="2328" spans="1:14" x14ac:dyDescent="0.45">
      <c r="A2328" t="s">
        <v>273</v>
      </c>
      <c r="B2328" t="s">
        <v>702</v>
      </c>
      <c r="C2328" t="s">
        <v>20</v>
      </c>
      <c r="D2328" t="s">
        <v>483</v>
      </c>
      <c r="E2328">
        <v>3</v>
      </c>
      <c r="F2328">
        <v>0</v>
      </c>
      <c r="G2328">
        <v>23</v>
      </c>
      <c r="H2328">
        <v>0</v>
      </c>
      <c r="I2328">
        <v>7.66</v>
      </c>
      <c r="J2328">
        <v>7</v>
      </c>
      <c r="K2328">
        <v>1</v>
      </c>
      <c r="L2328">
        <v>1</v>
      </c>
      <c r="M2328">
        <v>1</v>
      </c>
      <c r="N2328">
        <v>0</v>
      </c>
    </row>
    <row r="2329" spans="1:14" x14ac:dyDescent="0.45">
      <c r="A2329" t="s">
        <v>273</v>
      </c>
      <c r="B2329" t="s">
        <v>702</v>
      </c>
      <c r="C2329" t="s">
        <v>20</v>
      </c>
      <c r="D2329" t="s">
        <v>382</v>
      </c>
      <c r="E2329">
        <v>2</v>
      </c>
      <c r="F2329">
        <v>0</v>
      </c>
      <c r="G2329">
        <v>22</v>
      </c>
      <c r="H2329">
        <v>1</v>
      </c>
      <c r="I2329">
        <v>11</v>
      </c>
      <c r="J2329">
        <v>7</v>
      </c>
      <c r="K2329">
        <v>3</v>
      </c>
      <c r="L2329">
        <v>0</v>
      </c>
      <c r="M2329">
        <v>2</v>
      </c>
      <c r="N2329">
        <v>0</v>
      </c>
    </row>
    <row r="2330" spans="1:14" x14ac:dyDescent="0.45">
      <c r="A2330" t="s">
        <v>274</v>
      </c>
      <c r="B2330" t="s">
        <v>697</v>
      </c>
      <c r="C2330" t="s">
        <v>13</v>
      </c>
      <c r="D2330" t="s">
        <v>352</v>
      </c>
      <c r="E2330">
        <v>4</v>
      </c>
      <c r="F2330">
        <v>0</v>
      </c>
      <c r="G2330">
        <v>44</v>
      </c>
      <c r="H2330">
        <v>1</v>
      </c>
      <c r="I2330">
        <v>11</v>
      </c>
      <c r="J2330">
        <v>13</v>
      </c>
      <c r="K2330">
        <v>6</v>
      </c>
      <c r="L2330">
        <v>1</v>
      </c>
      <c r="M2330">
        <v>3</v>
      </c>
      <c r="N2330">
        <v>1</v>
      </c>
    </row>
    <row r="2331" spans="1:14" x14ac:dyDescent="0.45">
      <c r="A2331" t="s">
        <v>274</v>
      </c>
      <c r="B2331" t="s">
        <v>697</v>
      </c>
      <c r="C2331" t="s">
        <v>13</v>
      </c>
      <c r="D2331" t="s">
        <v>550</v>
      </c>
      <c r="E2331">
        <v>4</v>
      </c>
      <c r="F2331">
        <v>1</v>
      </c>
      <c r="G2331">
        <v>16</v>
      </c>
      <c r="H2331">
        <v>2</v>
      </c>
      <c r="I2331">
        <v>4</v>
      </c>
      <c r="J2331">
        <v>15</v>
      </c>
      <c r="K2331">
        <v>2</v>
      </c>
      <c r="L2331">
        <v>0</v>
      </c>
      <c r="M2331">
        <v>1</v>
      </c>
      <c r="N2331">
        <v>0</v>
      </c>
    </row>
    <row r="2332" spans="1:14" x14ac:dyDescent="0.45">
      <c r="A2332" t="s">
        <v>274</v>
      </c>
      <c r="B2332" t="s">
        <v>697</v>
      </c>
      <c r="C2332" t="s">
        <v>13</v>
      </c>
      <c r="D2332" t="s">
        <v>547</v>
      </c>
      <c r="E2332">
        <v>2</v>
      </c>
      <c r="F2332">
        <v>0</v>
      </c>
      <c r="G2332">
        <v>30</v>
      </c>
      <c r="H2332">
        <v>0</v>
      </c>
      <c r="I2332">
        <v>15</v>
      </c>
      <c r="J2332">
        <v>4</v>
      </c>
      <c r="K2332">
        <v>2</v>
      </c>
      <c r="L2332">
        <v>2</v>
      </c>
      <c r="M2332">
        <v>1</v>
      </c>
      <c r="N2332">
        <v>2</v>
      </c>
    </row>
    <row r="2333" spans="1:14" x14ac:dyDescent="0.45">
      <c r="A2333" t="s">
        <v>274</v>
      </c>
      <c r="B2333" t="s">
        <v>697</v>
      </c>
      <c r="C2333" t="s">
        <v>13</v>
      </c>
      <c r="D2333" t="s">
        <v>568</v>
      </c>
      <c r="E2333">
        <v>3</v>
      </c>
      <c r="F2333">
        <v>0</v>
      </c>
      <c r="G2333">
        <v>34</v>
      </c>
      <c r="H2333">
        <v>1</v>
      </c>
      <c r="I2333">
        <v>11.33</v>
      </c>
      <c r="J2333">
        <v>3</v>
      </c>
      <c r="K2333">
        <v>1</v>
      </c>
      <c r="L2333">
        <v>3</v>
      </c>
      <c r="M2333">
        <v>0</v>
      </c>
      <c r="N2333">
        <v>0</v>
      </c>
    </row>
    <row r="2334" spans="1:14" x14ac:dyDescent="0.45">
      <c r="A2334" t="s">
        <v>274</v>
      </c>
      <c r="B2334" t="s">
        <v>697</v>
      </c>
      <c r="C2334" t="s">
        <v>13</v>
      </c>
      <c r="D2334" t="s">
        <v>347</v>
      </c>
      <c r="E2334">
        <v>1</v>
      </c>
      <c r="F2334">
        <v>0</v>
      </c>
      <c r="G2334">
        <v>6</v>
      </c>
      <c r="H2334">
        <v>0</v>
      </c>
      <c r="I2334">
        <v>6</v>
      </c>
      <c r="J2334">
        <v>3</v>
      </c>
      <c r="K2334">
        <v>1</v>
      </c>
      <c r="L2334">
        <v>0</v>
      </c>
      <c r="M2334">
        <v>0</v>
      </c>
      <c r="N2334">
        <v>0</v>
      </c>
    </row>
    <row r="2335" spans="1:14" x14ac:dyDescent="0.45">
      <c r="A2335" t="s">
        <v>274</v>
      </c>
      <c r="B2335" t="s">
        <v>697</v>
      </c>
      <c r="C2335" t="s">
        <v>13</v>
      </c>
      <c r="D2335" t="s">
        <v>586</v>
      </c>
      <c r="E2335">
        <v>3</v>
      </c>
      <c r="F2335">
        <v>0</v>
      </c>
      <c r="G2335">
        <v>26</v>
      </c>
      <c r="H2335">
        <v>2</v>
      </c>
      <c r="I2335">
        <v>8.66</v>
      </c>
      <c r="J2335">
        <v>6</v>
      </c>
      <c r="K2335">
        <v>2</v>
      </c>
      <c r="L2335">
        <v>1</v>
      </c>
      <c r="M2335">
        <v>0</v>
      </c>
      <c r="N2335">
        <v>0</v>
      </c>
    </row>
    <row r="2336" spans="1:14" x14ac:dyDescent="0.45">
      <c r="A2336" t="s">
        <v>274</v>
      </c>
      <c r="B2336" t="s">
        <v>697</v>
      </c>
      <c r="C2336" t="s">
        <v>13</v>
      </c>
      <c r="D2336" t="s">
        <v>349</v>
      </c>
      <c r="E2336">
        <v>3</v>
      </c>
      <c r="F2336">
        <v>0</v>
      </c>
      <c r="G2336">
        <v>38</v>
      </c>
      <c r="H2336">
        <v>1</v>
      </c>
      <c r="I2336">
        <v>12.66</v>
      </c>
      <c r="J2336">
        <v>5</v>
      </c>
      <c r="K2336">
        <v>4</v>
      </c>
      <c r="L2336">
        <v>2</v>
      </c>
      <c r="M2336">
        <v>1</v>
      </c>
      <c r="N2336">
        <v>0</v>
      </c>
    </row>
    <row r="2337" spans="1:14" x14ac:dyDescent="0.45">
      <c r="A2337" t="s">
        <v>274</v>
      </c>
      <c r="B2337" t="s">
        <v>697</v>
      </c>
      <c r="C2337" t="s">
        <v>7</v>
      </c>
      <c r="D2337" t="s">
        <v>515</v>
      </c>
      <c r="E2337">
        <v>2</v>
      </c>
      <c r="F2337">
        <v>0</v>
      </c>
      <c r="G2337">
        <v>17</v>
      </c>
      <c r="H2337">
        <v>0</v>
      </c>
      <c r="I2337">
        <v>8.5</v>
      </c>
      <c r="J2337">
        <v>5</v>
      </c>
      <c r="K2337">
        <v>3</v>
      </c>
      <c r="L2337">
        <v>0</v>
      </c>
      <c r="M2337">
        <v>0</v>
      </c>
      <c r="N2337">
        <v>0</v>
      </c>
    </row>
    <row r="2338" spans="1:14" x14ac:dyDescent="0.45">
      <c r="A2338" t="s">
        <v>274</v>
      </c>
      <c r="B2338" t="s">
        <v>697</v>
      </c>
      <c r="C2338" t="s">
        <v>7</v>
      </c>
      <c r="D2338" t="s">
        <v>415</v>
      </c>
      <c r="E2338">
        <v>2</v>
      </c>
      <c r="F2338">
        <v>0</v>
      </c>
      <c r="G2338">
        <v>25</v>
      </c>
      <c r="H2338">
        <v>0</v>
      </c>
      <c r="I2338">
        <v>12.5</v>
      </c>
      <c r="J2338">
        <v>5</v>
      </c>
      <c r="K2338">
        <v>2</v>
      </c>
      <c r="L2338">
        <v>2</v>
      </c>
      <c r="M2338">
        <v>0</v>
      </c>
      <c r="N2338">
        <v>0</v>
      </c>
    </row>
    <row r="2339" spans="1:14" x14ac:dyDescent="0.45">
      <c r="A2339" t="s">
        <v>274</v>
      </c>
      <c r="B2339" t="s">
        <v>697</v>
      </c>
      <c r="C2339" t="s">
        <v>7</v>
      </c>
      <c r="D2339" t="s">
        <v>308</v>
      </c>
      <c r="E2339">
        <v>4</v>
      </c>
      <c r="F2339">
        <v>0</v>
      </c>
      <c r="G2339">
        <v>16</v>
      </c>
      <c r="H2339">
        <v>2</v>
      </c>
      <c r="I2339">
        <v>4</v>
      </c>
      <c r="J2339">
        <v>12</v>
      </c>
      <c r="K2339">
        <v>1</v>
      </c>
      <c r="L2339">
        <v>0</v>
      </c>
      <c r="M2339">
        <v>0</v>
      </c>
      <c r="N2339">
        <v>0</v>
      </c>
    </row>
    <row r="2340" spans="1:14" x14ac:dyDescent="0.45">
      <c r="A2340" t="s">
        <v>274</v>
      </c>
      <c r="B2340" t="s">
        <v>697</v>
      </c>
      <c r="C2340" t="s">
        <v>7</v>
      </c>
      <c r="D2340" t="s">
        <v>322</v>
      </c>
      <c r="E2340">
        <v>3.4</v>
      </c>
      <c r="F2340">
        <v>0</v>
      </c>
      <c r="G2340">
        <v>15</v>
      </c>
      <c r="H2340">
        <v>4</v>
      </c>
      <c r="I2340">
        <v>4.09</v>
      </c>
      <c r="J2340">
        <v>13</v>
      </c>
      <c r="K2340">
        <v>2</v>
      </c>
      <c r="L2340">
        <v>0</v>
      </c>
      <c r="M2340">
        <v>0</v>
      </c>
      <c r="N2340">
        <v>0</v>
      </c>
    </row>
    <row r="2341" spans="1:14" x14ac:dyDescent="0.45">
      <c r="A2341" t="s">
        <v>274</v>
      </c>
      <c r="B2341" t="s">
        <v>697</v>
      </c>
      <c r="C2341" t="s">
        <v>7</v>
      </c>
      <c r="D2341" t="s">
        <v>579</v>
      </c>
      <c r="E2341">
        <v>4</v>
      </c>
      <c r="F2341">
        <v>0</v>
      </c>
      <c r="G2341">
        <v>30</v>
      </c>
      <c r="H2341">
        <v>3</v>
      </c>
      <c r="I2341">
        <v>7.5</v>
      </c>
      <c r="J2341">
        <v>11</v>
      </c>
      <c r="K2341">
        <v>2</v>
      </c>
      <c r="L2341">
        <v>2</v>
      </c>
      <c r="M2341">
        <v>1</v>
      </c>
      <c r="N2341">
        <v>0</v>
      </c>
    </row>
    <row r="2342" spans="1:14" x14ac:dyDescent="0.45">
      <c r="A2342" t="s">
        <v>274</v>
      </c>
      <c r="B2342" t="s">
        <v>697</v>
      </c>
      <c r="C2342" t="s">
        <v>7</v>
      </c>
      <c r="D2342" t="s">
        <v>326</v>
      </c>
      <c r="E2342">
        <v>2</v>
      </c>
      <c r="F2342">
        <v>0</v>
      </c>
      <c r="G2342">
        <v>15</v>
      </c>
      <c r="H2342">
        <v>1</v>
      </c>
      <c r="I2342">
        <v>7.5</v>
      </c>
      <c r="J2342">
        <v>4</v>
      </c>
      <c r="K2342">
        <v>2</v>
      </c>
      <c r="L2342">
        <v>0</v>
      </c>
      <c r="M2342">
        <v>0</v>
      </c>
      <c r="N2342">
        <v>0</v>
      </c>
    </row>
    <row r="2343" spans="1:14" x14ac:dyDescent="0.45">
      <c r="A2343" t="s">
        <v>275</v>
      </c>
      <c r="B2343" t="s">
        <v>661</v>
      </c>
      <c r="C2343" t="s">
        <v>23</v>
      </c>
      <c r="D2343" t="s">
        <v>370</v>
      </c>
      <c r="E2343">
        <v>4</v>
      </c>
      <c r="F2343">
        <v>0</v>
      </c>
      <c r="G2343">
        <v>38</v>
      </c>
      <c r="H2343">
        <v>0</v>
      </c>
      <c r="I2343">
        <v>9.5</v>
      </c>
      <c r="J2343">
        <v>8</v>
      </c>
      <c r="K2343">
        <v>3</v>
      </c>
      <c r="L2343">
        <v>2</v>
      </c>
      <c r="M2343">
        <v>1</v>
      </c>
      <c r="N2343">
        <v>0</v>
      </c>
    </row>
    <row r="2344" spans="1:14" x14ac:dyDescent="0.45">
      <c r="A2344" t="s">
        <v>275</v>
      </c>
      <c r="B2344" t="s">
        <v>661</v>
      </c>
      <c r="C2344" t="s">
        <v>23</v>
      </c>
      <c r="D2344" t="s">
        <v>421</v>
      </c>
      <c r="E2344">
        <v>4</v>
      </c>
      <c r="F2344">
        <v>0</v>
      </c>
      <c r="G2344">
        <v>54</v>
      </c>
      <c r="H2344">
        <v>0</v>
      </c>
      <c r="I2344">
        <v>13.5</v>
      </c>
      <c r="J2344">
        <v>7</v>
      </c>
      <c r="K2344">
        <v>5</v>
      </c>
      <c r="L2344">
        <v>3</v>
      </c>
      <c r="M2344">
        <v>3</v>
      </c>
      <c r="N2344">
        <v>1</v>
      </c>
    </row>
    <row r="2345" spans="1:14" x14ac:dyDescent="0.45">
      <c r="A2345" t="s">
        <v>275</v>
      </c>
      <c r="B2345" t="s">
        <v>661</v>
      </c>
      <c r="C2345" t="s">
        <v>23</v>
      </c>
      <c r="D2345" t="s">
        <v>339</v>
      </c>
      <c r="E2345">
        <v>4</v>
      </c>
      <c r="F2345">
        <v>0</v>
      </c>
      <c r="G2345">
        <v>25</v>
      </c>
      <c r="H2345">
        <v>1</v>
      </c>
      <c r="I2345">
        <v>6.25</v>
      </c>
      <c r="J2345">
        <v>7</v>
      </c>
      <c r="K2345">
        <v>2</v>
      </c>
      <c r="L2345">
        <v>0</v>
      </c>
      <c r="M2345">
        <v>1</v>
      </c>
      <c r="N2345">
        <v>0</v>
      </c>
    </row>
    <row r="2346" spans="1:14" x14ac:dyDescent="0.45">
      <c r="A2346" t="s">
        <v>275</v>
      </c>
      <c r="B2346" t="s">
        <v>661</v>
      </c>
      <c r="C2346" t="s">
        <v>23</v>
      </c>
      <c r="D2346" t="s">
        <v>378</v>
      </c>
      <c r="E2346">
        <v>4</v>
      </c>
      <c r="F2346">
        <v>0</v>
      </c>
      <c r="G2346">
        <v>29</v>
      </c>
      <c r="H2346">
        <v>2</v>
      </c>
      <c r="I2346">
        <v>7.25</v>
      </c>
      <c r="J2346">
        <v>7</v>
      </c>
      <c r="K2346">
        <v>2</v>
      </c>
      <c r="L2346">
        <v>1</v>
      </c>
      <c r="M2346">
        <v>0</v>
      </c>
      <c r="N2346">
        <v>0</v>
      </c>
    </row>
    <row r="2347" spans="1:14" x14ac:dyDescent="0.45">
      <c r="A2347" t="s">
        <v>275</v>
      </c>
      <c r="B2347" t="s">
        <v>661</v>
      </c>
      <c r="C2347" t="s">
        <v>23</v>
      </c>
      <c r="D2347" t="s">
        <v>353</v>
      </c>
      <c r="E2347">
        <v>4</v>
      </c>
      <c r="F2347">
        <v>0</v>
      </c>
      <c r="G2347">
        <v>50</v>
      </c>
      <c r="H2347">
        <v>1</v>
      </c>
      <c r="I2347">
        <v>12.5</v>
      </c>
      <c r="J2347">
        <v>5</v>
      </c>
      <c r="K2347">
        <v>7</v>
      </c>
      <c r="L2347">
        <v>1</v>
      </c>
      <c r="M2347">
        <v>1</v>
      </c>
      <c r="N2347">
        <v>0</v>
      </c>
    </row>
    <row r="2348" spans="1:14" x14ac:dyDescent="0.45">
      <c r="A2348" t="s">
        <v>275</v>
      </c>
      <c r="B2348" t="s">
        <v>661</v>
      </c>
      <c r="C2348" t="s">
        <v>26</v>
      </c>
      <c r="D2348" t="s">
        <v>420</v>
      </c>
      <c r="E2348">
        <v>4</v>
      </c>
      <c r="F2348">
        <v>0</v>
      </c>
      <c r="G2348">
        <v>44</v>
      </c>
      <c r="H2348">
        <v>0</v>
      </c>
      <c r="I2348">
        <v>11</v>
      </c>
      <c r="J2348">
        <v>7</v>
      </c>
      <c r="K2348">
        <v>3</v>
      </c>
      <c r="L2348">
        <v>3</v>
      </c>
      <c r="M2348">
        <v>0</v>
      </c>
      <c r="N2348">
        <v>0</v>
      </c>
    </row>
    <row r="2349" spans="1:14" x14ac:dyDescent="0.45">
      <c r="A2349" t="s">
        <v>275</v>
      </c>
      <c r="B2349" t="s">
        <v>661</v>
      </c>
      <c r="C2349" t="s">
        <v>26</v>
      </c>
      <c r="D2349" t="s">
        <v>405</v>
      </c>
      <c r="E2349">
        <v>4</v>
      </c>
      <c r="F2349">
        <v>0</v>
      </c>
      <c r="G2349">
        <v>47</v>
      </c>
      <c r="H2349">
        <v>2</v>
      </c>
      <c r="I2349">
        <v>11.75</v>
      </c>
      <c r="J2349">
        <v>10</v>
      </c>
      <c r="K2349">
        <v>4</v>
      </c>
      <c r="L2349">
        <v>3</v>
      </c>
      <c r="M2349">
        <v>3</v>
      </c>
      <c r="N2349">
        <v>0</v>
      </c>
    </row>
    <row r="2350" spans="1:14" x14ac:dyDescent="0.45">
      <c r="A2350" t="s">
        <v>275</v>
      </c>
      <c r="B2350" t="s">
        <v>661</v>
      </c>
      <c r="C2350" t="s">
        <v>26</v>
      </c>
      <c r="D2350" t="s">
        <v>404</v>
      </c>
      <c r="E2350">
        <v>2</v>
      </c>
      <c r="F2350">
        <v>0</v>
      </c>
      <c r="G2350">
        <v>15</v>
      </c>
      <c r="H2350">
        <v>0</v>
      </c>
      <c r="I2350">
        <v>7.5</v>
      </c>
      <c r="J2350">
        <v>5</v>
      </c>
      <c r="K2350">
        <v>2</v>
      </c>
      <c r="L2350">
        <v>0</v>
      </c>
      <c r="M2350">
        <v>0</v>
      </c>
      <c r="N2350">
        <v>0</v>
      </c>
    </row>
    <row r="2351" spans="1:14" x14ac:dyDescent="0.45">
      <c r="A2351" t="s">
        <v>275</v>
      </c>
      <c r="B2351" t="s">
        <v>661</v>
      </c>
      <c r="C2351" t="s">
        <v>26</v>
      </c>
      <c r="D2351" t="s">
        <v>428</v>
      </c>
      <c r="E2351">
        <v>4</v>
      </c>
      <c r="F2351">
        <v>0</v>
      </c>
      <c r="G2351">
        <v>30</v>
      </c>
      <c r="H2351">
        <v>4</v>
      </c>
      <c r="I2351">
        <v>7.5</v>
      </c>
      <c r="J2351">
        <v>11</v>
      </c>
      <c r="K2351">
        <v>2</v>
      </c>
      <c r="L2351">
        <v>2</v>
      </c>
      <c r="M2351">
        <v>0</v>
      </c>
      <c r="N2351">
        <v>0</v>
      </c>
    </row>
    <row r="2352" spans="1:14" x14ac:dyDescent="0.45">
      <c r="A2352" t="s">
        <v>275</v>
      </c>
      <c r="B2352" t="s">
        <v>661</v>
      </c>
      <c r="C2352" t="s">
        <v>26</v>
      </c>
      <c r="D2352" t="s">
        <v>435</v>
      </c>
      <c r="E2352">
        <v>4</v>
      </c>
      <c r="F2352">
        <v>0</v>
      </c>
      <c r="G2352">
        <v>31</v>
      </c>
      <c r="H2352">
        <v>0</v>
      </c>
      <c r="I2352">
        <v>7.75</v>
      </c>
      <c r="J2352">
        <v>5</v>
      </c>
      <c r="K2352">
        <v>1</v>
      </c>
      <c r="L2352">
        <v>1</v>
      </c>
      <c r="M2352">
        <v>0</v>
      </c>
      <c r="N2352">
        <v>0</v>
      </c>
    </row>
    <row r="2353" spans="1:14" x14ac:dyDescent="0.45">
      <c r="A2353" t="s">
        <v>275</v>
      </c>
      <c r="B2353" t="s">
        <v>661</v>
      </c>
      <c r="C2353" t="s">
        <v>26</v>
      </c>
      <c r="D2353" t="s">
        <v>590</v>
      </c>
      <c r="E2353">
        <v>2</v>
      </c>
      <c r="F2353">
        <v>0</v>
      </c>
      <c r="G2353">
        <v>24</v>
      </c>
      <c r="H2353">
        <v>0</v>
      </c>
      <c r="I2353">
        <v>12</v>
      </c>
      <c r="J2353">
        <v>2</v>
      </c>
      <c r="K2353">
        <v>1</v>
      </c>
      <c r="L2353">
        <v>1</v>
      </c>
      <c r="M2353">
        <v>2</v>
      </c>
      <c r="N2353">
        <v>0</v>
      </c>
    </row>
    <row r="2354" spans="1:14" x14ac:dyDescent="0.45">
      <c r="A2354" t="s">
        <v>276</v>
      </c>
      <c r="B2354" t="s">
        <v>703</v>
      </c>
      <c r="C2354" t="s">
        <v>101</v>
      </c>
      <c r="D2354" t="s">
        <v>403</v>
      </c>
      <c r="E2354">
        <v>4</v>
      </c>
      <c r="F2354">
        <v>0</v>
      </c>
      <c r="G2354">
        <v>41</v>
      </c>
      <c r="H2354">
        <v>3</v>
      </c>
      <c r="I2354">
        <v>10.25</v>
      </c>
      <c r="J2354">
        <v>15</v>
      </c>
      <c r="K2354">
        <v>5</v>
      </c>
      <c r="L2354">
        <v>1</v>
      </c>
      <c r="M2354">
        <v>4</v>
      </c>
      <c r="N2354">
        <v>0</v>
      </c>
    </row>
    <row r="2355" spans="1:14" x14ac:dyDescent="0.45">
      <c r="A2355" t="s">
        <v>276</v>
      </c>
      <c r="B2355" t="s">
        <v>703</v>
      </c>
      <c r="C2355" t="s">
        <v>101</v>
      </c>
      <c r="D2355" t="s">
        <v>557</v>
      </c>
      <c r="E2355">
        <v>4</v>
      </c>
      <c r="F2355">
        <v>0</v>
      </c>
      <c r="G2355">
        <v>27</v>
      </c>
      <c r="H2355">
        <v>0</v>
      </c>
      <c r="I2355">
        <v>6.75</v>
      </c>
      <c r="J2355">
        <v>11</v>
      </c>
      <c r="K2355">
        <v>2</v>
      </c>
      <c r="L2355">
        <v>1</v>
      </c>
      <c r="M2355">
        <v>0</v>
      </c>
      <c r="N2355">
        <v>0</v>
      </c>
    </row>
    <row r="2356" spans="1:14" x14ac:dyDescent="0.45">
      <c r="A2356" t="s">
        <v>276</v>
      </c>
      <c r="B2356" t="s">
        <v>703</v>
      </c>
      <c r="C2356" t="s">
        <v>101</v>
      </c>
      <c r="D2356" t="s">
        <v>361</v>
      </c>
      <c r="E2356">
        <v>3</v>
      </c>
      <c r="F2356">
        <v>0</v>
      </c>
      <c r="G2356">
        <v>18</v>
      </c>
      <c r="H2356">
        <v>0</v>
      </c>
      <c r="I2356">
        <v>6</v>
      </c>
      <c r="J2356">
        <v>6</v>
      </c>
      <c r="K2356">
        <v>2</v>
      </c>
      <c r="L2356">
        <v>0</v>
      </c>
      <c r="M2356">
        <v>0</v>
      </c>
      <c r="N2356">
        <v>0</v>
      </c>
    </row>
    <row r="2357" spans="1:14" x14ac:dyDescent="0.45">
      <c r="A2357" t="s">
        <v>276</v>
      </c>
      <c r="B2357" t="s">
        <v>703</v>
      </c>
      <c r="C2357" t="s">
        <v>101</v>
      </c>
      <c r="D2357" t="s">
        <v>493</v>
      </c>
      <c r="E2357">
        <v>4</v>
      </c>
      <c r="F2357">
        <v>0</v>
      </c>
      <c r="G2357">
        <v>29</v>
      </c>
      <c r="H2357">
        <v>2</v>
      </c>
      <c r="I2357">
        <v>7.25</v>
      </c>
      <c r="J2357">
        <v>13</v>
      </c>
      <c r="K2357">
        <v>3</v>
      </c>
      <c r="L2357">
        <v>1</v>
      </c>
      <c r="M2357">
        <v>1</v>
      </c>
      <c r="N2357">
        <v>0</v>
      </c>
    </row>
    <row r="2358" spans="1:14" x14ac:dyDescent="0.45">
      <c r="A2358" t="s">
        <v>276</v>
      </c>
      <c r="B2358" t="s">
        <v>703</v>
      </c>
      <c r="C2358" t="s">
        <v>101</v>
      </c>
      <c r="D2358" t="s">
        <v>489</v>
      </c>
      <c r="E2358">
        <v>1</v>
      </c>
      <c r="F2358">
        <v>0</v>
      </c>
      <c r="G2358">
        <v>12</v>
      </c>
      <c r="H2358">
        <v>0</v>
      </c>
      <c r="I2358">
        <v>12</v>
      </c>
      <c r="J2358">
        <v>0</v>
      </c>
      <c r="K2358">
        <v>0</v>
      </c>
      <c r="L2358">
        <v>1</v>
      </c>
      <c r="M2358">
        <v>0</v>
      </c>
      <c r="N2358">
        <v>0</v>
      </c>
    </row>
    <row r="2359" spans="1:14" x14ac:dyDescent="0.45">
      <c r="A2359" t="s">
        <v>276</v>
      </c>
      <c r="B2359" t="s">
        <v>703</v>
      </c>
      <c r="C2359" t="s">
        <v>101</v>
      </c>
      <c r="D2359" t="s">
        <v>379</v>
      </c>
      <c r="E2359">
        <v>4</v>
      </c>
      <c r="F2359">
        <v>0</v>
      </c>
      <c r="G2359">
        <v>31</v>
      </c>
      <c r="H2359">
        <v>3</v>
      </c>
      <c r="I2359">
        <v>7.75</v>
      </c>
      <c r="J2359">
        <v>9</v>
      </c>
      <c r="K2359">
        <v>2</v>
      </c>
      <c r="L2359">
        <v>2</v>
      </c>
      <c r="M2359">
        <v>0</v>
      </c>
      <c r="N2359">
        <v>0</v>
      </c>
    </row>
    <row r="2360" spans="1:14" x14ac:dyDescent="0.45">
      <c r="A2360" t="s">
        <v>276</v>
      </c>
      <c r="B2360" t="s">
        <v>703</v>
      </c>
      <c r="C2360" t="s">
        <v>10</v>
      </c>
      <c r="D2360" t="s">
        <v>444</v>
      </c>
      <c r="E2360">
        <v>4</v>
      </c>
      <c r="F2360">
        <v>0</v>
      </c>
      <c r="G2360">
        <v>38</v>
      </c>
      <c r="H2360">
        <v>1</v>
      </c>
      <c r="I2360">
        <v>9.5</v>
      </c>
      <c r="J2360">
        <v>9</v>
      </c>
      <c r="K2360">
        <v>5</v>
      </c>
      <c r="L2360">
        <v>1</v>
      </c>
      <c r="M2360">
        <v>1</v>
      </c>
      <c r="N2360">
        <v>0</v>
      </c>
    </row>
    <row r="2361" spans="1:14" x14ac:dyDescent="0.45">
      <c r="A2361" t="s">
        <v>276</v>
      </c>
      <c r="B2361" t="s">
        <v>703</v>
      </c>
      <c r="C2361" t="s">
        <v>10</v>
      </c>
      <c r="D2361" t="s">
        <v>587</v>
      </c>
      <c r="E2361">
        <v>4</v>
      </c>
      <c r="F2361">
        <v>0</v>
      </c>
      <c r="G2361">
        <v>42</v>
      </c>
      <c r="H2361">
        <v>0</v>
      </c>
      <c r="I2361">
        <v>10.5</v>
      </c>
      <c r="J2361">
        <v>8</v>
      </c>
      <c r="K2361">
        <v>5</v>
      </c>
      <c r="L2361">
        <v>2</v>
      </c>
      <c r="M2361">
        <v>1</v>
      </c>
      <c r="N2361">
        <v>0</v>
      </c>
    </row>
    <row r="2362" spans="1:14" x14ac:dyDescent="0.45">
      <c r="A2362" t="s">
        <v>276</v>
      </c>
      <c r="B2362" t="s">
        <v>703</v>
      </c>
      <c r="C2362" t="s">
        <v>10</v>
      </c>
      <c r="D2362" t="s">
        <v>338</v>
      </c>
      <c r="E2362">
        <v>4</v>
      </c>
      <c r="F2362">
        <v>0</v>
      </c>
      <c r="G2362">
        <v>39</v>
      </c>
      <c r="H2362">
        <v>2</v>
      </c>
      <c r="I2362">
        <v>9.75</v>
      </c>
      <c r="J2362">
        <v>9</v>
      </c>
      <c r="K2362">
        <v>3</v>
      </c>
      <c r="L2362">
        <v>2</v>
      </c>
      <c r="M2362">
        <v>0</v>
      </c>
      <c r="N2362">
        <v>2</v>
      </c>
    </row>
    <row r="2363" spans="1:14" x14ac:dyDescent="0.45">
      <c r="A2363" t="s">
        <v>276</v>
      </c>
      <c r="B2363" t="s">
        <v>703</v>
      </c>
      <c r="C2363" t="s">
        <v>10</v>
      </c>
      <c r="D2363" t="s">
        <v>498</v>
      </c>
      <c r="E2363">
        <v>3.1</v>
      </c>
      <c r="F2363">
        <v>0</v>
      </c>
      <c r="G2363">
        <v>24</v>
      </c>
      <c r="H2363">
        <v>1</v>
      </c>
      <c r="I2363">
        <v>7.57</v>
      </c>
      <c r="J2363">
        <v>4</v>
      </c>
      <c r="K2363">
        <v>1</v>
      </c>
      <c r="L2363">
        <v>0</v>
      </c>
      <c r="M2363">
        <v>1</v>
      </c>
      <c r="N2363">
        <v>0</v>
      </c>
    </row>
    <row r="2364" spans="1:14" x14ac:dyDescent="0.45">
      <c r="A2364" t="s">
        <v>276</v>
      </c>
      <c r="B2364" t="s">
        <v>703</v>
      </c>
      <c r="C2364" t="s">
        <v>10</v>
      </c>
      <c r="D2364" t="s">
        <v>500</v>
      </c>
      <c r="E2364">
        <v>3</v>
      </c>
      <c r="F2364">
        <v>0</v>
      </c>
      <c r="G2364">
        <v>18</v>
      </c>
      <c r="H2364">
        <v>0</v>
      </c>
      <c r="I2364">
        <v>6</v>
      </c>
      <c r="J2364">
        <v>5</v>
      </c>
      <c r="K2364">
        <v>1</v>
      </c>
      <c r="L2364">
        <v>0</v>
      </c>
      <c r="M2364">
        <v>1</v>
      </c>
      <c r="N2364">
        <v>0</v>
      </c>
    </row>
    <row r="2365" spans="1:14" x14ac:dyDescent="0.45">
      <c r="A2365" t="s">
        <v>277</v>
      </c>
      <c r="B2365" t="s">
        <v>696</v>
      </c>
      <c r="C2365" t="s">
        <v>104</v>
      </c>
      <c r="D2365" t="s">
        <v>564</v>
      </c>
      <c r="E2365">
        <v>2</v>
      </c>
      <c r="F2365">
        <v>0</v>
      </c>
      <c r="G2365">
        <v>16</v>
      </c>
      <c r="H2365">
        <v>0</v>
      </c>
      <c r="I2365">
        <v>8</v>
      </c>
      <c r="J2365">
        <v>1</v>
      </c>
      <c r="K2365">
        <v>1</v>
      </c>
      <c r="L2365">
        <v>0</v>
      </c>
      <c r="M2365">
        <v>1</v>
      </c>
      <c r="N2365">
        <v>0</v>
      </c>
    </row>
    <row r="2366" spans="1:14" x14ac:dyDescent="0.45">
      <c r="A2366" t="s">
        <v>277</v>
      </c>
      <c r="B2366" t="s">
        <v>696</v>
      </c>
      <c r="C2366" t="s">
        <v>104</v>
      </c>
      <c r="D2366" t="s">
        <v>340</v>
      </c>
      <c r="E2366">
        <v>3</v>
      </c>
      <c r="F2366">
        <v>0</v>
      </c>
      <c r="G2366">
        <v>39</v>
      </c>
      <c r="H2366">
        <v>1</v>
      </c>
      <c r="I2366">
        <v>13</v>
      </c>
      <c r="J2366">
        <v>4</v>
      </c>
      <c r="K2366">
        <v>6</v>
      </c>
      <c r="L2366">
        <v>0</v>
      </c>
      <c r="M2366">
        <v>1</v>
      </c>
      <c r="N2366">
        <v>0</v>
      </c>
    </row>
    <row r="2367" spans="1:14" x14ac:dyDescent="0.45">
      <c r="A2367" t="s">
        <v>277</v>
      </c>
      <c r="B2367" t="s">
        <v>696</v>
      </c>
      <c r="C2367" t="s">
        <v>104</v>
      </c>
      <c r="D2367" t="s">
        <v>366</v>
      </c>
      <c r="E2367">
        <v>2</v>
      </c>
      <c r="F2367">
        <v>0</v>
      </c>
      <c r="G2367">
        <v>21</v>
      </c>
      <c r="H2367">
        <v>0</v>
      </c>
      <c r="I2367">
        <v>10.5</v>
      </c>
      <c r="J2367">
        <v>4</v>
      </c>
      <c r="K2367">
        <v>1</v>
      </c>
      <c r="L2367">
        <v>2</v>
      </c>
      <c r="M2367">
        <v>0</v>
      </c>
      <c r="N2367">
        <v>0</v>
      </c>
    </row>
    <row r="2368" spans="1:14" x14ac:dyDescent="0.45">
      <c r="A2368" t="s">
        <v>277</v>
      </c>
      <c r="B2368" t="s">
        <v>696</v>
      </c>
      <c r="C2368" t="s">
        <v>104</v>
      </c>
      <c r="D2368" t="s">
        <v>516</v>
      </c>
      <c r="E2368">
        <v>1</v>
      </c>
      <c r="F2368">
        <v>0</v>
      </c>
      <c r="G2368">
        <v>20</v>
      </c>
      <c r="H2368">
        <v>0</v>
      </c>
      <c r="I2368">
        <v>20</v>
      </c>
      <c r="J2368">
        <v>2</v>
      </c>
      <c r="K2368">
        <v>0</v>
      </c>
      <c r="L2368">
        <v>3</v>
      </c>
      <c r="M2368">
        <v>0</v>
      </c>
      <c r="N2368">
        <v>0</v>
      </c>
    </row>
    <row r="2369" spans="1:14" x14ac:dyDescent="0.45">
      <c r="A2369" t="s">
        <v>277</v>
      </c>
      <c r="B2369" t="s">
        <v>696</v>
      </c>
      <c r="C2369" t="s">
        <v>104</v>
      </c>
      <c r="D2369" t="s">
        <v>606</v>
      </c>
      <c r="E2369">
        <v>4</v>
      </c>
      <c r="F2369">
        <v>0</v>
      </c>
      <c r="G2369">
        <v>49</v>
      </c>
      <c r="H2369">
        <v>3</v>
      </c>
      <c r="I2369">
        <v>12.25</v>
      </c>
      <c r="J2369">
        <v>9</v>
      </c>
      <c r="K2369">
        <v>3</v>
      </c>
      <c r="L2369">
        <v>5</v>
      </c>
      <c r="M2369">
        <v>0</v>
      </c>
      <c r="N2369">
        <v>0</v>
      </c>
    </row>
    <row r="2370" spans="1:14" x14ac:dyDescent="0.45">
      <c r="A2370" t="s">
        <v>277</v>
      </c>
      <c r="B2370" t="s">
        <v>696</v>
      </c>
      <c r="C2370" t="s">
        <v>104</v>
      </c>
      <c r="D2370" t="s">
        <v>566</v>
      </c>
      <c r="E2370">
        <v>4</v>
      </c>
      <c r="F2370">
        <v>0</v>
      </c>
      <c r="G2370">
        <v>36</v>
      </c>
      <c r="H2370">
        <v>0</v>
      </c>
      <c r="I2370">
        <v>9</v>
      </c>
      <c r="J2370">
        <v>4</v>
      </c>
      <c r="K2370">
        <v>3</v>
      </c>
      <c r="L2370">
        <v>1</v>
      </c>
      <c r="M2370">
        <v>0</v>
      </c>
      <c r="N2370">
        <v>1</v>
      </c>
    </row>
    <row r="2371" spans="1:14" x14ac:dyDescent="0.45">
      <c r="A2371" t="s">
        <v>277</v>
      </c>
      <c r="B2371" t="s">
        <v>696</v>
      </c>
      <c r="C2371" t="s">
        <v>104</v>
      </c>
      <c r="D2371" t="s">
        <v>407</v>
      </c>
      <c r="E2371">
        <v>4</v>
      </c>
      <c r="F2371">
        <v>0</v>
      </c>
      <c r="G2371">
        <v>28</v>
      </c>
      <c r="H2371">
        <v>3</v>
      </c>
      <c r="I2371">
        <v>7</v>
      </c>
      <c r="J2371">
        <v>13</v>
      </c>
      <c r="K2371">
        <v>1</v>
      </c>
      <c r="L2371">
        <v>2</v>
      </c>
      <c r="M2371">
        <v>1</v>
      </c>
      <c r="N2371">
        <v>0</v>
      </c>
    </row>
    <row r="2372" spans="1:14" x14ac:dyDescent="0.45">
      <c r="A2372" t="s">
        <v>277</v>
      </c>
      <c r="B2372" t="s">
        <v>696</v>
      </c>
      <c r="C2372" t="s">
        <v>6</v>
      </c>
      <c r="D2372" t="s">
        <v>324</v>
      </c>
      <c r="E2372">
        <v>4</v>
      </c>
      <c r="F2372">
        <v>0</v>
      </c>
      <c r="G2372">
        <v>55</v>
      </c>
      <c r="H2372">
        <v>0</v>
      </c>
      <c r="I2372">
        <v>13.75</v>
      </c>
      <c r="J2372">
        <v>6</v>
      </c>
      <c r="K2372">
        <v>7</v>
      </c>
      <c r="L2372">
        <v>1</v>
      </c>
      <c r="M2372">
        <v>5</v>
      </c>
      <c r="N2372">
        <v>0</v>
      </c>
    </row>
    <row r="2373" spans="1:14" x14ac:dyDescent="0.45">
      <c r="A2373" t="s">
        <v>277</v>
      </c>
      <c r="B2373" t="s">
        <v>696</v>
      </c>
      <c r="C2373" t="s">
        <v>6</v>
      </c>
      <c r="D2373" t="s">
        <v>485</v>
      </c>
      <c r="E2373">
        <v>1</v>
      </c>
      <c r="F2373">
        <v>0</v>
      </c>
      <c r="G2373">
        <v>18</v>
      </c>
      <c r="H2373">
        <v>0</v>
      </c>
      <c r="I2373">
        <v>18</v>
      </c>
      <c r="J2373">
        <v>0</v>
      </c>
      <c r="K2373">
        <v>2</v>
      </c>
      <c r="L2373">
        <v>1</v>
      </c>
      <c r="M2373">
        <v>0</v>
      </c>
      <c r="N2373">
        <v>0</v>
      </c>
    </row>
    <row r="2374" spans="1:14" x14ac:dyDescent="0.45">
      <c r="A2374" t="s">
        <v>277</v>
      </c>
      <c r="B2374" t="s">
        <v>696</v>
      </c>
      <c r="C2374" t="s">
        <v>6</v>
      </c>
      <c r="D2374" t="s">
        <v>555</v>
      </c>
      <c r="E2374">
        <v>4</v>
      </c>
      <c r="F2374">
        <v>0</v>
      </c>
      <c r="G2374">
        <v>45</v>
      </c>
      <c r="H2374">
        <v>2</v>
      </c>
      <c r="I2374">
        <v>11.25</v>
      </c>
      <c r="J2374">
        <v>7</v>
      </c>
      <c r="K2374">
        <v>2</v>
      </c>
      <c r="L2374">
        <v>2</v>
      </c>
      <c r="M2374">
        <v>4</v>
      </c>
      <c r="N2374">
        <v>3</v>
      </c>
    </row>
    <row r="2375" spans="1:14" x14ac:dyDescent="0.45">
      <c r="A2375" t="s">
        <v>277</v>
      </c>
      <c r="B2375" t="s">
        <v>696</v>
      </c>
      <c r="C2375" t="s">
        <v>6</v>
      </c>
      <c r="D2375" t="s">
        <v>299</v>
      </c>
      <c r="E2375">
        <v>4</v>
      </c>
      <c r="F2375">
        <v>0</v>
      </c>
      <c r="G2375">
        <v>26</v>
      </c>
      <c r="H2375">
        <v>4</v>
      </c>
      <c r="I2375">
        <v>6.5</v>
      </c>
      <c r="J2375">
        <v>10</v>
      </c>
      <c r="K2375">
        <v>0</v>
      </c>
      <c r="L2375">
        <v>1</v>
      </c>
      <c r="M2375">
        <v>1</v>
      </c>
      <c r="N2375">
        <v>0</v>
      </c>
    </row>
    <row r="2376" spans="1:14" x14ac:dyDescent="0.45">
      <c r="A2376" t="s">
        <v>277</v>
      </c>
      <c r="B2376" t="s">
        <v>696</v>
      </c>
      <c r="C2376" t="s">
        <v>6</v>
      </c>
      <c r="D2376" t="s">
        <v>507</v>
      </c>
      <c r="E2376">
        <v>4</v>
      </c>
      <c r="F2376">
        <v>0</v>
      </c>
      <c r="G2376">
        <v>21</v>
      </c>
      <c r="H2376">
        <v>1</v>
      </c>
      <c r="I2376">
        <v>5.25</v>
      </c>
      <c r="J2376">
        <v>9</v>
      </c>
      <c r="K2376">
        <v>0</v>
      </c>
      <c r="L2376">
        <v>1</v>
      </c>
      <c r="M2376">
        <v>0</v>
      </c>
      <c r="N2376">
        <v>0</v>
      </c>
    </row>
    <row r="2377" spans="1:14" x14ac:dyDescent="0.45">
      <c r="A2377" t="s">
        <v>277</v>
      </c>
      <c r="B2377" t="s">
        <v>696</v>
      </c>
      <c r="C2377" t="s">
        <v>6</v>
      </c>
      <c r="D2377" t="s">
        <v>610</v>
      </c>
      <c r="E2377">
        <v>2</v>
      </c>
      <c r="F2377">
        <v>0</v>
      </c>
      <c r="G2377">
        <v>24</v>
      </c>
      <c r="H2377">
        <v>0</v>
      </c>
      <c r="I2377">
        <v>12</v>
      </c>
      <c r="J2377">
        <v>4</v>
      </c>
      <c r="K2377">
        <v>2</v>
      </c>
      <c r="L2377">
        <v>1</v>
      </c>
      <c r="M2377">
        <v>3</v>
      </c>
      <c r="N2377">
        <v>0</v>
      </c>
    </row>
    <row r="2378" spans="1:14" x14ac:dyDescent="0.45">
      <c r="A2378" t="s">
        <v>277</v>
      </c>
      <c r="B2378" t="s">
        <v>696</v>
      </c>
      <c r="C2378" t="s">
        <v>6</v>
      </c>
      <c r="D2378" t="s">
        <v>328</v>
      </c>
      <c r="E2378">
        <v>1</v>
      </c>
      <c r="F2378">
        <v>0</v>
      </c>
      <c r="G2378">
        <v>14</v>
      </c>
      <c r="H2378">
        <v>0</v>
      </c>
      <c r="I2378">
        <v>14</v>
      </c>
      <c r="J2378">
        <v>2</v>
      </c>
      <c r="K2378">
        <v>0</v>
      </c>
      <c r="L2378">
        <v>2</v>
      </c>
      <c r="M2378">
        <v>0</v>
      </c>
      <c r="N2378">
        <v>0</v>
      </c>
    </row>
    <row r="2379" spans="1:14" x14ac:dyDescent="0.45">
      <c r="A2379" t="s">
        <v>278</v>
      </c>
      <c r="B2379" t="s">
        <v>663</v>
      </c>
      <c r="C2379" t="s">
        <v>13</v>
      </c>
      <c r="D2379" t="s">
        <v>352</v>
      </c>
      <c r="E2379">
        <v>4</v>
      </c>
      <c r="F2379">
        <v>0</v>
      </c>
      <c r="G2379">
        <v>21</v>
      </c>
      <c r="H2379">
        <v>1</v>
      </c>
      <c r="I2379">
        <v>5.25</v>
      </c>
      <c r="J2379">
        <v>16</v>
      </c>
      <c r="K2379">
        <v>2</v>
      </c>
      <c r="L2379">
        <v>0</v>
      </c>
      <c r="M2379">
        <v>6</v>
      </c>
      <c r="N2379">
        <v>0</v>
      </c>
    </row>
    <row r="2380" spans="1:14" x14ac:dyDescent="0.45">
      <c r="A2380" t="s">
        <v>278</v>
      </c>
      <c r="B2380" t="s">
        <v>663</v>
      </c>
      <c r="C2380" t="s">
        <v>13</v>
      </c>
      <c r="D2380" t="s">
        <v>611</v>
      </c>
      <c r="E2380">
        <v>2</v>
      </c>
      <c r="F2380">
        <v>0</v>
      </c>
      <c r="G2380">
        <v>14</v>
      </c>
      <c r="H2380">
        <v>1</v>
      </c>
      <c r="I2380">
        <v>7</v>
      </c>
      <c r="J2380">
        <v>7</v>
      </c>
      <c r="K2380">
        <v>3</v>
      </c>
      <c r="L2380">
        <v>0</v>
      </c>
      <c r="M2380">
        <v>0</v>
      </c>
      <c r="N2380">
        <v>0</v>
      </c>
    </row>
    <row r="2381" spans="1:14" x14ac:dyDescent="0.45">
      <c r="A2381" t="s">
        <v>278</v>
      </c>
      <c r="B2381" t="s">
        <v>663</v>
      </c>
      <c r="C2381" t="s">
        <v>13</v>
      </c>
      <c r="D2381" t="s">
        <v>547</v>
      </c>
      <c r="E2381">
        <v>3</v>
      </c>
      <c r="F2381">
        <v>0</v>
      </c>
      <c r="G2381">
        <v>29</v>
      </c>
      <c r="H2381">
        <v>1</v>
      </c>
      <c r="I2381">
        <v>9.66</v>
      </c>
      <c r="J2381">
        <v>7</v>
      </c>
      <c r="K2381">
        <v>2</v>
      </c>
      <c r="L2381">
        <v>2</v>
      </c>
      <c r="M2381">
        <v>0</v>
      </c>
      <c r="N2381">
        <v>0</v>
      </c>
    </row>
    <row r="2382" spans="1:14" x14ac:dyDescent="0.45">
      <c r="A2382" t="s">
        <v>278</v>
      </c>
      <c r="B2382" t="s">
        <v>663</v>
      </c>
      <c r="C2382" t="s">
        <v>13</v>
      </c>
      <c r="D2382" t="s">
        <v>349</v>
      </c>
      <c r="E2382">
        <v>4</v>
      </c>
      <c r="F2382">
        <v>0</v>
      </c>
      <c r="G2382">
        <v>43</v>
      </c>
      <c r="H2382">
        <v>1</v>
      </c>
      <c r="I2382">
        <v>10.75</v>
      </c>
      <c r="J2382">
        <v>6</v>
      </c>
      <c r="K2382">
        <v>3</v>
      </c>
      <c r="L2382">
        <v>2</v>
      </c>
      <c r="M2382">
        <v>1</v>
      </c>
      <c r="N2382">
        <v>1</v>
      </c>
    </row>
    <row r="2383" spans="1:14" x14ac:dyDescent="0.45">
      <c r="A2383" t="s">
        <v>278</v>
      </c>
      <c r="B2383" t="s">
        <v>663</v>
      </c>
      <c r="C2383" t="s">
        <v>13</v>
      </c>
      <c r="D2383" t="s">
        <v>586</v>
      </c>
      <c r="E2383">
        <v>4</v>
      </c>
      <c r="F2383">
        <v>0</v>
      </c>
      <c r="G2383">
        <v>32</v>
      </c>
      <c r="H2383">
        <v>2</v>
      </c>
      <c r="I2383">
        <v>8</v>
      </c>
      <c r="J2383">
        <v>7</v>
      </c>
      <c r="K2383">
        <v>1</v>
      </c>
      <c r="L2383">
        <v>2</v>
      </c>
      <c r="M2383">
        <v>1</v>
      </c>
      <c r="N2383">
        <v>0</v>
      </c>
    </row>
    <row r="2384" spans="1:14" x14ac:dyDescent="0.45">
      <c r="A2384" t="s">
        <v>278</v>
      </c>
      <c r="B2384" t="s">
        <v>663</v>
      </c>
      <c r="C2384" t="s">
        <v>13</v>
      </c>
      <c r="D2384" t="s">
        <v>568</v>
      </c>
      <c r="E2384">
        <v>2</v>
      </c>
      <c r="F2384">
        <v>0</v>
      </c>
      <c r="G2384">
        <v>16</v>
      </c>
      <c r="H2384">
        <v>1</v>
      </c>
      <c r="I2384">
        <v>8</v>
      </c>
      <c r="J2384">
        <v>6</v>
      </c>
      <c r="K2384">
        <v>3</v>
      </c>
      <c r="L2384">
        <v>0</v>
      </c>
      <c r="M2384">
        <v>0</v>
      </c>
      <c r="N2384">
        <v>0</v>
      </c>
    </row>
    <row r="2385" spans="1:14" x14ac:dyDescent="0.45">
      <c r="A2385" t="s">
        <v>278</v>
      </c>
      <c r="B2385" t="s">
        <v>663</v>
      </c>
      <c r="C2385" t="s">
        <v>13</v>
      </c>
      <c r="D2385" t="s">
        <v>345</v>
      </c>
      <c r="E2385">
        <v>1</v>
      </c>
      <c r="F2385">
        <v>0</v>
      </c>
      <c r="G2385">
        <v>16</v>
      </c>
      <c r="H2385">
        <v>0</v>
      </c>
      <c r="I2385">
        <v>16</v>
      </c>
      <c r="J2385">
        <v>0</v>
      </c>
      <c r="K2385">
        <v>1</v>
      </c>
      <c r="L2385">
        <v>1</v>
      </c>
      <c r="M2385">
        <v>1</v>
      </c>
      <c r="N2385">
        <v>0</v>
      </c>
    </row>
    <row r="2386" spans="1:14" x14ac:dyDescent="0.45">
      <c r="A2386" t="s">
        <v>278</v>
      </c>
      <c r="B2386" t="s">
        <v>663</v>
      </c>
      <c r="C2386" t="s">
        <v>19</v>
      </c>
      <c r="D2386" t="s">
        <v>562</v>
      </c>
      <c r="E2386">
        <v>3</v>
      </c>
      <c r="F2386">
        <v>0</v>
      </c>
      <c r="G2386">
        <v>37</v>
      </c>
      <c r="H2386">
        <v>0</v>
      </c>
      <c r="I2386">
        <v>12.33</v>
      </c>
      <c r="J2386">
        <v>6</v>
      </c>
      <c r="K2386">
        <v>3</v>
      </c>
      <c r="L2386">
        <v>3</v>
      </c>
      <c r="M2386">
        <v>0</v>
      </c>
      <c r="N2386">
        <v>0</v>
      </c>
    </row>
    <row r="2387" spans="1:14" x14ac:dyDescent="0.45">
      <c r="A2387" t="s">
        <v>278</v>
      </c>
      <c r="B2387" t="s">
        <v>663</v>
      </c>
      <c r="C2387" t="s">
        <v>19</v>
      </c>
      <c r="D2387" t="s">
        <v>593</v>
      </c>
      <c r="E2387">
        <v>2.2000000000000002</v>
      </c>
      <c r="F2387">
        <v>0</v>
      </c>
      <c r="G2387">
        <v>28</v>
      </c>
      <c r="H2387">
        <v>1</v>
      </c>
      <c r="I2387">
        <v>12</v>
      </c>
      <c r="J2387">
        <v>7</v>
      </c>
      <c r="K2387">
        <v>2</v>
      </c>
      <c r="L2387">
        <v>2</v>
      </c>
      <c r="M2387">
        <v>4</v>
      </c>
      <c r="N2387">
        <v>0</v>
      </c>
    </row>
    <row r="2388" spans="1:14" x14ac:dyDescent="0.45">
      <c r="A2388" t="s">
        <v>278</v>
      </c>
      <c r="B2388" t="s">
        <v>663</v>
      </c>
      <c r="C2388" t="s">
        <v>19</v>
      </c>
      <c r="D2388" t="s">
        <v>594</v>
      </c>
      <c r="E2388">
        <v>4</v>
      </c>
      <c r="F2388">
        <v>0</v>
      </c>
      <c r="G2388">
        <v>33</v>
      </c>
      <c r="H2388">
        <v>0</v>
      </c>
      <c r="I2388">
        <v>8.25</v>
      </c>
      <c r="J2388">
        <v>10</v>
      </c>
      <c r="K2388">
        <v>2</v>
      </c>
      <c r="L2388">
        <v>2</v>
      </c>
      <c r="M2388">
        <v>0</v>
      </c>
      <c r="N2388">
        <v>0</v>
      </c>
    </row>
    <row r="2389" spans="1:14" x14ac:dyDescent="0.45">
      <c r="A2389" t="s">
        <v>278</v>
      </c>
      <c r="B2389" t="s">
        <v>663</v>
      </c>
      <c r="C2389" t="s">
        <v>19</v>
      </c>
      <c r="D2389" t="s">
        <v>368</v>
      </c>
      <c r="E2389">
        <v>4</v>
      </c>
      <c r="F2389">
        <v>0</v>
      </c>
      <c r="G2389">
        <v>26</v>
      </c>
      <c r="H2389">
        <v>0</v>
      </c>
      <c r="I2389">
        <v>6.5</v>
      </c>
      <c r="J2389">
        <v>11</v>
      </c>
      <c r="K2389">
        <v>2</v>
      </c>
      <c r="L2389">
        <v>1</v>
      </c>
      <c r="M2389">
        <v>0</v>
      </c>
      <c r="N2389">
        <v>0</v>
      </c>
    </row>
    <row r="2390" spans="1:14" x14ac:dyDescent="0.45">
      <c r="A2390" t="s">
        <v>278</v>
      </c>
      <c r="B2390" t="s">
        <v>663</v>
      </c>
      <c r="C2390" t="s">
        <v>19</v>
      </c>
      <c r="D2390" t="s">
        <v>560</v>
      </c>
      <c r="E2390">
        <v>2</v>
      </c>
      <c r="F2390">
        <v>0</v>
      </c>
      <c r="G2390">
        <v>30</v>
      </c>
      <c r="H2390">
        <v>1</v>
      </c>
      <c r="I2390">
        <v>15</v>
      </c>
      <c r="J2390">
        <v>4</v>
      </c>
      <c r="K2390">
        <v>2</v>
      </c>
      <c r="L2390">
        <v>3</v>
      </c>
      <c r="M2390">
        <v>0</v>
      </c>
      <c r="N2390">
        <v>0</v>
      </c>
    </row>
    <row r="2391" spans="1:14" x14ac:dyDescent="0.45">
      <c r="A2391" t="s">
        <v>278</v>
      </c>
      <c r="B2391" t="s">
        <v>663</v>
      </c>
      <c r="C2391" t="s">
        <v>19</v>
      </c>
      <c r="D2391" t="s">
        <v>504</v>
      </c>
      <c r="E2391">
        <v>1</v>
      </c>
      <c r="F2391">
        <v>0</v>
      </c>
      <c r="G2391">
        <v>17</v>
      </c>
      <c r="H2391">
        <v>0</v>
      </c>
      <c r="I2391">
        <v>17</v>
      </c>
      <c r="J2391">
        <v>0</v>
      </c>
      <c r="K2391">
        <v>0</v>
      </c>
      <c r="L2391">
        <v>2</v>
      </c>
      <c r="M2391">
        <v>0</v>
      </c>
      <c r="N2391">
        <v>0</v>
      </c>
    </row>
    <row r="2392" spans="1:14" x14ac:dyDescent="0.45">
      <c r="A2392" t="s">
        <v>280</v>
      </c>
      <c r="B2392" t="s">
        <v>642</v>
      </c>
      <c r="C2392" t="s">
        <v>20</v>
      </c>
      <c r="D2392" t="s">
        <v>409</v>
      </c>
      <c r="E2392">
        <v>3</v>
      </c>
      <c r="F2392">
        <v>0</v>
      </c>
      <c r="G2392">
        <v>36</v>
      </c>
      <c r="H2392">
        <v>0</v>
      </c>
      <c r="I2392">
        <v>12</v>
      </c>
      <c r="J2392">
        <v>6</v>
      </c>
      <c r="K2392">
        <v>4</v>
      </c>
      <c r="L2392">
        <v>2</v>
      </c>
      <c r="M2392">
        <v>1</v>
      </c>
      <c r="N2392">
        <v>0</v>
      </c>
    </row>
    <row r="2393" spans="1:14" x14ac:dyDescent="0.45">
      <c r="A2393" t="s">
        <v>280</v>
      </c>
      <c r="B2393" t="s">
        <v>642</v>
      </c>
      <c r="C2393" t="s">
        <v>20</v>
      </c>
      <c r="D2393" t="s">
        <v>497</v>
      </c>
      <c r="E2393">
        <v>4</v>
      </c>
      <c r="F2393">
        <v>0</v>
      </c>
      <c r="G2393">
        <v>41</v>
      </c>
      <c r="H2393">
        <v>2</v>
      </c>
      <c r="I2393">
        <v>10.25</v>
      </c>
      <c r="J2393">
        <v>11</v>
      </c>
      <c r="K2393">
        <v>7</v>
      </c>
      <c r="L2393">
        <v>0</v>
      </c>
      <c r="M2393">
        <v>0</v>
      </c>
      <c r="N2393">
        <v>0</v>
      </c>
    </row>
    <row r="2394" spans="1:14" x14ac:dyDescent="0.45">
      <c r="A2394" t="s">
        <v>280</v>
      </c>
      <c r="B2394" t="s">
        <v>642</v>
      </c>
      <c r="C2394" t="s">
        <v>20</v>
      </c>
      <c r="D2394" t="s">
        <v>467</v>
      </c>
      <c r="E2394">
        <v>3</v>
      </c>
      <c r="F2394">
        <v>0</v>
      </c>
      <c r="G2394">
        <v>32</v>
      </c>
      <c r="H2394">
        <v>0</v>
      </c>
      <c r="I2394">
        <v>10.66</v>
      </c>
      <c r="J2394">
        <v>5</v>
      </c>
      <c r="K2394">
        <v>1</v>
      </c>
      <c r="L2394">
        <v>3</v>
      </c>
      <c r="M2394">
        <v>0</v>
      </c>
      <c r="N2394">
        <v>0</v>
      </c>
    </row>
    <row r="2395" spans="1:14" x14ac:dyDescent="0.45">
      <c r="A2395" t="s">
        <v>280</v>
      </c>
      <c r="B2395" t="s">
        <v>642</v>
      </c>
      <c r="C2395" t="s">
        <v>20</v>
      </c>
      <c r="D2395" t="s">
        <v>483</v>
      </c>
      <c r="E2395">
        <v>3</v>
      </c>
      <c r="F2395">
        <v>0</v>
      </c>
      <c r="G2395">
        <v>23</v>
      </c>
      <c r="H2395">
        <v>2</v>
      </c>
      <c r="I2395">
        <v>7.66</v>
      </c>
      <c r="J2395">
        <v>7</v>
      </c>
      <c r="K2395">
        <v>4</v>
      </c>
      <c r="L2395">
        <v>0</v>
      </c>
      <c r="M2395">
        <v>0</v>
      </c>
      <c r="N2395">
        <v>0</v>
      </c>
    </row>
    <row r="2396" spans="1:14" x14ac:dyDescent="0.45">
      <c r="A2396" t="s">
        <v>280</v>
      </c>
      <c r="B2396" t="s">
        <v>642</v>
      </c>
      <c r="C2396" t="s">
        <v>20</v>
      </c>
      <c r="D2396" t="s">
        <v>451</v>
      </c>
      <c r="E2396">
        <v>4</v>
      </c>
      <c r="F2396">
        <v>0</v>
      </c>
      <c r="G2396">
        <v>33</v>
      </c>
      <c r="H2396">
        <v>0</v>
      </c>
      <c r="I2396">
        <v>8.25</v>
      </c>
      <c r="J2396">
        <v>6</v>
      </c>
      <c r="K2396">
        <v>1</v>
      </c>
      <c r="L2396">
        <v>2</v>
      </c>
      <c r="M2396">
        <v>0</v>
      </c>
      <c r="N2396">
        <v>0</v>
      </c>
    </row>
    <row r="2397" spans="1:14" x14ac:dyDescent="0.45">
      <c r="A2397" t="s">
        <v>280</v>
      </c>
      <c r="B2397" t="s">
        <v>642</v>
      </c>
      <c r="C2397" t="s">
        <v>20</v>
      </c>
      <c r="D2397" t="s">
        <v>382</v>
      </c>
      <c r="E2397">
        <v>3</v>
      </c>
      <c r="F2397">
        <v>0</v>
      </c>
      <c r="G2397">
        <v>32</v>
      </c>
      <c r="H2397">
        <v>1</v>
      </c>
      <c r="I2397">
        <v>10.66</v>
      </c>
      <c r="J2397">
        <v>4</v>
      </c>
      <c r="K2397">
        <v>4</v>
      </c>
      <c r="L2397">
        <v>1</v>
      </c>
      <c r="M2397">
        <v>1</v>
      </c>
      <c r="N2397">
        <v>0</v>
      </c>
    </row>
    <row r="2398" spans="1:14" x14ac:dyDescent="0.45">
      <c r="A2398" t="s">
        <v>280</v>
      </c>
      <c r="B2398" t="s">
        <v>642</v>
      </c>
      <c r="C2398" t="s">
        <v>23</v>
      </c>
      <c r="D2398" t="s">
        <v>370</v>
      </c>
      <c r="E2398">
        <v>4</v>
      </c>
      <c r="F2398">
        <v>1</v>
      </c>
      <c r="G2398">
        <v>21</v>
      </c>
      <c r="H2398">
        <v>2</v>
      </c>
      <c r="I2398">
        <v>5.25</v>
      </c>
      <c r="J2398">
        <v>15</v>
      </c>
      <c r="K2398">
        <v>2</v>
      </c>
      <c r="L2398">
        <v>1</v>
      </c>
      <c r="M2398">
        <v>0</v>
      </c>
      <c r="N2398">
        <v>0</v>
      </c>
    </row>
    <row r="2399" spans="1:14" x14ac:dyDescent="0.45">
      <c r="A2399" t="s">
        <v>280</v>
      </c>
      <c r="B2399" t="s">
        <v>642</v>
      </c>
      <c r="C2399" t="s">
        <v>23</v>
      </c>
      <c r="D2399" t="s">
        <v>421</v>
      </c>
      <c r="E2399">
        <v>3</v>
      </c>
      <c r="F2399">
        <v>0</v>
      </c>
      <c r="G2399">
        <v>15</v>
      </c>
      <c r="H2399">
        <v>0</v>
      </c>
      <c r="I2399">
        <v>5</v>
      </c>
      <c r="J2399">
        <v>9</v>
      </c>
      <c r="K2399">
        <v>1</v>
      </c>
      <c r="L2399">
        <v>0</v>
      </c>
      <c r="M2399">
        <v>1</v>
      </c>
      <c r="N2399">
        <v>0</v>
      </c>
    </row>
    <row r="2400" spans="1:14" x14ac:dyDescent="0.45">
      <c r="A2400" t="s">
        <v>280</v>
      </c>
      <c r="B2400" t="s">
        <v>642</v>
      </c>
      <c r="C2400" t="s">
        <v>23</v>
      </c>
      <c r="D2400" t="s">
        <v>378</v>
      </c>
      <c r="E2400">
        <v>3</v>
      </c>
      <c r="F2400">
        <v>0</v>
      </c>
      <c r="G2400">
        <v>16</v>
      </c>
      <c r="H2400">
        <v>1</v>
      </c>
      <c r="I2400">
        <v>5.33</v>
      </c>
      <c r="J2400">
        <v>10</v>
      </c>
      <c r="K2400">
        <v>1</v>
      </c>
      <c r="L2400">
        <v>1</v>
      </c>
      <c r="M2400">
        <v>0</v>
      </c>
      <c r="N2400">
        <v>0</v>
      </c>
    </row>
    <row r="2401" spans="1:14" x14ac:dyDescent="0.45">
      <c r="A2401" t="s">
        <v>280</v>
      </c>
      <c r="B2401" t="s">
        <v>642</v>
      </c>
      <c r="C2401" t="s">
        <v>23</v>
      </c>
      <c r="D2401" t="s">
        <v>339</v>
      </c>
      <c r="E2401">
        <v>4</v>
      </c>
      <c r="F2401">
        <v>0</v>
      </c>
      <c r="G2401">
        <v>27</v>
      </c>
      <c r="H2401">
        <v>1</v>
      </c>
      <c r="I2401">
        <v>6.75</v>
      </c>
      <c r="J2401">
        <v>10</v>
      </c>
      <c r="K2401">
        <v>1</v>
      </c>
      <c r="L2401">
        <v>1</v>
      </c>
      <c r="M2401">
        <v>2</v>
      </c>
      <c r="N2401">
        <v>0</v>
      </c>
    </row>
    <row r="2402" spans="1:14" x14ac:dyDescent="0.45">
      <c r="A2402" t="s">
        <v>280</v>
      </c>
      <c r="B2402" t="s">
        <v>642</v>
      </c>
      <c r="C2402" t="s">
        <v>23</v>
      </c>
      <c r="D2402" t="s">
        <v>353</v>
      </c>
      <c r="E2402">
        <v>4</v>
      </c>
      <c r="F2402">
        <v>0</v>
      </c>
      <c r="G2402">
        <v>17</v>
      </c>
      <c r="H2402">
        <v>4</v>
      </c>
      <c r="I2402">
        <v>4.25</v>
      </c>
      <c r="J2402">
        <v>11</v>
      </c>
      <c r="K2402">
        <v>0</v>
      </c>
      <c r="L2402">
        <v>0</v>
      </c>
      <c r="M2402">
        <v>0</v>
      </c>
      <c r="N2402">
        <v>0</v>
      </c>
    </row>
    <row r="2403" spans="1:14" x14ac:dyDescent="0.45">
      <c r="A2403" t="s">
        <v>280</v>
      </c>
      <c r="B2403" t="s">
        <v>642</v>
      </c>
      <c r="C2403" t="s">
        <v>23</v>
      </c>
      <c r="D2403" t="s">
        <v>449</v>
      </c>
      <c r="E2403">
        <v>2</v>
      </c>
      <c r="F2403">
        <v>0</v>
      </c>
      <c r="G2403">
        <v>34</v>
      </c>
      <c r="H2403">
        <v>0</v>
      </c>
      <c r="I2403">
        <v>17</v>
      </c>
      <c r="J2403">
        <v>3</v>
      </c>
      <c r="K2403">
        <v>3</v>
      </c>
      <c r="L2403">
        <v>2</v>
      </c>
      <c r="M2403">
        <v>0</v>
      </c>
      <c r="N2403">
        <v>3</v>
      </c>
    </row>
    <row r="2404" spans="1:14" x14ac:dyDescent="0.45">
      <c r="A2404" t="s">
        <v>282</v>
      </c>
      <c r="B2404" t="s">
        <v>683</v>
      </c>
      <c r="C2404" t="s">
        <v>10</v>
      </c>
      <c r="D2404" t="s">
        <v>444</v>
      </c>
      <c r="E2404">
        <v>4</v>
      </c>
      <c r="F2404">
        <v>0</v>
      </c>
      <c r="G2404">
        <v>30</v>
      </c>
      <c r="H2404">
        <v>2</v>
      </c>
      <c r="I2404">
        <v>7.5</v>
      </c>
      <c r="J2404">
        <v>15</v>
      </c>
      <c r="K2404">
        <v>3</v>
      </c>
      <c r="L2404">
        <v>2</v>
      </c>
      <c r="M2404">
        <v>1</v>
      </c>
      <c r="N2404">
        <v>0</v>
      </c>
    </row>
    <row r="2405" spans="1:14" x14ac:dyDescent="0.45">
      <c r="A2405" t="s">
        <v>282</v>
      </c>
      <c r="B2405" t="s">
        <v>683</v>
      </c>
      <c r="C2405" t="s">
        <v>10</v>
      </c>
      <c r="D2405" t="s">
        <v>587</v>
      </c>
      <c r="E2405">
        <v>4</v>
      </c>
      <c r="F2405">
        <v>0</v>
      </c>
      <c r="G2405">
        <v>34</v>
      </c>
      <c r="H2405">
        <v>0</v>
      </c>
      <c r="I2405">
        <v>8.5</v>
      </c>
      <c r="J2405">
        <v>5</v>
      </c>
      <c r="K2405">
        <v>0</v>
      </c>
      <c r="L2405">
        <v>2</v>
      </c>
      <c r="M2405">
        <v>1</v>
      </c>
      <c r="N2405">
        <v>0</v>
      </c>
    </row>
    <row r="2406" spans="1:14" x14ac:dyDescent="0.45">
      <c r="A2406" t="s">
        <v>282</v>
      </c>
      <c r="B2406" t="s">
        <v>683</v>
      </c>
      <c r="C2406" t="s">
        <v>10</v>
      </c>
      <c r="D2406" t="s">
        <v>394</v>
      </c>
      <c r="E2406">
        <v>4</v>
      </c>
      <c r="F2406">
        <v>0</v>
      </c>
      <c r="G2406">
        <v>53</v>
      </c>
      <c r="H2406">
        <v>2</v>
      </c>
      <c r="I2406">
        <v>13.25</v>
      </c>
      <c r="J2406">
        <v>8</v>
      </c>
      <c r="K2406">
        <v>1</v>
      </c>
      <c r="L2406">
        <v>6</v>
      </c>
      <c r="M2406">
        <v>3</v>
      </c>
      <c r="N2406">
        <v>0</v>
      </c>
    </row>
    <row r="2407" spans="1:14" x14ac:dyDescent="0.45">
      <c r="A2407" t="s">
        <v>282</v>
      </c>
      <c r="B2407" t="s">
        <v>683</v>
      </c>
      <c r="C2407" t="s">
        <v>10</v>
      </c>
      <c r="D2407" t="s">
        <v>337</v>
      </c>
      <c r="E2407">
        <v>4</v>
      </c>
      <c r="F2407">
        <v>0</v>
      </c>
      <c r="G2407">
        <v>38</v>
      </c>
      <c r="H2407">
        <v>1</v>
      </c>
      <c r="I2407">
        <v>9.5</v>
      </c>
      <c r="J2407">
        <v>8</v>
      </c>
      <c r="K2407">
        <v>1</v>
      </c>
      <c r="L2407">
        <v>3</v>
      </c>
      <c r="M2407">
        <v>0</v>
      </c>
      <c r="N2407">
        <v>0</v>
      </c>
    </row>
    <row r="2408" spans="1:14" x14ac:dyDescent="0.45">
      <c r="A2408" t="s">
        <v>282</v>
      </c>
      <c r="B2408" t="s">
        <v>683</v>
      </c>
      <c r="C2408" t="s">
        <v>10</v>
      </c>
      <c r="D2408" t="s">
        <v>500</v>
      </c>
      <c r="E2408">
        <v>4</v>
      </c>
      <c r="F2408">
        <v>0</v>
      </c>
      <c r="G2408">
        <v>35</v>
      </c>
      <c r="H2408">
        <v>1</v>
      </c>
      <c r="I2408">
        <v>8.75</v>
      </c>
      <c r="J2408">
        <v>7</v>
      </c>
      <c r="K2408">
        <v>0</v>
      </c>
      <c r="L2408">
        <v>3</v>
      </c>
      <c r="M2408">
        <v>0</v>
      </c>
      <c r="N2408">
        <v>0</v>
      </c>
    </row>
    <row r="2409" spans="1:14" x14ac:dyDescent="0.45">
      <c r="A2409" t="s">
        <v>282</v>
      </c>
      <c r="B2409" t="s">
        <v>683</v>
      </c>
      <c r="C2409" t="s">
        <v>104</v>
      </c>
      <c r="D2409" t="s">
        <v>564</v>
      </c>
      <c r="E2409">
        <v>1</v>
      </c>
      <c r="F2409">
        <v>0</v>
      </c>
      <c r="G2409">
        <v>7</v>
      </c>
      <c r="H2409">
        <v>0</v>
      </c>
      <c r="I2409">
        <v>7</v>
      </c>
      <c r="J2409">
        <v>3</v>
      </c>
      <c r="K2409">
        <v>1</v>
      </c>
      <c r="L2409">
        <v>0</v>
      </c>
      <c r="M2409">
        <v>1</v>
      </c>
      <c r="N2409">
        <v>0</v>
      </c>
    </row>
    <row r="2410" spans="1:14" x14ac:dyDescent="0.45">
      <c r="A2410" t="s">
        <v>282</v>
      </c>
      <c r="B2410" t="s">
        <v>683</v>
      </c>
      <c r="C2410" t="s">
        <v>104</v>
      </c>
      <c r="D2410" t="s">
        <v>392</v>
      </c>
      <c r="E2410">
        <v>3</v>
      </c>
      <c r="F2410">
        <v>0</v>
      </c>
      <c r="G2410">
        <v>39</v>
      </c>
      <c r="H2410">
        <v>0</v>
      </c>
      <c r="I2410">
        <v>13</v>
      </c>
      <c r="J2410">
        <v>3</v>
      </c>
      <c r="K2410">
        <v>5</v>
      </c>
      <c r="L2410">
        <v>0</v>
      </c>
      <c r="M2410">
        <v>2</v>
      </c>
      <c r="N2410">
        <v>0</v>
      </c>
    </row>
    <row r="2411" spans="1:14" x14ac:dyDescent="0.45">
      <c r="A2411" t="s">
        <v>282</v>
      </c>
      <c r="B2411" t="s">
        <v>683</v>
      </c>
      <c r="C2411" t="s">
        <v>104</v>
      </c>
      <c r="D2411" t="s">
        <v>516</v>
      </c>
      <c r="E2411">
        <v>4</v>
      </c>
      <c r="F2411">
        <v>0</v>
      </c>
      <c r="G2411">
        <v>23</v>
      </c>
      <c r="H2411">
        <v>0</v>
      </c>
      <c r="I2411">
        <v>5.75</v>
      </c>
      <c r="J2411">
        <v>9</v>
      </c>
      <c r="K2411">
        <v>2</v>
      </c>
      <c r="L2411">
        <v>0</v>
      </c>
      <c r="M2411">
        <v>1</v>
      </c>
      <c r="N2411">
        <v>0</v>
      </c>
    </row>
    <row r="2412" spans="1:14" x14ac:dyDescent="0.45">
      <c r="A2412" t="s">
        <v>282</v>
      </c>
      <c r="B2412" t="s">
        <v>683</v>
      </c>
      <c r="C2412" t="s">
        <v>104</v>
      </c>
      <c r="D2412" t="s">
        <v>340</v>
      </c>
      <c r="E2412">
        <v>4</v>
      </c>
      <c r="F2412">
        <v>0</v>
      </c>
      <c r="G2412">
        <v>29</v>
      </c>
      <c r="H2412">
        <v>2</v>
      </c>
      <c r="I2412">
        <v>7.25</v>
      </c>
      <c r="J2412">
        <v>12</v>
      </c>
      <c r="K2412">
        <v>3</v>
      </c>
      <c r="L2412">
        <v>1</v>
      </c>
      <c r="M2412">
        <v>0</v>
      </c>
      <c r="N2412">
        <v>0</v>
      </c>
    </row>
    <row r="2413" spans="1:14" x14ac:dyDescent="0.45">
      <c r="A2413" t="s">
        <v>282</v>
      </c>
      <c r="B2413" t="s">
        <v>683</v>
      </c>
      <c r="C2413" t="s">
        <v>104</v>
      </c>
      <c r="D2413" t="s">
        <v>606</v>
      </c>
      <c r="E2413">
        <v>4</v>
      </c>
      <c r="F2413">
        <v>0</v>
      </c>
      <c r="G2413">
        <v>14</v>
      </c>
      <c r="H2413">
        <v>5</v>
      </c>
      <c r="I2413">
        <v>3.5</v>
      </c>
      <c r="J2413">
        <v>17</v>
      </c>
      <c r="K2413">
        <v>1</v>
      </c>
      <c r="L2413">
        <v>0</v>
      </c>
      <c r="M2413">
        <v>1</v>
      </c>
      <c r="N2413">
        <v>1</v>
      </c>
    </row>
    <row r="2414" spans="1:14" x14ac:dyDescent="0.45">
      <c r="A2414" t="s">
        <v>282</v>
      </c>
      <c r="B2414" t="s">
        <v>683</v>
      </c>
      <c r="C2414" t="s">
        <v>104</v>
      </c>
      <c r="D2414" t="s">
        <v>407</v>
      </c>
      <c r="E2414">
        <v>4</v>
      </c>
      <c r="F2414">
        <v>0</v>
      </c>
      <c r="G2414">
        <v>31</v>
      </c>
      <c r="H2414">
        <v>2</v>
      </c>
      <c r="I2414">
        <v>7.75</v>
      </c>
      <c r="J2414">
        <v>8</v>
      </c>
      <c r="K2414">
        <v>3</v>
      </c>
      <c r="L2414">
        <v>1</v>
      </c>
      <c r="M2414">
        <v>0</v>
      </c>
      <c r="N2414">
        <v>0</v>
      </c>
    </row>
    <row r="2415" spans="1:14" x14ac:dyDescent="0.45">
      <c r="A2415" t="s">
        <v>283</v>
      </c>
      <c r="B2415" t="s">
        <v>656</v>
      </c>
      <c r="C2415" t="s">
        <v>7</v>
      </c>
      <c r="D2415" t="s">
        <v>515</v>
      </c>
      <c r="E2415">
        <v>4</v>
      </c>
      <c r="F2415">
        <v>0</v>
      </c>
      <c r="G2415">
        <v>27</v>
      </c>
      <c r="H2415">
        <v>1</v>
      </c>
      <c r="I2415">
        <v>6.75</v>
      </c>
      <c r="J2415">
        <v>11</v>
      </c>
      <c r="K2415">
        <v>2</v>
      </c>
      <c r="L2415">
        <v>1</v>
      </c>
      <c r="M2415">
        <v>0</v>
      </c>
      <c r="N2415">
        <v>0</v>
      </c>
    </row>
    <row r="2416" spans="1:14" x14ac:dyDescent="0.45">
      <c r="A2416" t="s">
        <v>283</v>
      </c>
      <c r="B2416" t="s">
        <v>656</v>
      </c>
      <c r="C2416" t="s">
        <v>7</v>
      </c>
      <c r="D2416" t="s">
        <v>415</v>
      </c>
      <c r="E2416">
        <v>4</v>
      </c>
      <c r="F2416">
        <v>0</v>
      </c>
      <c r="G2416">
        <v>54</v>
      </c>
      <c r="H2416">
        <v>2</v>
      </c>
      <c r="I2416">
        <v>13.5</v>
      </c>
      <c r="J2416">
        <v>7</v>
      </c>
      <c r="K2416">
        <v>6</v>
      </c>
      <c r="L2416">
        <v>3</v>
      </c>
      <c r="M2416">
        <v>0</v>
      </c>
      <c r="N2416">
        <v>0</v>
      </c>
    </row>
    <row r="2417" spans="1:14" x14ac:dyDescent="0.45">
      <c r="A2417" t="s">
        <v>283</v>
      </c>
      <c r="B2417" t="s">
        <v>656</v>
      </c>
      <c r="C2417" t="s">
        <v>7</v>
      </c>
      <c r="D2417" t="s">
        <v>308</v>
      </c>
      <c r="E2417">
        <v>4</v>
      </c>
      <c r="F2417">
        <v>0</v>
      </c>
      <c r="G2417">
        <v>40</v>
      </c>
      <c r="H2417">
        <v>1</v>
      </c>
      <c r="I2417">
        <v>10</v>
      </c>
      <c r="J2417">
        <v>8</v>
      </c>
      <c r="K2417">
        <v>3</v>
      </c>
      <c r="L2417">
        <v>2</v>
      </c>
      <c r="M2417">
        <v>1</v>
      </c>
      <c r="N2417">
        <v>0</v>
      </c>
    </row>
    <row r="2418" spans="1:14" x14ac:dyDescent="0.45">
      <c r="A2418" t="s">
        <v>283</v>
      </c>
      <c r="B2418" t="s">
        <v>656</v>
      </c>
      <c r="C2418" t="s">
        <v>7</v>
      </c>
      <c r="D2418" t="s">
        <v>322</v>
      </c>
      <c r="E2418">
        <v>4</v>
      </c>
      <c r="F2418">
        <v>0</v>
      </c>
      <c r="G2418">
        <v>26</v>
      </c>
      <c r="H2418">
        <v>1</v>
      </c>
      <c r="I2418">
        <v>6.5</v>
      </c>
      <c r="J2418">
        <v>10</v>
      </c>
      <c r="K2418">
        <v>2</v>
      </c>
      <c r="L2418">
        <v>1</v>
      </c>
      <c r="M2418">
        <v>1</v>
      </c>
      <c r="N2418">
        <v>0</v>
      </c>
    </row>
    <row r="2419" spans="1:14" x14ac:dyDescent="0.45">
      <c r="A2419" t="s">
        <v>283</v>
      </c>
      <c r="B2419" t="s">
        <v>656</v>
      </c>
      <c r="C2419" t="s">
        <v>7</v>
      </c>
      <c r="D2419" t="s">
        <v>326</v>
      </c>
      <c r="E2419">
        <v>4</v>
      </c>
      <c r="F2419">
        <v>0</v>
      </c>
      <c r="G2419">
        <v>43</v>
      </c>
      <c r="H2419">
        <v>0</v>
      </c>
      <c r="I2419">
        <v>10.75</v>
      </c>
      <c r="J2419">
        <v>7</v>
      </c>
      <c r="K2419">
        <v>4</v>
      </c>
      <c r="L2419">
        <v>2</v>
      </c>
      <c r="M2419">
        <v>0</v>
      </c>
      <c r="N2419">
        <v>1</v>
      </c>
    </row>
    <row r="2420" spans="1:14" x14ac:dyDescent="0.45">
      <c r="A2420" t="s">
        <v>283</v>
      </c>
      <c r="B2420" t="s">
        <v>656</v>
      </c>
      <c r="C2420" t="s">
        <v>26</v>
      </c>
      <c r="D2420" t="s">
        <v>420</v>
      </c>
      <c r="E2420">
        <v>3</v>
      </c>
      <c r="F2420">
        <v>0</v>
      </c>
      <c r="G2420">
        <v>38</v>
      </c>
      <c r="H2420">
        <v>1</v>
      </c>
      <c r="I2420">
        <v>12.66</v>
      </c>
      <c r="J2420">
        <v>4</v>
      </c>
      <c r="K2420">
        <v>3</v>
      </c>
      <c r="L2420">
        <v>3</v>
      </c>
      <c r="M2420">
        <v>0</v>
      </c>
      <c r="N2420">
        <v>0</v>
      </c>
    </row>
    <row r="2421" spans="1:14" x14ac:dyDescent="0.45">
      <c r="A2421" t="s">
        <v>283</v>
      </c>
      <c r="B2421" t="s">
        <v>656</v>
      </c>
      <c r="C2421" t="s">
        <v>26</v>
      </c>
      <c r="D2421" t="s">
        <v>405</v>
      </c>
      <c r="E2421">
        <v>3</v>
      </c>
      <c r="F2421">
        <v>0</v>
      </c>
      <c r="G2421">
        <v>19</v>
      </c>
      <c r="H2421">
        <v>3</v>
      </c>
      <c r="I2421">
        <v>6.33</v>
      </c>
      <c r="J2421">
        <v>10</v>
      </c>
      <c r="K2421">
        <v>2</v>
      </c>
      <c r="L2421">
        <v>1</v>
      </c>
      <c r="M2421">
        <v>0</v>
      </c>
      <c r="N2421">
        <v>0</v>
      </c>
    </row>
    <row r="2422" spans="1:14" x14ac:dyDescent="0.45">
      <c r="A2422" t="s">
        <v>283</v>
      </c>
      <c r="B2422" t="s">
        <v>656</v>
      </c>
      <c r="C2422" t="s">
        <v>26</v>
      </c>
      <c r="D2422" t="s">
        <v>428</v>
      </c>
      <c r="E2422">
        <v>3</v>
      </c>
      <c r="F2422">
        <v>0</v>
      </c>
      <c r="G2422">
        <v>27</v>
      </c>
      <c r="H2422">
        <v>1</v>
      </c>
      <c r="I2422">
        <v>9</v>
      </c>
      <c r="J2422">
        <v>8</v>
      </c>
      <c r="K2422">
        <v>2</v>
      </c>
      <c r="L2422">
        <v>1</v>
      </c>
      <c r="M2422">
        <v>0</v>
      </c>
      <c r="N2422">
        <v>2</v>
      </c>
    </row>
    <row r="2423" spans="1:14" x14ac:dyDescent="0.45">
      <c r="A2423" t="s">
        <v>283</v>
      </c>
      <c r="B2423" t="s">
        <v>656</v>
      </c>
      <c r="C2423" t="s">
        <v>26</v>
      </c>
      <c r="D2423" t="s">
        <v>590</v>
      </c>
      <c r="E2423">
        <v>3</v>
      </c>
      <c r="F2423">
        <v>0</v>
      </c>
      <c r="G2423">
        <v>25</v>
      </c>
      <c r="H2423">
        <v>1</v>
      </c>
      <c r="I2423">
        <v>8.33</v>
      </c>
      <c r="J2423">
        <v>5</v>
      </c>
      <c r="K2423">
        <v>3</v>
      </c>
      <c r="L2423">
        <v>0</v>
      </c>
      <c r="M2423">
        <v>1</v>
      </c>
      <c r="N2423">
        <v>0</v>
      </c>
    </row>
    <row r="2424" spans="1:14" x14ac:dyDescent="0.45">
      <c r="A2424" t="s">
        <v>283</v>
      </c>
      <c r="B2424" t="s">
        <v>656</v>
      </c>
      <c r="C2424" t="s">
        <v>26</v>
      </c>
      <c r="D2424" t="s">
        <v>520</v>
      </c>
      <c r="E2424">
        <v>1</v>
      </c>
      <c r="F2424">
        <v>0</v>
      </c>
      <c r="G2424">
        <v>15</v>
      </c>
      <c r="H2424">
        <v>0</v>
      </c>
      <c r="I2424">
        <v>15</v>
      </c>
      <c r="J2424">
        <v>2</v>
      </c>
      <c r="K2424">
        <v>2</v>
      </c>
      <c r="L2424">
        <v>1</v>
      </c>
      <c r="M2424">
        <v>0</v>
      </c>
      <c r="N2424">
        <v>0</v>
      </c>
    </row>
    <row r="2425" spans="1:14" x14ac:dyDescent="0.45">
      <c r="A2425" t="s">
        <v>283</v>
      </c>
      <c r="B2425" t="s">
        <v>656</v>
      </c>
      <c r="C2425" t="s">
        <v>26</v>
      </c>
      <c r="D2425" t="s">
        <v>435</v>
      </c>
      <c r="E2425">
        <v>2</v>
      </c>
      <c r="F2425">
        <v>0</v>
      </c>
      <c r="G2425">
        <v>12</v>
      </c>
      <c r="H2425">
        <v>1</v>
      </c>
      <c r="I2425">
        <v>6</v>
      </c>
      <c r="J2425">
        <v>5</v>
      </c>
      <c r="K2425">
        <v>0</v>
      </c>
      <c r="L2425">
        <v>1</v>
      </c>
      <c r="M2425">
        <v>0</v>
      </c>
      <c r="N2425">
        <v>0</v>
      </c>
    </row>
    <row r="2426" spans="1:14" x14ac:dyDescent="0.45">
      <c r="A2426" t="s">
        <v>283</v>
      </c>
      <c r="B2426" t="s">
        <v>656</v>
      </c>
      <c r="C2426" t="s">
        <v>26</v>
      </c>
      <c r="D2426" t="s">
        <v>404</v>
      </c>
      <c r="E2426">
        <v>1</v>
      </c>
      <c r="F2426">
        <v>0</v>
      </c>
      <c r="G2426">
        <v>7</v>
      </c>
      <c r="H2426">
        <v>0</v>
      </c>
      <c r="I2426">
        <v>7</v>
      </c>
      <c r="J2426">
        <v>3</v>
      </c>
      <c r="K2426">
        <v>1</v>
      </c>
      <c r="L2426">
        <v>0</v>
      </c>
      <c r="M2426">
        <v>0</v>
      </c>
      <c r="N2426">
        <v>0</v>
      </c>
    </row>
    <row r="2427" spans="1:14" x14ac:dyDescent="0.45">
      <c r="A2427" t="s">
        <v>284</v>
      </c>
      <c r="B2427" t="s">
        <v>674</v>
      </c>
      <c r="C2427" t="s">
        <v>101</v>
      </c>
      <c r="D2427" t="s">
        <v>403</v>
      </c>
      <c r="E2427">
        <v>4</v>
      </c>
      <c r="F2427">
        <v>0</v>
      </c>
      <c r="G2427">
        <v>29</v>
      </c>
      <c r="H2427">
        <v>2</v>
      </c>
      <c r="I2427">
        <v>7.25</v>
      </c>
      <c r="J2427">
        <v>13</v>
      </c>
      <c r="K2427">
        <v>2</v>
      </c>
      <c r="L2427">
        <v>2</v>
      </c>
      <c r="M2427">
        <v>0</v>
      </c>
      <c r="N2427">
        <v>1</v>
      </c>
    </row>
    <row r="2428" spans="1:14" x14ac:dyDescent="0.45">
      <c r="A2428" t="s">
        <v>284</v>
      </c>
      <c r="B2428" t="s">
        <v>674</v>
      </c>
      <c r="C2428" t="s">
        <v>101</v>
      </c>
      <c r="D2428" t="s">
        <v>361</v>
      </c>
      <c r="E2428">
        <v>3</v>
      </c>
      <c r="F2428">
        <v>0</v>
      </c>
      <c r="G2428">
        <v>28</v>
      </c>
      <c r="H2428">
        <v>0</v>
      </c>
      <c r="I2428">
        <v>9.33</v>
      </c>
      <c r="J2428">
        <v>6</v>
      </c>
      <c r="K2428">
        <v>2</v>
      </c>
      <c r="L2428">
        <v>2</v>
      </c>
      <c r="M2428">
        <v>0</v>
      </c>
      <c r="N2428">
        <v>0</v>
      </c>
    </row>
    <row r="2429" spans="1:14" x14ac:dyDescent="0.45">
      <c r="A2429" t="s">
        <v>284</v>
      </c>
      <c r="B2429" t="s">
        <v>674</v>
      </c>
      <c r="C2429" t="s">
        <v>101</v>
      </c>
      <c r="D2429" t="s">
        <v>557</v>
      </c>
      <c r="E2429">
        <v>4</v>
      </c>
      <c r="F2429">
        <v>0</v>
      </c>
      <c r="G2429">
        <v>41</v>
      </c>
      <c r="H2429">
        <v>1</v>
      </c>
      <c r="I2429">
        <v>10.25</v>
      </c>
      <c r="J2429">
        <v>10</v>
      </c>
      <c r="K2429">
        <v>4</v>
      </c>
      <c r="L2429">
        <v>3</v>
      </c>
      <c r="M2429">
        <v>0</v>
      </c>
      <c r="N2429">
        <v>0</v>
      </c>
    </row>
    <row r="2430" spans="1:14" x14ac:dyDescent="0.45">
      <c r="A2430" t="s">
        <v>284</v>
      </c>
      <c r="B2430" t="s">
        <v>674</v>
      </c>
      <c r="C2430" t="s">
        <v>101</v>
      </c>
      <c r="D2430" t="s">
        <v>379</v>
      </c>
      <c r="E2430">
        <v>4</v>
      </c>
      <c r="F2430">
        <v>0</v>
      </c>
      <c r="G2430">
        <v>26</v>
      </c>
      <c r="H2430">
        <v>2</v>
      </c>
      <c r="I2430">
        <v>6.5</v>
      </c>
      <c r="J2430">
        <v>10</v>
      </c>
      <c r="K2430">
        <v>2</v>
      </c>
      <c r="L2430">
        <v>1</v>
      </c>
      <c r="M2430">
        <v>0</v>
      </c>
      <c r="N2430">
        <v>0</v>
      </c>
    </row>
    <row r="2431" spans="1:14" x14ac:dyDescent="0.45">
      <c r="A2431" t="s">
        <v>284</v>
      </c>
      <c r="B2431" t="s">
        <v>674</v>
      </c>
      <c r="C2431" t="s">
        <v>101</v>
      </c>
      <c r="D2431" t="s">
        <v>493</v>
      </c>
      <c r="E2431">
        <v>4</v>
      </c>
      <c r="F2431">
        <v>0</v>
      </c>
      <c r="G2431">
        <v>33</v>
      </c>
      <c r="H2431">
        <v>2</v>
      </c>
      <c r="I2431">
        <v>8.25</v>
      </c>
      <c r="J2431">
        <v>8</v>
      </c>
      <c r="K2431">
        <v>0</v>
      </c>
      <c r="L2431">
        <v>3</v>
      </c>
      <c r="M2431">
        <v>0</v>
      </c>
      <c r="N2431">
        <v>0</v>
      </c>
    </row>
    <row r="2432" spans="1:14" x14ac:dyDescent="0.45">
      <c r="A2432" t="s">
        <v>284</v>
      </c>
      <c r="B2432" t="s">
        <v>674</v>
      </c>
      <c r="C2432" t="s">
        <v>101</v>
      </c>
      <c r="D2432" t="s">
        <v>489</v>
      </c>
      <c r="E2432">
        <v>1</v>
      </c>
      <c r="F2432">
        <v>0</v>
      </c>
      <c r="G2432">
        <v>14</v>
      </c>
      <c r="H2432">
        <v>0</v>
      </c>
      <c r="I2432">
        <v>14</v>
      </c>
      <c r="J2432">
        <v>2</v>
      </c>
      <c r="K2432">
        <v>0</v>
      </c>
      <c r="L2432">
        <v>2</v>
      </c>
      <c r="M2432">
        <v>0</v>
      </c>
      <c r="N2432">
        <v>0</v>
      </c>
    </row>
    <row r="2433" spans="1:14" x14ac:dyDescent="0.45">
      <c r="A2433" t="s">
        <v>284</v>
      </c>
      <c r="B2433" t="s">
        <v>674</v>
      </c>
      <c r="C2433" t="s">
        <v>6</v>
      </c>
      <c r="D2433" t="s">
        <v>324</v>
      </c>
      <c r="E2433">
        <v>4</v>
      </c>
      <c r="F2433">
        <v>0</v>
      </c>
      <c r="G2433">
        <v>29</v>
      </c>
      <c r="H2433">
        <v>0</v>
      </c>
      <c r="I2433">
        <v>7.25</v>
      </c>
      <c r="J2433">
        <v>9</v>
      </c>
      <c r="K2433">
        <v>1</v>
      </c>
      <c r="L2433">
        <v>2</v>
      </c>
      <c r="M2433">
        <v>0</v>
      </c>
      <c r="N2433">
        <v>0</v>
      </c>
    </row>
    <row r="2434" spans="1:14" x14ac:dyDescent="0.45">
      <c r="A2434" t="s">
        <v>284</v>
      </c>
      <c r="B2434" t="s">
        <v>674</v>
      </c>
      <c r="C2434" t="s">
        <v>6</v>
      </c>
      <c r="D2434" t="s">
        <v>555</v>
      </c>
      <c r="E2434">
        <v>3.2</v>
      </c>
      <c r="F2434">
        <v>0</v>
      </c>
      <c r="G2434">
        <v>51</v>
      </c>
      <c r="H2434">
        <v>1</v>
      </c>
      <c r="I2434">
        <v>15.3</v>
      </c>
      <c r="J2434">
        <v>5</v>
      </c>
      <c r="K2434">
        <v>4</v>
      </c>
      <c r="L2434">
        <v>4</v>
      </c>
      <c r="M2434">
        <v>1</v>
      </c>
      <c r="N2434">
        <v>1</v>
      </c>
    </row>
    <row r="2435" spans="1:14" x14ac:dyDescent="0.45">
      <c r="A2435" t="s">
        <v>284</v>
      </c>
      <c r="B2435" t="s">
        <v>674</v>
      </c>
      <c r="C2435" t="s">
        <v>6</v>
      </c>
      <c r="D2435" t="s">
        <v>610</v>
      </c>
      <c r="E2435">
        <v>4</v>
      </c>
      <c r="F2435">
        <v>0</v>
      </c>
      <c r="G2435">
        <v>36</v>
      </c>
      <c r="H2435">
        <v>3</v>
      </c>
      <c r="I2435">
        <v>9</v>
      </c>
      <c r="J2435">
        <v>10</v>
      </c>
      <c r="K2435">
        <v>4</v>
      </c>
      <c r="L2435">
        <v>1</v>
      </c>
      <c r="M2435">
        <v>3</v>
      </c>
      <c r="N2435">
        <v>1</v>
      </c>
    </row>
    <row r="2436" spans="1:14" x14ac:dyDescent="0.45">
      <c r="A2436" t="s">
        <v>284</v>
      </c>
      <c r="B2436" t="s">
        <v>674</v>
      </c>
      <c r="C2436" t="s">
        <v>6</v>
      </c>
      <c r="D2436" t="s">
        <v>507</v>
      </c>
      <c r="E2436">
        <v>4</v>
      </c>
      <c r="F2436">
        <v>0</v>
      </c>
      <c r="G2436">
        <v>32</v>
      </c>
      <c r="H2436">
        <v>0</v>
      </c>
      <c r="I2436">
        <v>8</v>
      </c>
      <c r="J2436">
        <v>7</v>
      </c>
      <c r="K2436">
        <v>5</v>
      </c>
      <c r="L2436">
        <v>0</v>
      </c>
      <c r="M2436">
        <v>0</v>
      </c>
      <c r="N2436">
        <v>0</v>
      </c>
    </row>
    <row r="2437" spans="1:14" x14ac:dyDescent="0.45">
      <c r="A2437" t="s">
        <v>284</v>
      </c>
      <c r="B2437" t="s">
        <v>674</v>
      </c>
      <c r="C2437" t="s">
        <v>6</v>
      </c>
      <c r="D2437" t="s">
        <v>328</v>
      </c>
      <c r="E2437">
        <v>4</v>
      </c>
      <c r="F2437">
        <v>0</v>
      </c>
      <c r="G2437">
        <v>28</v>
      </c>
      <c r="H2437">
        <v>1</v>
      </c>
      <c r="I2437">
        <v>7</v>
      </c>
      <c r="J2437">
        <v>9</v>
      </c>
      <c r="K2437">
        <v>1</v>
      </c>
      <c r="L2437">
        <v>1</v>
      </c>
      <c r="M2437">
        <v>0</v>
      </c>
      <c r="N2437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58D9B-73D7-4E8C-A1F7-4333B421377D}">
  <dimension ref="A1:C3269"/>
  <sheetViews>
    <sheetView workbookViewId="0">
      <selection activeCell="D2" sqref="D2"/>
    </sheetView>
  </sheetViews>
  <sheetFormatPr defaultRowHeight="14.25" x14ac:dyDescent="0.45"/>
  <cols>
    <col min="1" max="1" width="12.1328125" customWidth="1"/>
    <col min="2" max="2" width="12.265625" bestFit="1" customWidth="1"/>
    <col min="3" max="3" width="21.59765625" bestFit="1" customWidth="1"/>
  </cols>
  <sheetData>
    <row r="1" spans="1:3" x14ac:dyDescent="0.45">
      <c r="A1" s="11" t="s">
        <v>733</v>
      </c>
      <c r="B1" s="11" t="s">
        <v>734</v>
      </c>
      <c r="C1" s="11" t="s">
        <v>614</v>
      </c>
    </row>
    <row r="2" spans="1:3" x14ac:dyDescent="0.45">
      <c r="A2">
        <f>SUMIFS(fact_batting_summary!G:G, fact_batting_summary!E:E, fact_batting_summary!E2)</f>
        <v>1593</v>
      </c>
      <c r="B2" s="9">
        <f>AVERAGEIFS(fact_batting_summary!G:G, fact_batting_summary!E:E,fact_batting_summary!E2)</f>
        <v>35.4</v>
      </c>
      <c r="C2">
        <v>1</v>
      </c>
    </row>
    <row r="3" spans="1:3" x14ac:dyDescent="0.45">
      <c r="A3">
        <f>SUMIFS(fact_batting_summary!G:G, fact_batting_summary!E:E, fact_batting_summary!E3)</f>
        <v>1831</v>
      </c>
      <c r="B3" s="9">
        <f>AVERAGEIFS(fact_batting_summary!G:G, fact_batting_summary!E:E,fact_batting_summary!E3)</f>
        <v>39.804347826086953</v>
      </c>
      <c r="C3">
        <v>2</v>
      </c>
    </row>
    <row r="4" spans="1:3" x14ac:dyDescent="0.45">
      <c r="A4">
        <f>SUMIFS(fact_batting_summary!G:G, fact_batting_summary!E:E, fact_batting_summary!E4)</f>
        <v>345</v>
      </c>
      <c r="B4" s="9">
        <f>AVERAGEIFS(fact_batting_summary!G:G, fact_batting_summary!E:E,fact_batting_summary!E4)</f>
        <v>23</v>
      </c>
      <c r="C4">
        <v>3</v>
      </c>
    </row>
    <row r="5" spans="1:3" x14ac:dyDescent="0.45">
      <c r="A5">
        <f>SUMIFS(fact_batting_summary!G:G, fact_batting_summary!E:E, fact_batting_summary!E5)</f>
        <v>725</v>
      </c>
      <c r="B5" s="9">
        <f>AVERAGEIFS(fact_batting_summary!G:G, fact_batting_summary!E:E,fact_batting_summary!E5)</f>
        <v>20.714285714285715</v>
      </c>
      <c r="C5">
        <v>4</v>
      </c>
    </row>
    <row r="6" spans="1:3" x14ac:dyDescent="0.45">
      <c r="A6">
        <f>SUMIFS(fact_batting_summary!G:G, fact_batting_summary!E:E, fact_batting_summary!E6)</f>
        <v>1851</v>
      </c>
      <c r="B6" s="9">
        <f>AVERAGEIFS(fact_batting_summary!G:G, fact_batting_summary!E:E,fact_batting_summary!E6)</f>
        <v>37.020000000000003</v>
      </c>
      <c r="C6">
        <v>1</v>
      </c>
    </row>
    <row r="7" spans="1:3" x14ac:dyDescent="0.45">
      <c r="A7">
        <f>SUMIFS(fact_batting_summary!G:G, fact_batting_summary!E:E, fact_batting_summary!E7)</f>
        <v>956</v>
      </c>
      <c r="B7" s="9">
        <f>AVERAGEIFS(fact_batting_summary!G:G, fact_batting_summary!E:E,fact_batting_summary!E7)</f>
        <v>26.555555555555557</v>
      </c>
      <c r="C7">
        <v>2</v>
      </c>
    </row>
    <row r="8" spans="1:3" x14ac:dyDescent="0.45">
      <c r="A8">
        <f>SUMIFS(fact_batting_summary!G:G, fact_batting_summary!E:E, fact_batting_summary!E8)</f>
        <v>1157</v>
      </c>
      <c r="B8" s="9">
        <f>AVERAGEIFS(fact_batting_summary!G:G, fact_batting_summary!E:E,fact_batting_summary!E8)</f>
        <v>26.295454545454547</v>
      </c>
      <c r="C8">
        <v>3</v>
      </c>
    </row>
    <row r="9" spans="1:3" x14ac:dyDescent="0.45">
      <c r="A9">
        <f>SUMIFS(fact_batting_summary!G:G, fact_batting_summary!E:E, fact_batting_summary!E9)</f>
        <v>154</v>
      </c>
      <c r="B9" s="9">
        <f>AVERAGEIFS(fact_batting_summary!G:G, fact_batting_summary!E:E,fact_batting_summary!E9)</f>
        <v>5.1333333333333337</v>
      </c>
      <c r="C9">
        <v>4</v>
      </c>
    </row>
    <row r="10" spans="1:3" x14ac:dyDescent="0.45">
      <c r="A10">
        <f>SUMIFS(fact_batting_summary!G:G, fact_batting_summary!E:E, fact_batting_summary!E10)</f>
        <v>133</v>
      </c>
      <c r="B10" s="9">
        <f>AVERAGEIFS(fact_batting_summary!G:G, fact_batting_summary!E:E,fact_batting_summary!E10)</f>
        <v>8.3125</v>
      </c>
      <c r="C10">
        <v>5</v>
      </c>
    </row>
    <row r="11" spans="1:3" x14ac:dyDescent="0.45">
      <c r="A11">
        <f>SUMIFS(fact_batting_summary!G:G, fact_batting_summary!E:E, fact_batting_summary!E11)</f>
        <v>693</v>
      </c>
      <c r="B11" s="9">
        <f>AVERAGEIFS(fact_batting_summary!G:G, fact_batting_summary!E:E,fact_batting_summary!E11)</f>
        <v>15.75</v>
      </c>
      <c r="C11">
        <v>6</v>
      </c>
    </row>
    <row r="12" spans="1:3" x14ac:dyDescent="0.45">
      <c r="A12">
        <f>SUMIFS(fact_batting_summary!G:G, fact_batting_summary!E:E, fact_batting_summary!E12)</f>
        <v>47</v>
      </c>
      <c r="B12" s="9">
        <f>AVERAGEIFS(fact_batting_summary!G:G, fact_batting_summary!E:E,fact_batting_summary!E12)</f>
        <v>7.833333333333333</v>
      </c>
      <c r="C12">
        <v>7</v>
      </c>
    </row>
    <row r="13" spans="1:3" x14ac:dyDescent="0.45">
      <c r="A13">
        <f>SUMIFS(fact_batting_summary!G:G, fact_batting_summary!E:E, fact_batting_summary!E13)</f>
        <v>1083</v>
      </c>
      <c r="B13" s="9">
        <f>AVERAGEIFS(fact_batting_summary!G:G, fact_batting_summary!E:E,fact_batting_summary!E13)</f>
        <v>25.186046511627907</v>
      </c>
      <c r="C13">
        <v>8</v>
      </c>
    </row>
    <row r="14" spans="1:3" x14ac:dyDescent="0.45">
      <c r="A14">
        <f>SUMIFS(fact_batting_summary!G:G, fact_batting_summary!E:E, fact_batting_summary!E14)</f>
        <v>23</v>
      </c>
      <c r="B14" s="9">
        <f>AVERAGEIFS(fact_batting_summary!G:G, fact_batting_summary!E:E,fact_batting_summary!E14)</f>
        <v>3.8333333333333335</v>
      </c>
      <c r="C14">
        <v>9</v>
      </c>
    </row>
    <row r="15" spans="1:3" x14ac:dyDescent="0.45">
      <c r="A15">
        <f>SUMIFS(fact_batting_summary!G:G, fact_batting_summary!E:E, fact_batting_summary!E15)</f>
        <v>28</v>
      </c>
      <c r="B15" s="9">
        <f>AVERAGEIFS(fact_batting_summary!G:G, fact_batting_summary!E:E,fact_batting_summary!E15)</f>
        <v>5.6</v>
      </c>
      <c r="C15">
        <v>10</v>
      </c>
    </row>
    <row r="16" spans="1:3" x14ac:dyDescent="0.45">
      <c r="A16">
        <f>SUMIFS(fact_batting_summary!G:G, fact_batting_summary!E:E, fact_batting_summary!E16)</f>
        <v>15</v>
      </c>
      <c r="B16" s="9">
        <f>AVERAGEIFS(fact_batting_summary!G:G, fact_batting_summary!E:E,fact_batting_summary!E16)</f>
        <v>1.6666666666666667</v>
      </c>
      <c r="C16">
        <v>11</v>
      </c>
    </row>
    <row r="17" spans="1:3" x14ac:dyDescent="0.45">
      <c r="A17">
        <f>SUMIFS(fact_batting_summary!G:G, fact_batting_summary!E:E, fact_batting_summary!E17)</f>
        <v>815</v>
      </c>
      <c r="B17" s="9">
        <f>AVERAGEIFS(fact_batting_summary!G:G, fact_batting_summary!E:E,fact_batting_summary!E17)</f>
        <v>25.46875</v>
      </c>
      <c r="C17">
        <v>1</v>
      </c>
    </row>
    <row r="18" spans="1:3" x14ac:dyDescent="0.45">
      <c r="A18">
        <f>SUMIFS(fact_batting_summary!G:G, fact_batting_summary!E:E, fact_batting_summary!E18)</f>
        <v>1392</v>
      </c>
      <c r="B18" s="9">
        <f>AVERAGEIFS(fact_batting_summary!G:G, fact_batting_summary!E:E,fact_batting_summary!E18)</f>
        <v>34.799999999999997</v>
      </c>
      <c r="C18">
        <v>2</v>
      </c>
    </row>
    <row r="19" spans="1:3" x14ac:dyDescent="0.45">
      <c r="A19">
        <f>SUMIFS(fact_batting_summary!G:G, fact_batting_summary!E:E, fact_batting_summary!E19)</f>
        <v>645</v>
      </c>
      <c r="B19" s="9">
        <f>AVERAGEIFS(fact_batting_summary!G:G, fact_batting_summary!E:E,fact_batting_summary!E19)</f>
        <v>21.5</v>
      </c>
      <c r="C19">
        <v>3</v>
      </c>
    </row>
    <row r="20" spans="1:3" x14ac:dyDescent="0.45">
      <c r="A20">
        <f>SUMIFS(fact_batting_summary!G:G, fact_batting_summary!E:E, fact_batting_summary!E20)</f>
        <v>576</v>
      </c>
      <c r="B20" s="9">
        <f>AVERAGEIFS(fact_batting_summary!G:G, fact_batting_summary!E:E,fact_batting_summary!E20)</f>
        <v>26.181818181818183</v>
      </c>
      <c r="C20">
        <v>4</v>
      </c>
    </row>
    <row r="21" spans="1:3" x14ac:dyDescent="0.45">
      <c r="A21">
        <f>SUMIFS(fact_batting_summary!G:G, fact_batting_summary!E:E, fact_batting_summary!E21)</f>
        <v>722</v>
      </c>
      <c r="B21" s="9">
        <f>AVERAGEIFS(fact_batting_summary!G:G, fact_batting_summary!E:E,fact_batting_summary!E21)</f>
        <v>25.785714285714285</v>
      </c>
      <c r="C21">
        <v>5</v>
      </c>
    </row>
    <row r="22" spans="1:3" x14ac:dyDescent="0.45">
      <c r="A22">
        <f>SUMIFS(fact_batting_summary!G:G, fact_batting_summary!E:E, fact_batting_summary!E22)</f>
        <v>854</v>
      </c>
      <c r="B22" s="9">
        <f>AVERAGEIFS(fact_batting_summary!G:G, fact_batting_summary!E:E,fact_batting_summary!E22)</f>
        <v>21.35</v>
      </c>
      <c r="C22">
        <v>6</v>
      </c>
    </row>
    <row r="23" spans="1:3" x14ac:dyDescent="0.45">
      <c r="A23">
        <f>SUMIFS(fact_batting_summary!G:G, fact_batting_summary!E:E, fact_batting_summary!E23)</f>
        <v>505</v>
      </c>
      <c r="B23" s="9">
        <f>AVERAGEIFS(fact_batting_summary!G:G, fact_batting_summary!E:E,fact_batting_summary!E23)</f>
        <v>17.413793103448278</v>
      </c>
      <c r="C23">
        <v>7</v>
      </c>
    </row>
    <row r="24" spans="1:3" x14ac:dyDescent="0.45">
      <c r="A24">
        <f>SUMIFS(fact_batting_summary!G:G, fact_batting_summary!E:E, fact_batting_summary!E24)</f>
        <v>1851</v>
      </c>
      <c r="B24" s="9">
        <f>AVERAGEIFS(fact_batting_summary!G:G, fact_batting_summary!E:E,fact_batting_summary!E24)</f>
        <v>37.020000000000003</v>
      </c>
      <c r="C24">
        <v>1</v>
      </c>
    </row>
    <row r="25" spans="1:3" x14ac:dyDescent="0.45">
      <c r="A25">
        <f>SUMIFS(fact_batting_summary!G:G, fact_batting_summary!E:E, fact_batting_summary!E25)</f>
        <v>956</v>
      </c>
      <c r="B25" s="9">
        <f>AVERAGEIFS(fact_batting_summary!G:G, fact_batting_summary!E:E,fact_batting_summary!E25)</f>
        <v>26.555555555555557</v>
      </c>
      <c r="C25">
        <v>2</v>
      </c>
    </row>
    <row r="26" spans="1:3" x14ac:dyDescent="0.45">
      <c r="A26">
        <f>SUMIFS(fact_batting_summary!G:G, fact_batting_summary!E:E, fact_batting_summary!E26)</f>
        <v>1157</v>
      </c>
      <c r="B26" s="9">
        <f>AVERAGEIFS(fact_batting_summary!G:G, fact_batting_summary!E:E,fact_batting_summary!E26)</f>
        <v>26.295454545454547</v>
      </c>
      <c r="C26">
        <v>3</v>
      </c>
    </row>
    <row r="27" spans="1:3" x14ac:dyDescent="0.45">
      <c r="A27">
        <f>SUMIFS(fact_batting_summary!G:G, fact_batting_summary!E:E, fact_batting_summary!E27)</f>
        <v>1083</v>
      </c>
      <c r="B27" s="9">
        <f>AVERAGEIFS(fact_batting_summary!G:G, fact_batting_summary!E:E,fact_batting_summary!E27)</f>
        <v>25.186046511627907</v>
      </c>
      <c r="C27">
        <v>4</v>
      </c>
    </row>
    <row r="28" spans="1:3" x14ac:dyDescent="0.45">
      <c r="A28">
        <f>SUMIFS(fact_batting_summary!G:G, fact_batting_summary!E:E, fact_batting_summary!E28)</f>
        <v>693</v>
      </c>
      <c r="B28" s="9">
        <f>AVERAGEIFS(fact_batting_summary!G:G, fact_batting_summary!E:E,fact_batting_summary!E28)</f>
        <v>15.75</v>
      </c>
      <c r="C28">
        <v>5</v>
      </c>
    </row>
    <row r="29" spans="1:3" x14ac:dyDescent="0.45">
      <c r="A29">
        <f>SUMIFS(fact_batting_summary!G:G, fact_batting_summary!E:E, fact_batting_summary!E29)</f>
        <v>133</v>
      </c>
      <c r="B29" s="9">
        <f>AVERAGEIFS(fact_batting_summary!G:G, fact_batting_summary!E:E,fact_batting_summary!E29)</f>
        <v>8.3125</v>
      </c>
      <c r="C29">
        <v>6</v>
      </c>
    </row>
    <row r="30" spans="1:3" x14ac:dyDescent="0.45">
      <c r="A30">
        <f>SUMIFS(fact_batting_summary!G:G, fact_batting_summary!E:E, fact_batting_summary!E30)</f>
        <v>47</v>
      </c>
      <c r="B30" s="9">
        <f>AVERAGEIFS(fact_batting_summary!G:G, fact_batting_summary!E:E,fact_batting_summary!E30)</f>
        <v>7.833333333333333</v>
      </c>
      <c r="C30">
        <v>7</v>
      </c>
    </row>
    <row r="31" spans="1:3" x14ac:dyDescent="0.45">
      <c r="A31">
        <f>SUMIFS(fact_batting_summary!G:G, fact_batting_summary!E:E, fact_batting_summary!E31)</f>
        <v>154</v>
      </c>
      <c r="B31" s="9">
        <f>AVERAGEIFS(fact_batting_summary!G:G, fact_batting_summary!E:E,fact_batting_summary!E31)</f>
        <v>5.1333333333333337</v>
      </c>
      <c r="C31">
        <v>8</v>
      </c>
    </row>
    <row r="32" spans="1:3" x14ac:dyDescent="0.45">
      <c r="A32">
        <f>SUMIFS(fact_batting_summary!G:G, fact_batting_summary!E:E, fact_batting_summary!E32)</f>
        <v>23</v>
      </c>
      <c r="B32" s="9">
        <f>AVERAGEIFS(fact_batting_summary!G:G, fact_batting_summary!E:E,fact_batting_summary!E32)</f>
        <v>3.8333333333333335</v>
      </c>
      <c r="C32">
        <v>9</v>
      </c>
    </row>
    <row r="33" spans="1:3" x14ac:dyDescent="0.45">
      <c r="A33">
        <f>SUMIFS(fact_batting_summary!G:G, fact_batting_summary!E:E, fact_batting_summary!E33)</f>
        <v>1048</v>
      </c>
      <c r="B33" s="9">
        <f>AVERAGEIFS(fact_batting_summary!G:G, fact_batting_summary!E:E,fact_batting_summary!E33)</f>
        <v>24.952380952380953</v>
      </c>
      <c r="C33">
        <v>1</v>
      </c>
    </row>
    <row r="34" spans="1:3" x14ac:dyDescent="0.45">
      <c r="A34">
        <f>SUMIFS(fact_batting_summary!G:G, fact_batting_summary!E:E, fact_batting_summary!E34)</f>
        <v>1385</v>
      </c>
      <c r="B34" s="9">
        <f>AVERAGEIFS(fact_batting_summary!G:G, fact_batting_summary!E:E,fact_batting_summary!E34)</f>
        <v>30.777777777777779</v>
      </c>
      <c r="C34">
        <v>2</v>
      </c>
    </row>
    <row r="35" spans="1:3" x14ac:dyDescent="0.45">
      <c r="A35">
        <f>SUMIFS(fact_batting_summary!G:G, fact_batting_summary!E:E, fact_batting_summary!E35)</f>
        <v>199</v>
      </c>
      <c r="B35" s="9">
        <f>AVERAGEIFS(fact_batting_summary!G:G, fact_batting_summary!E:E,fact_batting_summary!E35)</f>
        <v>22.111111111111111</v>
      </c>
      <c r="C35">
        <v>3</v>
      </c>
    </row>
    <row r="36" spans="1:3" x14ac:dyDescent="0.45">
      <c r="A36">
        <f>SUMIFS(fact_batting_summary!G:G, fact_batting_summary!E:E, fact_batting_summary!E36)</f>
        <v>1214</v>
      </c>
      <c r="B36" s="9">
        <f>AVERAGEIFS(fact_batting_summary!G:G, fact_batting_summary!E:E,fact_batting_summary!E36)</f>
        <v>29.609756097560975</v>
      </c>
      <c r="C36">
        <v>4</v>
      </c>
    </row>
    <row r="37" spans="1:3" x14ac:dyDescent="0.45">
      <c r="A37">
        <f>SUMIFS(fact_batting_summary!G:G, fact_batting_summary!E:E, fact_batting_summary!E37)</f>
        <v>313</v>
      </c>
      <c r="B37" s="9">
        <f>AVERAGEIFS(fact_batting_summary!G:G, fact_batting_summary!E:E,fact_batting_summary!E37)</f>
        <v>22.357142857142858</v>
      </c>
      <c r="C37">
        <v>5</v>
      </c>
    </row>
    <row r="38" spans="1:3" x14ac:dyDescent="0.45">
      <c r="A38">
        <f>SUMIFS(fact_batting_summary!G:G, fact_batting_summary!E:E, fact_batting_summary!E38)</f>
        <v>320</v>
      </c>
      <c r="B38" s="9">
        <f>AVERAGEIFS(fact_batting_summary!G:G, fact_batting_summary!E:E,fact_batting_summary!E38)</f>
        <v>13.333333333333334</v>
      </c>
      <c r="C38">
        <v>6</v>
      </c>
    </row>
    <row r="39" spans="1:3" x14ac:dyDescent="0.45">
      <c r="A39">
        <f>SUMIFS(fact_batting_summary!G:G, fact_batting_summary!E:E, fact_batting_summary!E39)</f>
        <v>14</v>
      </c>
      <c r="B39" s="9">
        <f>AVERAGEIFS(fact_batting_summary!G:G, fact_batting_summary!E:E,fact_batting_summary!E39)</f>
        <v>2</v>
      </c>
      <c r="C39">
        <v>7</v>
      </c>
    </row>
    <row r="40" spans="1:3" x14ac:dyDescent="0.45">
      <c r="A40">
        <f>SUMIFS(fact_batting_summary!G:G, fact_batting_summary!E:E, fact_batting_summary!E40)</f>
        <v>108</v>
      </c>
      <c r="B40" s="9">
        <f>AVERAGEIFS(fact_batting_summary!G:G, fact_batting_summary!E:E,fact_batting_summary!E40)</f>
        <v>6</v>
      </c>
      <c r="C40">
        <v>8</v>
      </c>
    </row>
    <row r="41" spans="1:3" x14ac:dyDescent="0.45">
      <c r="A41">
        <f>SUMIFS(fact_batting_summary!G:G, fact_batting_summary!E:E, fact_batting_summary!E41)</f>
        <v>2</v>
      </c>
      <c r="B41" s="9">
        <f>AVERAGEIFS(fact_batting_summary!G:G, fact_batting_summary!E:E,fact_batting_summary!E41)</f>
        <v>0.66666666666666663</v>
      </c>
      <c r="C41">
        <v>9</v>
      </c>
    </row>
    <row r="42" spans="1:3" x14ac:dyDescent="0.45">
      <c r="A42">
        <f>SUMIFS(fact_batting_summary!G:G, fact_batting_summary!E:E, fact_batting_summary!E42)</f>
        <v>1851</v>
      </c>
      <c r="B42" s="9">
        <f>AVERAGEIFS(fact_batting_summary!G:G, fact_batting_summary!E:E,fact_batting_summary!E42)</f>
        <v>37.020000000000003</v>
      </c>
      <c r="C42">
        <v>1</v>
      </c>
    </row>
    <row r="43" spans="1:3" x14ac:dyDescent="0.45">
      <c r="A43">
        <f>SUMIFS(fact_batting_summary!G:G, fact_batting_summary!E:E, fact_batting_summary!E43)</f>
        <v>956</v>
      </c>
      <c r="B43" s="9">
        <f>AVERAGEIFS(fact_batting_summary!G:G, fact_batting_summary!E:E,fact_batting_summary!E43)</f>
        <v>26.555555555555557</v>
      </c>
      <c r="C43">
        <v>2</v>
      </c>
    </row>
    <row r="44" spans="1:3" x14ac:dyDescent="0.45">
      <c r="A44">
        <f>SUMIFS(fact_batting_summary!G:G, fact_batting_summary!E:E, fact_batting_summary!E44)</f>
        <v>1083</v>
      </c>
      <c r="B44" s="9">
        <f>AVERAGEIFS(fact_batting_summary!G:G, fact_batting_summary!E:E,fact_batting_summary!E44)</f>
        <v>25.186046511627907</v>
      </c>
      <c r="C44">
        <v>3</v>
      </c>
    </row>
    <row r="45" spans="1:3" x14ac:dyDescent="0.45">
      <c r="A45">
        <f>SUMIFS(fact_batting_summary!G:G, fact_batting_summary!E:E, fact_batting_summary!E45)</f>
        <v>1157</v>
      </c>
      <c r="B45" s="9">
        <f>AVERAGEIFS(fact_batting_summary!G:G, fact_batting_summary!E:E,fact_batting_summary!E45)</f>
        <v>26.295454545454547</v>
      </c>
      <c r="C45">
        <v>4</v>
      </c>
    </row>
    <row r="46" spans="1:3" x14ac:dyDescent="0.45">
      <c r="A46">
        <f>SUMIFS(fact_batting_summary!G:G, fact_batting_summary!E:E, fact_batting_summary!E46)</f>
        <v>154</v>
      </c>
      <c r="B46" s="9">
        <f>AVERAGEIFS(fact_batting_summary!G:G, fact_batting_summary!E:E,fact_batting_summary!E46)</f>
        <v>5.1333333333333337</v>
      </c>
      <c r="C46">
        <v>5</v>
      </c>
    </row>
    <row r="47" spans="1:3" x14ac:dyDescent="0.45">
      <c r="A47">
        <f>SUMIFS(fact_batting_summary!G:G, fact_batting_summary!E:E, fact_batting_summary!E47)</f>
        <v>693</v>
      </c>
      <c r="B47" s="9">
        <f>AVERAGEIFS(fact_batting_summary!G:G, fact_batting_summary!E:E,fact_batting_summary!E47)</f>
        <v>15.75</v>
      </c>
      <c r="C47">
        <v>6</v>
      </c>
    </row>
    <row r="48" spans="1:3" x14ac:dyDescent="0.45">
      <c r="A48">
        <f>SUMIFS(fact_batting_summary!G:G, fact_batting_summary!E:E, fact_batting_summary!E48)</f>
        <v>133</v>
      </c>
      <c r="B48" s="9">
        <f>AVERAGEIFS(fact_batting_summary!G:G, fact_batting_summary!E:E,fact_batting_summary!E48)</f>
        <v>8.3125</v>
      </c>
      <c r="C48">
        <v>7</v>
      </c>
    </row>
    <row r="49" spans="1:3" x14ac:dyDescent="0.45">
      <c r="A49">
        <f>SUMIFS(fact_batting_summary!G:G, fact_batting_summary!E:E, fact_batting_summary!E49)</f>
        <v>47</v>
      </c>
      <c r="B49" s="9">
        <f>AVERAGEIFS(fact_batting_summary!G:G, fact_batting_summary!E:E,fact_batting_summary!E49)</f>
        <v>7.833333333333333</v>
      </c>
      <c r="C49">
        <v>8</v>
      </c>
    </row>
    <row r="50" spans="1:3" x14ac:dyDescent="0.45">
      <c r="A50">
        <f>SUMIFS(fact_batting_summary!G:G, fact_batting_summary!E:E, fact_batting_summary!E50)</f>
        <v>815</v>
      </c>
      <c r="B50" s="9">
        <f>AVERAGEIFS(fact_batting_summary!G:G, fact_batting_summary!E:E,fact_batting_summary!E50)</f>
        <v>25.46875</v>
      </c>
      <c r="C50">
        <v>1</v>
      </c>
    </row>
    <row r="51" spans="1:3" x14ac:dyDescent="0.45">
      <c r="A51">
        <f>SUMIFS(fact_batting_summary!G:G, fact_batting_summary!E:E, fact_batting_summary!E51)</f>
        <v>1392</v>
      </c>
      <c r="B51" s="9">
        <f>AVERAGEIFS(fact_batting_summary!G:G, fact_batting_summary!E:E,fact_batting_summary!E51)</f>
        <v>34.799999999999997</v>
      </c>
      <c r="C51">
        <v>2</v>
      </c>
    </row>
    <row r="52" spans="1:3" x14ac:dyDescent="0.45">
      <c r="A52">
        <f>SUMIFS(fact_batting_summary!G:G, fact_batting_summary!E:E, fact_batting_summary!E52)</f>
        <v>576</v>
      </c>
      <c r="B52" s="9">
        <f>AVERAGEIFS(fact_batting_summary!G:G, fact_batting_summary!E:E,fact_batting_summary!E52)</f>
        <v>26.181818181818183</v>
      </c>
      <c r="C52">
        <v>3</v>
      </c>
    </row>
    <row r="53" spans="1:3" x14ac:dyDescent="0.45">
      <c r="A53">
        <f>SUMIFS(fact_batting_summary!G:G, fact_batting_summary!E:E, fact_batting_summary!E53)</f>
        <v>505</v>
      </c>
      <c r="B53" s="9">
        <f>AVERAGEIFS(fact_batting_summary!G:G, fact_batting_summary!E:E,fact_batting_summary!E53)</f>
        <v>17.413793103448278</v>
      </c>
      <c r="C53">
        <v>4</v>
      </c>
    </row>
    <row r="54" spans="1:3" x14ac:dyDescent="0.45">
      <c r="A54">
        <f>SUMIFS(fact_batting_summary!G:G, fact_batting_summary!E:E, fact_batting_summary!E54)</f>
        <v>722</v>
      </c>
      <c r="B54" s="9">
        <f>AVERAGEIFS(fact_batting_summary!G:G, fact_batting_summary!E:E,fact_batting_summary!E54)</f>
        <v>25.785714285714285</v>
      </c>
      <c r="C54">
        <v>5</v>
      </c>
    </row>
    <row r="55" spans="1:3" x14ac:dyDescent="0.45">
      <c r="A55">
        <f>SUMIFS(fact_batting_summary!G:G, fact_batting_summary!E:E, fact_batting_summary!E55)</f>
        <v>854</v>
      </c>
      <c r="B55" s="9">
        <f>AVERAGEIFS(fact_batting_summary!G:G, fact_batting_summary!E:E,fact_batting_summary!E55)</f>
        <v>21.35</v>
      </c>
      <c r="C55">
        <v>6</v>
      </c>
    </row>
    <row r="56" spans="1:3" x14ac:dyDescent="0.45">
      <c r="A56">
        <f>SUMIFS(fact_batting_summary!G:G, fact_batting_summary!E:E, fact_batting_summary!E56)</f>
        <v>21</v>
      </c>
      <c r="B56" s="9">
        <f>AVERAGEIFS(fact_batting_summary!G:G, fact_batting_summary!E:E,fact_batting_summary!E56)</f>
        <v>10.5</v>
      </c>
      <c r="C56">
        <v>7</v>
      </c>
    </row>
    <row r="57" spans="1:3" x14ac:dyDescent="0.45">
      <c r="A57">
        <f>SUMIFS(fact_batting_summary!G:G, fact_batting_summary!E:E, fact_batting_summary!E57)</f>
        <v>1593</v>
      </c>
      <c r="B57" s="9">
        <f>AVERAGEIFS(fact_batting_summary!G:G, fact_batting_summary!E:E,fact_batting_summary!E57)</f>
        <v>35.4</v>
      </c>
      <c r="C57">
        <v>1</v>
      </c>
    </row>
    <row r="58" spans="1:3" x14ac:dyDescent="0.45">
      <c r="A58">
        <f>SUMIFS(fact_batting_summary!G:G, fact_batting_summary!E:E, fact_batting_summary!E58)</f>
        <v>1831</v>
      </c>
      <c r="B58" s="9">
        <f>AVERAGEIFS(fact_batting_summary!G:G, fact_batting_summary!E:E,fact_batting_summary!E58)</f>
        <v>39.804347826086953</v>
      </c>
      <c r="C58">
        <v>2</v>
      </c>
    </row>
    <row r="59" spans="1:3" x14ac:dyDescent="0.45">
      <c r="A59">
        <f>SUMIFS(fact_batting_summary!G:G, fact_batting_summary!E:E, fact_batting_summary!E59)</f>
        <v>345</v>
      </c>
      <c r="B59" s="9">
        <f>AVERAGEIFS(fact_batting_summary!G:G, fact_batting_summary!E:E,fact_batting_summary!E59)</f>
        <v>23</v>
      </c>
      <c r="C59">
        <v>3</v>
      </c>
    </row>
    <row r="60" spans="1:3" x14ac:dyDescent="0.45">
      <c r="A60">
        <f>SUMIFS(fact_batting_summary!G:G, fact_batting_summary!E:E, fact_batting_summary!E60)</f>
        <v>238</v>
      </c>
      <c r="B60" s="9">
        <f>AVERAGEIFS(fact_batting_summary!G:G, fact_batting_summary!E:E,fact_batting_summary!E60)</f>
        <v>9.9166666666666661</v>
      </c>
      <c r="C60">
        <v>4</v>
      </c>
    </row>
    <row r="61" spans="1:3" x14ac:dyDescent="0.45">
      <c r="A61">
        <f>SUMIFS(fact_batting_summary!G:G, fact_batting_summary!E:E, fact_batting_summary!E61)</f>
        <v>689</v>
      </c>
      <c r="B61" s="9">
        <f>AVERAGEIFS(fact_batting_summary!G:G, fact_batting_summary!E:E,fact_batting_summary!E61)</f>
        <v>19.138888888888889</v>
      </c>
      <c r="C61">
        <v>5</v>
      </c>
    </row>
    <row r="62" spans="1:3" x14ac:dyDescent="0.45">
      <c r="A62">
        <f>SUMIFS(fact_batting_summary!G:G, fact_batting_summary!E:E, fact_batting_summary!E62)</f>
        <v>725</v>
      </c>
      <c r="B62" s="9">
        <f>AVERAGEIFS(fact_batting_summary!G:G, fact_batting_summary!E:E,fact_batting_summary!E62)</f>
        <v>20.714285714285715</v>
      </c>
      <c r="C62">
        <v>6</v>
      </c>
    </row>
    <row r="63" spans="1:3" x14ac:dyDescent="0.45">
      <c r="A63">
        <f>SUMIFS(fact_batting_summary!G:G, fact_batting_summary!E:E, fact_batting_summary!E63)</f>
        <v>450</v>
      </c>
      <c r="B63" s="9">
        <f>AVERAGEIFS(fact_batting_summary!G:G, fact_batting_summary!E:E,fact_batting_summary!E63)</f>
        <v>12.5</v>
      </c>
      <c r="C63">
        <v>7</v>
      </c>
    </row>
    <row r="64" spans="1:3" x14ac:dyDescent="0.45">
      <c r="A64">
        <f>SUMIFS(fact_batting_summary!G:G, fact_batting_summary!E:E, fact_batting_summary!E64)</f>
        <v>533</v>
      </c>
      <c r="B64" s="9">
        <f>AVERAGEIFS(fact_batting_summary!G:G, fact_batting_summary!E:E,fact_batting_summary!E64)</f>
        <v>15.676470588235293</v>
      </c>
      <c r="C64">
        <v>8</v>
      </c>
    </row>
    <row r="65" spans="1:3" x14ac:dyDescent="0.45">
      <c r="A65">
        <f>SUMIFS(fact_batting_summary!G:G, fact_batting_summary!E:E, fact_batting_summary!E65)</f>
        <v>815</v>
      </c>
      <c r="B65" s="9">
        <f>AVERAGEIFS(fact_batting_summary!G:G, fact_batting_summary!E:E,fact_batting_summary!E65)</f>
        <v>25.46875</v>
      </c>
      <c r="C65">
        <v>1</v>
      </c>
    </row>
    <row r="66" spans="1:3" x14ac:dyDescent="0.45">
      <c r="A66">
        <f>SUMIFS(fact_batting_summary!G:G, fact_batting_summary!E:E, fact_batting_summary!E66)</f>
        <v>1392</v>
      </c>
      <c r="B66" s="9">
        <f>AVERAGEIFS(fact_batting_summary!G:G, fact_batting_summary!E:E,fact_batting_summary!E66)</f>
        <v>34.799999999999997</v>
      </c>
      <c r="C66">
        <v>2</v>
      </c>
    </row>
    <row r="67" spans="1:3" x14ac:dyDescent="0.45">
      <c r="A67">
        <f>SUMIFS(fact_batting_summary!G:G, fact_batting_summary!E:E, fact_batting_summary!E67)</f>
        <v>722</v>
      </c>
      <c r="B67" s="9">
        <f>AVERAGEIFS(fact_batting_summary!G:G, fact_batting_summary!E:E,fact_batting_summary!E67)</f>
        <v>25.785714285714285</v>
      </c>
      <c r="C67">
        <v>3</v>
      </c>
    </row>
    <row r="68" spans="1:3" x14ac:dyDescent="0.45">
      <c r="A68">
        <f>SUMIFS(fact_batting_summary!G:G, fact_batting_summary!E:E, fact_batting_summary!E68)</f>
        <v>576</v>
      </c>
      <c r="B68" s="9">
        <f>AVERAGEIFS(fact_batting_summary!G:G, fact_batting_summary!E:E,fact_batting_summary!E68)</f>
        <v>26.181818181818183</v>
      </c>
      <c r="C68">
        <v>4</v>
      </c>
    </row>
    <row r="69" spans="1:3" x14ac:dyDescent="0.45">
      <c r="A69">
        <f>SUMIFS(fact_batting_summary!G:G, fact_batting_summary!E:E, fact_batting_summary!E69)</f>
        <v>854</v>
      </c>
      <c r="B69" s="9">
        <f>AVERAGEIFS(fact_batting_summary!G:G, fact_batting_summary!E:E,fact_batting_summary!E69)</f>
        <v>21.35</v>
      </c>
      <c r="C69">
        <v>5</v>
      </c>
    </row>
    <row r="70" spans="1:3" x14ac:dyDescent="0.45">
      <c r="A70">
        <f>SUMIFS(fact_batting_summary!G:G, fact_batting_summary!E:E, fact_batting_summary!E70)</f>
        <v>80</v>
      </c>
      <c r="B70" s="9">
        <f>AVERAGEIFS(fact_batting_summary!G:G, fact_batting_summary!E:E,fact_batting_summary!E70)</f>
        <v>11.428571428571429</v>
      </c>
      <c r="C70">
        <v>6</v>
      </c>
    </row>
    <row r="71" spans="1:3" x14ac:dyDescent="0.45">
      <c r="A71">
        <f>SUMIFS(fact_batting_summary!G:G, fact_batting_summary!E:E, fact_batting_summary!E71)</f>
        <v>1385</v>
      </c>
      <c r="B71" s="9">
        <f>AVERAGEIFS(fact_batting_summary!G:G, fact_batting_summary!E:E,fact_batting_summary!E71)</f>
        <v>30.777777777777779</v>
      </c>
      <c r="C71">
        <v>1</v>
      </c>
    </row>
    <row r="72" spans="1:3" x14ac:dyDescent="0.45">
      <c r="A72">
        <f>SUMIFS(fact_batting_summary!G:G, fact_batting_summary!E:E, fact_batting_summary!E72)</f>
        <v>1048</v>
      </c>
      <c r="B72" s="9">
        <f>AVERAGEIFS(fact_batting_summary!G:G, fact_batting_summary!E:E,fact_batting_summary!E72)</f>
        <v>24.952380952380953</v>
      </c>
      <c r="C72">
        <v>2</v>
      </c>
    </row>
    <row r="73" spans="1:3" x14ac:dyDescent="0.45">
      <c r="A73">
        <f>SUMIFS(fact_batting_summary!G:G, fact_batting_summary!E:E, fact_batting_summary!E73)</f>
        <v>199</v>
      </c>
      <c r="B73" s="9">
        <f>AVERAGEIFS(fact_batting_summary!G:G, fact_batting_summary!E:E,fact_batting_summary!E73)</f>
        <v>22.111111111111111</v>
      </c>
      <c r="C73">
        <v>3</v>
      </c>
    </row>
    <row r="74" spans="1:3" x14ac:dyDescent="0.45">
      <c r="A74">
        <f>SUMIFS(fact_batting_summary!G:G, fact_batting_summary!E:E, fact_batting_summary!E74)</f>
        <v>313</v>
      </c>
      <c r="B74" s="9">
        <f>AVERAGEIFS(fact_batting_summary!G:G, fact_batting_summary!E:E,fact_batting_summary!E74)</f>
        <v>22.357142857142858</v>
      </c>
      <c r="C74">
        <v>4</v>
      </c>
    </row>
    <row r="75" spans="1:3" x14ac:dyDescent="0.45">
      <c r="A75">
        <f>SUMIFS(fact_batting_summary!G:G, fact_batting_summary!E:E, fact_batting_summary!E75)</f>
        <v>1214</v>
      </c>
      <c r="B75" s="9">
        <f>AVERAGEIFS(fact_batting_summary!G:G, fact_batting_summary!E:E,fact_batting_summary!E75)</f>
        <v>29.609756097560975</v>
      </c>
      <c r="C75">
        <v>5</v>
      </c>
    </row>
    <row r="76" spans="1:3" x14ac:dyDescent="0.45">
      <c r="A76">
        <f>SUMIFS(fact_batting_summary!G:G, fact_batting_summary!E:E, fact_batting_summary!E76)</f>
        <v>981</v>
      </c>
      <c r="B76" s="9">
        <f>AVERAGEIFS(fact_batting_summary!G:G, fact_batting_summary!E:E,fact_batting_summary!E76)</f>
        <v>22.813953488372093</v>
      </c>
      <c r="C76">
        <v>1</v>
      </c>
    </row>
    <row r="77" spans="1:3" x14ac:dyDescent="0.45">
      <c r="A77">
        <f>SUMIFS(fact_batting_summary!G:G, fact_batting_summary!E:E, fact_batting_summary!E77)</f>
        <v>1113</v>
      </c>
      <c r="B77" s="9">
        <f>AVERAGEIFS(fact_batting_summary!G:G, fact_batting_summary!E:E,fact_batting_summary!E77)</f>
        <v>28.53846153846154</v>
      </c>
      <c r="C77">
        <v>2</v>
      </c>
    </row>
    <row r="78" spans="1:3" x14ac:dyDescent="0.45">
      <c r="A78">
        <f>SUMIFS(fact_batting_summary!G:G, fact_batting_summary!E:E, fact_batting_summary!E78)</f>
        <v>960</v>
      </c>
      <c r="B78" s="9">
        <f>AVERAGEIFS(fact_batting_summary!G:G, fact_batting_summary!E:E,fact_batting_summary!E78)</f>
        <v>23.414634146341463</v>
      </c>
      <c r="C78">
        <v>3</v>
      </c>
    </row>
    <row r="79" spans="1:3" x14ac:dyDescent="0.45">
      <c r="A79">
        <f>SUMIFS(fact_batting_summary!G:G, fact_batting_summary!E:E, fact_batting_summary!E79)</f>
        <v>389</v>
      </c>
      <c r="B79" s="9">
        <f>AVERAGEIFS(fact_batting_summary!G:G, fact_batting_summary!E:E,fact_batting_summary!E79)</f>
        <v>16.208333333333332</v>
      </c>
      <c r="C79">
        <v>4</v>
      </c>
    </row>
    <row r="80" spans="1:3" x14ac:dyDescent="0.45">
      <c r="A80">
        <f>SUMIFS(fact_batting_summary!G:G, fact_batting_summary!E:E, fact_batting_summary!E80)</f>
        <v>1225</v>
      </c>
      <c r="B80" s="9">
        <f>AVERAGEIFS(fact_batting_summary!G:G, fact_batting_summary!E:E,fact_batting_summary!E80)</f>
        <v>32.236842105263158</v>
      </c>
      <c r="C80">
        <v>5</v>
      </c>
    </row>
    <row r="81" spans="1:3" x14ac:dyDescent="0.45">
      <c r="A81">
        <f>SUMIFS(fact_batting_summary!G:G, fact_batting_summary!E:E, fact_batting_summary!E81)</f>
        <v>31</v>
      </c>
      <c r="B81" s="9">
        <f>AVERAGEIFS(fact_batting_summary!G:G, fact_batting_summary!E:E,fact_batting_summary!E81)</f>
        <v>7.75</v>
      </c>
      <c r="C81">
        <v>6</v>
      </c>
    </row>
    <row r="82" spans="1:3" x14ac:dyDescent="0.45">
      <c r="A82">
        <f>SUMIFS(fact_batting_summary!G:G, fact_batting_summary!E:E, fact_batting_summary!E82)</f>
        <v>514</v>
      </c>
      <c r="B82" s="9">
        <f>AVERAGEIFS(fact_batting_summary!G:G, fact_batting_summary!E:E,fact_batting_summary!E82)</f>
        <v>13.526315789473685</v>
      </c>
      <c r="C82">
        <v>7</v>
      </c>
    </row>
    <row r="83" spans="1:3" x14ac:dyDescent="0.45">
      <c r="A83">
        <f>SUMIFS(fact_batting_summary!G:G, fact_batting_summary!E:E, fact_batting_summary!E83)</f>
        <v>5</v>
      </c>
      <c r="B83" s="9">
        <f>AVERAGEIFS(fact_batting_summary!G:G, fact_batting_summary!E:E,fact_batting_summary!E83)</f>
        <v>1.6666666666666667</v>
      </c>
      <c r="C83">
        <v>8</v>
      </c>
    </row>
    <row r="84" spans="1:3" x14ac:dyDescent="0.45">
      <c r="A84">
        <f>SUMIFS(fact_batting_summary!G:G, fact_batting_summary!E:E, fact_batting_summary!E84)</f>
        <v>25</v>
      </c>
      <c r="B84" s="9">
        <f>AVERAGEIFS(fact_batting_summary!G:G, fact_batting_summary!E:E,fact_batting_summary!E84)</f>
        <v>5</v>
      </c>
      <c r="C84">
        <v>9</v>
      </c>
    </row>
    <row r="85" spans="1:3" x14ac:dyDescent="0.45">
      <c r="A85">
        <f>SUMIFS(fact_batting_summary!G:G, fact_batting_summary!E:E, fact_batting_summary!E85)</f>
        <v>16</v>
      </c>
      <c r="B85" s="9">
        <f>AVERAGEIFS(fact_batting_summary!G:G, fact_batting_summary!E:E,fact_batting_summary!E85)</f>
        <v>1.2307692307692308</v>
      </c>
      <c r="C85">
        <v>10</v>
      </c>
    </row>
    <row r="86" spans="1:3" x14ac:dyDescent="0.45">
      <c r="A86">
        <f>SUMIFS(fact_batting_summary!G:G, fact_batting_summary!E:E, fact_batting_summary!E86)</f>
        <v>57</v>
      </c>
      <c r="B86" s="9">
        <f>AVERAGEIFS(fact_batting_summary!G:G, fact_batting_summary!E:E,fact_batting_summary!E86)</f>
        <v>3.5625</v>
      </c>
      <c r="C86">
        <v>11</v>
      </c>
    </row>
    <row r="87" spans="1:3" x14ac:dyDescent="0.45">
      <c r="A87">
        <f>SUMIFS(fact_batting_summary!G:G, fact_batting_summary!E:E, fact_batting_summary!E87)</f>
        <v>435</v>
      </c>
      <c r="B87" s="9">
        <f>AVERAGEIFS(fact_batting_summary!G:G, fact_batting_summary!E:E,fact_batting_summary!E87)</f>
        <v>33.46153846153846</v>
      </c>
      <c r="C87">
        <v>1</v>
      </c>
    </row>
    <row r="88" spans="1:3" x14ac:dyDescent="0.45">
      <c r="A88">
        <f>SUMIFS(fact_batting_summary!G:G, fact_batting_summary!E:E, fact_batting_summary!E88)</f>
        <v>745</v>
      </c>
      <c r="B88" s="9">
        <f>AVERAGEIFS(fact_batting_summary!G:G, fact_batting_summary!E:E,fact_batting_summary!E88)</f>
        <v>24.032258064516128</v>
      </c>
      <c r="C88">
        <v>2</v>
      </c>
    </row>
    <row r="89" spans="1:3" x14ac:dyDescent="0.45">
      <c r="A89">
        <f>SUMIFS(fact_batting_summary!G:G, fact_batting_summary!E:E, fact_batting_summary!E89)</f>
        <v>540</v>
      </c>
      <c r="B89" s="9">
        <f>AVERAGEIFS(fact_batting_summary!G:G, fact_batting_summary!E:E,fact_batting_summary!E89)</f>
        <v>23.478260869565219</v>
      </c>
      <c r="C89">
        <v>3</v>
      </c>
    </row>
    <row r="90" spans="1:3" x14ac:dyDescent="0.45">
      <c r="A90">
        <f>SUMIFS(fact_batting_summary!G:G, fact_batting_summary!E:E, fact_batting_summary!E90)</f>
        <v>34</v>
      </c>
      <c r="B90" s="9">
        <f>AVERAGEIFS(fact_batting_summary!G:G, fact_batting_summary!E:E,fact_batting_summary!E90)</f>
        <v>11.333333333333334</v>
      </c>
      <c r="C90">
        <v>4</v>
      </c>
    </row>
    <row r="91" spans="1:3" x14ac:dyDescent="0.45">
      <c r="A91">
        <f>SUMIFS(fact_batting_summary!G:G, fact_batting_summary!E:E, fact_batting_summary!E91)</f>
        <v>284</v>
      </c>
      <c r="B91" s="9">
        <f>AVERAGEIFS(fact_batting_summary!G:G, fact_batting_summary!E:E,fact_batting_summary!E91)</f>
        <v>14.2</v>
      </c>
      <c r="C91">
        <v>5</v>
      </c>
    </row>
    <row r="92" spans="1:3" x14ac:dyDescent="0.45">
      <c r="A92">
        <f>SUMIFS(fact_batting_summary!G:G, fact_batting_summary!E:E, fact_batting_summary!E92)</f>
        <v>140</v>
      </c>
      <c r="B92" s="9">
        <f>AVERAGEIFS(fact_batting_summary!G:G, fact_batting_summary!E:E,fact_batting_summary!E92)</f>
        <v>15.555555555555555</v>
      </c>
      <c r="C92">
        <v>6</v>
      </c>
    </row>
    <row r="93" spans="1:3" x14ac:dyDescent="0.45">
      <c r="A93">
        <f>SUMIFS(fact_batting_summary!G:G, fact_batting_summary!E:E, fact_batting_summary!E93)</f>
        <v>155</v>
      </c>
      <c r="B93" s="9">
        <f>AVERAGEIFS(fact_batting_summary!G:G, fact_batting_summary!E:E,fact_batting_summary!E93)</f>
        <v>8.6111111111111107</v>
      </c>
      <c r="C93">
        <v>7</v>
      </c>
    </row>
    <row r="94" spans="1:3" x14ac:dyDescent="0.45">
      <c r="A94">
        <f>SUMIFS(fact_batting_summary!G:G, fact_batting_summary!E:E, fact_batting_summary!E94)</f>
        <v>304</v>
      </c>
      <c r="B94" s="9">
        <f>AVERAGEIFS(fact_batting_summary!G:G, fact_batting_summary!E:E,fact_batting_summary!E94)</f>
        <v>11.692307692307692</v>
      </c>
      <c r="C94">
        <v>8</v>
      </c>
    </row>
    <row r="95" spans="1:3" x14ac:dyDescent="0.45">
      <c r="A95">
        <f>SUMIFS(fact_batting_summary!G:G, fact_batting_summary!E:E, fact_batting_summary!E95)</f>
        <v>819</v>
      </c>
      <c r="B95" s="9">
        <f>AVERAGEIFS(fact_batting_summary!G:G, fact_batting_summary!E:E,fact_batting_summary!E95)</f>
        <v>22.135135135135137</v>
      </c>
      <c r="C95">
        <v>9</v>
      </c>
    </row>
    <row r="96" spans="1:3" x14ac:dyDescent="0.45">
      <c r="A96">
        <f>SUMIFS(fact_batting_summary!G:G, fact_batting_summary!E:E, fact_batting_summary!E96)</f>
        <v>8</v>
      </c>
      <c r="B96" s="9">
        <f>AVERAGEIFS(fact_batting_summary!G:G, fact_batting_summary!E:E,fact_batting_summary!E96)</f>
        <v>4</v>
      </c>
      <c r="C96">
        <v>10</v>
      </c>
    </row>
    <row r="97" spans="1:3" x14ac:dyDescent="0.45">
      <c r="A97">
        <f>SUMIFS(fact_batting_summary!G:G, fact_batting_summary!E:E, fact_batting_summary!E97)</f>
        <v>1851</v>
      </c>
      <c r="B97" s="9">
        <f>AVERAGEIFS(fact_batting_summary!G:G, fact_batting_summary!E:E,fact_batting_summary!E97)</f>
        <v>37.020000000000003</v>
      </c>
      <c r="C97">
        <v>1</v>
      </c>
    </row>
    <row r="98" spans="1:3" x14ac:dyDescent="0.45">
      <c r="A98">
        <f>SUMIFS(fact_batting_summary!G:G, fact_batting_summary!E:E, fact_batting_summary!E98)</f>
        <v>956</v>
      </c>
      <c r="B98" s="9">
        <f>AVERAGEIFS(fact_batting_summary!G:G, fact_batting_summary!E:E,fact_batting_summary!E98)</f>
        <v>26.555555555555557</v>
      </c>
      <c r="C98">
        <v>2</v>
      </c>
    </row>
    <row r="99" spans="1:3" x14ac:dyDescent="0.45">
      <c r="A99">
        <f>SUMIFS(fact_batting_summary!G:G, fact_batting_summary!E:E, fact_batting_summary!E99)</f>
        <v>1157</v>
      </c>
      <c r="B99" s="9">
        <f>AVERAGEIFS(fact_batting_summary!G:G, fact_batting_summary!E:E,fact_batting_summary!E99)</f>
        <v>26.295454545454547</v>
      </c>
      <c r="C99">
        <v>3</v>
      </c>
    </row>
    <row r="100" spans="1:3" x14ac:dyDescent="0.45">
      <c r="A100">
        <f>SUMIFS(fact_batting_summary!G:G, fact_batting_summary!E:E, fact_batting_summary!E100)</f>
        <v>1083</v>
      </c>
      <c r="B100" s="9">
        <f>AVERAGEIFS(fact_batting_summary!G:G, fact_batting_summary!E:E,fact_batting_summary!E100)</f>
        <v>25.186046511627907</v>
      </c>
      <c r="C100">
        <v>4</v>
      </c>
    </row>
    <row r="101" spans="1:3" x14ac:dyDescent="0.45">
      <c r="A101">
        <f>SUMIFS(fact_batting_summary!G:G, fact_batting_summary!E:E, fact_batting_summary!E101)</f>
        <v>693</v>
      </c>
      <c r="B101" s="9">
        <f>AVERAGEIFS(fact_batting_summary!G:G, fact_batting_summary!E:E,fact_batting_summary!E101)</f>
        <v>15.75</v>
      </c>
      <c r="C101">
        <v>5</v>
      </c>
    </row>
    <row r="102" spans="1:3" x14ac:dyDescent="0.45">
      <c r="A102">
        <f>SUMIFS(fact_batting_summary!G:G, fact_batting_summary!E:E, fact_batting_summary!E102)</f>
        <v>133</v>
      </c>
      <c r="B102" s="9">
        <f>AVERAGEIFS(fact_batting_summary!G:G, fact_batting_summary!E:E,fact_batting_summary!E102)</f>
        <v>8.3125</v>
      </c>
      <c r="C102">
        <v>6</v>
      </c>
    </row>
    <row r="103" spans="1:3" x14ac:dyDescent="0.45">
      <c r="A103">
        <f>SUMIFS(fact_batting_summary!G:G, fact_batting_summary!E:E, fact_batting_summary!E103)</f>
        <v>1132</v>
      </c>
      <c r="B103" s="9">
        <f>AVERAGEIFS(fact_batting_summary!G:G, fact_batting_summary!E:E,fact_batting_summary!E103)</f>
        <v>33.294117647058826</v>
      </c>
      <c r="C103">
        <v>1</v>
      </c>
    </row>
    <row r="104" spans="1:3" x14ac:dyDescent="0.45">
      <c r="A104">
        <f>SUMIFS(fact_batting_summary!G:G, fact_batting_summary!E:E, fact_batting_summary!E104)</f>
        <v>758</v>
      </c>
      <c r="B104" s="9">
        <f>AVERAGEIFS(fact_batting_summary!G:G, fact_batting_summary!E:E,fact_batting_summary!E104)</f>
        <v>27.071428571428573</v>
      </c>
      <c r="C104">
        <v>2</v>
      </c>
    </row>
    <row r="105" spans="1:3" x14ac:dyDescent="0.45">
      <c r="A105">
        <f>SUMIFS(fact_batting_summary!G:G, fact_batting_summary!E:E, fact_batting_summary!E105)</f>
        <v>1304</v>
      </c>
      <c r="B105" s="9">
        <f>AVERAGEIFS(fact_batting_summary!G:G, fact_batting_summary!E:E,fact_batting_summary!E105)</f>
        <v>28.977777777777778</v>
      </c>
      <c r="C105">
        <v>3</v>
      </c>
    </row>
    <row r="106" spans="1:3" x14ac:dyDescent="0.45">
      <c r="A106">
        <f>SUMIFS(fact_batting_summary!G:G, fact_batting_summary!E:E, fact_batting_summary!E106)</f>
        <v>937</v>
      </c>
      <c r="B106" s="9">
        <f>AVERAGEIFS(fact_batting_summary!G:G, fact_batting_summary!E:E,fact_batting_summary!E106)</f>
        <v>27.558823529411764</v>
      </c>
      <c r="C106">
        <v>4</v>
      </c>
    </row>
    <row r="107" spans="1:3" x14ac:dyDescent="0.45">
      <c r="A107">
        <f>SUMIFS(fact_batting_summary!G:G, fact_batting_summary!E:E, fact_batting_summary!E107)</f>
        <v>220</v>
      </c>
      <c r="B107" s="9">
        <f>AVERAGEIFS(fact_batting_summary!G:G, fact_batting_summary!E:E,fact_batting_summary!E107)</f>
        <v>13.75</v>
      </c>
      <c r="C107">
        <v>5</v>
      </c>
    </row>
    <row r="108" spans="1:3" x14ac:dyDescent="0.45">
      <c r="A108">
        <f>SUMIFS(fact_batting_summary!G:G, fact_batting_summary!E:E, fact_batting_summary!E108)</f>
        <v>65</v>
      </c>
      <c r="B108" s="9">
        <f>AVERAGEIFS(fact_batting_summary!G:G, fact_batting_summary!E:E,fact_batting_summary!E108)</f>
        <v>8.125</v>
      </c>
      <c r="C108">
        <v>6</v>
      </c>
    </row>
    <row r="109" spans="1:3" x14ac:dyDescent="0.45">
      <c r="A109">
        <f>SUMIFS(fact_batting_summary!G:G, fact_batting_summary!E:E, fact_batting_summary!E109)</f>
        <v>459</v>
      </c>
      <c r="B109" s="9">
        <f>AVERAGEIFS(fact_batting_summary!G:G, fact_batting_summary!E:E,fact_batting_summary!E109)</f>
        <v>13.909090909090908</v>
      </c>
      <c r="C109">
        <v>7</v>
      </c>
    </row>
    <row r="110" spans="1:3" x14ac:dyDescent="0.45">
      <c r="A110">
        <f>SUMIFS(fact_batting_summary!G:G, fact_batting_summary!E:E, fact_batting_summary!E110)</f>
        <v>67</v>
      </c>
      <c r="B110" s="9">
        <f>AVERAGEIFS(fact_batting_summary!G:G, fact_batting_summary!E:E,fact_batting_summary!E110)</f>
        <v>9.5714285714285712</v>
      </c>
      <c r="C110">
        <v>8</v>
      </c>
    </row>
    <row r="111" spans="1:3" x14ac:dyDescent="0.45">
      <c r="A111">
        <f>SUMIFS(fact_batting_summary!G:G, fact_batting_summary!E:E, fact_batting_summary!E111)</f>
        <v>109</v>
      </c>
      <c r="B111" s="9">
        <f>AVERAGEIFS(fact_batting_summary!G:G, fact_batting_summary!E:E,fact_batting_summary!E111)</f>
        <v>12.111111111111111</v>
      </c>
      <c r="C111">
        <v>9</v>
      </c>
    </row>
    <row r="112" spans="1:3" x14ac:dyDescent="0.45">
      <c r="A112">
        <f>SUMIFS(fact_batting_summary!G:G, fact_batting_summary!E:E, fact_batting_summary!E112)</f>
        <v>20</v>
      </c>
      <c r="B112" s="9">
        <f>AVERAGEIFS(fact_batting_summary!G:G, fact_batting_summary!E:E,fact_batting_summary!E112)</f>
        <v>2.5</v>
      </c>
      <c r="C112">
        <v>10</v>
      </c>
    </row>
    <row r="113" spans="1:3" x14ac:dyDescent="0.45">
      <c r="A113">
        <f>SUMIFS(fact_batting_summary!G:G, fact_batting_summary!E:E, fact_batting_summary!E113)</f>
        <v>12</v>
      </c>
      <c r="B113" s="9">
        <f>AVERAGEIFS(fact_batting_summary!G:G, fact_batting_summary!E:E,fact_batting_summary!E113)</f>
        <v>1.7142857142857142</v>
      </c>
      <c r="C113">
        <v>11</v>
      </c>
    </row>
    <row r="114" spans="1:3" x14ac:dyDescent="0.45">
      <c r="A114">
        <f>SUMIFS(fact_batting_summary!G:G, fact_batting_summary!E:E, fact_batting_summary!E114)</f>
        <v>1593</v>
      </c>
      <c r="B114" s="9">
        <f>AVERAGEIFS(fact_batting_summary!G:G, fact_batting_summary!E:E,fact_batting_summary!E114)</f>
        <v>35.4</v>
      </c>
      <c r="C114">
        <v>1</v>
      </c>
    </row>
    <row r="115" spans="1:3" x14ac:dyDescent="0.45">
      <c r="A115">
        <f>SUMIFS(fact_batting_summary!G:G, fact_batting_summary!E:E, fact_batting_summary!E115)</f>
        <v>1831</v>
      </c>
      <c r="B115" s="9">
        <f>AVERAGEIFS(fact_batting_summary!G:G, fact_batting_summary!E:E,fact_batting_summary!E115)</f>
        <v>39.804347826086953</v>
      </c>
      <c r="C115">
        <v>2</v>
      </c>
    </row>
    <row r="116" spans="1:3" x14ac:dyDescent="0.45">
      <c r="A116">
        <f>SUMIFS(fact_batting_summary!G:G, fact_batting_summary!E:E, fact_batting_summary!E116)</f>
        <v>725</v>
      </c>
      <c r="B116" s="9">
        <f>AVERAGEIFS(fact_batting_summary!G:G, fact_batting_summary!E:E,fact_batting_summary!E116)</f>
        <v>20.714285714285715</v>
      </c>
      <c r="C116">
        <v>3</v>
      </c>
    </row>
    <row r="117" spans="1:3" x14ac:dyDescent="0.45">
      <c r="A117">
        <f>SUMIFS(fact_batting_summary!G:G, fact_batting_summary!E:E, fact_batting_summary!E117)</f>
        <v>345</v>
      </c>
      <c r="B117" s="9">
        <f>AVERAGEIFS(fact_batting_summary!G:G, fact_batting_summary!E:E,fact_batting_summary!E117)</f>
        <v>23</v>
      </c>
      <c r="C117">
        <v>4</v>
      </c>
    </row>
    <row r="118" spans="1:3" x14ac:dyDescent="0.45">
      <c r="A118">
        <f>SUMIFS(fact_batting_summary!G:G, fact_batting_summary!E:E, fact_batting_summary!E118)</f>
        <v>689</v>
      </c>
      <c r="B118" s="9">
        <f>AVERAGEIFS(fact_batting_summary!G:G, fact_batting_summary!E:E,fact_batting_summary!E118)</f>
        <v>19.138888888888889</v>
      </c>
      <c r="C118">
        <v>5</v>
      </c>
    </row>
    <row r="119" spans="1:3" x14ac:dyDescent="0.45">
      <c r="A119">
        <f>SUMIFS(fact_batting_summary!G:G, fact_batting_summary!E:E, fact_batting_summary!E119)</f>
        <v>450</v>
      </c>
      <c r="B119" s="9">
        <f>AVERAGEIFS(fact_batting_summary!G:G, fact_batting_summary!E:E,fact_batting_summary!E119)</f>
        <v>12.5</v>
      </c>
      <c r="C119">
        <v>6</v>
      </c>
    </row>
    <row r="120" spans="1:3" x14ac:dyDescent="0.45">
      <c r="A120">
        <f>SUMIFS(fact_batting_summary!G:G, fact_batting_summary!E:E, fact_batting_summary!E120)</f>
        <v>533</v>
      </c>
      <c r="B120" s="9">
        <f>AVERAGEIFS(fact_batting_summary!G:G, fact_batting_summary!E:E,fact_batting_summary!E120)</f>
        <v>15.676470588235293</v>
      </c>
      <c r="C120">
        <v>7</v>
      </c>
    </row>
    <row r="121" spans="1:3" x14ac:dyDescent="0.45">
      <c r="A121">
        <f>SUMIFS(fact_batting_summary!G:G, fact_batting_summary!E:E, fact_batting_summary!E121)</f>
        <v>70</v>
      </c>
      <c r="B121" s="9">
        <f>AVERAGEIFS(fact_batting_summary!G:G, fact_batting_summary!E:E,fact_batting_summary!E121)</f>
        <v>7.7777777777777777</v>
      </c>
      <c r="C121">
        <v>8</v>
      </c>
    </row>
    <row r="122" spans="1:3" x14ac:dyDescent="0.45">
      <c r="A122">
        <f>SUMIFS(fact_batting_summary!G:G, fact_batting_summary!E:E, fact_batting_summary!E122)</f>
        <v>1516</v>
      </c>
      <c r="B122" s="9">
        <f>AVERAGEIFS(fact_batting_summary!G:G, fact_batting_summary!E:E,fact_batting_summary!E122)</f>
        <v>40.972972972972975</v>
      </c>
      <c r="C122">
        <v>1</v>
      </c>
    </row>
    <row r="123" spans="1:3" x14ac:dyDescent="0.45">
      <c r="A123">
        <f>SUMIFS(fact_batting_summary!G:G, fact_batting_summary!E:E, fact_batting_summary!E123)</f>
        <v>907</v>
      </c>
      <c r="B123" s="9">
        <f>AVERAGEIFS(fact_batting_summary!G:G, fact_batting_summary!E:E,fact_batting_summary!E123)</f>
        <v>26.676470588235293</v>
      </c>
      <c r="C123">
        <v>2</v>
      </c>
    </row>
    <row r="124" spans="1:3" x14ac:dyDescent="0.45">
      <c r="A124">
        <f>SUMIFS(fact_batting_summary!G:G, fact_batting_summary!E:E, fact_batting_summary!E124)</f>
        <v>144</v>
      </c>
      <c r="B124" s="9">
        <f>AVERAGEIFS(fact_batting_summary!G:G, fact_batting_summary!E:E,fact_batting_summary!E124)</f>
        <v>13.090909090909092</v>
      </c>
      <c r="C124">
        <v>3</v>
      </c>
    </row>
    <row r="125" spans="1:3" x14ac:dyDescent="0.45">
      <c r="A125">
        <f>SUMIFS(fact_batting_summary!G:G, fact_batting_summary!E:E, fact_batting_summary!E125)</f>
        <v>426</v>
      </c>
      <c r="B125" s="9">
        <f>AVERAGEIFS(fact_batting_summary!G:G, fact_batting_summary!E:E,fact_batting_summary!E125)</f>
        <v>13.741935483870968</v>
      </c>
      <c r="C125">
        <v>4</v>
      </c>
    </row>
    <row r="126" spans="1:3" x14ac:dyDescent="0.45">
      <c r="A126">
        <f>SUMIFS(fact_batting_summary!G:G, fact_batting_summary!E:E, fact_batting_summary!E126)</f>
        <v>775</v>
      </c>
      <c r="B126" s="9">
        <f>AVERAGEIFS(fact_batting_summary!G:G, fact_batting_summary!E:E,fact_batting_summary!E126)</f>
        <v>25</v>
      </c>
      <c r="C126">
        <v>5</v>
      </c>
    </row>
    <row r="127" spans="1:3" x14ac:dyDescent="0.45">
      <c r="A127">
        <f>SUMIFS(fact_batting_summary!G:G, fact_batting_summary!E:E, fact_batting_summary!E127)</f>
        <v>31</v>
      </c>
      <c r="B127" s="9">
        <f>AVERAGEIFS(fact_batting_summary!G:G, fact_batting_summary!E:E,fact_batting_summary!E127)</f>
        <v>7.75</v>
      </c>
      <c r="C127">
        <v>6</v>
      </c>
    </row>
    <row r="128" spans="1:3" x14ac:dyDescent="0.45">
      <c r="A128">
        <f>SUMIFS(fact_batting_summary!G:G, fact_batting_summary!E:E, fact_batting_summary!E128)</f>
        <v>435</v>
      </c>
      <c r="B128" s="9">
        <f>AVERAGEIFS(fact_batting_summary!G:G, fact_batting_summary!E:E,fact_batting_summary!E128)</f>
        <v>33.46153846153846</v>
      </c>
      <c r="C128">
        <v>1</v>
      </c>
    </row>
    <row r="129" spans="1:3" x14ac:dyDescent="0.45">
      <c r="A129">
        <f>SUMIFS(fact_batting_summary!G:G, fact_batting_summary!E:E, fact_batting_summary!E129)</f>
        <v>745</v>
      </c>
      <c r="B129" s="9">
        <f>AVERAGEIFS(fact_batting_summary!G:G, fact_batting_summary!E:E,fact_batting_summary!E129)</f>
        <v>24.032258064516128</v>
      </c>
      <c r="C129">
        <v>2</v>
      </c>
    </row>
    <row r="130" spans="1:3" x14ac:dyDescent="0.45">
      <c r="A130">
        <f>SUMIFS(fact_batting_summary!G:G, fact_batting_summary!E:E, fact_batting_summary!E130)</f>
        <v>416</v>
      </c>
      <c r="B130" s="9">
        <f>AVERAGEIFS(fact_batting_summary!G:G, fact_batting_summary!E:E,fact_batting_summary!E130)</f>
        <v>18.90909090909091</v>
      </c>
      <c r="C130">
        <v>3</v>
      </c>
    </row>
    <row r="131" spans="1:3" x14ac:dyDescent="0.45">
      <c r="A131">
        <f>SUMIFS(fact_batting_summary!G:G, fact_batting_summary!E:E, fact_batting_summary!E131)</f>
        <v>140</v>
      </c>
      <c r="B131" s="9">
        <f>AVERAGEIFS(fact_batting_summary!G:G, fact_batting_summary!E:E,fact_batting_summary!E131)</f>
        <v>15.555555555555555</v>
      </c>
      <c r="C131">
        <v>4</v>
      </c>
    </row>
    <row r="132" spans="1:3" x14ac:dyDescent="0.45">
      <c r="A132">
        <f>SUMIFS(fact_batting_summary!G:G, fact_batting_summary!E:E, fact_batting_summary!E132)</f>
        <v>284</v>
      </c>
      <c r="B132" s="9">
        <f>AVERAGEIFS(fact_batting_summary!G:G, fact_batting_summary!E:E,fact_batting_summary!E132)</f>
        <v>14.2</v>
      </c>
      <c r="C132">
        <v>5</v>
      </c>
    </row>
    <row r="133" spans="1:3" x14ac:dyDescent="0.45">
      <c r="A133">
        <f>SUMIFS(fact_batting_summary!G:G, fact_batting_summary!E:E, fact_batting_summary!E133)</f>
        <v>819</v>
      </c>
      <c r="B133" s="9">
        <f>AVERAGEIFS(fact_batting_summary!G:G, fact_batting_summary!E:E,fact_batting_summary!E133)</f>
        <v>22.135135135135137</v>
      </c>
      <c r="C133">
        <v>6</v>
      </c>
    </row>
    <row r="134" spans="1:3" x14ac:dyDescent="0.45">
      <c r="A134">
        <f>SUMIFS(fact_batting_summary!G:G, fact_batting_summary!E:E, fact_batting_summary!E134)</f>
        <v>155</v>
      </c>
      <c r="B134" s="9">
        <f>AVERAGEIFS(fact_batting_summary!G:G, fact_batting_summary!E:E,fact_batting_summary!E134)</f>
        <v>8.6111111111111107</v>
      </c>
      <c r="C134">
        <v>7</v>
      </c>
    </row>
    <row r="135" spans="1:3" x14ac:dyDescent="0.45">
      <c r="A135">
        <f>SUMIFS(fact_batting_summary!G:G, fact_batting_summary!E:E, fact_batting_summary!E135)</f>
        <v>304</v>
      </c>
      <c r="B135" s="9">
        <f>AVERAGEIFS(fact_batting_summary!G:G, fact_batting_summary!E:E,fact_batting_summary!E135)</f>
        <v>11.692307692307692</v>
      </c>
      <c r="C135">
        <v>8</v>
      </c>
    </row>
    <row r="136" spans="1:3" x14ac:dyDescent="0.45">
      <c r="A136">
        <f>SUMIFS(fact_batting_summary!G:G, fact_batting_summary!E:E, fact_batting_summary!E136)</f>
        <v>1385</v>
      </c>
      <c r="B136" s="9">
        <f>AVERAGEIFS(fact_batting_summary!G:G, fact_batting_summary!E:E,fact_batting_summary!E136)</f>
        <v>30.777777777777779</v>
      </c>
      <c r="C136">
        <v>1</v>
      </c>
    </row>
    <row r="137" spans="1:3" x14ac:dyDescent="0.45">
      <c r="A137">
        <f>SUMIFS(fact_batting_summary!G:G, fact_batting_summary!E:E, fact_batting_summary!E137)</f>
        <v>1048</v>
      </c>
      <c r="B137" s="9">
        <f>AVERAGEIFS(fact_batting_summary!G:G, fact_batting_summary!E:E,fact_batting_summary!E137)</f>
        <v>24.952380952380953</v>
      </c>
      <c r="C137">
        <v>2</v>
      </c>
    </row>
    <row r="138" spans="1:3" x14ac:dyDescent="0.45">
      <c r="A138">
        <f>SUMIFS(fact_batting_summary!G:G, fact_batting_summary!E:E, fact_batting_summary!E138)</f>
        <v>14</v>
      </c>
      <c r="B138" s="9">
        <f>AVERAGEIFS(fact_batting_summary!G:G, fact_batting_summary!E:E,fact_batting_summary!E138)</f>
        <v>2</v>
      </c>
      <c r="C138">
        <v>3</v>
      </c>
    </row>
    <row r="139" spans="1:3" x14ac:dyDescent="0.45">
      <c r="A139">
        <f>SUMIFS(fact_batting_summary!G:G, fact_batting_summary!E:E, fact_batting_summary!E139)</f>
        <v>199</v>
      </c>
      <c r="B139" s="9">
        <f>AVERAGEIFS(fact_batting_summary!G:G, fact_batting_summary!E:E,fact_batting_summary!E139)</f>
        <v>22.111111111111111</v>
      </c>
      <c r="C139">
        <v>4</v>
      </c>
    </row>
    <row r="140" spans="1:3" x14ac:dyDescent="0.45">
      <c r="A140">
        <f>SUMIFS(fact_batting_summary!G:G, fact_batting_summary!E:E, fact_batting_summary!E140)</f>
        <v>1214</v>
      </c>
      <c r="B140" s="9">
        <f>AVERAGEIFS(fact_batting_summary!G:G, fact_batting_summary!E:E,fact_batting_summary!E140)</f>
        <v>29.609756097560975</v>
      </c>
      <c r="C140">
        <v>5</v>
      </c>
    </row>
    <row r="141" spans="1:3" x14ac:dyDescent="0.45">
      <c r="A141">
        <f>SUMIFS(fact_batting_summary!G:G, fact_batting_summary!E:E, fact_batting_summary!E141)</f>
        <v>313</v>
      </c>
      <c r="B141" s="9">
        <f>AVERAGEIFS(fact_batting_summary!G:G, fact_batting_summary!E:E,fact_batting_summary!E141)</f>
        <v>22.357142857142858</v>
      </c>
      <c r="C141">
        <v>6</v>
      </c>
    </row>
    <row r="142" spans="1:3" x14ac:dyDescent="0.45">
      <c r="A142">
        <f>SUMIFS(fact_batting_summary!G:G, fact_batting_summary!E:E, fact_batting_summary!E142)</f>
        <v>320</v>
      </c>
      <c r="B142" s="9">
        <f>AVERAGEIFS(fact_batting_summary!G:G, fact_batting_summary!E:E,fact_batting_summary!E142)</f>
        <v>13.333333333333334</v>
      </c>
      <c r="C142">
        <v>7</v>
      </c>
    </row>
    <row r="143" spans="1:3" x14ac:dyDescent="0.45">
      <c r="A143">
        <f>SUMIFS(fact_batting_summary!G:G, fact_batting_summary!E:E, fact_batting_summary!E143)</f>
        <v>2</v>
      </c>
      <c r="B143" s="9">
        <f>AVERAGEIFS(fact_batting_summary!G:G, fact_batting_summary!E:E,fact_batting_summary!E143)</f>
        <v>0.66666666666666663</v>
      </c>
      <c r="C143">
        <v>8</v>
      </c>
    </row>
    <row r="144" spans="1:3" x14ac:dyDescent="0.45">
      <c r="A144">
        <f>SUMIFS(fact_batting_summary!G:G, fact_batting_summary!E:E, fact_batting_summary!E144)</f>
        <v>224</v>
      </c>
      <c r="B144" s="9">
        <f>AVERAGEIFS(fact_batting_summary!G:G, fact_batting_summary!E:E,fact_batting_summary!E144)</f>
        <v>22.4</v>
      </c>
      <c r="C144">
        <v>1</v>
      </c>
    </row>
    <row r="145" spans="1:3" x14ac:dyDescent="0.45">
      <c r="A145">
        <f>SUMIFS(fact_batting_summary!G:G, fact_batting_summary!E:E, fact_batting_summary!E145)</f>
        <v>1132</v>
      </c>
      <c r="B145" s="9">
        <f>AVERAGEIFS(fact_batting_summary!G:G, fact_batting_summary!E:E,fact_batting_summary!E145)</f>
        <v>33.294117647058826</v>
      </c>
      <c r="C145">
        <v>2</v>
      </c>
    </row>
    <row r="146" spans="1:3" x14ac:dyDescent="0.45">
      <c r="A146">
        <f>SUMIFS(fact_batting_summary!G:G, fact_batting_summary!E:E, fact_batting_summary!E146)</f>
        <v>1304</v>
      </c>
      <c r="B146" s="9">
        <f>AVERAGEIFS(fact_batting_summary!G:G, fact_batting_summary!E:E,fact_batting_summary!E146)</f>
        <v>28.977777777777778</v>
      </c>
      <c r="C146">
        <v>3</v>
      </c>
    </row>
    <row r="147" spans="1:3" x14ac:dyDescent="0.45">
      <c r="A147">
        <f>SUMIFS(fact_batting_summary!G:G, fact_batting_summary!E:E, fact_batting_summary!E147)</f>
        <v>937</v>
      </c>
      <c r="B147" s="9">
        <f>AVERAGEIFS(fact_batting_summary!G:G, fact_batting_summary!E:E,fact_batting_summary!E147)</f>
        <v>27.558823529411764</v>
      </c>
      <c r="C147">
        <v>4</v>
      </c>
    </row>
    <row r="148" spans="1:3" x14ac:dyDescent="0.45">
      <c r="A148">
        <f>SUMIFS(fact_batting_summary!G:G, fact_batting_summary!E:E, fact_batting_summary!E148)</f>
        <v>65</v>
      </c>
      <c r="B148" s="9">
        <f>AVERAGEIFS(fact_batting_summary!G:G, fact_batting_summary!E:E,fact_batting_summary!E148)</f>
        <v>8.125</v>
      </c>
      <c r="C148">
        <v>5</v>
      </c>
    </row>
    <row r="149" spans="1:3" x14ac:dyDescent="0.45">
      <c r="A149">
        <f>SUMIFS(fact_batting_summary!G:G, fact_batting_summary!E:E, fact_batting_summary!E149)</f>
        <v>864</v>
      </c>
      <c r="B149" s="9">
        <f>AVERAGEIFS(fact_batting_summary!G:G, fact_batting_summary!E:E,fact_batting_summary!E149)</f>
        <v>23.351351351351351</v>
      </c>
      <c r="C149">
        <v>6</v>
      </c>
    </row>
    <row r="150" spans="1:3" x14ac:dyDescent="0.45">
      <c r="A150">
        <f>SUMIFS(fact_batting_summary!G:G, fact_batting_summary!E:E, fact_batting_summary!E150)</f>
        <v>459</v>
      </c>
      <c r="B150" s="9">
        <f>AVERAGEIFS(fact_batting_summary!G:G, fact_batting_summary!E:E,fact_batting_summary!E150)</f>
        <v>13.909090909090908</v>
      </c>
      <c r="C150">
        <v>7</v>
      </c>
    </row>
    <row r="151" spans="1:3" x14ac:dyDescent="0.45">
      <c r="A151">
        <f>SUMIFS(fact_batting_summary!G:G, fact_batting_summary!E:E, fact_batting_summary!E151)</f>
        <v>16</v>
      </c>
      <c r="B151" s="9">
        <f>AVERAGEIFS(fact_batting_summary!G:G, fact_batting_summary!E:E,fact_batting_summary!E151)</f>
        <v>5.333333333333333</v>
      </c>
      <c r="C151">
        <v>8</v>
      </c>
    </row>
    <row r="152" spans="1:3" x14ac:dyDescent="0.45">
      <c r="A152">
        <f>SUMIFS(fact_batting_summary!G:G, fact_batting_summary!E:E, fact_batting_summary!E152)</f>
        <v>20</v>
      </c>
      <c r="B152" s="9">
        <f>AVERAGEIFS(fact_batting_summary!G:G, fact_batting_summary!E:E,fact_batting_summary!E152)</f>
        <v>2.5</v>
      </c>
      <c r="C152">
        <v>9</v>
      </c>
    </row>
    <row r="153" spans="1:3" x14ac:dyDescent="0.45">
      <c r="A153">
        <f>SUMIFS(fact_batting_summary!G:G, fact_batting_summary!E:E, fact_batting_summary!E153)</f>
        <v>0</v>
      </c>
      <c r="B153" s="9">
        <f>AVERAGEIFS(fact_batting_summary!G:G, fact_batting_summary!E:E,fact_batting_summary!E153)</f>
        <v>0</v>
      </c>
      <c r="C153">
        <v>10</v>
      </c>
    </row>
    <row r="154" spans="1:3" x14ac:dyDescent="0.45">
      <c r="A154">
        <f>SUMIFS(fact_batting_summary!G:G, fact_batting_summary!E:E, fact_batting_summary!E154)</f>
        <v>12</v>
      </c>
      <c r="B154" s="9">
        <f>AVERAGEIFS(fact_batting_summary!G:G, fact_batting_summary!E:E,fact_batting_summary!E154)</f>
        <v>1.7142857142857142</v>
      </c>
      <c r="C154">
        <v>11</v>
      </c>
    </row>
    <row r="155" spans="1:3" x14ac:dyDescent="0.45">
      <c r="A155">
        <f>SUMIFS(fact_batting_summary!G:G, fact_batting_summary!E:E, fact_batting_summary!E155)</f>
        <v>981</v>
      </c>
      <c r="B155" s="9">
        <f>AVERAGEIFS(fact_batting_summary!G:G, fact_batting_summary!E:E,fact_batting_summary!E155)</f>
        <v>22.813953488372093</v>
      </c>
      <c r="C155">
        <v>1</v>
      </c>
    </row>
    <row r="156" spans="1:3" x14ac:dyDescent="0.45">
      <c r="A156">
        <f>SUMIFS(fact_batting_summary!G:G, fact_batting_summary!E:E, fact_batting_summary!E156)</f>
        <v>1113</v>
      </c>
      <c r="B156" s="9">
        <f>AVERAGEIFS(fact_batting_summary!G:G, fact_batting_summary!E:E,fact_batting_summary!E156)</f>
        <v>28.53846153846154</v>
      </c>
      <c r="C156">
        <v>2</v>
      </c>
    </row>
    <row r="157" spans="1:3" x14ac:dyDescent="0.45">
      <c r="A157">
        <f>SUMIFS(fact_batting_summary!G:G, fact_batting_summary!E:E, fact_batting_summary!E157)</f>
        <v>1225</v>
      </c>
      <c r="B157" s="9">
        <f>AVERAGEIFS(fact_batting_summary!G:G, fact_batting_summary!E:E,fact_batting_summary!E157)</f>
        <v>32.236842105263158</v>
      </c>
      <c r="C157">
        <v>3</v>
      </c>
    </row>
    <row r="158" spans="1:3" x14ac:dyDescent="0.45">
      <c r="A158">
        <f>SUMIFS(fact_batting_summary!G:G, fact_batting_summary!E:E, fact_batting_summary!E158)</f>
        <v>960</v>
      </c>
      <c r="B158" s="9">
        <f>AVERAGEIFS(fact_batting_summary!G:G, fact_batting_summary!E:E,fact_batting_summary!E158)</f>
        <v>23.414634146341463</v>
      </c>
      <c r="C158">
        <v>4</v>
      </c>
    </row>
    <row r="159" spans="1:3" x14ac:dyDescent="0.45">
      <c r="A159">
        <f>SUMIFS(fact_batting_summary!G:G, fact_batting_summary!E:E, fact_batting_summary!E159)</f>
        <v>1593</v>
      </c>
      <c r="B159" s="9">
        <f>AVERAGEIFS(fact_batting_summary!G:G, fact_batting_summary!E:E,fact_batting_summary!E159)</f>
        <v>35.4</v>
      </c>
      <c r="C159">
        <v>1</v>
      </c>
    </row>
    <row r="160" spans="1:3" x14ac:dyDescent="0.45">
      <c r="A160">
        <f>SUMIFS(fact_batting_summary!G:G, fact_batting_summary!E:E, fact_batting_summary!E160)</f>
        <v>1831</v>
      </c>
      <c r="B160" s="9">
        <f>AVERAGEIFS(fact_batting_summary!G:G, fact_batting_summary!E:E,fact_batting_summary!E160)</f>
        <v>39.804347826086953</v>
      </c>
      <c r="C160">
        <v>2</v>
      </c>
    </row>
    <row r="161" spans="1:3" x14ac:dyDescent="0.45">
      <c r="A161">
        <f>SUMIFS(fact_batting_summary!G:G, fact_batting_summary!E:E, fact_batting_summary!E161)</f>
        <v>345</v>
      </c>
      <c r="B161" s="9">
        <f>AVERAGEIFS(fact_batting_summary!G:G, fact_batting_summary!E:E,fact_batting_summary!E161)</f>
        <v>23</v>
      </c>
      <c r="C161">
        <v>3</v>
      </c>
    </row>
    <row r="162" spans="1:3" x14ac:dyDescent="0.45">
      <c r="A162">
        <f>SUMIFS(fact_batting_summary!G:G, fact_batting_summary!E:E, fact_batting_summary!E162)</f>
        <v>725</v>
      </c>
      <c r="B162" s="9">
        <f>AVERAGEIFS(fact_batting_summary!G:G, fact_batting_summary!E:E,fact_batting_summary!E162)</f>
        <v>20.714285714285715</v>
      </c>
      <c r="C162">
        <v>4</v>
      </c>
    </row>
    <row r="163" spans="1:3" x14ac:dyDescent="0.45">
      <c r="A163">
        <f>SUMIFS(fact_batting_summary!G:G, fact_batting_summary!E:E, fact_batting_summary!E163)</f>
        <v>689</v>
      </c>
      <c r="B163" s="9">
        <f>AVERAGEIFS(fact_batting_summary!G:G, fact_batting_summary!E:E,fact_batting_summary!E163)</f>
        <v>19.138888888888889</v>
      </c>
      <c r="C163">
        <v>5</v>
      </c>
    </row>
    <row r="164" spans="1:3" x14ac:dyDescent="0.45">
      <c r="A164">
        <f>SUMIFS(fact_batting_summary!G:G, fact_batting_summary!E:E, fact_batting_summary!E164)</f>
        <v>450</v>
      </c>
      <c r="B164" s="9">
        <f>AVERAGEIFS(fact_batting_summary!G:G, fact_batting_summary!E:E,fact_batting_summary!E164)</f>
        <v>12.5</v>
      </c>
      <c r="C164">
        <v>6</v>
      </c>
    </row>
    <row r="165" spans="1:3" x14ac:dyDescent="0.45">
      <c r="A165">
        <f>SUMIFS(fact_batting_summary!G:G, fact_batting_summary!E:E, fact_batting_summary!E165)</f>
        <v>533</v>
      </c>
      <c r="B165" s="9">
        <f>AVERAGEIFS(fact_batting_summary!G:G, fact_batting_summary!E:E,fact_batting_summary!E165)</f>
        <v>15.676470588235293</v>
      </c>
      <c r="C165">
        <v>7</v>
      </c>
    </row>
    <row r="166" spans="1:3" x14ac:dyDescent="0.45">
      <c r="A166">
        <f>SUMIFS(fact_batting_summary!G:G, fact_batting_summary!E:E, fact_batting_summary!E166)</f>
        <v>815</v>
      </c>
      <c r="B166" s="9">
        <f>AVERAGEIFS(fact_batting_summary!G:G, fact_batting_summary!E:E,fact_batting_summary!E166)</f>
        <v>25.46875</v>
      </c>
      <c r="C166">
        <v>1</v>
      </c>
    </row>
    <row r="167" spans="1:3" x14ac:dyDescent="0.45">
      <c r="A167">
        <f>SUMIFS(fact_batting_summary!G:G, fact_batting_summary!E:E, fact_batting_summary!E167)</f>
        <v>1392</v>
      </c>
      <c r="B167" s="9">
        <f>AVERAGEIFS(fact_batting_summary!G:G, fact_batting_summary!E:E,fact_batting_summary!E167)</f>
        <v>34.799999999999997</v>
      </c>
      <c r="C167">
        <v>2</v>
      </c>
    </row>
    <row r="168" spans="1:3" x14ac:dyDescent="0.45">
      <c r="A168">
        <f>SUMIFS(fact_batting_summary!G:G, fact_batting_summary!E:E, fact_batting_summary!E168)</f>
        <v>576</v>
      </c>
      <c r="B168" s="9">
        <f>AVERAGEIFS(fact_batting_summary!G:G, fact_batting_summary!E:E,fact_batting_summary!E168)</f>
        <v>26.181818181818183</v>
      </c>
      <c r="C168">
        <v>3</v>
      </c>
    </row>
    <row r="169" spans="1:3" x14ac:dyDescent="0.45">
      <c r="A169">
        <f>SUMIFS(fact_batting_summary!G:G, fact_batting_summary!E:E, fact_batting_summary!E169)</f>
        <v>722</v>
      </c>
      <c r="B169" s="9">
        <f>AVERAGEIFS(fact_batting_summary!G:G, fact_batting_summary!E:E,fact_batting_summary!E169)</f>
        <v>25.785714285714285</v>
      </c>
      <c r="C169">
        <v>4</v>
      </c>
    </row>
    <row r="170" spans="1:3" x14ac:dyDescent="0.45">
      <c r="A170">
        <f>SUMIFS(fact_batting_summary!G:G, fact_batting_summary!E:E, fact_batting_summary!E170)</f>
        <v>80</v>
      </c>
      <c r="B170" s="9">
        <f>AVERAGEIFS(fact_batting_summary!G:G, fact_batting_summary!E:E,fact_batting_summary!E170)</f>
        <v>11.428571428571429</v>
      </c>
      <c r="C170">
        <v>5</v>
      </c>
    </row>
    <row r="171" spans="1:3" x14ac:dyDescent="0.45">
      <c r="A171">
        <f>SUMIFS(fact_batting_summary!G:G, fact_batting_summary!E:E, fact_batting_summary!E171)</f>
        <v>302</v>
      </c>
      <c r="B171" s="9">
        <f>AVERAGEIFS(fact_batting_summary!G:G, fact_batting_summary!E:E,fact_batting_summary!E171)</f>
        <v>11.185185185185185</v>
      </c>
      <c r="C171">
        <v>6</v>
      </c>
    </row>
    <row r="172" spans="1:3" x14ac:dyDescent="0.45">
      <c r="A172">
        <f>SUMIFS(fact_batting_summary!G:G, fact_batting_summary!E:E, fact_batting_summary!E172)</f>
        <v>854</v>
      </c>
      <c r="B172" s="9">
        <f>AVERAGEIFS(fact_batting_summary!G:G, fact_batting_summary!E:E,fact_batting_summary!E172)</f>
        <v>21.35</v>
      </c>
      <c r="C172">
        <v>7</v>
      </c>
    </row>
    <row r="173" spans="1:3" x14ac:dyDescent="0.45">
      <c r="A173">
        <f>SUMIFS(fact_batting_summary!G:G, fact_batting_summary!E:E, fact_batting_summary!E173)</f>
        <v>505</v>
      </c>
      <c r="B173" s="9">
        <f>AVERAGEIFS(fact_batting_summary!G:G, fact_batting_summary!E:E,fact_batting_summary!E173)</f>
        <v>17.413793103448278</v>
      </c>
      <c r="C173">
        <v>8</v>
      </c>
    </row>
    <row r="174" spans="1:3" x14ac:dyDescent="0.45">
      <c r="A174">
        <f>SUMIFS(fact_batting_summary!G:G, fact_batting_summary!E:E, fact_batting_summary!E174)</f>
        <v>61</v>
      </c>
      <c r="B174" s="9">
        <f>AVERAGEIFS(fact_batting_summary!G:G, fact_batting_summary!E:E,fact_batting_summary!E174)</f>
        <v>4.6923076923076925</v>
      </c>
      <c r="C174">
        <v>9</v>
      </c>
    </row>
    <row r="175" spans="1:3" x14ac:dyDescent="0.45">
      <c r="A175">
        <f>SUMIFS(fact_batting_summary!G:G, fact_batting_summary!E:E, fact_batting_summary!E175)</f>
        <v>435</v>
      </c>
      <c r="B175" s="9">
        <f>AVERAGEIFS(fact_batting_summary!G:G, fact_batting_summary!E:E,fact_batting_summary!E175)</f>
        <v>33.46153846153846</v>
      </c>
      <c r="C175">
        <v>1</v>
      </c>
    </row>
    <row r="176" spans="1:3" x14ac:dyDescent="0.45">
      <c r="A176">
        <f>SUMIFS(fact_batting_summary!G:G, fact_batting_summary!E:E, fact_batting_summary!E176)</f>
        <v>819</v>
      </c>
      <c r="B176" s="9">
        <f>AVERAGEIFS(fact_batting_summary!G:G, fact_batting_summary!E:E,fact_batting_summary!E176)</f>
        <v>22.135135135135137</v>
      </c>
      <c r="C176">
        <v>2</v>
      </c>
    </row>
    <row r="177" spans="1:3" x14ac:dyDescent="0.45">
      <c r="A177">
        <f>SUMIFS(fact_batting_summary!G:G, fact_batting_summary!E:E, fact_batting_summary!E177)</f>
        <v>416</v>
      </c>
      <c r="B177" s="9">
        <f>AVERAGEIFS(fact_batting_summary!G:G, fact_batting_summary!E:E,fact_batting_summary!E177)</f>
        <v>18.90909090909091</v>
      </c>
      <c r="C177">
        <v>3</v>
      </c>
    </row>
    <row r="178" spans="1:3" x14ac:dyDescent="0.45">
      <c r="A178">
        <f>SUMIFS(fact_batting_summary!G:G, fact_batting_summary!E:E, fact_batting_summary!E178)</f>
        <v>140</v>
      </c>
      <c r="B178" s="9">
        <f>AVERAGEIFS(fact_batting_summary!G:G, fact_batting_summary!E:E,fact_batting_summary!E178)</f>
        <v>15.555555555555555</v>
      </c>
      <c r="C178">
        <v>4</v>
      </c>
    </row>
    <row r="179" spans="1:3" x14ac:dyDescent="0.45">
      <c r="A179">
        <f>SUMIFS(fact_batting_summary!G:G, fact_batting_summary!E:E, fact_batting_summary!E179)</f>
        <v>745</v>
      </c>
      <c r="B179" s="9">
        <f>AVERAGEIFS(fact_batting_summary!G:G, fact_batting_summary!E:E,fact_batting_summary!E179)</f>
        <v>24.032258064516128</v>
      </c>
      <c r="C179">
        <v>5</v>
      </c>
    </row>
    <row r="180" spans="1:3" x14ac:dyDescent="0.45">
      <c r="A180">
        <f>SUMIFS(fact_batting_summary!G:G, fact_batting_summary!E:E, fact_batting_summary!E180)</f>
        <v>284</v>
      </c>
      <c r="B180" s="9">
        <f>AVERAGEIFS(fact_batting_summary!G:G, fact_batting_summary!E:E,fact_batting_summary!E180)</f>
        <v>14.2</v>
      </c>
      <c r="C180">
        <v>6</v>
      </c>
    </row>
    <row r="181" spans="1:3" x14ac:dyDescent="0.45">
      <c r="A181">
        <f>SUMIFS(fact_batting_summary!G:G, fact_batting_summary!E:E, fact_batting_summary!E181)</f>
        <v>155</v>
      </c>
      <c r="B181" s="9">
        <f>AVERAGEIFS(fact_batting_summary!G:G, fact_batting_summary!E:E,fact_batting_summary!E181)</f>
        <v>8.6111111111111107</v>
      </c>
      <c r="C181">
        <v>7</v>
      </c>
    </row>
    <row r="182" spans="1:3" x14ac:dyDescent="0.45">
      <c r="A182">
        <f>SUMIFS(fact_batting_summary!G:G, fact_batting_summary!E:E, fact_batting_summary!E182)</f>
        <v>304</v>
      </c>
      <c r="B182" s="9">
        <f>AVERAGEIFS(fact_batting_summary!G:G, fact_batting_summary!E:E,fact_batting_summary!E182)</f>
        <v>11.692307692307692</v>
      </c>
      <c r="C182">
        <v>8</v>
      </c>
    </row>
    <row r="183" spans="1:3" x14ac:dyDescent="0.45">
      <c r="A183">
        <f>SUMIFS(fact_batting_summary!G:G, fact_batting_summary!E:E, fact_batting_summary!E183)</f>
        <v>100</v>
      </c>
      <c r="B183" s="9">
        <f>AVERAGEIFS(fact_batting_summary!G:G, fact_batting_summary!E:E,fact_batting_summary!E183)</f>
        <v>5.2631578947368425</v>
      </c>
      <c r="C183">
        <v>9</v>
      </c>
    </row>
    <row r="184" spans="1:3" x14ac:dyDescent="0.45">
      <c r="A184">
        <f>SUMIFS(fact_batting_summary!G:G, fact_batting_summary!E:E, fact_batting_summary!E184)</f>
        <v>8</v>
      </c>
      <c r="B184" s="9">
        <f>AVERAGEIFS(fact_batting_summary!G:G, fact_batting_summary!E:E,fact_batting_summary!E184)</f>
        <v>4</v>
      </c>
      <c r="C184">
        <v>10</v>
      </c>
    </row>
    <row r="185" spans="1:3" x14ac:dyDescent="0.45">
      <c r="A185">
        <f>SUMIFS(fact_batting_summary!G:G, fact_batting_summary!E:E, fact_batting_summary!E185)</f>
        <v>1851</v>
      </c>
      <c r="B185" s="9">
        <f>AVERAGEIFS(fact_batting_summary!G:G, fact_batting_summary!E:E,fact_batting_summary!E185)</f>
        <v>37.020000000000003</v>
      </c>
      <c r="C185">
        <v>1</v>
      </c>
    </row>
    <row r="186" spans="1:3" x14ac:dyDescent="0.45">
      <c r="A186">
        <f>SUMIFS(fact_batting_summary!G:G, fact_batting_summary!E:E, fact_batting_summary!E186)</f>
        <v>956</v>
      </c>
      <c r="B186" s="9">
        <f>AVERAGEIFS(fact_batting_summary!G:G, fact_batting_summary!E:E,fact_batting_summary!E186)</f>
        <v>26.555555555555557</v>
      </c>
      <c r="C186">
        <v>2</v>
      </c>
    </row>
    <row r="187" spans="1:3" x14ac:dyDescent="0.45">
      <c r="A187">
        <f>SUMIFS(fact_batting_summary!G:G, fact_batting_summary!E:E, fact_batting_summary!E187)</f>
        <v>1083</v>
      </c>
      <c r="B187" s="9">
        <f>AVERAGEIFS(fact_batting_summary!G:G, fact_batting_summary!E:E,fact_batting_summary!E187)</f>
        <v>25.186046511627907</v>
      </c>
      <c r="C187">
        <v>3</v>
      </c>
    </row>
    <row r="188" spans="1:3" x14ac:dyDescent="0.45">
      <c r="A188">
        <f>SUMIFS(fact_batting_summary!G:G, fact_batting_summary!E:E, fact_batting_summary!E188)</f>
        <v>1157</v>
      </c>
      <c r="B188" s="9">
        <f>AVERAGEIFS(fact_batting_summary!G:G, fact_batting_summary!E:E,fact_batting_summary!E188)</f>
        <v>26.295454545454547</v>
      </c>
      <c r="C188">
        <v>4</v>
      </c>
    </row>
    <row r="189" spans="1:3" x14ac:dyDescent="0.45">
      <c r="A189">
        <f>SUMIFS(fact_batting_summary!G:G, fact_batting_summary!E:E, fact_batting_summary!E189)</f>
        <v>693</v>
      </c>
      <c r="B189" s="9">
        <f>AVERAGEIFS(fact_batting_summary!G:G, fact_batting_summary!E:E,fact_batting_summary!E189)</f>
        <v>15.75</v>
      </c>
      <c r="C189">
        <v>5</v>
      </c>
    </row>
    <row r="190" spans="1:3" x14ac:dyDescent="0.45">
      <c r="A190">
        <f>SUMIFS(fact_batting_summary!G:G, fact_batting_summary!E:E, fact_batting_summary!E190)</f>
        <v>133</v>
      </c>
      <c r="B190" s="9">
        <f>AVERAGEIFS(fact_batting_summary!G:G, fact_batting_summary!E:E,fact_batting_summary!E190)</f>
        <v>8.3125</v>
      </c>
      <c r="C190">
        <v>6</v>
      </c>
    </row>
    <row r="191" spans="1:3" x14ac:dyDescent="0.45">
      <c r="A191">
        <f>SUMIFS(fact_batting_summary!G:G, fact_batting_summary!E:E, fact_batting_summary!E191)</f>
        <v>1385</v>
      </c>
      <c r="B191" s="9">
        <f>AVERAGEIFS(fact_batting_summary!G:G, fact_batting_summary!E:E,fact_batting_summary!E191)</f>
        <v>30.777777777777779</v>
      </c>
      <c r="C191">
        <v>1</v>
      </c>
    </row>
    <row r="192" spans="1:3" x14ac:dyDescent="0.45">
      <c r="A192">
        <f>SUMIFS(fact_batting_summary!G:G, fact_batting_summary!E:E, fact_batting_summary!E192)</f>
        <v>1048</v>
      </c>
      <c r="B192" s="9">
        <f>AVERAGEIFS(fact_batting_summary!G:G, fact_batting_summary!E:E,fact_batting_summary!E192)</f>
        <v>24.952380952380953</v>
      </c>
      <c r="C192">
        <v>2</v>
      </c>
    </row>
    <row r="193" spans="1:3" x14ac:dyDescent="0.45">
      <c r="A193">
        <f>SUMIFS(fact_batting_summary!G:G, fact_batting_summary!E:E, fact_batting_summary!E193)</f>
        <v>14</v>
      </c>
      <c r="B193" s="9">
        <f>AVERAGEIFS(fact_batting_summary!G:G, fact_batting_summary!E:E,fact_batting_summary!E193)</f>
        <v>2</v>
      </c>
      <c r="C193">
        <v>3</v>
      </c>
    </row>
    <row r="194" spans="1:3" x14ac:dyDescent="0.45">
      <c r="A194">
        <f>SUMIFS(fact_batting_summary!G:G, fact_batting_summary!E:E, fact_batting_summary!E194)</f>
        <v>1214</v>
      </c>
      <c r="B194" s="9">
        <f>AVERAGEIFS(fact_batting_summary!G:G, fact_batting_summary!E:E,fact_batting_summary!E194)</f>
        <v>29.609756097560975</v>
      </c>
      <c r="C194">
        <v>4</v>
      </c>
    </row>
    <row r="195" spans="1:3" x14ac:dyDescent="0.45">
      <c r="A195">
        <f>SUMIFS(fact_batting_summary!G:G, fact_batting_summary!E:E, fact_batting_summary!E195)</f>
        <v>313</v>
      </c>
      <c r="B195" s="9">
        <f>AVERAGEIFS(fact_batting_summary!G:G, fact_batting_summary!E:E,fact_batting_summary!E195)</f>
        <v>22.357142857142858</v>
      </c>
      <c r="C195">
        <v>5</v>
      </c>
    </row>
    <row r="196" spans="1:3" x14ac:dyDescent="0.45">
      <c r="A196">
        <f>SUMIFS(fact_batting_summary!G:G, fact_batting_summary!E:E, fact_batting_summary!E196)</f>
        <v>320</v>
      </c>
      <c r="B196" s="9">
        <f>AVERAGEIFS(fact_batting_summary!G:G, fact_batting_summary!E:E,fact_batting_summary!E196)</f>
        <v>13.333333333333334</v>
      </c>
      <c r="C196">
        <v>6</v>
      </c>
    </row>
    <row r="197" spans="1:3" x14ac:dyDescent="0.45">
      <c r="A197">
        <f>SUMIFS(fact_batting_summary!G:G, fact_batting_summary!E:E, fact_batting_summary!E197)</f>
        <v>199</v>
      </c>
      <c r="B197" s="9">
        <f>AVERAGEIFS(fact_batting_summary!G:G, fact_batting_summary!E:E,fact_batting_summary!E197)</f>
        <v>22.111111111111111</v>
      </c>
      <c r="C197">
        <v>7</v>
      </c>
    </row>
    <row r="198" spans="1:3" x14ac:dyDescent="0.45">
      <c r="A198">
        <f>SUMIFS(fact_batting_summary!G:G, fact_batting_summary!E:E, fact_batting_summary!E198)</f>
        <v>2</v>
      </c>
      <c r="B198" s="9">
        <f>AVERAGEIFS(fact_batting_summary!G:G, fact_batting_summary!E:E,fact_batting_summary!E198)</f>
        <v>0.66666666666666663</v>
      </c>
      <c r="C198">
        <v>8</v>
      </c>
    </row>
    <row r="199" spans="1:3" x14ac:dyDescent="0.45">
      <c r="A199">
        <f>SUMIFS(fact_batting_summary!G:G, fact_batting_summary!E:E, fact_batting_summary!E199)</f>
        <v>108</v>
      </c>
      <c r="B199" s="9">
        <f>AVERAGEIFS(fact_batting_summary!G:G, fact_batting_summary!E:E,fact_batting_summary!E199)</f>
        <v>6</v>
      </c>
      <c r="C199">
        <v>9</v>
      </c>
    </row>
    <row r="200" spans="1:3" x14ac:dyDescent="0.45">
      <c r="A200">
        <f>SUMIFS(fact_batting_summary!G:G, fact_batting_summary!E:E, fact_batting_summary!E200)</f>
        <v>1516</v>
      </c>
      <c r="B200" s="9">
        <f>AVERAGEIFS(fact_batting_summary!G:G, fact_batting_summary!E:E,fact_batting_summary!E200)</f>
        <v>40.972972972972975</v>
      </c>
      <c r="C200">
        <v>1</v>
      </c>
    </row>
    <row r="201" spans="1:3" x14ac:dyDescent="0.45">
      <c r="A201">
        <f>SUMIFS(fact_batting_summary!G:G, fact_batting_summary!E:E, fact_batting_summary!E201)</f>
        <v>907</v>
      </c>
      <c r="B201" s="9">
        <f>AVERAGEIFS(fact_batting_summary!G:G, fact_batting_summary!E:E,fact_batting_summary!E201)</f>
        <v>26.676470588235293</v>
      </c>
      <c r="C201">
        <v>2</v>
      </c>
    </row>
    <row r="202" spans="1:3" x14ac:dyDescent="0.45">
      <c r="A202">
        <f>SUMIFS(fact_batting_summary!G:G, fact_batting_summary!E:E, fact_batting_summary!E202)</f>
        <v>729</v>
      </c>
      <c r="B202" s="9">
        <f>AVERAGEIFS(fact_batting_summary!G:G, fact_batting_summary!E:E,fact_batting_summary!E202)</f>
        <v>19.184210526315791</v>
      </c>
      <c r="C202">
        <v>3</v>
      </c>
    </row>
    <row r="203" spans="1:3" x14ac:dyDescent="0.45">
      <c r="A203">
        <f>SUMIFS(fact_batting_summary!G:G, fact_batting_summary!E:E, fact_batting_summary!E203)</f>
        <v>775</v>
      </c>
      <c r="B203" s="9">
        <f>AVERAGEIFS(fact_batting_summary!G:G, fact_batting_summary!E:E,fact_batting_summary!E203)</f>
        <v>25</v>
      </c>
      <c r="C203">
        <v>4</v>
      </c>
    </row>
    <row r="204" spans="1:3" x14ac:dyDescent="0.45">
      <c r="A204">
        <f>SUMIFS(fact_batting_summary!G:G, fact_batting_summary!E:E, fact_batting_summary!E204)</f>
        <v>144</v>
      </c>
      <c r="B204" s="9">
        <f>AVERAGEIFS(fact_batting_summary!G:G, fact_batting_summary!E:E,fact_batting_summary!E204)</f>
        <v>13.090909090909092</v>
      </c>
      <c r="C204">
        <v>5</v>
      </c>
    </row>
    <row r="205" spans="1:3" x14ac:dyDescent="0.45">
      <c r="A205">
        <f>SUMIFS(fact_batting_summary!G:G, fact_batting_summary!E:E, fact_batting_summary!E205)</f>
        <v>426</v>
      </c>
      <c r="B205" s="9">
        <f>AVERAGEIFS(fact_batting_summary!G:G, fact_batting_summary!E:E,fact_batting_summary!E205)</f>
        <v>13.741935483870968</v>
      </c>
      <c r="C205">
        <v>6</v>
      </c>
    </row>
    <row r="206" spans="1:3" x14ac:dyDescent="0.45">
      <c r="A206">
        <f>SUMIFS(fact_batting_summary!G:G, fact_batting_summary!E:E, fact_batting_summary!E206)</f>
        <v>31</v>
      </c>
      <c r="B206" s="9">
        <f>AVERAGEIFS(fact_batting_summary!G:G, fact_batting_summary!E:E,fact_batting_summary!E206)</f>
        <v>7.75</v>
      </c>
      <c r="C206">
        <v>7</v>
      </c>
    </row>
    <row r="207" spans="1:3" x14ac:dyDescent="0.45">
      <c r="A207">
        <f>SUMIFS(fact_batting_summary!G:G, fact_batting_summary!E:E, fact_batting_summary!E207)</f>
        <v>138</v>
      </c>
      <c r="B207" s="9">
        <f>AVERAGEIFS(fact_batting_summary!G:G, fact_batting_summary!E:E,fact_batting_summary!E207)</f>
        <v>8.625</v>
      </c>
      <c r="C207">
        <v>8</v>
      </c>
    </row>
    <row r="208" spans="1:3" x14ac:dyDescent="0.45">
      <c r="A208">
        <f>SUMIFS(fact_batting_summary!G:G, fact_batting_summary!E:E, fact_batting_summary!E208)</f>
        <v>1593</v>
      </c>
      <c r="B208" s="9">
        <f>AVERAGEIFS(fact_batting_summary!G:G, fact_batting_summary!E:E,fact_batting_summary!E208)</f>
        <v>35.4</v>
      </c>
      <c r="C208">
        <v>1</v>
      </c>
    </row>
    <row r="209" spans="1:3" x14ac:dyDescent="0.45">
      <c r="A209">
        <f>SUMIFS(fact_batting_summary!G:G, fact_batting_summary!E:E, fact_batting_summary!E209)</f>
        <v>1831</v>
      </c>
      <c r="B209" s="9">
        <f>AVERAGEIFS(fact_batting_summary!G:G, fact_batting_summary!E:E,fact_batting_summary!E209)</f>
        <v>39.804347826086953</v>
      </c>
      <c r="C209">
        <v>2</v>
      </c>
    </row>
    <row r="210" spans="1:3" x14ac:dyDescent="0.45">
      <c r="A210">
        <f>SUMIFS(fact_batting_summary!G:G, fact_batting_summary!E:E, fact_batting_summary!E210)</f>
        <v>160</v>
      </c>
      <c r="B210" s="9">
        <f>AVERAGEIFS(fact_batting_summary!G:G, fact_batting_summary!E:E,fact_batting_summary!E210)</f>
        <v>14.545454545454545</v>
      </c>
      <c r="C210">
        <v>3</v>
      </c>
    </row>
    <row r="211" spans="1:3" x14ac:dyDescent="0.45">
      <c r="A211">
        <f>SUMIFS(fact_batting_summary!G:G, fact_batting_summary!E:E, fact_batting_summary!E211)</f>
        <v>725</v>
      </c>
      <c r="B211" s="9">
        <f>AVERAGEIFS(fact_batting_summary!G:G, fact_batting_summary!E:E,fact_batting_summary!E211)</f>
        <v>20.714285714285715</v>
      </c>
      <c r="C211">
        <v>4</v>
      </c>
    </row>
    <row r="212" spans="1:3" x14ac:dyDescent="0.45">
      <c r="A212">
        <f>SUMIFS(fact_batting_summary!G:G, fact_batting_summary!E:E, fact_batting_summary!E212)</f>
        <v>689</v>
      </c>
      <c r="B212" s="9">
        <f>AVERAGEIFS(fact_batting_summary!G:G, fact_batting_summary!E:E,fact_batting_summary!E212)</f>
        <v>19.138888888888889</v>
      </c>
      <c r="C212">
        <v>5</v>
      </c>
    </row>
    <row r="213" spans="1:3" x14ac:dyDescent="0.45">
      <c r="A213">
        <f>SUMIFS(fact_batting_summary!G:G, fact_batting_summary!E:E, fact_batting_summary!E213)</f>
        <v>533</v>
      </c>
      <c r="B213" s="9">
        <f>AVERAGEIFS(fact_batting_summary!G:G, fact_batting_summary!E:E,fact_batting_summary!E213)</f>
        <v>15.676470588235293</v>
      </c>
      <c r="C213">
        <v>6</v>
      </c>
    </row>
    <row r="214" spans="1:3" x14ac:dyDescent="0.45">
      <c r="A214">
        <f>SUMIFS(fact_batting_summary!G:G, fact_batting_summary!E:E, fact_batting_summary!E214)</f>
        <v>224</v>
      </c>
      <c r="B214" s="9">
        <f>AVERAGEIFS(fact_batting_summary!G:G, fact_batting_summary!E:E,fact_batting_summary!E214)</f>
        <v>22.4</v>
      </c>
      <c r="C214">
        <v>1</v>
      </c>
    </row>
    <row r="215" spans="1:3" x14ac:dyDescent="0.45">
      <c r="A215">
        <f>SUMIFS(fact_batting_summary!G:G, fact_batting_summary!E:E, fact_batting_summary!E215)</f>
        <v>1132</v>
      </c>
      <c r="B215" s="9">
        <f>AVERAGEIFS(fact_batting_summary!G:G, fact_batting_summary!E:E,fact_batting_summary!E215)</f>
        <v>33.294117647058826</v>
      </c>
      <c r="C215">
        <v>2</v>
      </c>
    </row>
    <row r="216" spans="1:3" x14ac:dyDescent="0.45">
      <c r="A216">
        <f>SUMIFS(fact_batting_summary!G:G, fact_batting_summary!E:E, fact_batting_summary!E216)</f>
        <v>1304</v>
      </c>
      <c r="B216" s="9">
        <f>AVERAGEIFS(fact_batting_summary!G:G, fact_batting_summary!E:E,fact_batting_summary!E216)</f>
        <v>28.977777777777778</v>
      </c>
      <c r="C216">
        <v>3</v>
      </c>
    </row>
    <row r="217" spans="1:3" x14ac:dyDescent="0.45">
      <c r="A217">
        <f>SUMIFS(fact_batting_summary!G:G, fact_batting_summary!E:E, fact_batting_summary!E217)</f>
        <v>937</v>
      </c>
      <c r="B217" s="9">
        <f>AVERAGEIFS(fact_batting_summary!G:G, fact_batting_summary!E:E,fact_batting_summary!E217)</f>
        <v>27.558823529411764</v>
      </c>
      <c r="C217">
        <v>4</v>
      </c>
    </row>
    <row r="218" spans="1:3" x14ac:dyDescent="0.45">
      <c r="A218">
        <f>SUMIFS(fact_batting_summary!G:G, fact_batting_summary!E:E, fact_batting_summary!E218)</f>
        <v>65</v>
      </c>
      <c r="B218" s="9">
        <f>AVERAGEIFS(fact_batting_summary!G:G, fact_batting_summary!E:E,fact_batting_summary!E218)</f>
        <v>8.125</v>
      </c>
      <c r="C218">
        <v>5</v>
      </c>
    </row>
    <row r="219" spans="1:3" x14ac:dyDescent="0.45">
      <c r="A219">
        <f>SUMIFS(fact_batting_summary!G:G, fact_batting_summary!E:E, fact_batting_summary!E219)</f>
        <v>981</v>
      </c>
      <c r="B219" s="9">
        <f>AVERAGEIFS(fact_batting_summary!G:G, fact_batting_summary!E:E,fact_batting_summary!E219)</f>
        <v>22.813953488372093</v>
      </c>
      <c r="C219">
        <v>1</v>
      </c>
    </row>
    <row r="220" spans="1:3" x14ac:dyDescent="0.45">
      <c r="A220">
        <f>SUMIFS(fact_batting_summary!G:G, fact_batting_summary!E:E, fact_batting_summary!E220)</f>
        <v>948</v>
      </c>
      <c r="B220" s="9">
        <f>AVERAGEIFS(fact_batting_summary!G:G, fact_batting_summary!E:E,fact_batting_summary!E220)</f>
        <v>31.6</v>
      </c>
      <c r="C220">
        <v>2</v>
      </c>
    </row>
    <row r="221" spans="1:3" x14ac:dyDescent="0.45">
      <c r="A221">
        <f>SUMIFS(fact_batting_summary!G:G, fact_batting_summary!E:E, fact_batting_summary!E221)</f>
        <v>1225</v>
      </c>
      <c r="B221" s="9">
        <f>AVERAGEIFS(fact_batting_summary!G:G, fact_batting_summary!E:E,fact_batting_summary!E221)</f>
        <v>32.236842105263158</v>
      </c>
      <c r="C221">
        <v>3</v>
      </c>
    </row>
    <row r="222" spans="1:3" x14ac:dyDescent="0.45">
      <c r="A222">
        <f>SUMIFS(fact_batting_summary!G:G, fact_batting_summary!E:E, fact_batting_summary!E222)</f>
        <v>115</v>
      </c>
      <c r="B222" s="9">
        <f>AVERAGEIFS(fact_batting_summary!G:G, fact_batting_summary!E:E,fact_batting_summary!E222)</f>
        <v>28.75</v>
      </c>
      <c r="C222">
        <v>4</v>
      </c>
    </row>
    <row r="223" spans="1:3" x14ac:dyDescent="0.45">
      <c r="A223">
        <f>SUMIFS(fact_batting_summary!G:G, fact_batting_summary!E:E, fact_batting_summary!E223)</f>
        <v>389</v>
      </c>
      <c r="B223" s="9">
        <f>AVERAGEIFS(fact_batting_summary!G:G, fact_batting_summary!E:E,fact_batting_summary!E223)</f>
        <v>16.208333333333332</v>
      </c>
      <c r="C223">
        <v>5</v>
      </c>
    </row>
    <row r="224" spans="1:3" x14ac:dyDescent="0.45">
      <c r="A224">
        <f>SUMIFS(fact_batting_summary!G:G, fact_batting_summary!E:E, fact_batting_summary!E224)</f>
        <v>960</v>
      </c>
      <c r="B224" s="9">
        <f>AVERAGEIFS(fact_batting_summary!G:G, fact_batting_summary!E:E,fact_batting_summary!E224)</f>
        <v>23.414634146341463</v>
      </c>
      <c r="C224">
        <v>6</v>
      </c>
    </row>
    <row r="225" spans="1:3" x14ac:dyDescent="0.45">
      <c r="A225">
        <f>SUMIFS(fact_batting_summary!G:G, fact_batting_summary!E:E, fact_batting_summary!E225)</f>
        <v>514</v>
      </c>
      <c r="B225" s="9">
        <f>AVERAGEIFS(fact_batting_summary!G:G, fact_batting_summary!E:E,fact_batting_summary!E225)</f>
        <v>13.526315789473685</v>
      </c>
      <c r="C225">
        <v>7</v>
      </c>
    </row>
    <row r="226" spans="1:3" x14ac:dyDescent="0.45">
      <c r="A226">
        <f>SUMIFS(fact_batting_summary!G:G, fact_batting_summary!E:E, fact_batting_summary!E226)</f>
        <v>5</v>
      </c>
      <c r="B226" s="9">
        <f>AVERAGEIFS(fact_batting_summary!G:G, fact_batting_summary!E:E,fact_batting_summary!E226)</f>
        <v>1.6666666666666667</v>
      </c>
      <c r="C226">
        <v>8</v>
      </c>
    </row>
    <row r="227" spans="1:3" x14ac:dyDescent="0.45">
      <c r="A227">
        <f>SUMIFS(fact_batting_summary!G:G, fact_batting_summary!E:E, fact_batting_summary!E227)</f>
        <v>34</v>
      </c>
      <c r="B227" s="9">
        <f>AVERAGEIFS(fact_batting_summary!G:G, fact_batting_summary!E:E,fact_batting_summary!E227)</f>
        <v>11.333333333333334</v>
      </c>
      <c r="C227">
        <v>9</v>
      </c>
    </row>
    <row r="228" spans="1:3" x14ac:dyDescent="0.45">
      <c r="A228">
        <f>SUMIFS(fact_batting_summary!G:G, fact_batting_summary!E:E, fact_batting_summary!E228)</f>
        <v>16</v>
      </c>
      <c r="B228" s="9">
        <f>AVERAGEIFS(fact_batting_summary!G:G, fact_batting_summary!E:E,fact_batting_summary!E228)</f>
        <v>1.2307692307692308</v>
      </c>
      <c r="C228">
        <v>10</v>
      </c>
    </row>
    <row r="229" spans="1:3" x14ac:dyDescent="0.45">
      <c r="A229">
        <f>SUMIFS(fact_batting_summary!G:G, fact_batting_summary!E:E, fact_batting_summary!E229)</f>
        <v>815</v>
      </c>
      <c r="B229" s="9">
        <f>AVERAGEIFS(fact_batting_summary!G:G, fact_batting_summary!E:E,fact_batting_summary!E229)</f>
        <v>25.46875</v>
      </c>
      <c r="C229">
        <v>1</v>
      </c>
    </row>
    <row r="230" spans="1:3" x14ac:dyDescent="0.45">
      <c r="A230">
        <f>SUMIFS(fact_batting_summary!G:G, fact_batting_summary!E:E, fact_batting_summary!E230)</f>
        <v>1392</v>
      </c>
      <c r="B230" s="9">
        <f>AVERAGEIFS(fact_batting_summary!G:G, fact_batting_summary!E:E,fact_batting_summary!E230)</f>
        <v>34.799999999999997</v>
      </c>
      <c r="C230">
        <v>2</v>
      </c>
    </row>
    <row r="231" spans="1:3" x14ac:dyDescent="0.45">
      <c r="A231">
        <f>SUMIFS(fact_batting_summary!G:G, fact_batting_summary!E:E, fact_batting_summary!E231)</f>
        <v>118</v>
      </c>
      <c r="B231" s="9">
        <f>AVERAGEIFS(fact_batting_summary!G:G, fact_batting_summary!E:E,fact_batting_summary!E231)</f>
        <v>19.666666666666668</v>
      </c>
      <c r="C231">
        <v>3</v>
      </c>
    </row>
    <row r="232" spans="1:3" x14ac:dyDescent="0.45">
      <c r="A232">
        <f>SUMIFS(fact_batting_summary!G:G, fact_batting_summary!E:E, fact_batting_summary!E232)</f>
        <v>722</v>
      </c>
      <c r="B232" s="9">
        <f>AVERAGEIFS(fact_batting_summary!G:G, fact_batting_summary!E:E,fact_batting_summary!E232)</f>
        <v>25.785714285714285</v>
      </c>
      <c r="C232">
        <v>4</v>
      </c>
    </row>
    <row r="233" spans="1:3" x14ac:dyDescent="0.45">
      <c r="A233">
        <f>SUMIFS(fact_batting_summary!G:G, fact_batting_summary!E:E, fact_batting_summary!E233)</f>
        <v>576</v>
      </c>
      <c r="B233" s="9">
        <f>AVERAGEIFS(fact_batting_summary!G:G, fact_batting_summary!E:E,fact_batting_summary!E233)</f>
        <v>26.181818181818183</v>
      </c>
      <c r="C233">
        <v>5</v>
      </c>
    </row>
    <row r="234" spans="1:3" x14ac:dyDescent="0.45">
      <c r="A234">
        <f>SUMIFS(fact_batting_summary!G:G, fact_batting_summary!E:E, fact_batting_summary!E234)</f>
        <v>505</v>
      </c>
      <c r="B234" s="9">
        <f>AVERAGEIFS(fact_batting_summary!G:G, fact_batting_summary!E:E,fact_batting_summary!E234)</f>
        <v>17.413793103448278</v>
      </c>
      <c r="C234">
        <v>6</v>
      </c>
    </row>
    <row r="235" spans="1:3" x14ac:dyDescent="0.45">
      <c r="A235">
        <f>SUMIFS(fact_batting_summary!G:G, fact_batting_summary!E:E, fact_batting_summary!E235)</f>
        <v>854</v>
      </c>
      <c r="B235" s="9">
        <f>AVERAGEIFS(fact_batting_summary!G:G, fact_batting_summary!E:E,fact_batting_summary!E235)</f>
        <v>21.35</v>
      </c>
      <c r="C235">
        <v>7</v>
      </c>
    </row>
    <row r="236" spans="1:3" x14ac:dyDescent="0.45">
      <c r="A236">
        <f>SUMIFS(fact_batting_summary!G:G, fact_batting_summary!E:E, fact_batting_summary!E236)</f>
        <v>302</v>
      </c>
      <c r="B236" s="9">
        <f>AVERAGEIFS(fact_batting_summary!G:G, fact_batting_summary!E:E,fact_batting_summary!E236)</f>
        <v>11.185185185185185</v>
      </c>
      <c r="C236">
        <v>8</v>
      </c>
    </row>
    <row r="237" spans="1:3" x14ac:dyDescent="0.45">
      <c r="A237">
        <f>SUMIFS(fact_batting_summary!G:G, fact_batting_summary!E:E, fact_batting_summary!E237)</f>
        <v>956</v>
      </c>
      <c r="B237" s="9">
        <f>AVERAGEIFS(fact_batting_summary!G:G, fact_batting_summary!E:E,fact_batting_summary!E237)</f>
        <v>26.555555555555557</v>
      </c>
      <c r="C237">
        <v>1</v>
      </c>
    </row>
    <row r="238" spans="1:3" x14ac:dyDescent="0.45">
      <c r="A238">
        <f>SUMIFS(fact_batting_summary!G:G, fact_batting_summary!E:E, fact_batting_summary!E238)</f>
        <v>1851</v>
      </c>
      <c r="B238" s="9">
        <f>AVERAGEIFS(fact_batting_summary!G:G, fact_batting_summary!E:E,fact_batting_summary!E238)</f>
        <v>37.020000000000003</v>
      </c>
      <c r="C238">
        <v>2</v>
      </c>
    </row>
    <row r="239" spans="1:3" x14ac:dyDescent="0.45">
      <c r="A239">
        <f>SUMIFS(fact_batting_summary!G:G, fact_batting_summary!E:E, fact_batting_summary!E239)</f>
        <v>1083</v>
      </c>
      <c r="B239" s="9">
        <f>AVERAGEIFS(fact_batting_summary!G:G, fact_batting_summary!E:E,fact_batting_summary!E239)</f>
        <v>25.186046511627907</v>
      </c>
      <c r="C239">
        <v>3</v>
      </c>
    </row>
    <row r="240" spans="1:3" x14ac:dyDescent="0.45">
      <c r="A240">
        <f>SUMIFS(fact_batting_summary!G:G, fact_batting_summary!E:E, fact_batting_summary!E240)</f>
        <v>1157</v>
      </c>
      <c r="B240" s="9">
        <f>AVERAGEIFS(fact_batting_summary!G:G, fact_batting_summary!E:E,fact_batting_summary!E240)</f>
        <v>26.295454545454547</v>
      </c>
      <c r="C240">
        <v>4</v>
      </c>
    </row>
    <row r="241" spans="1:3" x14ac:dyDescent="0.45">
      <c r="A241">
        <f>SUMIFS(fact_batting_summary!G:G, fact_batting_summary!E:E, fact_batting_summary!E241)</f>
        <v>133</v>
      </c>
      <c r="B241" s="9">
        <f>AVERAGEIFS(fact_batting_summary!G:G, fact_batting_summary!E:E,fact_batting_summary!E241)</f>
        <v>8.3125</v>
      </c>
      <c r="C241">
        <v>5</v>
      </c>
    </row>
    <row r="242" spans="1:3" x14ac:dyDescent="0.45">
      <c r="A242">
        <f>SUMIFS(fact_batting_summary!G:G, fact_batting_summary!E:E, fact_batting_summary!E242)</f>
        <v>693</v>
      </c>
      <c r="B242" s="9">
        <f>AVERAGEIFS(fact_batting_summary!G:G, fact_batting_summary!E:E,fact_batting_summary!E242)</f>
        <v>15.75</v>
      </c>
      <c r="C242">
        <v>6</v>
      </c>
    </row>
    <row r="243" spans="1:3" x14ac:dyDescent="0.45">
      <c r="A243">
        <f>SUMIFS(fact_batting_summary!G:G, fact_batting_summary!E:E, fact_batting_summary!E243)</f>
        <v>26</v>
      </c>
      <c r="B243" s="9">
        <f>AVERAGEIFS(fact_batting_summary!G:G, fact_batting_summary!E:E,fact_batting_summary!E243)</f>
        <v>8.6666666666666661</v>
      </c>
      <c r="C243">
        <v>7</v>
      </c>
    </row>
    <row r="244" spans="1:3" x14ac:dyDescent="0.45">
      <c r="A244">
        <f>SUMIFS(fact_batting_summary!G:G, fact_batting_summary!E:E, fact_batting_summary!E244)</f>
        <v>154</v>
      </c>
      <c r="B244" s="9">
        <f>AVERAGEIFS(fact_batting_summary!G:G, fact_batting_summary!E:E,fact_batting_summary!E244)</f>
        <v>5.1333333333333337</v>
      </c>
      <c r="C244">
        <v>8</v>
      </c>
    </row>
    <row r="245" spans="1:3" x14ac:dyDescent="0.45">
      <c r="A245">
        <f>SUMIFS(fact_batting_summary!G:G, fact_batting_summary!E:E, fact_batting_summary!E245)</f>
        <v>1516</v>
      </c>
      <c r="B245" s="9">
        <f>AVERAGEIFS(fact_batting_summary!G:G, fact_batting_summary!E:E,fact_batting_summary!E245)</f>
        <v>40.972972972972975</v>
      </c>
      <c r="C245">
        <v>1</v>
      </c>
    </row>
    <row r="246" spans="1:3" x14ac:dyDescent="0.45">
      <c r="A246">
        <f>SUMIFS(fact_batting_summary!G:G, fact_batting_summary!E:E, fact_batting_summary!E246)</f>
        <v>907</v>
      </c>
      <c r="B246" s="9">
        <f>AVERAGEIFS(fact_batting_summary!G:G, fact_batting_summary!E:E,fact_batting_summary!E246)</f>
        <v>26.676470588235293</v>
      </c>
      <c r="C246">
        <v>2</v>
      </c>
    </row>
    <row r="247" spans="1:3" x14ac:dyDescent="0.45">
      <c r="A247">
        <f>SUMIFS(fact_batting_summary!G:G, fact_batting_summary!E:E, fact_batting_summary!E247)</f>
        <v>729</v>
      </c>
      <c r="B247" s="9">
        <f>AVERAGEIFS(fact_batting_summary!G:G, fact_batting_summary!E:E,fact_batting_summary!E247)</f>
        <v>19.184210526315791</v>
      </c>
      <c r="C247">
        <v>3</v>
      </c>
    </row>
    <row r="248" spans="1:3" x14ac:dyDescent="0.45">
      <c r="A248">
        <f>SUMIFS(fact_batting_summary!G:G, fact_batting_summary!E:E, fact_batting_summary!E248)</f>
        <v>775</v>
      </c>
      <c r="B248" s="9">
        <f>AVERAGEIFS(fact_batting_summary!G:G, fact_batting_summary!E:E,fact_batting_summary!E248)</f>
        <v>25</v>
      </c>
      <c r="C248">
        <v>4</v>
      </c>
    </row>
    <row r="249" spans="1:3" x14ac:dyDescent="0.45">
      <c r="A249">
        <f>SUMIFS(fact_batting_summary!G:G, fact_batting_summary!E:E, fact_batting_summary!E249)</f>
        <v>695</v>
      </c>
      <c r="B249" s="9">
        <f>AVERAGEIFS(fact_batting_summary!G:G, fact_batting_summary!E:E,fact_batting_summary!E249)</f>
        <v>18.783783783783782</v>
      </c>
      <c r="C249">
        <v>5</v>
      </c>
    </row>
    <row r="250" spans="1:3" x14ac:dyDescent="0.45">
      <c r="A250">
        <f>SUMIFS(fact_batting_summary!G:G, fact_batting_summary!E:E, fact_batting_summary!E250)</f>
        <v>426</v>
      </c>
      <c r="B250" s="9">
        <f>AVERAGEIFS(fact_batting_summary!G:G, fact_batting_summary!E:E,fact_batting_summary!E250)</f>
        <v>13.741935483870968</v>
      </c>
      <c r="C250">
        <v>6</v>
      </c>
    </row>
    <row r="251" spans="1:3" x14ac:dyDescent="0.45">
      <c r="A251">
        <f>SUMIFS(fact_batting_summary!G:G, fact_batting_summary!E:E, fact_batting_summary!E251)</f>
        <v>14</v>
      </c>
      <c r="B251" s="9">
        <f>AVERAGEIFS(fact_batting_summary!G:G, fact_batting_summary!E:E,fact_batting_summary!E251)</f>
        <v>3.5</v>
      </c>
      <c r="C251">
        <v>7</v>
      </c>
    </row>
    <row r="252" spans="1:3" x14ac:dyDescent="0.45">
      <c r="A252">
        <f>SUMIFS(fact_batting_summary!G:G, fact_batting_summary!E:E, fact_batting_summary!E252)</f>
        <v>435</v>
      </c>
      <c r="B252" s="9">
        <f>AVERAGEIFS(fact_batting_summary!G:G, fact_batting_summary!E:E,fact_batting_summary!E252)</f>
        <v>33.46153846153846</v>
      </c>
      <c r="C252">
        <v>1</v>
      </c>
    </row>
    <row r="253" spans="1:3" x14ac:dyDescent="0.45">
      <c r="A253">
        <f>SUMIFS(fact_batting_summary!G:G, fact_batting_summary!E:E, fact_batting_summary!E253)</f>
        <v>819</v>
      </c>
      <c r="B253" s="9">
        <f>AVERAGEIFS(fact_batting_summary!G:G, fact_batting_summary!E:E,fact_batting_summary!E253)</f>
        <v>22.135135135135137</v>
      </c>
      <c r="C253">
        <v>2</v>
      </c>
    </row>
    <row r="254" spans="1:3" x14ac:dyDescent="0.45">
      <c r="A254">
        <f>SUMIFS(fact_batting_summary!G:G, fact_batting_summary!E:E, fact_batting_summary!E254)</f>
        <v>416</v>
      </c>
      <c r="B254" s="9">
        <f>AVERAGEIFS(fact_batting_summary!G:G, fact_batting_summary!E:E,fact_batting_summary!E254)</f>
        <v>18.90909090909091</v>
      </c>
      <c r="C254">
        <v>3</v>
      </c>
    </row>
    <row r="255" spans="1:3" x14ac:dyDescent="0.45">
      <c r="A255">
        <f>SUMIFS(fact_batting_summary!G:G, fact_batting_summary!E:E, fact_batting_summary!E255)</f>
        <v>140</v>
      </c>
      <c r="B255" s="9">
        <f>AVERAGEIFS(fact_batting_summary!G:G, fact_batting_summary!E:E,fact_batting_summary!E255)</f>
        <v>15.555555555555555</v>
      </c>
      <c r="C255">
        <v>4</v>
      </c>
    </row>
    <row r="256" spans="1:3" x14ac:dyDescent="0.45">
      <c r="A256">
        <f>SUMIFS(fact_batting_summary!G:G, fact_batting_summary!E:E, fact_batting_summary!E256)</f>
        <v>745</v>
      </c>
      <c r="B256" s="9">
        <f>AVERAGEIFS(fact_batting_summary!G:G, fact_batting_summary!E:E,fact_batting_summary!E256)</f>
        <v>24.032258064516128</v>
      </c>
      <c r="C256">
        <v>5</v>
      </c>
    </row>
    <row r="257" spans="1:3" x14ac:dyDescent="0.45">
      <c r="A257">
        <f>SUMIFS(fact_batting_summary!G:G, fact_batting_summary!E:E, fact_batting_summary!E257)</f>
        <v>284</v>
      </c>
      <c r="B257" s="9">
        <f>AVERAGEIFS(fact_batting_summary!G:G, fact_batting_summary!E:E,fact_batting_summary!E257)</f>
        <v>14.2</v>
      </c>
      <c r="C257">
        <v>6</v>
      </c>
    </row>
    <row r="258" spans="1:3" x14ac:dyDescent="0.45">
      <c r="A258">
        <f>SUMIFS(fact_batting_summary!G:G, fact_batting_summary!E:E, fact_batting_summary!E258)</f>
        <v>155</v>
      </c>
      <c r="B258" s="9">
        <f>AVERAGEIFS(fact_batting_summary!G:G, fact_batting_summary!E:E,fact_batting_summary!E258)</f>
        <v>8.6111111111111107</v>
      </c>
      <c r="C258">
        <v>7</v>
      </c>
    </row>
    <row r="259" spans="1:3" x14ac:dyDescent="0.45">
      <c r="A259">
        <f>SUMIFS(fact_batting_summary!G:G, fact_batting_summary!E:E, fact_batting_summary!E259)</f>
        <v>304</v>
      </c>
      <c r="B259" s="9">
        <f>AVERAGEIFS(fact_batting_summary!G:G, fact_batting_summary!E:E,fact_batting_summary!E259)</f>
        <v>11.692307692307692</v>
      </c>
      <c r="C259">
        <v>8</v>
      </c>
    </row>
    <row r="260" spans="1:3" x14ac:dyDescent="0.45">
      <c r="A260">
        <f>SUMIFS(fact_batting_summary!G:G, fact_batting_summary!E:E, fact_batting_summary!E260)</f>
        <v>100</v>
      </c>
      <c r="B260" s="9">
        <f>AVERAGEIFS(fact_batting_summary!G:G, fact_batting_summary!E:E,fact_batting_summary!E260)</f>
        <v>5.2631578947368425</v>
      </c>
      <c r="C260">
        <v>9</v>
      </c>
    </row>
    <row r="261" spans="1:3" x14ac:dyDescent="0.45">
      <c r="A261">
        <f>SUMIFS(fact_batting_summary!G:G, fact_batting_summary!E:E, fact_batting_summary!E261)</f>
        <v>1593</v>
      </c>
      <c r="B261" s="9">
        <f>AVERAGEIFS(fact_batting_summary!G:G, fact_batting_summary!E:E,fact_batting_summary!E261)</f>
        <v>35.4</v>
      </c>
      <c r="C261">
        <v>1</v>
      </c>
    </row>
    <row r="262" spans="1:3" x14ac:dyDescent="0.45">
      <c r="A262">
        <f>SUMIFS(fact_batting_summary!G:G, fact_batting_summary!E:E, fact_batting_summary!E262)</f>
        <v>1831</v>
      </c>
      <c r="B262" s="9">
        <f>AVERAGEIFS(fact_batting_summary!G:G, fact_batting_summary!E:E,fact_batting_summary!E262)</f>
        <v>39.804347826086953</v>
      </c>
      <c r="C262">
        <v>2</v>
      </c>
    </row>
    <row r="263" spans="1:3" x14ac:dyDescent="0.45">
      <c r="A263">
        <f>SUMIFS(fact_batting_summary!G:G, fact_batting_summary!E:E, fact_batting_summary!E263)</f>
        <v>725</v>
      </c>
      <c r="B263" s="9">
        <f>AVERAGEIFS(fact_batting_summary!G:G, fact_batting_summary!E:E,fact_batting_summary!E263)</f>
        <v>20.714285714285715</v>
      </c>
      <c r="C263">
        <v>3</v>
      </c>
    </row>
    <row r="264" spans="1:3" x14ac:dyDescent="0.45">
      <c r="A264">
        <f>SUMIFS(fact_batting_summary!G:G, fact_batting_summary!E:E, fact_batting_summary!E264)</f>
        <v>160</v>
      </c>
      <c r="B264" s="9">
        <f>AVERAGEIFS(fact_batting_summary!G:G, fact_batting_summary!E:E,fact_batting_summary!E264)</f>
        <v>14.545454545454545</v>
      </c>
      <c r="C264">
        <v>4</v>
      </c>
    </row>
    <row r="265" spans="1:3" x14ac:dyDescent="0.45">
      <c r="A265">
        <f>SUMIFS(fact_batting_summary!G:G, fact_batting_summary!E:E, fact_batting_summary!E265)</f>
        <v>689</v>
      </c>
      <c r="B265" s="9">
        <f>AVERAGEIFS(fact_batting_summary!G:G, fact_batting_summary!E:E,fact_batting_summary!E265)</f>
        <v>19.138888888888889</v>
      </c>
      <c r="C265">
        <v>5</v>
      </c>
    </row>
    <row r="266" spans="1:3" x14ac:dyDescent="0.45">
      <c r="A266">
        <f>SUMIFS(fact_batting_summary!G:G, fact_batting_summary!E:E, fact_batting_summary!E266)</f>
        <v>450</v>
      </c>
      <c r="B266" s="9">
        <f>AVERAGEIFS(fact_batting_summary!G:G, fact_batting_summary!E:E,fact_batting_summary!E266)</f>
        <v>12.5</v>
      </c>
      <c r="C266">
        <v>6</v>
      </c>
    </row>
    <row r="267" spans="1:3" x14ac:dyDescent="0.45">
      <c r="A267">
        <f>SUMIFS(fact_batting_summary!G:G, fact_batting_summary!E:E, fact_batting_summary!E267)</f>
        <v>224</v>
      </c>
      <c r="B267" s="9">
        <f>AVERAGEIFS(fact_batting_summary!G:G, fact_batting_summary!E:E,fact_batting_summary!E267)</f>
        <v>22.4</v>
      </c>
      <c r="C267">
        <v>1</v>
      </c>
    </row>
    <row r="268" spans="1:3" x14ac:dyDescent="0.45">
      <c r="A268">
        <f>SUMIFS(fact_batting_summary!G:G, fact_batting_summary!E:E, fact_batting_summary!E268)</f>
        <v>1132</v>
      </c>
      <c r="B268" s="9">
        <f>AVERAGEIFS(fact_batting_summary!G:G, fact_batting_summary!E:E,fact_batting_summary!E268)</f>
        <v>33.294117647058826</v>
      </c>
      <c r="C268">
        <v>2</v>
      </c>
    </row>
    <row r="269" spans="1:3" x14ac:dyDescent="0.45">
      <c r="A269">
        <f>SUMIFS(fact_batting_summary!G:G, fact_batting_summary!E:E, fact_batting_summary!E269)</f>
        <v>1304</v>
      </c>
      <c r="B269" s="9">
        <f>AVERAGEIFS(fact_batting_summary!G:G, fact_batting_summary!E:E,fact_batting_summary!E269)</f>
        <v>28.977777777777778</v>
      </c>
      <c r="C269">
        <v>3</v>
      </c>
    </row>
    <row r="270" spans="1:3" x14ac:dyDescent="0.45">
      <c r="A270">
        <f>SUMIFS(fact_batting_summary!G:G, fact_batting_summary!E:E, fact_batting_summary!E270)</f>
        <v>315</v>
      </c>
      <c r="B270" s="9">
        <f>AVERAGEIFS(fact_batting_summary!G:G, fact_batting_summary!E:E,fact_batting_summary!E270)</f>
        <v>16.578947368421051</v>
      </c>
      <c r="C270">
        <v>4</v>
      </c>
    </row>
    <row r="271" spans="1:3" x14ac:dyDescent="0.45">
      <c r="A271">
        <f>SUMIFS(fact_batting_summary!G:G, fact_batting_summary!E:E, fact_batting_summary!E271)</f>
        <v>758</v>
      </c>
      <c r="B271" s="9">
        <f>AVERAGEIFS(fact_batting_summary!G:G, fact_batting_summary!E:E,fact_batting_summary!E271)</f>
        <v>27.071428571428573</v>
      </c>
      <c r="C271">
        <v>5</v>
      </c>
    </row>
    <row r="272" spans="1:3" x14ac:dyDescent="0.45">
      <c r="A272">
        <f>SUMIFS(fact_batting_summary!G:G, fact_batting_summary!E:E, fact_batting_summary!E272)</f>
        <v>459</v>
      </c>
      <c r="B272" s="9">
        <f>AVERAGEIFS(fact_batting_summary!G:G, fact_batting_summary!E:E,fact_batting_summary!E272)</f>
        <v>13.909090909090908</v>
      </c>
      <c r="C272">
        <v>6</v>
      </c>
    </row>
    <row r="273" spans="1:3" x14ac:dyDescent="0.45">
      <c r="A273">
        <f>SUMIFS(fact_batting_summary!G:G, fact_batting_summary!E:E, fact_batting_summary!E273)</f>
        <v>354</v>
      </c>
      <c r="B273" s="9">
        <f>AVERAGEIFS(fact_batting_summary!G:G, fact_batting_summary!E:E,fact_batting_summary!E273)</f>
        <v>11.419354838709678</v>
      </c>
      <c r="C273">
        <v>7</v>
      </c>
    </row>
    <row r="274" spans="1:3" x14ac:dyDescent="0.45">
      <c r="A274">
        <f>SUMIFS(fact_batting_summary!G:G, fact_batting_summary!E:E, fact_batting_summary!E274)</f>
        <v>67</v>
      </c>
      <c r="B274" s="9">
        <f>AVERAGEIFS(fact_batting_summary!G:G, fact_batting_summary!E:E,fact_batting_summary!E274)</f>
        <v>9.5714285714285712</v>
      </c>
      <c r="C274">
        <v>8</v>
      </c>
    </row>
    <row r="275" spans="1:3" x14ac:dyDescent="0.45">
      <c r="A275">
        <f>SUMIFS(fact_batting_summary!G:G, fact_batting_summary!E:E, fact_batting_summary!E275)</f>
        <v>20</v>
      </c>
      <c r="B275" s="9">
        <f>AVERAGEIFS(fact_batting_summary!G:G, fact_batting_summary!E:E,fact_batting_summary!E275)</f>
        <v>2.5</v>
      </c>
      <c r="C275">
        <v>9</v>
      </c>
    </row>
    <row r="276" spans="1:3" x14ac:dyDescent="0.45">
      <c r="A276">
        <f>SUMIFS(fact_batting_summary!G:G, fact_batting_summary!E:E, fact_batting_summary!E276)</f>
        <v>9</v>
      </c>
      <c r="B276" s="9">
        <f>AVERAGEIFS(fact_batting_summary!G:G, fact_batting_summary!E:E,fact_batting_summary!E276)</f>
        <v>2.25</v>
      </c>
      <c r="C276">
        <v>10</v>
      </c>
    </row>
    <row r="277" spans="1:3" x14ac:dyDescent="0.45">
      <c r="A277">
        <f>SUMIFS(fact_batting_summary!G:G, fact_batting_summary!E:E, fact_batting_summary!E277)</f>
        <v>1385</v>
      </c>
      <c r="B277" s="9">
        <f>AVERAGEIFS(fact_batting_summary!G:G, fact_batting_summary!E:E,fact_batting_summary!E277)</f>
        <v>30.777777777777779</v>
      </c>
      <c r="C277">
        <v>1</v>
      </c>
    </row>
    <row r="278" spans="1:3" x14ac:dyDescent="0.45">
      <c r="A278">
        <f>SUMIFS(fact_batting_summary!G:G, fact_batting_summary!E:E, fact_batting_summary!E278)</f>
        <v>1048</v>
      </c>
      <c r="B278" s="9">
        <f>AVERAGEIFS(fact_batting_summary!G:G, fact_batting_summary!E:E,fact_batting_summary!E278)</f>
        <v>24.952380952380953</v>
      </c>
      <c r="C278">
        <v>2</v>
      </c>
    </row>
    <row r="279" spans="1:3" x14ac:dyDescent="0.45">
      <c r="A279">
        <f>SUMIFS(fact_batting_summary!G:G, fact_batting_summary!E:E, fact_batting_summary!E279)</f>
        <v>199</v>
      </c>
      <c r="B279" s="9">
        <f>AVERAGEIFS(fact_batting_summary!G:G, fact_batting_summary!E:E,fact_batting_summary!E279)</f>
        <v>22.111111111111111</v>
      </c>
      <c r="C279">
        <v>3</v>
      </c>
    </row>
    <row r="280" spans="1:3" x14ac:dyDescent="0.45">
      <c r="A280">
        <f>SUMIFS(fact_batting_summary!G:G, fact_batting_summary!E:E, fact_batting_summary!E280)</f>
        <v>1214</v>
      </c>
      <c r="B280" s="9">
        <f>AVERAGEIFS(fact_batting_summary!G:G, fact_batting_summary!E:E,fact_batting_summary!E280)</f>
        <v>29.609756097560975</v>
      </c>
      <c r="C280">
        <v>4</v>
      </c>
    </row>
    <row r="281" spans="1:3" x14ac:dyDescent="0.45">
      <c r="A281">
        <f>SUMIFS(fact_batting_summary!G:G, fact_batting_summary!E:E, fact_batting_summary!E281)</f>
        <v>313</v>
      </c>
      <c r="B281" s="9">
        <f>AVERAGEIFS(fact_batting_summary!G:G, fact_batting_summary!E:E,fact_batting_summary!E281)</f>
        <v>22.357142857142858</v>
      </c>
      <c r="C281">
        <v>5</v>
      </c>
    </row>
    <row r="282" spans="1:3" x14ac:dyDescent="0.45">
      <c r="A282">
        <f>SUMIFS(fact_batting_summary!G:G, fact_batting_summary!E:E, fact_batting_summary!E282)</f>
        <v>1516</v>
      </c>
      <c r="B282" s="9">
        <f>AVERAGEIFS(fact_batting_summary!G:G, fact_batting_summary!E:E,fact_batting_summary!E282)</f>
        <v>40.972972972972975</v>
      </c>
      <c r="C282">
        <v>1</v>
      </c>
    </row>
    <row r="283" spans="1:3" x14ac:dyDescent="0.45">
      <c r="A283">
        <f>SUMIFS(fact_batting_summary!G:G, fact_batting_summary!E:E, fact_batting_summary!E283)</f>
        <v>47</v>
      </c>
      <c r="B283" s="9">
        <f>AVERAGEIFS(fact_batting_summary!G:G, fact_batting_summary!E:E,fact_batting_summary!E283)</f>
        <v>6.7142857142857144</v>
      </c>
      <c r="C283">
        <v>2</v>
      </c>
    </row>
    <row r="284" spans="1:3" x14ac:dyDescent="0.45">
      <c r="A284">
        <f>SUMIFS(fact_batting_summary!G:G, fact_batting_summary!E:E, fact_batting_summary!E284)</f>
        <v>193</v>
      </c>
      <c r="B284" s="9">
        <f>AVERAGEIFS(fact_batting_summary!G:G, fact_batting_summary!E:E,fact_batting_summary!E284)</f>
        <v>19.3</v>
      </c>
      <c r="C284">
        <v>3</v>
      </c>
    </row>
    <row r="285" spans="1:3" x14ac:dyDescent="0.45">
      <c r="A285">
        <f>SUMIFS(fact_batting_summary!G:G, fact_batting_summary!E:E, fact_batting_summary!E285)</f>
        <v>775</v>
      </c>
      <c r="B285" s="9">
        <f>AVERAGEIFS(fact_batting_summary!G:G, fact_batting_summary!E:E,fact_batting_summary!E285)</f>
        <v>25</v>
      </c>
      <c r="C285">
        <v>4</v>
      </c>
    </row>
    <row r="286" spans="1:3" x14ac:dyDescent="0.45">
      <c r="A286">
        <f>SUMIFS(fact_batting_summary!G:G, fact_batting_summary!E:E, fact_batting_summary!E286)</f>
        <v>729</v>
      </c>
      <c r="B286" s="9">
        <f>AVERAGEIFS(fact_batting_summary!G:G, fact_batting_summary!E:E,fact_batting_summary!E286)</f>
        <v>19.184210526315791</v>
      </c>
      <c r="C286">
        <v>5</v>
      </c>
    </row>
    <row r="287" spans="1:3" x14ac:dyDescent="0.45">
      <c r="A287">
        <f>SUMIFS(fact_batting_summary!G:G, fact_batting_summary!E:E, fact_batting_summary!E287)</f>
        <v>695</v>
      </c>
      <c r="B287" s="9">
        <f>AVERAGEIFS(fact_batting_summary!G:G, fact_batting_summary!E:E,fact_batting_summary!E287)</f>
        <v>18.783783783783782</v>
      </c>
      <c r="C287">
        <v>6</v>
      </c>
    </row>
    <row r="288" spans="1:3" x14ac:dyDescent="0.45">
      <c r="A288">
        <f>SUMIFS(fact_batting_summary!G:G, fact_batting_summary!E:E, fact_batting_summary!E288)</f>
        <v>138</v>
      </c>
      <c r="B288" s="9">
        <f>AVERAGEIFS(fact_batting_summary!G:G, fact_batting_summary!E:E,fact_batting_summary!E288)</f>
        <v>8.625</v>
      </c>
      <c r="C288">
        <v>7</v>
      </c>
    </row>
    <row r="289" spans="1:3" x14ac:dyDescent="0.45">
      <c r="A289">
        <f>SUMIFS(fact_batting_summary!G:G, fact_batting_summary!E:E, fact_batting_summary!E289)</f>
        <v>19</v>
      </c>
      <c r="B289" s="9">
        <f>AVERAGEIFS(fact_batting_summary!G:G, fact_batting_summary!E:E,fact_batting_summary!E289)</f>
        <v>3.8</v>
      </c>
      <c r="C289">
        <v>8</v>
      </c>
    </row>
    <row r="290" spans="1:3" x14ac:dyDescent="0.45">
      <c r="A290">
        <f>SUMIFS(fact_batting_summary!G:G, fact_batting_summary!E:E, fact_batting_summary!E290)</f>
        <v>981</v>
      </c>
      <c r="B290" s="9">
        <f>AVERAGEIFS(fact_batting_summary!G:G, fact_batting_summary!E:E,fact_batting_summary!E290)</f>
        <v>22.813953488372093</v>
      </c>
      <c r="C290">
        <v>1</v>
      </c>
    </row>
    <row r="291" spans="1:3" x14ac:dyDescent="0.45">
      <c r="A291">
        <f>SUMIFS(fact_batting_summary!G:G, fact_batting_summary!E:E, fact_batting_summary!E291)</f>
        <v>948</v>
      </c>
      <c r="B291" s="9">
        <f>AVERAGEIFS(fact_batting_summary!G:G, fact_batting_summary!E:E,fact_batting_summary!E291)</f>
        <v>31.6</v>
      </c>
      <c r="C291">
        <v>2</v>
      </c>
    </row>
    <row r="292" spans="1:3" x14ac:dyDescent="0.45">
      <c r="A292">
        <f>SUMIFS(fact_batting_summary!G:G, fact_batting_summary!E:E, fact_batting_summary!E292)</f>
        <v>1225</v>
      </c>
      <c r="B292" s="9">
        <f>AVERAGEIFS(fact_batting_summary!G:G, fact_batting_summary!E:E,fact_batting_summary!E292)</f>
        <v>32.236842105263158</v>
      </c>
      <c r="C292">
        <v>3</v>
      </c>
    </row>
    <row r="293" spans="1:3" x14ac:dyDescent="0.45">
      <c r="A293">
        <f>SUMIFS(fact_batting_summary!G:G, fact_batting_summary!E:E, fact_batting_summary!E293)</f>
        <v>115</v>
      </c>
      <c r="B293" s="9">
        <f>AVERAGEIFS(fact_batting_summary!G:G, fact_batting_summary!E:E,fact_batting_summary!E293)</f>
        <v>28.75</v>
      </c>
      <c r="C293">
        <v>4</v>
      </c>
    </row>
    <row r="294" spans="1:3" x14ac:dyDescent="0.45">
      <c r="A294">
        <f>SUMIFS(fact_batting_summary!G:G, fact_batting_summary!E:E, fact_batting_summary!E294)</f>
        <v>960</v>
      </c>
      <c r="B294" s="9">
        <f>AVERAGEIFS(fact_batting_summary!G:G, fact_batting_summary!E:E,fact_batting_summary!E294)</f>
        <v>23.414634146341463</v>
      </c>
      <c r="C294">
        <v>5</v>
      </c>
    </row>
    <row r="295" spans="1:3" x14ac:dyDescent="0.45">
      <c r="A295">
        <f>SUMIFS(fact_batting_summary!G:G, fact_batting_summary!E:E, fact_batting_summary!E295)</f>
        <v>389</v>
      </c>
      <c r="B295" s="9">
        <f>AVERAGEIFS(fact_batting_summary!G:G, fact_batting_summary!E:E,fact_batting_summary!E295)</f>
        <v>16.208333333333332</v>
      </c>
      <c r="C295">
        <v>6</v>
      </c>
    </row>
    <row r="296" spans="1:3" x14ac:dyDescent="0.45">
      <c r="A296">
        <f>SUMIFS(fact_batting_summary!G:G, fact_batting_summary!E:E, fact_batting_summary!E296)</f>
        <v>118</v>
      </c>
      <c r="B296" s="9">
        <f>AVERAGEIFS(fact_batting_summary!G:G, fact_batting_summary!E:E,fact_batting_summary!E296)</f>
        <v>19.666666666666668</v>
      </c>
      <c r="C296">
        <v>1</v>
      </c>
    </row>
    <row r="297" spans="1:3" x14ac:dyDescent="0.45">
      <c r="A297">
        <f>SUMIFS(fact_batting_summary!G:G, fact_batting_summary!E:E, fact_batting_summary!E297)</f>
        <v>1392</v>
      </c>
      <c r="B297" s="9">
        <f>AVERAGEIFS(fact_batting_summary!G:G, fact_batting_summary!E:E,fact_batting_summary!E297)</f>
        <v>34.799999999999997</v>
      </c>
      <c r="C297">
        <v>2</v>
      </c>
    </row>
    <row r="298" spans="1:3" x14ac:dyDescent="0.45">
      <c r="A298">
        <f>SUMIFS(fact_batting_summary!G:G, fact_batting_summary!E:E, fact_batting_summary!E298)</f>
        <v>576</v>
      </c>
      <c r="B298" s="9">
        <f>AVERAGEIFS(fact_batting_summary!G:G, fact_batting_summary!E:E,fact_batting_summary!E298)</f>
        <v>26.181818181818183</v>
      </c>
      <c r="C298">
        <v>3</v>
      </c>
    </row>
    <row r="299" spans="1:3" x14ac:dyDescent="0.45">
      <c r="A299">
        <f>SUMIFS(fact_batting_summary!G:G, fact_batting_summary!E:E, fact_batting_summary!E299)</f>
        <v>722</v>
      </c>
      <c r="B299" s="9">
        <f>AVERAGEIFS(fact_batting_summary!G:G, fact_batting_summary!E:E,fact_batting_summary!E299)</f>
        <v>25.785714285714285</v>
      </c>
      <c r="C299">
        <v>4</v>
      </c>
    </row>
    <row r="300" spans="1:3" x14ac:dyDescent="0.45">
      <c r="A300">
        <f>SUMIFS(fact_batting_summary!G:G, fact_batting_summary!E:E, fact_batting_summary!E300)</f>
        <v>854</v>
      </c>
      <c r="B300" s="9">
        <f>AVERAGEIFS(fact_batting_summary!G:G, fact_batting_summary!E:E,fact_batting_summary!E300)</f>
        <v>21.35</v>
      </c>
      <c r="C300">
        <v>5</v>
      </c>
    </row>
    <row r="301" spans="1:3" x14ac:dyDescent="0.45">
      <c r="A301">
        <f>SUMIFS(fact_batting_summary!G:G, fact_batting_summary!E:E, fact_batting_summary!E301)</f>
        <v>295</v>
      </c>
      <c r="B301" s="9">
        <f>AVERAGEIFS(fact_batting_summary!G:G, fact_batting_summary!E:E,fact_batting_summary!E301)</f>
        <v>15.526315789473685</v>
      </c>
      <c r="C301">
        <v>6</v>
      </c>
    </row>
    <row r="302" spans="1:3" x14ac:dyDescent="0.45">
      <c r="A302">
        <f>SUMIFS(fact_batting_summary!G:G, fact_batting_summary!E:E, fact_batting_summary!E302)</f>
        <v>505</v>
      </c>
      <c r="B302" s="9">
        <f>AVERAGEIFS(fact_batting_summary!G:G, fact_batting_summary!E:E,fact_batting_summary!E302)</f>
        <v>17.413793103448278</v>
      </c>
      <c r="C302">
        <v>7</v>
      </c>
    </row>
    <row r="303" spans="1:3" x14ac:dyDescent="0.45">
      <c r="A303">
        <f>SUMIFS(fact_batting_summary!G:G, fact_batting_summary!E:E, fact_batting_summary!E303)</f>
        <v>302</v>
      </c>
      <c r="B303" s="9">
        <f>AVERAGEIFS(fact_batting_summary!G:G, fact_batting_summary!E:E,fact_batting_summary!E303)</f>
        <v>11.185185185185185</v>
      </c>
      <c r="C303">
        <v>8</v>
      </c>
    </row>
    <row r="304" spans="1:3" x14ac:dyDescent="0.45">
      <c r="A304">
        <f>SUMIFS(fact_batting_summary!G:G, fact_batting_summary!E:E, fact_batting_summary!E304)</f>
        <v>61</v>
      </c>
      <c r="B304" s="9">
        <f>AVERAGEIFS(fact_batting_summary!G:G, fact_batting_summary!E:E,fact_batting_summary!E304)</f>
        <v>4.6923076923076925</v>
      </c>
      <c r="C304">
        <v>9</v>
      </c>
    </row>
    <row r="305" spans="1:3" x14ac:dyDescent="0.45">
      <c r="A305">
        <f>SUMIFS(fact_batting_summary!G:G, fact_batting_summary!E:E, fact_batting_summary!E305)</f>
        <v>27</v>
      </c>
      <c r="B305" s="9">
        <f>AVERAGEIFS(fact_batting_summary!G:G, fact_batting_summary!E:E,fact_batting_summary!E305)</f>
        <v>4.5</v>
      </c>
      <c r="C305">
        <v>10</v>
      </c>
    </row>
    <row r="306" spans="1:3" x14ac:dyDescent="0.45">
      <c r="A306">
        <f>SUMIFS(fact_batting_summary!G:G, fact_batting_summary!E:E, fact_batting_summary!E306)</f>
        <v>1851</v>
      </c>
      <c r="B306" s="9">
        <f>AVERAGEIFS(fact_batting_summary!G:G, fact_batting_summary!E:E,fact_batting_summary!E306)</f>
        <v>37.020000000000003</v>
      </c>
      <c r="C306">
        <v>1</v>
      </c>
    </row>
    <row r="307" spans="1:3" x14ac:dyDescent="0.45">
      <c r="A307">
        <f>SUMIFS(fact_batting_summary!G:G, fact_batting_summary!E:E, fact_batting_summary!E307)</f>
        <v>956</v>
      </c>
      <c r="B307" s="9">
        <f>AVERAGEIFS(fact_batting_summary!G:G, fact_batting_summary!E:E,fact_batting_summary!E307)</f>
        <v>26.555555555555557</v>
      </c>
      <c r="C307">
        <v>2</v>
      </c>
    </row>
    <row r="308" spans="1:3" x14ac:dyDescent="0.45">
      <c r="A308">
        <f>SUMIFS(fact_batting_summary!G:G, fact_batting_summary!E:E, fact_batting_summary!E308)</f>
        <v>1083</v>
      </c>
      <c r="B308" s="9">
        <f>AVERAGEIFS(fact_batting_summary!G:G, fact_batting_summary!E:E,fact_batting_summary!E308)</f>
        <v>25.186046511627907</v>
      </c>
      <c r="C308">
        <v>3</v>
      </c>
    </row>
    <row r="309" spans="1:3" x14ac:dyDescent="0.45">
      <c r="A309">
        <f>SUMIFS(fact_batting_summary!G:G, fact_batting_summary!E:E, fact_batting_summary!E309)</f>
        <v>1157</v>
      </c>
      <c r="B309" s="9">
        <f>AVERAGEIFS(fact_batting_summary!G:G, fact_batting_summary!E:E,fact_batting_summary!E309)</f>
        <v>26.295454545454547</v>
      </c>
      <c r="C309">
        <v>4</v>
      </c>
    </row>
    <row r="310" spans="1:3" x14ac:dyDescent="0.45">
      <c r="A310">
        <f>SUMIFS(fact_batting_summary!G:G, fact_batting_summary!E:E, fact_batting_summary!E310)</f>
        <v>133</v>
      </c>
      <c r="B310" s="9">
        <f>AVERAGEIFS(fact_batting_summary!G:G, fact_batting_summary!E:E,fact_batting_summary!E310)</f>
        <v>8.3125</v>
      </c>
      <c r="C310">
        <v>5</v>
      </c>
    </row>
    <row r="311" spans="1:3" x14ac:dyDescent="0.45">
      <c r="A311">
        <f>SUMIFS(fact_batting_summary!G:G, fact_batting_summary!E:E, fact_batting_summary!E311)</f>
        <v>693</v>
      </c>
      <c r="B311" s="9">
        <f>AVERAGEIFS(fact_batting_summary!G:G, fact_batting_summary!E:E,fact_batting_summary!E311)</f>
        <v>15.75</v>
      </c>
      <c r="C311">
        <v>6</v>
      </c>
    </row>
    <row r="312" spans="1:3" x14ac:dyDescent="0.45">
      <c r="A312">
        <f>SUMIFS(fact_batting_summary!G:G, fact_batting_summary!E:E, fact_batting_summary!E312)</f>
        <v>154</v>
      </c>
      <c r="B312" s="9">
        <f>AVERAGEIFS(fact_batting_summary!G:G, fact_batting_summary!E:E,fact_batting_summary!E312)</f>
        <v>5.1333333333333337</v>
      </c>
      <c r="C312">
        <v>7</v>
      </c>
    </row>
    <row r="313" spans="1:3" x14ac:dyDescent="0.45">
      <c r="A313">
        <f>SUMIFS(fact_batting_summary!G:G, fact_batting_summary!E:E, fact_batting_summary!E313)</f>
        <v>5</v>
      </c>
      <c r="B313" s="9">
        <f>AVERAGEIFS(fact_batting_summary!G:G, fact_batting_summary!E:E,fact_batting_summary!E313)</f>
        <v>0.83333333333333337</v>
      </c>
      <c r="C313">
        <v>8</v>
      </c>
    </row>
    <row r="314" spans="1:3" x14ac:dyDescent="0.45">
      <c r="A314">
        <f>SUMIFS(fact_batting_summary!G:G, fact_batting_summary!E:E, fact_batting_summary!E314)</f>
        <v>23</v>
      </c>
      <c r="B314" s="9">
        <f>AVERAGEIFS(fact_batting_summary!G:G, fact_batting_summary!E:E,fact_batting_summary!E314)</f>
        <v>3.8333333333333335</v>
      </c>
      <c r="C314">
        <v>9</v>
      </c>
    </row>
    <row r="315" spans="1:3" x14ac:dyDescent="0.45">
      <c r="A315">
        <f>SUMIFS(fact_batting_summary!G:G, fact_batting_summary!E:E, fact_batting_summary!E315)</f>
        <v>224</v>
      </c>
      <c r="B315" s="9">
        <f>AVERAGEIFS(fact_batting_summary!G:G, fact_batting_summary!E:E,fact_batting_summary!E315)</f>
        <v>22.4</v>
      </c>
      <c r="C315">
        <v>1</v>
      </c>
    </row>
    <row r="316" spans="1:3" x14ac:dyDescent="0.45">
      <c r="A316">
        <f>SUMIFS(fact_batting_summary!G:G, fact_batting_summary!E:E, fact_batting_summary!E316)</f>
        <v>1132</v>
      </c>
      <c r="B316" s="9">
        <f>AVERAGEIFS(fact_batting_summary!G:G, fact_batting_summary!E:E,fact_batting_summary!E316)</f>
        <v>33.294117647058826</v>
      </c>
      <c r="C316">
        <v>2</v>
      </c>
    </row>
    <row r="317" spans="1:3" x14ac:dyDescent="0.45">
      <c r="A317">
        <f>SUMIFS(fact_batting_summary!G:G, fact_batting_summary!E:E, fact_batting_summary!E317)</f>
        <v>1304</v>
      </c>
      <c r="B317" s="9">
        <f>AVERAGEIFS(fact_batting_summary!G:G, fact_batting_summary!E:E,fact_batting_summary!E317)</f>
        <v>28.977777777777778</v>
      </c>
      <c r="C317">
        <v>3</v>
      </c>
    </row>
    <row r="318" spans="1:3" x14ac:dyDescent="0.45">
      <c r="A318">
        <f>SUMIFS(fact_batting_summary!G:G, fact_batting_summary!E:E, fact_batting_summary!E318)</f>
        <v>758</v>
      </c>
      <c r="B318" s="9">
        <f>AVERAGEIFS(fact_batting_summary!G:G, fact_batting_summary!E:E,fact_batting_summary!E318)</f>
        <v>27.071428571428573</v>
      </c>
      <c r="C318">
        <v>4</v>
      </c>
    </row>
    <row r="319" spans="1:3" x14ac:dyDescent="0.45">
      <c r="A319">
        <f>SUMIFS(fact_batting_summary!G:G, fact_batting_summary!E:E, fact_batting_summary!E319)</f>
        <v>315</v>
      </c>
      <c r="B319" s="9">
        <f>AVERAGEIFS(fact_batting_summary!G:G, fact_batting_summary!E:E,fact_batting_summary!E319)</f>
        <v>16.578947368421051</v>
      </c>
      <c r="C319">
        <v>5</v>
      </c>
    </row>
    <row r="320" spans="1:3" x14ac:dyDescent="0.45">
      <c r="A320">
        <f>SUMIFS(fact_batting_summary!G:G, fact_batting_summary!E:E, fact_batting_summary!E320)</f>
        <v>354</v>
      </c>
      <c r="B320" s="9">
        <f>AVERAGEIFS(fact_batting_summary!G:G, fact_batting_summary!E:E,fact_batting_summary!E320)</f>
        <v>11.419354838709678</v>
      </c>
      <c r="C320">
        <v>6</v>
      </c>
    </row>
    <row r="321" spans="1:3" x14ac:dyDescent="0.45">
      <c r="A321">
        <f>SUMIFS(fact_batting_summary!G:G, fact_batting_summary!E:E, fact_batting_summary!E321)</f>
        <v>459</v>
      </c>
      <c r="B321" s="9">
        <f>AVERAGEIFS(fact_batting_summary!G:G, fact_batting_summary!E:E,fact_batting_summary!E321)</f>
        <v>13.909090909090908</v>
      </c>
      <c r="C321">
        <v>7</v>
      </c>
    </row>
    <row r="322" spans="1:3" x14ac:dyDescent="0.45">
      <c r="A322">
        <f>SUMIFS(fact_batting_summary!G:G, fact_batting_summary!E:E, fact_batting_summary!E322)</f>
        <v>435</v>
      </c>
      <c r="B322" s="9">
        <f>AVERAGEIFS(fact_batting_summary!G:G, fact_batting_summary!E:E,fact_batting_summary!E322)</f>
        <v>33.46153846153846</v>
      </c>
      <c r="C322">
        <v>1</v>
      </c>
    </row>
    <row r="323" spans="1:3" x14ac:dyDescent="0.45">
      <c r="A323">
        <f>SUMIFS(fact_batting_summary!G:G, fact_batting_summary!E:E, fact_batting_summary!E323)</f>
        <v>819</v>
      </c>
      <c r="B323" s="9">
        <f>AVERAGEIFS(fact_batting_summary!G:G, fact_batting_summary!E:E,fact_batting_summary!E323)</f>
        <v>22.135135135135137</v>
      </c>
      <c r="C323">
        <v>2</v>
      </c>
    </row>
    <row r="324" spans="1:3" x14ac:dyDescent="0.45">
      <c r="A324">
        <f>SUMIFS(fact_batting_summary!G:G, fact_batting_summary!E:E, fact_batting_summary!E324)</f>
        <v>416</v>
      </c>
      <c r="B324" s="9">
        <f>AVERAGEIFS(fact_batting_summary!G:G, fact_batting_summary!E:E,fact_batting_summary!E324)</f>
        <v>18.90909090909091</v>
      </c>
      <c r="C324">
        <v>3</v>
      </c>
    </row>
    <row r="325" spans="1:3" x14ac:dyDescent="0.45">
      <c r="A325">
        <f>SUMIFS(fact_batting_summary!G:G, fact_batting_summary!E:E, fact_batting_summary!E325)</f>
        <v>140</v>
      </c>
      <c r="B325" s="9">
        <f>AVERAGEIFS(fact_batting_summary!G:G, fact_batting_summary!E:E,fact_batting_summary!E325)</f>
        <v>15.555555555555555</v>
      </c>
      <c r="C325">
        <v>4</v>
      </c>
    </row>
    <row r="326" spans="1:3" x14ac:dyDescent="0.45">
      <c r="A326">
        <f>SUMIFS(fact_batting_summary!G:G, fact_batting_summary!E:E, fact_batting_summary!E326)</f>
        <v>745</v>
      </c>
      <c r="B326" s="9">
        <f>AVERAGEIFS(fact_batting_summary!G:G, fact_batting_summary!E:E,fact_batting_summary!E326)</f>
        <v>24.032258064516128</v>
      </c>
      <c r="C326">
        <v>5</v>
      </c>
    </row>
    <row r="327" spans="1:3" x14ac:dyDescent="0.45">
      <c r="A327">
        <f>SUMIFS(fact_batting_summary!G:G, fact_batting_summary!E:E, fact_batting_summary!E327)</f>
        <v>1385</v>
      </c>
      <c r="B327" s="9">
        <f>AVERAGEIFS(fact_batting_summary!G:G, fact_batting_summary!E:E,fact_batting_summary!E327)</f>
        <v>30.777777777777779</v>
      </c>
      <c r="C327">
        <v>1</v>
      </c>
    </row>
    <row r="328" spans="1:3" x14ac:dyDescent="0.45">
      <c r="A328">
        <f>SUMIFS(fact_batting_summary!G:G, fact_batting_summary!E:E, fact_batting_summary!E328)</f>
        <v>1048</v>
      </c>
      <c r="B328" s="9">
        <f>AVERAGEIFS(fact_batting_summary!G:G, fact_batting_summary!E:E,fact_batting_summary!E328)</f>
        <v>24.952380952380953</v>
      </c>
      <c r="C328">
        <v>2</v>
      </c>
    </row>
    <row r="329" spans="1:3" x14ac:dyDescent="0.45">
      <c r="A329">
        <f>SUMIFS(fact_batting_summary!G:G, fact_batting_summary!E:E, fact_batting_summary!E329)</f>
        <v>199</v>
      </c>
      <c r="B329" s="9">
        <f>AVERAGEIFS(fact_batting_summary!G:G, fact_batting_summary!E:E,fact_batting_summary!E329)</f>
        <v>22.111111111111111</v>
      </c>
      <c r="C329">
        <v>3</v>
      </c>
    </row>
    <row r="330" spans="1:3" x14ac:dyDescent="0.45">
      <c r="A330">
        <f>SUMIFS(fact_batting_summary!G:G, fact_batting_summary!E:E, fact_batting_summary!E330)</f>
        <v>1214</v>
      </c>
      <c r="B330" s="9">
        <f>AVERAGEIFS(fact_batting_summary!G:G, fact_batting_summary!E:E,fact_batting_summary!E330)</f>
        <v>29.609756097560975</v>
      </c>
      <c r="C330">
        <v>4</v>
      </c>
    </row>
    <row r="331" spans="1:3" x14ac:dyDescent="0.45">
      <c r="A331">
        <f>SUMIFS(fact_batting_summary!G:G, fact_batting_summary!E:E, fact_batting_summary!E331)</f>
        <v>313</v>
      </c>
      <c r="B331" s="9">
        <f>AVERAGEIFS(fact_batting_summary!G:G, fact_batting_summary!E:E,fact_batting_summary!E331)</f>
        <v>22.357142857142858</v>
      </c>
      <c r="C331">
        <v>5</v>
      </c>
    </row>
    <row r="332" spans="1:3" x14ac:dyDescent="0.45">
      <c r="A332">
        <f>SUMIFS(fact_batting_summary!G:G, fact_batting_summary!E:E, fact_batting_summary!E332)</f>
        <v>14</v>
      </c>
      <c r="B332" s="9">
        <f>AVERAGEIFS(fact_batting_summary!G:G, fact_batting_summary!E:E,fact_batting_summary!E332)</f>
        <v>2</v>
      </c>
      <c r="C332">
        <v>6</v>
      </c>
    </row>
    <row r="333" spans="1:3" x14ac:dyDescent="0.45">
      <c r="A333">
        <f>SUMIFS(fact_batting_summary!G:G, fact_batting_summary!E:E, fact_batting_summary!E333)</f>
        <v>320</v>
      </c>
      <c r="B333" s="9">
        <f>AVERAGEIFS(fact_batting_summary!G:G, fact_batting_summary!E:E,fact_batting_summary!E333)</f>
        <v>13.333333333333334</v>
      </c>
      <c r="C333">
        <v>7</v>
      </c>
    </row>
    <row r="334" spans="1:3" x14ac:dyDescent="0.45">
      <c r="A334">
        <f>SUMIFS(fact_batting_summary!G:G, fact_batting_summary!E:E, fact_batting_summary!E334)</f>
        <v>65</v>
      </c>
      <c r="B334" s="9">
        <f>AVERAGEIFS(fact_batting_summary!G:G, fact_batting_summary!E:E,fact_batting_summary!E334)</f>
        <v>9.2857142857142865</v>
      </c>
      <c r="C334">
        <v>8</v>
      </c>
    </row>
    <row r="335" spans="1:3" x14ac:dyDescent="0.45">
      <c r="A335">
        <f>SUMIFS(fact_batting_summary!G:G, fact_batting_summary!E:E, fact_batting_summary!E335)</f>
        <v>981</v>
      </c>
      <c r="B335" s="9">
        <f>AVERAGEIFS(fact_batting_summary!G:G, fact_batting_summary!E:E,fact_batting_summary!E335)</f>
        <v>22.813953488372093</v>
      </c>
      <c r="C335">
        <v>1</v>
      </c>
    </row>
    <row r="336" spans="1:3" x14ac:dyDescent="0.45">
      <c r="A336">
        <f>SUMIFS(fact_batting_summary!G:G, fact_batting_summary!E:E, fact_batting_summary!E336)</f>
        <v>948</v>
      </c>
      <c r="B336" s="9">
        <f>AVERAGEIFS(fact_batting_summary!G:G, fact_batting_summary!E:E,fact_batting_summary!E336)</f>
        <v>31.6</v>
      </c>
      <c r="C336">
        <v>2</v>
      </c>
    </row>
    <row r="337" spans="1:3" x14ac:dyDescent="0.45">
      <c r="A337">
        <f>SUMIFS(fact_batting_summary!G:G, fact_batting_summary!E:E, fact_batting_summary!E337)</f>
        <v>1113</v>
      </c>
      <c r="B337" s="9">
        <f>AVERAGEIFS(fact_batting_summary!G:G, fact_batting_summary!E:E,fact_batting_summary!E337)</f>
        <v>28.53846153846154</v>
      </c>
      <c r="C337">
        <v>3</v>
      </c>
    </row>
    <row r="338" spans="1:3" x14ac:dyDescent="0.45">
      <c r="A338">
        <f>SUMIFS(fact_batting_summary!G:G, fact_batting_summary!E:E, fact_batting_summary!E338)</f>
        <v>1225</v>
      </c>
      <c r="B338" s="9">
        <f>AVERAGEIFS(fact_batting_summary!G:G, fact_batting_summary!E:E,fact_batting_summary!E338)</f>
        <v>32.236842105263158</v>
      </c>
      <c r="C338">
        <v>4</v>
      </c>
    </row>
    <row r="339" spans="1:3" x14ac:dyDescent="0.45">
      <c r="A339">
        <f>SUMIFS(fact_batting_summary!G:G, fact_batting_summary!E:E, fact_batting_summary!E339)</f>
        <v>514</v>
      </c>
      <c r="B339" s="9">
        <f>AVERAGEIFS(fact_batting_summary!G:G, fact_batting_summary!E:E,fact_batting_summary!E339)</f>
        <v>13.526315789473685</v>
      </c>
      <c r="C339">
        <v>5</v>
      </c>
    </row>
    <row r="340" spans="1:3" x14ac:dyDescent="0.45">
      <c r="A340">
        <f>SUMIFS(fact_batting_summary!G:G, fact_batting_summary!E:E, fact_batting_summary!E340)</f>
        <v>389</v>
      </c>
      <c r="B340" s="9">
        <f>AVERAGEIFS(fact_batting_summary!G:G, fact_batting_summary!E:E,fact_batting_summary!E340)</f>
        <v>16.208333333333332</v>
      </c>
      <c r="C340">
        <v>6</v>
      </c>
    </row>
    <row r="341" spans="1:3" x14ac:dyDescent="0.45">
      <c r="A341">
        <f>SUMIFS(fact_batting_summary!G:G, fact_batting_summary!E:E, fact_batting_summary!E341)</f>
        <v>960</v>
      </c>
      <c r="B341" s="9">
        <f>AVERAGEIFS(fact_batting_summary!G:G, fact_batting_summary!E:E,fact_batting_summary!E341)</f>
        <v>23.414634146341463</v>
      </c>
      <c r="C341">
        <v>7</v>
      </c>
    </row>
    <row r="342" spans="1:3" x14ac:dyDescent="0.45">
      <c r="A342">
        <f>SUMIFS(fact_batting_summary!G:G, fact_batting_summary!E:E, fact_batting_summary!E342)</f>
        <v>16</v>
      </c>
      <c r="B342" s="9">
        <f>AVERAGEIFS(fact_batting_summary!G:G, fact_batting_summary!E:E,fact_batting_summary!E342)</f>
        <v>5.333333333333333</v>
      </c>
      <c r="C342">
        <v>8</v>
      </c>
    </row>
    <row r="343" spans="1:3" x14ac:dyDescent="0.45">
      <c r="A343">
        <f>SUMIFS(fact_batting_summary!G:G, fact_batting_summary!E:E, fact_batting_summary!E343)</f>
        <v>91</v>
      </c>
      <c r="B343" s="9">
        <f>AVERAGEIFS(fact_batting_summary!G:G, fact_batting_summary!E:E,fact_batting_summary!E343)</f>
        <v>5.6875</v>
      </c>
      <c r="C343">
        <v>9</v>
      </c>
    </row>
    <row r="344" spans="1:3" x14ac:dyDescent="0.45">
      <c r="A344">
        <f>SUMIFS(fact_batting_summary!G:G, fact_batting_summary!E:E, fact_batting_summary!E344)</f>
        <v>16</v>
      </c>
      <c r="B344" s="9">
        <f>AVERAGEIFS(fact_batting_summary!G:G, fact_batting_summary!E:E,fact_batting_summary!E344)</f>
        <v>1.2307692307692308</v>
      </c>
      <c r="C344">
        <v>10</v>
      </c>
    </row>
    <row r="345" spans="1:3" x14ac:dyDescent="0.45">
      <c r="A345">
        <f>SUMIFS(fact_batting_summary!G:G, fact_batting_summary!E:E, fact_batting_summary!E345)</f>
        <v>57</v>
      </c>
      <c r="B345" s="9">
        <f>AVERAGEIFS(fact_batting_summary!G:G, fact_batting_summary!E:E,fact_batting_summary!E345)</f>
        <v>3.5625</v>
      </c>
      <c r="C345">
        <v>11</v>
      </c>
    </row>
    <row r="346" spans="1:3" x14ac:dyDescent="0.45">
      <c r="A346">
        <f>SUMIFS(fact_batting_summary!G:G, fact_batting_summary!E:E, fact_batting_summary!E346)</f>
        <v>1851</v>
      </c>
      <c r="B346" s="9">
        <f>AVERAGEIFS(fact_batting_summary!G:G, fact_batting_summary!E:E,fact_batting_summary!E346)</f>
        <v>37.020000000000003</v>
      </c>
      <c r="C346">
        <v>1</v>
      </c>
    </row>
    <row r="347" spans="1:3" x14ac:dyDescent="0.45">
      <c r="A347">
        <f>SUMIFS(fact_batting_summary!G:G, fact_batting_summary!E:E, fact_batting_summary!E347)</f>
        <v>956</v>
      </c>
      <c r="B347" s="9">
        <f>AVERAGEIFS(fact_batting_summary!G:G, fact_batting_summary!E:E,fact_batting_summary!E347)</f>
        <v>26.555555555555557</v>
      </c>
      <c r="C347">
        <v>2</v>
      </c>
    </row>
    <row r="348" spans="1:3" x14ac:dyDescent="0.45">
      <c r="A348">
        <f>SUMIFS(fact_batting_summary!G:G, fact_batting_summary!E:E, fact_batting_summary!E348)</f>
        <v>1083</v>
      </c>
      <c r="B348" s="9">
        <f>AVERAGEIFS(fact_batting_summary!G:G, fact_batting_summary!E:E,fact_batting_summary!E348)</f>
        <v>25.186046511627907</v>
      </c>
      <c r="C348">
        <v>3</v>
      </c>
    </row>
    <row r="349" spans="1:3" x14ac:dyDescent="0.45">
      <c r="A349">
        <f>SUMIFS(fact_batting_summary!G:G, fact_batting_summary!E:E, fact_batting_summary!E349)</f>
        <v>133</v>
      </c>
      <c r="B349" s="9">
        <f>AVERAGEIFS(fact_batting_summary!G:G, fact_batting_summary!E:E,fact_batting_summary!E349)</f>
        <v>8.3125</v>
      </c>
      <c r="C349">
        <v>4</v>
      </c>
    </row>
    <row r="350" spans="1:3" x14ac:dyDescent="0.45">
      <c r="A350">
        <f>SUMIFS(fact_batting_summary!G:G, fact_batting_summary!E:E, fact_batting_summary!E350)</f>
        <v>1157</v>
      </c>
      <c r="B350" s="9">
        <f>AVERAGEIFS(fact_batting_summary!G:G, fact_batting_summary!E:E,fact_batting_summary!E350)</f>
        <v>26.295454545454547</v>
      </c>
      <c r="C350">
        <v>5</v>
      </c>
    </row>
    <row r="351" spans="1:3" x14ac:dyDescent="0.45">
      <c r="A351">
        <f>SUMIFS(fact_batting_summary!G:G, fact_batting_summary!E:E, fact_batting_summary!E351)</f>
        <v>745</v>
      </c>
      <c r="B351" s="9">
        <f>AVERAGEIFS(fact_batting_summary!G:G, fact_batting_summary!E:E,fact_batting_summary!E351)</f>
        <v>21.285714285714285</v>
      </c>
      <c r="C351">
        <v>6</v>
      </c>
    </row>
    <row r="352" spans="1:3" x14ac:dyDescent="0.45">
      <c r="A352">
        <f>SUMIFS(fact_batting_summary!G:G, fact_batting_summary!E:E, fact_batting_summary!E352)</f>
        <v>693</v>
      </c>
      <c r="B352" s="9">
        <f>AVERAGEIFS(fact_batting_summary!G:G, fact_batting_summary!E:E,fact_batting_summary!E352)</f>
        <v>15.75</v>
      </c>
      <c r="C352">
        <v>7</v>
      </c>
    </row>
    <row r="353" spans="1:3" x14ac:dyDescent="0.45">
      <c r="A353">
        <f>SUMIFS(fact_batting_summary!G:G, fact_batting_summary!E:E, fact_batting_summary!E353)</f>
        <v>154</v>
      </c>
      <c r="B353" s="9">
        <f>AVERAGEIFS(fact_batting_summary!G:G, fact_batting_summary!E:E,fact_batting_summary!E353)</f>
        <v>5.1333333333333337</v>
      </c>
      <c r="C353">
        <v>8</v>
      </c>
    </row>
    <row r="354" spans="1:3" x14ac:dyDescent="0.45">
      <c r="A354">
        <f>SUMIFS(fact_batting_summary!G:G, fact_batting_summary!E:E, fact_batting_summary!E354)</f>
        <v>1593</v>
      </c>
      <c r="B354" s="9">
        <f>AVERAGEIFS(fact_batting_summary!G:G, fact_batting_summary!E:E,fact_batting_summary!E354)</f>
        <v>35.4</v>
      </c>
      <c r="C354">
        <v>1</v>
      </c>
    </row>
    <row r="355" spans="1:3" x14ac:dyDescent="0.45">
      <c r="A355">
        <f>SUMIFS(fact_batting_summary!G:G, fact_batting_summary!E:E, fact_batting_summary!E355)</f>
        <v>1831</v>
      </c>
      <c r="B355" s="9">
        <f>AVERAGEIFS(fact_batting_summary!G:G, fact_batting_summary!E:E,fact_batting_summary!E355)</f>
        <v>39.804347826086953</v>
      </c>
      <c r="C355">
        <v>2</v>
      </c>
    </row>
    <row r="356" spans="1:3" x14ac:dyDescent="0.45">
      <c r="A356">
        <f>SUMIFS(fact_batting_summary!G:G, fact_batting_summary!E:E, fact_batting_summary!E356)</f>
        <v>725</v>
      </c>
      <c r="B356" s="9">
        <f>AVERAGEIFS(fact_batting_summary!G:G, fact_batting_summary!E:E,fact_batting_summary!E356)</f>
        <v>20.714285714285715</v>
      </c>
      <c r="C356">
        <v>3</v>
      </c>
    </row>
    <row r="357" spans="1:3" x14ac:dyDescent="0.45">
      <c r="A357">
        <f>SUMIFS(fact_batting_summary!G:G, fact_batting_summary!E:E, fact_batting_summary!E357)</f>
        <v>689</v>
      </c>
      <c r="B357" s="9">
        <f>AVERAGEIFS(fact_batting_summary!G:G, fact_batting_summary!E:E,fact_batting_summary!E357)</f>
        <v>19.138888888888889</v>
      </c>
      <c r="C357">
        <v>4</v>
      </c>
    </row>
    <row r="358" spans="1:3" x14ac:dyDescent="0.45">
      <c r="A358">
        <f>SUMIFS(fact_batting_summary!G:G, fact_batting_summary!E:E, fact_batting_summary!E358)</f>
        <v>160</v>
      </c>
      <c r="B358" s="9">
        <f>AVERAGEIFS(fact_batting_summary!G:G, fact_batting_summary!E:E,fact_batting_summary!E358)</f>
        <v>14.545454545454545</v>
      </c>
      <c r="C358">
        <v>5</v>
      </c>
    </row>
    <row r="359" spans="1:3" x14ac:dyDescent="0.45">
      <c r="A359">
        <f>SUMIFS(fact_batting_summary!G:G, fact_batting_summary!E:E, fact_batting_summary!E359)</f>
        <v>450</v>
      </c>
      <c r="B359" s="9">
        <f>AVERAGEIFS(fact_batting_summary!G:G, fact_batting_summary!E:E,fact_batting_summary!E359)</f>
        <v>12.5</v>
      </c>
      <c r="C359">
        <v>6</v>
      </c>
    </row>
    <row r="360" spans="1:3" x14ac:dyDescent="0.45">
      <c r="A360">
        <f>SUMIFS(fact_batting_summary!G:G, fact_batting_summary!E:E, fact_batting_summary!E360)</f>
        <v>533</v>
      </c>
      <c r="B360" s="9">
        <f>AVERAGEIFS(fact_batting_summary!G:G, fact_batting_summary!E:E,fact_batting_summary!E360)</f>
        <v>15.676470588235293</v>
      </c>
      <c r="C360">
        <v>7</v>
      </c>
    </row>
    <row r="361" spans="1:3" x14ac:dyDescent="0.45">
      <c r="A361">
        <f>SUMIFS(fact_batting_summary!G:G, fact_batting_summary!E:E, fact_batting_summary!E361)</f>
        <v>332</v>
      </c>
      <c r="B361" s="9">
        <f>AVERAGEIFS(fact_batting_summary!G:G, fact_batting_summary!E:E,fact_batting_summary!E361)</f>
        <v>19.529411764705884</v>
      </c>
      <c r="C361">
        <v>8</v>
      </c>
    </row>
    <row r="362" spans="1:3" x14ac:dyDescent="0.45">
      <c r="A362">
        <f>SUMIFS(fact_batting_summary!G:G, fact_batting_summary!E:E, fact_batting_summary!E362)</f>
        <v>238</v>
      </c>
      <c r="B362" s="9">
        <f>AVERAGEIFS(fact_batting_summary!G:G, fact_batting_summary!E:E,fact_batting_summary!E362)</f>
        <v>9.9166666666666661</v>
      </c>
      <c r="C362">
        <v>9</v>
      </c>
    </row>
    <row r="363" spans="1:3" x14ac:dyDescent="0.45">
      <c r="A363">
        <f>SUMIFS(fact_batting_summary!G:G, fact_batting_summary!E:E, fact_batting_summary!E363)</f>
        <v>2</v>
      </c>
      <c r="B363" s="9">
        <f>AVERAGEIFS(fact_batting_summary!G:G, fact_batting_summary!E:E,fact_batting_summary!E363)</f>
        <v>0.66666666666666663</v>
      </c>
      <c r="C363">
        <v>10</v>
      </c>
    </row>
    <row r="364" spans="1:3" x14ac:dyDescent="0.45">
      <c r="A364">
        <f>SUMIFS(fact_batting_summary!G:G, fact_batting_summary!E:E, fact_batting_summary!E364)</f>
        <v>1516</v>
      </c>
      <c r="B364" s="9">
        <f>AVERAGEIFS(fact_batting_summary!G:G, fact_batting_summary!E:E,fact_batting_summary!E364)</f>
        <v>40.972972972972975</v>
      </c>
      <c r="C364">
        <v>1</v>
      </c>
    </row>
    <row r="365" spans="1:3" x14ac:dyDescent="0.45">
      <c r="A365">
        <f>SUMIFS(fact_batting_summary!G:G, fact_batting_summary!E:E, fact_batting_summary!E365)</f>
        <v>907</v>
      </c>
      <c r="B365" s="9">
        <f>AVERAGEIFS(fact_batting_summary!G:G, fact_batting_summary!E:E,fact_batting_summary!E365)</f>
        <v>26.676470588235293</v>
      </c>
      <c r="C365">
        <v>2</v>
      </c>
    </row>
    <row r="366" spans="1:3" x14ac:dyDescent="0.45">
      <c r="A366">
        <f>SUMIFS(fact_batting_summary!G:G, fact_batting_summary!E:E, fact_batting_summary!E366)</f>
        <v>193</v>
      </c>
      <c r="B366" s="9">
        <f>AVERAGEIFS(fact_batting_summary!G:G, fact_batting_summary!E:E,fact_batting_summary!E366)</f>
        <v>19.3</v>
      </c>
      <c r="C366">
        <v>3</v>
      </c>
    </row>
    <row r="367" spans="1:3" x14ac:dyDescent="0.45">
      <c r="A367">
        <f>SUMIFS(fact_batting_summary!G:G, fact_batting_summary!E:E, fact_batting_summary!E367)</f>
        <v>775</v>
      </c>
      <c r="B367" s="9">
        <f>AVERAGEIFS(fact_batting_summary!G:G, fact_batting_summary!E:E,fact_batting_summary!E367)</f>
        <v>25</v>
      </c>
      <c r="C367">
        <v>4</v>
      </c>
    </row>
    <row r="368" spans="1:3" x14ac:dyDescent="0.45">
      <c r="A368">
        <f>SUMIFS(fact_batting_summary!G:G, fact_batting_summary!E:E, fact_batting_summary!E368)</f>
        <v>729</v>
      </c>
      <c r="B368" s="9">
        <f>AVERAGEIFS(fact_batting_summary!G:G, fact_batting_summary!E:E,fact_batting_summary!E368)</f>
        <v>19.184210526315791</v>
      </c>
      <c r="C368">
        <v>5</v>
      </c>
    </row>
    <row r="369" spans="1:3" x14ac:dyDescent="0.45">
      <c r="A369">
        <f>SUMIFS(fact_batting_summary!G:G, fact_batting_summary!E:E, fact_batting_summary!E369)</f>
        <v>695</v>
      </c>
      <c r="B369" s="9">
        <f>AVERAGEIFS(fact_batting_summary!G:G, fact_batting_summary!E:E,fact_batting_summary!E369)</f>
        <v>18.783783783783782</v>
      </c>
      <c r="C369">
        <v>6</v>
      </c>
    </row>
    <row r="370" spans="1:3" x14ac:dyDescent="0.45">
      <c r="A370">
        <f>SUMIFS(fact_batting_summary!G:G, fact_batting_summary!E:E, fact_batting_summary!E370)</f>
        <v>138</v>
      </c>
      <c r="B370" s="9">
        <f>AVERAGEIFS(fact_batting_summary!G:G, fact_batting_summary!E:E,fact_batting_summary!E370)</f>
        <v>8.625</v>
      </c>
      <c r="C370">
        <v>7</v>
      </c>
    </row>
    <row r="371" spans="1:3" x14ac:dyDescent="0.45">
      <c r="A371">
        <f>SUMIFS(fact_batting_summary!G:G, fact_batting_summary!E:E, fact_batting_summary!E371)</f>
        <v>19</v>
      </c>
      <c r="B371" s="9">
        <f>AVERAGEIFS(fact_batting_summary!G:G, fact_batting_summary!E:E,fact_batting_summary!E371)</f>
        <v>3.8</v>
      </c>
      <c r="C371">
        <v>8</v>
      </c>
    </row>
    <row r="372" spans="1:3" x14ac:dyDescent="0.45">
      <c r="A372">
        <f>SUMIFS(fact_batting_summary!G:G, fact_batting_summary!E:E, fact_batting_summary!E372)</f>
        <v>18</v>
      </c>
      <c r="B372" s="9">
        <f>AVERAGEIFS(fact_batting_summary!G:G, fact_batting_summary!E:E,fact_batting_summary!E372)</f>
        <v>3</v>
      </c>
      <c r="C372">
        <v>9</v>
      </c>
    </row>
    <row r="373" spans="1:3" x14ac:dyDescent="0.45">
      <c r="A373">
        <f>SUMIFS(fact_batting_summary!G:G, fact_batting_summary!E:E, fact_batting_summary!E373)</f>
        <v>1137</v>
      </c>
      <c r="B373" s="9">
        <f>AVERAGEIFS(fact_batting_summary!G:G, fact_batting_summary!E:E,fact_batting_summary!E373)</f>
        <v>34.454545454545453</v>
      </c>
      <c r="C373">
        <v>1</v>
      </c>
    </row>
    <row r="374" spans="1:3" x14ac:dyDescent="0.45">
      <c r="A374">
        <f>SUMIFS(fact_batting_summary!G:G, fact_batting_summary!E:E, fact_batting_summary!E374)</f>
        <v>819</v>
      </c>
      <c r="B374" s="9">
        <f>AVERAGEIFS(fact_batting_summary!G:G, fact_batting_summary!E:E,fact_batting_summary!E374)</f>
        <v>22.135135135135137</v>
      </c>
      <c r="C374">
        <v>2</v>
      </c>
    </row>
    <row r="375" spans="1:3" x14ac:dyDescent="0.45">
      <c r="A375">
        <f>SUMIFS(fact_batting_summary!G:G, fact_batting_summary!E:E, fact_batting_summary!E375)</f>
        <v>416</v>
      </c>
      <c r="B375" s="9">
        <f>AVERAGEIFS(fact_batting_summary!G:G, fact_batting_summary!E:E,fact_batting_summary!E375)</f>
        <v>18.90909090909091</v>
      </c>
      <c r="C375">
        <v>3</v>
      </c>
    </row>
    <row r="376" spans="1:3" x14ac:dyDescent="0.45">
      <c r="A376">
        <f>SUMIFS(fact_batting_summary!G:G, fact_batting_summary!E:E, fact_batting_summary!E376)</f>
        <v>540</v>
      </c>
      <c r="B376" s="9">
        <f>AVERAGEIFS(fact_batting_summary!G:G, fact_batting_summary!E:E,fact_batting_summary!E376)</f>
        <v>23.478260869565219</v>
      </c>
      <c r="C376">
        <v>4</v>
      </c>
    </row>
    <row r="377" spans="1:3" x14ac:dyDescent="0.45">
      <c r="A377">
        <f>SUMIFS(fact_batting_summary!G:G, fact_batting_summary!E:E, fact_batting_summary!E377)</f>
        <v>58</v>
      </c>
      <c r="B377" s="9">
        <f>AVERAGEIFS(fact_batting_summary!G:G, fact_batting_summary!E:E,fact_batting_summary!E377)</f>
        <v>11.6</v>
      </c>
      <c r="C377">
        <v>5</v>
      </c>
    </row>
    <row r="378" spans="1:3" x14ac:dyDescent="0.45">
      <c r="A378">
        <f>SUMIFS(fact_batting_summary!G:G, fact_batting_summary!E:E, fact_batting_summary!E378)</f>
        <v>284</v>
      </c>
      <c r="B378" s="9">
        <f>AVERAGEIFS(fact_batting_summary!G:G, fact_batting_summary!E:E,fact_batting_summary!E378)</f>
        <v>14.2</v>
      </c>
      <c r="C378">
        <v>6</v>
      </c>
    </row>
    <row r="379" spans="1:3" x14ac:dyDescent="0.45">
      <c r="A379">
        <f>SUMIFS(fact_batting_summary!G:G, fact_batting_summary!E:E, fact_batting_summary!E379)</f>
        <v>155</v>
      </c>
      <c r="B379" s="9">
        <f>AVERAGEIFS(fact_batting_summary!G:G, fact_batting_summary!E:E,fact_batting_summary!E379)</f>
        <v>8.6111111111111107</v>
      </c>
      <c r="C379">
        <v>7</v>
      </c>
    </row>
    <row r="380" spans="1:3" x14ac:dyDescent="0.45">
      <c r="A380">
        <f>SUMIFS(fact_batting_summary!G:G, fact_batting_summary!E:E, fact_batting_summary!E380)</f>
        <v>304</v>
      </c>
      <c r="B380" s="9">
        <f>AVERAGEIFS(fact_batting_summary!G:G, fact_batting_summary!E:E,fact_batting_summary!E380)</f>
        <v>11.692307692307692</v>
      </c>
      <c r="C380">
        <v>8</v>
      </c>
    </row>
    <row r="381" spans="1:3" x14ac:dyDescent="0.45">
      <c r="A381">
        <f>SUMIFS(fact_batting_summary!G:G, fact_batting_summary!E:E, fact_batting_summary!E381)</f>
        <v>100</v>
      </c>
      <c r="B381" s="9">
        <f>AVERAGEIFS(fact_batting_summary!G:G, fact_batting_summary!E:E,fact_batting_summary!E381)</f>
        <v>5.2631578947368425</v>
      </c>
      <c r="C381">
        <v>9</v>
      </c>
    </row>
    <row r="382" spans="1:3" x14ac:dyDescent="0.45">
      <c r="A382">
        <f>SUMIFS(fact_batting_summary!G:G, fact_batting_summary!E:E, fact_batting_summary!E382)</f>
        <v>815</v>
      </c>
      <c r="B382" s="9">
        <f>AVERAGEIFS(fact_batting_summary!G:G, fact_batting_summary!E:E,fact_batting_summary!E382)</f>
        <v>25.46875</v>
      </c>
      <c r="C382">
        <v>1</v>
      </c>
    </row>
    <row r="383" spans="1:3" x14ac:dyDescent="0.45">
      <c r="A383">
        <f>SUMIFS(fact_batting_summary!G:G, fact_batting_summary!E:E, fact_batting_summary!E383)</f>
        <v>1392</v>
      </c>
      <c r="B383" s="9">
        <f>AVERAGEIFS(fact_batting_summary!G:G, fact_batting_summary!E:E,fact_batting_summary!E383)</f>
        <v>34.799999999999997</v>
      </c>
      <c r="C383">
        <v>2</v>
      </c>
    </row>
    <row r="384" spans="1:3" x14ac:dyDescent="0.45">
      <c r="A384">
        <f>SUMIFS(fact_batting_summary!G:G, fact_batting_summary!E:E, fact_batting_summary!E384)</f>
        <v>576</v>
      </c>
      <c r="B384" s="9">
        <f>AVERAGEIFS(fact_batting_summary!G:G, fact_batting_summary!E:E,fact_batting_summary!E384)</f>
        <v>26.181818181818183</v>
      </c>
      <c r="C384">
        <v>3</v>
      </c>
    </row>
    <row r="385" spans="1:3" x14ac:dyDescent="0.45">
      <c r="A385">
        <f>SUMIFS(fact_batting_summary!G:G, fact_batting_summary!E:E, fact_batting_summary!E385)</f>
        <v>722</v>
      </c>
      <c r="B385" s="9">
        <f>AVERAGEIFS(fact_batting_summary!G:G, fact_batting_summary!E:E,fact_batting_summary!E385)</f>
        <v>25.785714285714285</v>
      </c>
      <c r="C385">
        <v>4</v>
      </c>
    </row>
    <row r="386" spans="1:3" x14ac:dyDescent="0.45">
      <c r="A386">
        <f>SUMIFS(fact_batting_summary!G:G, fact_batting_summary!E:E, fact_batting_summary!E386)</f>
        <v>854</v>
      </c>
      <c r="B386" s="9">
        <f>AVERAGEIFS(fact_batting_summary!G:G, fact_batting_summary!E:E,fact_batting_summary!E386)</f>
        <v>21.35</v>
      </c>
      <c r="C386">
        <v>5</v>
      </c>
    </row>
    <row r="387" spans="1:3" x14ac:dyDescent="0.45">
      <c r="A387">
        <f>SUMIFS(fact_batting_summary!G:G, fact_batting_summary!E:E, fact_batting_summary!E387)</f>
        <v>295</v>
      </c>
      <c r="B387" s="9">
        <f>AVERAGEIFS(fact_batting_summary!G:G, fact_batting_summary!E:E,fact_batting_summary!E387)</f>
        <v>15.526315789473685</v>
      </c>
      <c r="C387">
        <v>6</v>
      </c>
    </row>
    <row r="388" spans="1:3" x14ac:dyDescent="0.45">
      <c r="A388">
        <f>SUMIFS(fact_batting_summary!G:G, fact_batting_summary!E:E, fact_batting_summary!E388)</f>
        <v>505</v>
      </c>
      <c r="B388" s="9">
        <f>AVERAGEIFS(fact_batting_summary!G:G, fact_batting_summary!E:E,fact_batting_summary!E388)</f>
        <v>17.413793103448278</v>
      </c>
      <c r="C388">
        <v>7</v>
      </c>
    </row>
    <row r="389" spans="1:3" x14ac:dyDescent="0.45">
      <c r="A389">
        <f>SUMIFS(fact_batting_summary!G:G, fact_batting_summary!E:E, fact_batting_summary!E389)</f>
        <v>302</v>
      </c>
      <c r="B389" s="9">
        <f>AVERAGEIFS(fact_batting_summary!G:G, fact_batting_summary!E:E,fact_batting_summary!E389)</f>
        <v>11.185185185185185</v>
      </c>
      <c r="C389">
        <v>8</v>
      </c>
    </row>
    <row r="390" spans="1:3" x14ac:dyDescent="0.45">
      <c r="A390">
        <f>SUMIFS(fact_batting_summary!G:G, fact_batting_summary!E:E, fact_batting_summary!E390)</f>
        <v>758</v>
      </c>
      <c r="B390" s="9">
        <f>AVERAGEIFS(fact_batting_summary!G:G, fact_batting_summary!E:E,fact_batting_summary!E390)</f>
        <v>27.071428571428573</v>
      </c>
      <c r="C390">
        <v>1</v>
      </c>
    </row>
    <row r="391" spans="1:3" x14ac:dyDescent="0.45">
      <c r="A391">
        <f>SUMIFS(fact_batting_summary!G:G, fact_batting_summary!E:E, fact_batting_summary!E391)</f>
        <v>1132</v>
      </c>
      <c r="B391" s="9">
        <f>AVERAGEIFS(fact_batting_summary!G:G, fact_batting_summary!E:E,fact_batting_summary!E391)</f>
        <v>33.294117647058826</v>
      </c>
      <c r="C391">
        <v>2</v>
      </c>
    </row>
    <row r="392" spans="1:3" x14ac:dyDescent="0.45">
      <c r="A392">
        <f>SUMIFS(fact_batting_summary!G:G, fact_batting_summary!E:E, fact_batting_summary!E392)</f>
        <v>1304</v>
      </c>
      <c r="B392" s="9">
        <f>AVERAGEIFS(fact_batting_summary!G:G, fact_batting_summary!E:E,fact_batting_summary!E392)</f>
        <v>28.977777777777778</v>
      </c>
      <c r="C392">
        <v>3</v>
      </c>
    </row>
    <row r="393" spans="1:3" x14ac:dyDescent="0.45">
      <c r="A393">
        <f>SUMIFS(fact_batting_summary!G:G, fact_batting_summary!E:E, fact_batting_summary!E393)</f>
        <v>864</v>
      </c>
      <c r="B393" s="9">
        <f>AVERAGEIFS(fact_batting_summary!G:G, fact_batting_summary!E:E,fact_batting_summary!E393)</f>
        <v>23.351351351351351</v>
      </c>
      <c r="C393">
        <v>4</v>
      </c>
    </row>
    <row r="394" spans="1:3" x14ac:dyDescent="0.45">
      <c r="A394">
        <f>SUMIFS(fact_batting_summary!G:G, fact_batting_summary!E:E, fact_batting_summary!E394)</f>
        <v>315</v>
      </c>
      <c r="B394" s="9">
        <f>AVERAGEIFS(fact_batting_summary!G:G, fact_batting_summary!E:E,fact_batting_summary!E394)</f>
        <v>16.578947368421051</v>
      </c>
      <c r="C394">
        <v>5</v>
      </c>
    </row>
    <row r="395" spans="1:3" x14ac:dyDescent="0.45">
      <c r="A395">
        <f>SUMIFS(fact_batting_summary!G:G, fact_batting_summary!E:E, fact_batting_summary!E395)</f>
        <v>354</v>
      </c>
      <c r="B395" s="9">
        <f>AVERAGEIFS(fact_batting_summary!G:G, fact_batting_summary!E:E,fact_batting_summary!E395)</f>
        <v>11.419354838709678</v>
      </c>
      <c r="C395">
        <v>6</v>
      </c>
    </row>
    <row r="396" spans="1:3" x14ac:dyDescent="0.45">
      <c r="A396">
        <f>SUMIFS(fact_batting_summary!G:G, fact_batting_summary!E:E, fact_batting_summary!E396)</f>
        <v>459</v>
      </c>
      <c r="B396" s="9">
        <f>AVERAGEIFS(fact_batting_summary!G:G, fact_batting_summary!E:E,fact_batting_summary!E396)</f>
        <v>13.909090909090908</v>
      </c>
      <c r="C396">
        <v>7</v>
      </c>
    </row>
    <row r="397" spans="1:3" x14ac:dyDescent="0.45">
      <c r="A397">
        <f>SUMIFS(fact_batting_summary!G:G, fact_batting_summary!E:E, fact_batting_summary!E397)</f>
        <v>2</v>
      </c>
      <c r="B397" s="9">
        <f>AVERAGEIFS(fact_batting_summary!G:G, fact_batting_summary!E:E,fact_batting_summary!E397)</f>
        <v>2</v>
      </c>
      <c r="C397">
        <v>8</v>
      </c>
    </row>
    <row r="398" spans="1:3" x14ac:dyDescent="0.45">
      <c r="A398">
        <f>SUMIFS(fact_batting_summary!G:G, fact_batting_summary!E:E, fact_batting_summary!E398)</f>
        <v>1385</v>
      </c>
      <c r="B398" s="9">
        <f>AVERAGEIFS(fact_batting_summary!G:G, fact_batting_summary!E:E,fact_batting_summary!E398)</f>
        <v>30.777777777777779</v>
      </c>
      <c r="C398">
        <v>1</v>
      </c>
    </row>
    <row r="399" spans="1:3" x14ac:dyDescent="0.45">
      <c r="A399">
        <f>SUMIFS(fact_batting_summary!G:G, fact_batting_summary!E:E, fact_batting_summary!E399)</f>
        <v>1048</v>
      </c>
      <c r="B399" s="9">
        <f>AVERAGEIFS(fact_batting_summary!G:G, fact_batting_summary!E:E,fact_batting_summary!E399)</f>
        <v>24.952380952380953</v>
      </c>
      <c r="C399">
        <v>2</v>
      </c>
    </row>
    <row r="400" spans="1:3" x14ac:dyDescent="0.45">
      <c r="A400">
        <f>SUMIFS(fact_batting_summary!G:G, fact_batting_summary!E:E, fact_batting_summary!E400)</f>
        <v>313</v>
      </c>
      <c r="B400" s="9">
        <f>AVERAGEIFS(fact_batting_summary!G:G, fact_batting_summary!E:E,fact_batting_summary!E400)</f>
        <v>22.357142857142858</v>
      </c>
      <c r="C400">
        <v>3</v>
      </c>
    </row>
    <row r="401" spans="1:3" x14ac:dyDescent="0.45">
      <c r="A401">
        <f>SUMIFS(fact_batting_summary!G:G, fact_batting_summary!E:E, fact_batting_summary!E401)</f>
        <v>1214</v>
      </c>
      <c r="B401" s="9">
        <f>AVERAGEIFS(fact_batting_summary!G:G, fact_batting_summary!E:E,fact_batting_summary!E401)</f>
        <v>29.609756097560975</v>
      </c>
      <c r="C401">
        <v>4</v>
      </c>
    </row>
    <row r="402" spans="1:3" x14ac:dyDescent="0.45">
      <c r="A402">
        <f>SUMIFS(fact_batting_summary!G:G, fact_batting_summary!E:E, fact_batting_summary!E402)</f>
        <v>418</v>
      </c>
      <c r="B402" s="9">
        <f>AVERAGEIFS(fact_batting_summary!G:G, fact_batting_summary!E:E,fact_batting_summary!E402)</f>
        <v>17.416666666666668</v>
      </c>
      <c r="C402">
        <v>5</v>
      </c>
    </row>
    <row r="403" spans="1:3" x14ac:dyDescent="0.45">
      <c r="A403">
        <f>SUMIFS(fact_batting_summary!G:G, fact_batting_summary!E:E, fact_batting_summary!E403)</f>
        <v>108</v>
      </c>
      <c r="B403" s="9">
        <f>AVERAGEIFS(fact_batting_summary!G:G, fact_batting_summary!E:E,fact_batting_summary!E403)</f>
        <v>6</v>
      </c>
      <c r="C403">
        <v>6</v>
      </c>
    </row>
    <row r="404" spans="1:3" x14ac:dyDescent="0.45">
      <c r="A404">
        <f>SUMIFS(fact_batting_summary!G:G, fact_batting_summary!E:E, fact_batting_summary!E404)</f>
        <v>72</v>
      </c>
      <c r="B404" s="9">
        <f>AVERAGEIFS(fact_batting_summary!G:G, fact_batting_summary!E:E,fact_batting_summary!E404)</f>
        <v>5.1428571428571432</v>
      </c>
      <c r="C404">
        <v>7</v>
      </c>
    </row>
    <row r="405" spans="1:3" x14ac:dyDescent="0.45">
      <c r="A405">
        <f>SUMIFS(fact_batting_summary!G:G, fact_batting_summary!E:E, fact_batting_summary!E405)</f>
        <v>1593</v>
      </c>
      <c r="B405" s="9">
        <f>AVERAGEIFS(fact_batting_summary!G:G, fact_batting_summary!E:E,fact_batting_summary!E405)</f>
        <v>35.4</v>
      </c>
      <c r="C405">
        <v>1</v>
      </c>
    </row>
    <row r="406" spans="1:3" x14ac:dyDescent="0.45">
      <c r="A406">
        <f>SUMIFS(fact_batting_summary!G:G, fact_batting_summary!E:E, fact_batting_summary!E406)</f>
        <v>1831</v>
      </c>
      <c r="B406" s="9">
        <f>AVERAGEIFS(fact_batting_summary!G:G, fact_batting_summary!E:E,fact_batting_summary!E406)</f>
        <v>39.804347826086953</v>
      </c>
      <c r="C406">
        <v>2</v>
      </c>
    </row>
    <row r="407" spans="1:3" x14ac:dyDescent="0.45">
      <c r="A407">
        <f>SUMIFS(fact_batting_summary!G:G, fact_batting_summary!E:E, fact_batting_summary!E407)</f>
        <v>725</v>
      </c>
      <c r="B407" s="9">
        <f>AVERAGEIFS(fact_batting_summary!G:G, fact_batting_summary!E:E,fact_batting_summary!E407)</f>
        <v>20.714285714285715</v>
      </c>
      <c r="C407">
        <v>3</v>
      </c>
    </row>
    <row r="408" spans="1:3" x14ac:dyDescent="0.45">
      <c r="A408">
        <f>SUMIFS(fact_batting_summary!G:G, fact_batting_summary!E:E, fact_batting_summary!E408)</f>
        <v>689</v>
      </c>
      <c r="B408" s="9">
        <f>AVERAGEIFS(fact_batting_summary!G:G, fact_batting_summary!E:E,fact_batting_summary!E408)</f>
        <v>19.138888888888889</v>
      </c>
      <c r="C408">
        <v>4</v>
      </c>
    </row>
    <row r="409" spans="1:3" x14ac:dyDescent="0.45">
      <c r="A409">
        <f>SUMIFS(fact_batting_summary!G:G, fact_batting_summary!E:E, fact_batting_summary!E409)</f>
        <v>160</v>
      </c>
      <c r="B409" s="9">
        <f>AVERAGEIFS(fact_batting_summary!G:G, fact_batting_summary!E:E,fact_batting_summary!E409)</f>
        <v>14.545454545454545</v>
      </c>
      <c r="C409">
        <v>5</v>
      </c>
    </row>
    <row r="410" spans="1:3" x14ac:dyDescent="0.45">
      <c r="A410">
        <f>SUMIFS(fact_batting_summary!G:G, fact_batting_summary!E:E, fact_batting_summary!E410)</f>
        <v>450</v>
      </c>
      <c r="B410" s="9">
        <f>AVERAGEIFS(fact_batting_summary!G:G, fact_batting_summary!E:E,fact_batting_summary!E410)</f>
        <v>12.5</v>
      </c>
      <c r="C410">
        <v>6</v>
      </c>
    </row>
    <row r="411" spans="1:3" x14ac:dyDescent="0.45">
      <c r="A411">
        <f>SUMIFS(fact_batting_summary!G:G, fact_batting_summary!E:E, fact_batting_summary!E411)</f>
        <v>981</v>
      </c>
      <c r="B411" s="9">
        <f>AVERAGEIFS(fact_batting_summary!G:G, fact_batting_summary!E:E,fact_batting_summary!E411)</f>
        <v>22.813953488372093</v>
      </c>
      <c r="C411">
        <v>1</v>
      </c>
    </row>
    <row r="412" spans="1:3" x14ac:dyDescent="0.45">
      <c r="A412">
        <f>SUMIFS(fact_batting_summary!G:G, fact_batting_summary!E:E, fact_batting_summary!E412)</f>
        <v>948</v>
      </c>
      <c r="B412" s="9">
        <f>AVERAGEIFS(fact_batting_summary!G:G, fact_batting_summary!E:E,fact_batting_summary!E412)</f>
        <v>31.6</v>
      </c>
      <c r="C412">
        <v>2</v>
      </c>
    </row>
    <row r="413" spans="1:3" x14ac:dyDescent="0.45">
      <c r="A413">
        <f>SUMIFS(fact_batting_summary!G:G, fact_batting_summary!E:E, fact_batting_summary!E413)</f>
        <v>1225</v>
      </c>
      <c r="B413" s="9">
        <f>AVERAGEIFS(fact_batting_summary!G:G, fact_batting_summary!E:E,fact_batting_summary!E413)</f>
        <v>32.236842105263158</v>
      </c>
      <c r="C413">
        <v>3</v>
      </c>
    </row>
    <row r="414" spans="1:3" x14ac:dyDescent="0.45">
      <c r="A414">
        <f>SUMIFS(fact_batting_summary!G:G, fact_batting_summary!E:E, fact_batting_summary!E414)</f>
        <v>1113</v>
      </c>
      <c r="B414" s="9">
        <f>AVERAGEIFS(fact_batting_summary!G:G, fact_batting_summary!E:E,fact_batting_summary!E414)</f>
        <v>28.53846153846154</v>
      </c>
      <c r="C414">
        <v>4</v>
      </c>
    </row>
    <row r="415" spans="1:3" x14ac:dyDescent="0.45">
      <c r="A415">
        <f>SUMIFS(fact_batting_summary!G:G, fact_batting_summary!E:E, fact_batting_summary!E415)</f>
        <v>389</v>
      </c>
      <c r="B415" s="9">
        <f>AVERAGEIFS(fact_batting_summary!G:G, fact_batting_summary!E:E,fact_batting_summary!E415)</f>
        <v>16.208333333333332</v>
      </c>
      <c r="C415">
        <v>5</v>
      </c>
    </row>
    <row r="416" spans="1:3" x14ac:dyDescent="0.45">
      <c r="A416">
        <f>SUMIFS(fact_batting_summary!G:G, fact_batting_summary!E:E, fact_batting_summary!E416)</f>
        <v>514</v>
      </c>
      <c r="B416" s="9">
        <f>AVERAGEIFS(fact_batting_summary!G:G, fact_batting_summary!E:E,fact_batting_summary!E416)</f>
        <v>13.526315789473685</v>
      </c>
      <c r="C416">
        <v>6</v>
      </c>
    </row>
    <row r="417" spans="1:3" x14ac:dyDescent="0.45">
      <c r="A417">
        <f>SUMIFS(fact_batting_summary!G:G, fact_batting_summary!E:E, fact_batting_summary!E417)</f>
        <v>115</v>
      </c>
      <c r="B417" s="9">
        <f>AVERAGEIFS(fact_batting_summary!G:G, fact_batting_summary!E:E,fact_batting_summary!E417)</f>
        <v>28.75</v>
      </c>
      <c r="C417">
        <v>7</v>
      </c>
    </row>
    <row r="418" spans="1:3" x14ac:dyDescent="0.45">
      <c r="A418">
        <f>SUMIFS(fact_batting_summary!G:G, fact_batting_summary!E:E, fact_batting_summary!E418)</f>
        <v>16</v>
      </c>
      <c r="B418" s="9">
        <f>AVERAGEIFS(fact_batting_summary!G:G, fact_batting_summary!E:E,fact_batting_summary!E418)</f>
        <v>5.333333333333333</v>
      </c>
      <c r="C418">
        <v>8</v>
      </c>
    </row>
    <row r="419" spans="1:3" x14ac:dyDescent="0.45">
      <c r="A419">
        <f>SUMIFS(fact_batting_summary!G:G, fact_batting_summary!E:E, fact_batting_summary!E419)</f>
        <v>1851</v>
      </c>
      <c r="B419" s="9">
        <f>AVERAGEIFS(fact_batting_summary!G:G, fact_batting_summary!E:E,fact_batting_summary!E419)</f>
        <v>37.020000000000003</v>
      </c>
      <c r="C419">
        <v>1</v>
      </c>
    </row>
    <row r="420" spans="1:3" x14ac:dyDescent="0.45">
      <c r="A420">
        <f>SUMIFS(fact_batting_summary!G:G, fact_batting_summary!E:E, fact_batting_summary!E420)</f>
        <v>956</v>
      </c>
      <c r="B420" s="9">
        <f>AVERAGEIFS(fact_batting_summary!G:G, fact_batting_summary!E:E,fact_batting_summary!E420)</f>
        <v>26.555555555555557</v>
      </c>
      <c r="C420">
        <v>2</v>
      </c>
    </row>
    <row r="421" spans="1:3" x14ac:dyDescent="0.45">
      <c r="A421">
        <f>SUMIFS(fact_batting_summary!G:G, fact_batting_summary!E:E, fact_batting_summary!E421)</f>
        <v>1083</v>
      </c>
      <c r="B421" s="9">
        <f>AVERAGEIFS(fact_batting_summary!G:G, fact_batting_summary!E:E,fact_batting_summary!E421)</f>
        <v>25.186046511627907</v>
      </c>
      <c r="C421">
        <v>3</v>
      </c>
    </row>
    <row r="422" spans="1:3" x14ac:dyDescent="0.45">
      <c r="A422">
        <f>SUMIFS(fact_batting_summary!G:G, fact_batting_summary!E:E, fact_batting_summary!E422)</f>
        <v>133</v>
      </c>
      <c r="B422" s="9">
        <f>AVERAGEIFS(fact_batting_summary!G:G, fact_batting_summary!E:E,fact_batting_summary!E422)</f>
        <v>8.3125</v>
      </c>
      <c r="C422">
        <v>4</v>
      </c>
    </row>
    <row r="423" spans="1:3" x14ac:dyDescent="0.45">
      <c r="A423">
        <f>SUMIFS(fact_batting_summary!G:G, fact_batting_summary!E:E, fact_batting_summary!E423)</f>
        <v>1157</v>
      </c>
      <c r="B423" s="9">
        <f>AVERAGEIFS(fact_batting_summary!G:G, fact_batting_summary!E:E,fact_batting_summary!E423)</f>
        <v>26.295454545454547</v>
      </c>
      <c r="C423">
        <v>5</v>
      </c>
    </row>
    <row r="424" spans="1:3" x14ac:dyDescent="0.45">
      <c r="A424">
        <f>SUMIFS(fact_batting_summary!G:G, fact_batting_summary!E:E, fact_batting_summary!E424)</f>
        <v>1137</v>
      </c>
      <c r="B424" s="9">
        <f>AVERAGEIFS(fact_batting_summary!G:G, fact_batting_summary!E:E,fact_batting_summary!E424)</f>
        <v>34.454545454545453</v>
      </c>
      <c r="C424">
        <v>1</v>
      </c>
    </row>
    <row r="425" spans="1:3" x14ac:dyDescent="0.45">
      <c r="A425">
        <f>SUMIFS(fact_batting_summary!G:G, fact_batting_summary!E:E, fact_batting_summary!E425)</f>
        <v>819</v>
      </c>
      <c r="B425" s="9">
        <f>AVERAGEIFS(fact_batting_summary!G:G, fact_batting_summary!E:E,fact_batting_summary!E425)</f>
        <v>22.135135135135137</v>
      </c>
      <c r="C425">
        <v>2</v>
      </c>
    </row>
    <row r="426" spans="1:3" x14ac:dyDescent="0.45">
      <c r="A426">
        <f>SUMIFS(fact_batting_summary!G:G, fact_batting_summary!E:E, fact_batting_summary!E426)</f>
        <v>416</v>
      </c>
      <c r="B426" s="9">
        <f>AVERAGEIFS(fact_batting_summary!G:G, fact_batting_summary!E:E,fact_batting_summary!E426)</f>
        <v>18.90909090909091</v>
      </c>
      <c r="C426">
        <v>3</v>
      </c>
    </row>
    <row r="427" spans="1:3" x14ac:dyDescent="0.45">
      <c r="A427">
        <f>SUMIFS(fact_batting_summary!G:G, fact_batting_summary!E:E, fact_batting_summary!E427)</f>
        <v>540</v>
      </c>
      <c r="B427" s="9">
        <f>AVERAGEIFS(fact_batting_summary!G:G, fact_batting_summary!E:E,fact_batting_summary!E427)</f>
        <v>23.478260869565219</v>
      </c>
      <c r="C427">
        <v>4</v>
      </c>
    </row>
    <row r="428" spans="1:3" x14ac:dyDescent="0.45">
      <c r="A428">
        <f>SUMIFS(fact_batting_summary!G:G, fact_batting_summary!E:E, fact_batting_summary!E428)</f>
        <v>58</v>
      </c>
      <c r="B428" s="9">
        <f>AVERAGEIFS(fact_batting_summary!G:G, fact_batting_summary!E:E,fact_batting_summary!E428)</f>
        <v>11.6</v>
      </c>
      <c r="C428">
        <v>5</v>
      </c>
    </row>
    <row r="429" spans="1:3" x14ac:dyDescent="0.45">
      <c r="A429">
        <f>SUMIFS(fact_batting_summary!G:G, fact_batting_summary!E:E, fact_batting_summary!E429)</f>
        <v>284</v>
      </c>
      <c r="B429" s="9">
        <f>AVERAGEIFS(fact_batting_summary!G:G, fact_batting_summary!E:E,fact_batting_summary!E429)</f>
        <v>14.2</v>
      </c>
      <c r="C429">
        <v>6</v>
      </c>
    </row>
    <row r="430" spans="1:3" x14ac:dyDescent="0.45">
      <c r="A430">
        <f>SUMIFS(fact_batting_summary!G:G, fact_batting_summary!E:E, fact_batting_summary!E430)</f>
        <v>155</v>
      </c>
      <c r="B430" s="9">
        <f>AVERAGEIFS(fact_batting_summary!G:G, fact_batting_summary!E:E,fact_batting_summary!E430)</f>
        <v>8.6111111111111107</v>
      </c>
      <c r="C430">
        <v>7</v>
      </c>
    </row>
    <row r="431" spans="1:3" x14ac:dyDescent="0.45">
      <c r="A431">
        <f>SUMIFS(fact_batting_summary!G:G, fact_batting_summary!E:E, fact_batting_summary!E431)</f>
        <v>304</v>
      </c>
      <c r="B431" s="9">
        <f>AVERAGEIFS(fact_batting_summary!G:G, fact_batting_summary!E:E,fact_batting_summary!E431)</f>
        <v>11.692307692307692</v>
      </c>
      <c r="C431">
        <v>8</v>
      </c>
    </row>
    <row r="432" spans="1:3" x14ac:dyDescent="0.45">
      <c r="A432">
        <f>SUMIFS(fact_batting_summary!G:G, fact_batting_summary!E:E, fact_batting_summary!E432)</f>
        <v>100</v>
      </c>
      <c r="B432" s="9">
        <f>AVERAGEIFS(fact_batting_summary!G:G, fact_batting_summary!E:E,fact_batting_summary!E432)</f>
        <v>5.2631578947368425</v>
      </c>
      <c r="C432">
        <v>9</v>
      </c>
    </row>
    <row r="433" spans="1:3" x14ac:dyDescent="0.45">
      <c r="A433">
        <f>SUMIFS(fact_batting_summary!G:G, fact_batting_summary!E:E, fact_batting_summary!E433)</f>
        <v>10</v>
      </c>
      <c r="B433" s="9">
        <f>AVERAGEIFS(fact_batting_summary!G:G, fact_batting_summary!E:E,fact_batting_summary!E433)</f>
        <v>2.5</v>
      </c>
      <c r="C433">
        <v>10</v>
      </c>
    </row>
    <row r="434" spans="1:3" x14ac:dyDescent="0.45">
      <c r="A434">
        <f>SUMIFS(fact_batting_summary!G:G, fact_batting_summary!E:E, fact_batting_summary!E434)</f>
        <v>815</v>
      </c>
      <c r="B434" s="9">
        <f>AVERAGEIFS(fact_batting_summary!G:G, fact_batting_summary!E:E,fact_batting_summary!E434)</f>
        <v>25.46875</v>
      </c>
      <c r="C434">
        <v>1</v>
      </c>
    </row>
    <row r="435" spans="1:3" x14ac:dyDescent="0.45">
      <c r="A435">
        <f>SUMIFS(fact_batting_summary!G:G, fact_batting_summary!E:E, fact_batting_summary!E435)</f>
        <v>1392</v>
      </c>
      <c r="B435" s="9">
        <f>AVERAGEIFS(fact_batting_summary!G:G, fact_batting_summary!E:E,fact_batting_summary!E435)</f>
        <v>34.799999999999997</v>
      </c>
      <c r="C435">
        <v>2</v>
      </c>
    </row>
    <row r="436" spans="1:3" x14ac:dyDescent="0.45">
      <c r="A436">
        <f>SUMIFS(fact_batting_summary!G:G, fact_batting_summary!E:E, fact_batting_summary!E436)</f>
        <v>576</v>
      </c>
      <c r="B436" s="9">
        <f>AVERAGEIFS(fact_batting_summary!G:G, fact_batting_summary!E:E,fact_batting_summary!E436)</f>
        <v>26.181818181818183</v>
      </c>
      <c r="C436">
        <v>3</v>
      </c>
    </row>
    <row r="437" spans="1:3" x14ac:dyDescent="0.45">
      <c r="A437">
        <f>SUMIFS(fact_batting_summary!G:G, fact_batting_summary!E:E, fact_batting_summary!E437)</f>
        <v>722</v>
      </c>
      <c r="B437" s="9">
        <f>AVERAGEIFS(fact_batting_summary!G:G, fact_batting_summary!E:E,fact_batting_summary!E437)</f>
        <v>25.785714285714285</v>
      </c>
      <c r="C437">
        <v>4</v>
      </c>
    </row>
    <row r="438" spans="1:3" x14ac:dyDescent="0.45">
      <c r="A438">
        <f>SUMIFS(fact_batting_summary!G:G, fact_batting_summary!E:E, fact_batting_summary!E438)</f>
        <v>224</v>
      </c>
      <c r="B438" s="9">
        <f>AVERAGEIFS(fact_batting_summary!G:G, fact_batting_summary!E:E,fact_batting_summary!E438)</f>
        <v>22.4</v>
      </c>
      <c r="C438">
        <v>1</v>
      </c>
    </row>
    <row r="439" spans="1:3" x14ac:dyDescent="0.45">
      <c r="A439">
        <f>SUMIFS(fact_batting_summary!G:G, fact_batting_summary!E:E, fact_batting_summary!E439)</f>
        <v>1132</v>
      </c>
      <c r="B439" s="9">
        <f>AVERAGEIFS(fact_batting_summary!G:G, fact_batting_summary!E:E,fact_batting_summary!E439)</f>
        <v>33.294117647058826</v>
      </c>
      <c r="C439">
        <v>2</v>
      </c>
    </row>
    <row r="440" spans="1:3" x14ac:dyDescent="0.45">
      <c r="A440">
        <f>SUMIFS(fact_batting_summary!G:G, fact_batting_summary!E:E, fact_batting_summary!E440)</f>
        <v>1304</v>
      </c>
      <c r="B440" s="9">
        <f>AVERAGEIFS(fact_batting_summary!G:G, fact_batting_summary!E:E,fact_batting_summary!E440)</f>
        <v>28.977777777777778</v>
      </c>
      <c r="C440">
        <v>3</v>
      </c>
    </row>
    <row r="441" spans="1:3" x14ac:dyDescent="0.45">
      <c r="A441">
        <f>SUMIFS(fact_batting_summary!G:G, fact_batting_summary!E:E, fact_batting_summary!E441)</f>
        <v>758</v>
      </c>
      <c r="B441" s="9">
        <f>AVERAGEIFS(fact_batting_summary!G:G, fact_batting_summary!E:E,fact_batting_summary!E441)</f>
        <v>27.071428571428573</v>
      </c>
      <c r="C441">
        <v>4</v>
      </c>
    </row>
    <row r="442" spans="1:3" x14ac:dyDescent="0.45">
      <c r="A442">
        <f>SUMIFS(fact_batting_summary!G:G, fact_batting_summary!E:E, fact_batting_summary!E442)</f>
        <v>315</v>
      </c>
      <c r="B442" s="9">
        <f>AVERAGEIFS(fact_batting_summary!G:G, fact_batting_summary!E:E,fact_batting_summary!E442)</f>
        <v>16.578947368421051</v>
      </c>
      <c r="C442">
        <v>5</v>
      </c>
    </row>
    <row r="443" spans="1:3" x14ac:dyDescent="0.45">
      <c r="A443">
        <f>SUMIFS(fact_batting_summary!G:G, fact_batting_summary!E:E, fact_batting_summary!E443)</f>
        <v>354</v>
      </c>
      <c r="B443" s="9">
        <f>AVERAGEIFS(fact_batting_summary!G:G, fact_batting_summary!E:E,fact_batting_summary!E443)</f>
        <v>11.419354838709678</v>
      </c>
      <c r="C443">
        <v>6</v>
      </c>
    </row>
    <row r="444" spans="1:3" x14ac:dyDescent="0.45">
      <c r="A444">
        <f>SUMIFS(fact_batting_summary!G:G, fact_batting_summary!E:E, fact_batting_summary!E444)</f>
        <v>459</v>
      </c>
      <c r="B444" s="9">
        <f>AVERAGEIFS(fact_batting_summary!G:G, fact_batting_summary!E:E,fact_batting_summary!E444)</f>
        <v>13.909090909090908</v>
      </c>
      <c r="C444">
        <v>7</v>
      </c>
    </row>
    <row r="445" spans="1:3" x14ac:dyDescent="0.45">
      <c r="A445">
        <f>SUMIFS(fact_batting_summary!G:G, fact_batting_summary!E:E, fact_batting_summary!E445)</f>
        <v>67</v>
      </c>
      <c r="B445" s="9">
        <f>AVERAGEIFS(fact_batting_summary!G:G, fact_batting_summary!E:E,fact_batting_summary!E445)</f>
        <v>9.5714285714285712</v>
      </c>
      <c r="C445">
        <v>8</v>
      </c>
    </row>
    <row r="446" spans="1:3" x14ac:dyDescent="0.45">
      <c r="A446">
        <f>SUMIFS(fact_batting_summary!G:G, fact_batting_summary!E:E, fact_batting_summary!E446)</f>
        <v>20</v>
      </c>
      <c r="B446" s="9">
        <f>AVERAGEIFS(fact_batting_summary!G:G, fact_batting_summary!E:E,fact_batting_summary!E446)</f>
        <v>2.5</v>
      </c>
      <c r="C446">
        <v>9</v>
      </c>
    </row>
    <row r="447" spans="1:3" x14ac:dyDescent="0.45">
      <c r="A447">
        <f>SUMIFS(fact_batting_summary!G:G, fact_batting_summary!E:E, fact_batting_summary!E447)</f>
        <v>9</v>
      </c>
      <c r="B447" s="9">
        <f>AVERAGEIFS(fact_batting_summary!G:G, fact_batting_summary!E:E,fact_batting_summary!E447)</f>
        <v>2.25</v>
      </c>
      <c r="C447">
        <v>10</v>
      </c>
    </row>
    <row r="448" spans="1:3" x14ac:dyDescent="0.45">
      <c r="A448">
        <f>SUMIFS(fact_batting_summary!G:G, fact_batting_summary!E:E, fact_batting_summary!E448)</f>
        <v>12</v>
      </c>
      <c r="B448" s="9">
        <f>AVERAGEIFS(fact_batting_summary!G:G, fact_batting_summary!E:E,fact_batting_summary!E448)</f>
        <v>1.7142857142857142</v>
      </c>
      <c r="C448">
        <v>11</v>
      </c>
    </row>
    <row r="449" spans="1:3" x14ac:dyDescent="0.45">
      <c r="A449">
        <f>SUMIFS(fact_batting_summary!G:G, fact_batting_summary!E:E, fact_batting_summary!E449)</f>
        <v>1516</v>
      </c>
      <c r="B449" s="9">
        <f>AVERAGEIFS(fact_batting_summary!G:G, fact_batting_summary!E:E,fact_batting_summary!E449)</f>
        <v>40.972972972972975</v>
      </c>
      <c r="C449">
        <v>1</v>
      </c>
    </row>
    <row r="450" spans="1:3" x14ac:dyDescent="0.45">
      <c r="A450">
        <f>SUMIFS(fact_batting_summary!G:G, fact_batting_summary!E:E, fact_batting_summary!E450)</f>
        <v>907</v>
      </c>
      <c r="B450" s="9">
        <f>AVERAGEIFS(fact_batting_summary!G:G, fact_batting_summary!E:E,fact_batting_summary!E450)</f>
        <v>26.676470588235293</v>
      </c>
      <c r="C450">
        <v>2</v>
      </c>
    </row>
    <row r="451" spans="1:3" x14ac:dyDescent="0.45">
      <c r="A451">
        <f>SUMIFS(fact_batting_summary!G:G, fact_batting_summary!E:E, fact_batting_summary!E451)</f>
        <v>775</v>
      </c>
      <c r="B451" s="9">
        <f>AVERAGEIFS(fact_batting_summary!G:G, fact_batting_summary!E:E,fact_batting_summary!E451)</f>
        <v>25</v>
      </c>
      <c r="C451">
        <v>3</v>
      </c>
    </row>
    <row r="452" spans="1:3" x14ac:dyDescent="0.45">
      <c r="A452">
        <f>SUMIFS(fact_batting_summary!G:G, fact_batting_summary!E:E, fact_batting_summary!E452)</f>
        <v>729</v>
      </c>
      <c r="B452" s="9">
        <f>AVERAGEIFS(fact_batting_summary!G:G, fact_batting_summary!E:E,fact_batting_summary!E452)</f>
        <v>19.184210526315791</v>
      </c>
      <c r="C452">
        <v>4</v>
      </c>
    </row>
    <row r="453" spans="1:3" x14ac:dyDescent="0.45">
      <c r="A453">
        <f>SUMIFS(fact_batting_summary!G:G, fact_batting_summary!E:E, fact_batting_summary!E453)</f>
        <v>695</v>
      </c>
      <c r="B453" s="9">
        <f>AVERAGEIFS(fact_batting_summary!G:G, fact_batting_summary!E:E,fact_batting_summary!E453)</f>
        <v>18.783783783783782</v>
      </c>
      <c r="C453">
        <v>5</v>
      </c>
    </row>
    <row r="454" spans="1:3" x14ac:dyDescent="0.45">
      <c r="A454">
        <f>SUMIFS(fact_batting_summary!G:G, fact_batting_summary!E:E, fact_batting_summary!E454)</f>
        <v>14</v>
      </c>
      <c r="B454" s="9">
        <f>AVERAGEIFS(fact_batting_summary!G:G, fact_batting_summary!E:E,fact_batting_summary!E454)</f>
        <v>3.5</v>
      </c>
      <c r="C454">
        <v>6</v>
      </c>
    </row>
    <row r="455" spans="1:3" x14ac:dyDescent="0.45">
      <c r="A455">
        <f>SUMIFS(fact_batting_summary!G:G, fact_batting_summary!E:E, fact_batting_summary!E455)</f>
        <v>1385</v>
      </c>
      <c r="B455" s="9">
        <f>AVERAGEIFS(fact_batting_summary!G:G, fact_batting_summary!E:E,fact_batting_summary!E455)</f>
        <v>30.777777777777779</v>
      </c>
      <c r="C455">
        <v>1</v>
      </c>
    </row>
    <row r="456" spans="1:3" x14ac:dyDescent="0.45">
      <c r="A456">
        <f>SUMIFS(fact_batting_summary!G:G, fact_batting_summary!E:E, fact_batting_summary!E456)</f>
        <v>1048</v>
      </c>
      <c r="B456" s="9">
        <f>AVERAGEIFS(fact_batting_summary!G:G, fact_batting_summary!E:E,fact_batting_summary!E456)</f>
        <v>24.952380952380953</v>
      </c>
      <c r="C456">
        <v>2</v>
      </c>
    </row>
    <row r="457" spans="1:3" x14ac:dyDescent="0.45">
      <c r="A457">
        <f>SUMIFS(fact_batting_summary!G:G, fact_batting_summary!E:E, fact_batting_summary!E457)</f>
        <v>199</v>
      </c>
      <c r="B457" s="9">
        <f>AVERAGEIFS(fact_batting_summary!G:G, fact_batting_summary!E:E,fact_batting_summary!E457)</f>
        <v>22.111111111111111</v>
      </c>
      <c r="C457">
        <v>3</v>
      </c>
    </row>
    <row r="458" spans="1:3" x14ac:dyDescent="0.45">
      <c r="A458">
        <f>SUMIFS(fact_batting_summary!G:G, fact_batting_summary!E:E, fact_batting_summary!E458)</f>
        <v>1214</v>
      </c>
      <c r="B458" s="9">
        <f>AVERAGEIFS(fact_batting_summary!G:G, fact_batting_summary!E:E,fact_batting_summary!E458)</f>
        <v>29.609756097560975</v>
      </c>
      <c r="C458">
        <v>4</v>
      </c>
    </row>
    <row r="459" spans="1:3" x14ac:dyDescent="0.45">
      <c r="A459">
        <f>SUMIFS(fact_batting_summary!G:G, fact_batting_summary!E:E, fact_batting_summary!E459)</f>
        <v>313</v>
      </c>
      <c r="B459" s="9">
        <f>AVERAGEIFS(fact_batting_summary!G:G, fact_batting_summary!E:E,fact_batting_summary!E459)</f>
        <v>22.357142857142858</v>
      </c>
      <c r="C459">
        <v>5</v>
      </c>
    </row>
    <row r="460" spans="1:3" x14ac:dyDescent="0.45">
      <c r="A460">
        <f>SUMIFS(fact_batting_summary!G:G, fact_batting_summary!E:E, fact_batting_summary!E460)</f>
        <v>7</v>
      </c>
      <c r="B460" s="9">
        <f>AVERAGEIFS(fact_batting_summary!G:G, fact_batting_summary!E:E,fact_batting_summary!E460)</f>
        <v>7</v>
      </c>
      <c r="C460">
        <v>6</v>
      </c>
    </row>
    <row r="461" spans="1:3" x14ac:dyDescent="0.45">
      <c r="A461">
        <f>SUMIFS(fact_batting_summary!G:G, fact_batting_summary!E:E, fact_batting_summary!E461)</f>
        <v>72</v>
      </c>
      <c r="B461" s="9">
        <f>AVERAGEIFS(fact_batting_summary!G:G, fact_batting_summary!E:E,fact_batting_summary!E461)</f>
        <v>5.1428571428571432</v>
      </c>
      <c r="C461">
        <v>7</v>
      </c>
    </row>
    <row r="462" spans="1:3" x14ac:dyDescent="0.45">
      <c r="A462">
        <f>SUMIFS(fact_batting_summary!G:G, fact_batting_summary!E:E, fact_batting_summary!E462)</f>
        <v>65</v>
      </c>
      <c r="B462" s="9">
        <f>AVERAGEIFS(fact_batting_summary!G:G, fact_batting_summary!E:E,fact_batting_summary!E462)</f>
        <v>9.2857142857142865</v>
      </c>
      <c r="C462">
        <v>8</v>
      </c>
    </row>
    <row r="463" spans="1:3" x14ac:dyDescent="0.45">
      <c r="A463">
        <f>SUMIFS(fact_batting_summary!G:G, fact_batting_summary!E:E, fact_batting_summary!E463)</f>
        <v>108</v>
      </c>
      <c r="B463" s="9">
        <f>AVERAGEIFS(fact_batting_summary!G:G, fact_batting_summary!E:E,fact_batting_summary!E463)</f>
        <v>6</v>
      </c>
      <c r="C463">
        <v>9</v>
      </c>
    </row>
    <row r="464" spans="1:3" x14ac:dyDescent="0.45">
      <c r="A464">
        <f>SUMIFS(fact_batting_summary!G:G, fact_batting_summary!E:E, fact_batting_summary!E464)</f>
        <v>51</v>
      </c>
      <c r="B464" s="9">
        <f>AVERAGEIFS(fact_batting_summary!G:G, fact_batting_summary!E:E,fact_batting_summary!E464)</f>
        <v>4.6363636363636367</v>
      </c>
      <c r="C464">
        <v>10</v>
      </c>
    </row>
    <row r="465" spans="1:3" x14ac:dyDescent="0.45">
      <c r="A465">
        <f>SUMIFS(fact_batting_summary!G:G, fact_batting_summary!E:E, fact_batting_summary!E465)</f>
        <v>15</v>
      </c>
      <c r="B465" s="9">
        <f>AVERAGEIFS(fact_batting_summary!G:G, fact_batting_summary!E:E,fact_batting_summary!E465)</f>
        <v>3.75</v>
      </c>
      <c r="C465">
        <v>11</v>
      </c>
    </row>
    <row r="466" spans="1:3" x14ac:dyDescent="0.45">
      <c r="A466">
        <f>SUMIFS(fact_batting_summary!G:G, fact_batting_summary!E:E, fact_batting_summary!E466)</f>
        <v>1851</v>
      </c>
      <c r="B466" s="9">
        <f>AVERAGEIFS(fact_batting_summary!G:G, fact_batting_summary!E:E,fact_batting_summary!E466)</f>
        <v>37.020000000000003</v>
      </c>
      <c r="C466">
        <v>1</v>
      </c>
    </row>
    <row r="467" spans="1:3" x14ac:dyDescent="0.45">
      <c r="A467">
        <f>SUMIFS(fact_batting_summary!G:G, fact_batting_summary!E:E, fact_batting_summary!E467)</f>
        <v>956</v>
      </c>
      <c r="B467" s="9">
        <f>AVERAGEIFS(fact_batting_summary!G:G, fact_batting_summary!E:E,fact_batting_summary!E467)</f>
        <v>26.555555555555557</v>
      </c>
      <c r="C467">
        <v>2</v>
      </c>
    </row>
    <row r="468" spans="1:3" x14ac:dyDescent="0.45">
      <c r="A468">
        <f>SUMIFS(fact_batting_summary!G:G, fact_batting_summary!E:E, fact_batting_summary!E468)</f>
        <v>745</v>
      </c>
      <c r="B468" s="9">
        <f>AVERAGEIFS(fact_batting_summary!G:G, fact_batting_summary!E:E,fact_batting_summary!E468)</f>
        <v>21.285714285714285</v>
      </c>
      <c r="C468">
        <v>3</v>
      </c>
    </row>
    <row r="469" spans="1:3" x14ac:dyDescent="0.45">
      <c r="A469">
        <f>SUMIFS(fact_batting_summary!G:G, fact_batting_summary!E:E, fact_batting_summary!E469)</f>
        <v>1593</v>
      </c>
      <c r="B469" s="9">
        <f>AVERAGEIFS(fact_batting_summary!G:G, fact_batting_summary!E:E,fact_batting_summary!E469)</f>
        <v>35.4</v>
      </c>
      <c r="C469">
        <v>1</v>
      </c>
    </row>
    <row r="470" spans="1:3" x14ac:dyDescent="0.45">
      <c r="A470">
        <f>SUMIFS(fact_batting_summary!G:G, fact_batting_summary!E:E, fact_batting_summary!E470)</f>
        <v>1831</v>
      </c>
      <c r="B470" s="9">
        <f>AVERAGEIFS(fact_batting_summary!G:G, fact_batting_summary!E:E,fact_batting_summary!E470)</f>
        <v>39.804347826086953</v>
      </c>
      <c r="C470">
        <v>2</v>
      </c>
    </row>
    <row r="471" spans="1:3" x14ac:dyDescent="0.45">
      <c r="A471">
        <f>SUMIFS(fact_batting_summary!G:G, fact_batting_summary!E:E, fact_batting_summary!E471)</f>
        <v>725</v>
      </c>
      <c r="B471" s="9">
        <f>AVERAGEIFS(fact_batting_summary!G:G, fact_batting_summary!E:E,fact_batting_summary!E471)</f>
        <v>20.714285714285715</v>
      </c>
      <c r="C471">
        <v>3</v>
      </c>
    </row>
    <row r="472" spans="1:3" x14ac:dyDescent="0.45">
      <c r="A472">
        <f>SUMIFS(fact_batting_summary!G:G, fact_batting_summary!E:E, fact_batting_summary!E472)</f>
        <v>689</v>
      </c>
      <c r="B472" s="9">
        <f>AVERAGEIFS(fact_batting_summary!G:G, fact_batting_summary!E:E,fact_batting_summary!E472)</f>
        <v>19.138888888888889</v>
      </c>
      <c r="C472">
        <v>4</v>
      </c>
    </row>
    <row r="473" spans="1:3" x14ac:dyDescent="0.45">
      <c r="A473">
        <f>SUMIFS(fact_batting_summary!G:G, fact_batting_summary!E:E, fact_batting_summary!E473)</f>
        <v>160</v>
      </c>
      <c r="B473" s="9">
        <f>AVERAGEIFS(fact_batting_summary!G:G, fact_batting_summary!E:E,fact_batting_summary!E473)</f>
        <v>14.545454545454545</v>
      </c>
      <c r="C473">
        <v>5</v>
      </c>
    </row>
    <row r="474" spans="1:3" x14ac:dyDescent="0.45">
      <c r="A474">
        <f>SUMIFS(fact_batting_summary!G:G, fact_batting_summary!E:E, fact_batting_summary!E474)</f>
        <v>450</v>
      </c>
      <c r="B474" s="9">
        <f>AVERAGEIFS(fact_batting_summary!G:G, fact_batting_summary!E:E,fact_batting_summary!E474)</f>
        <v>12.5</v>
      </c>
      <c r="C474">
        <v>6</v>
      </c>
    </row>
    <row r="475" spans="1:3" x14ac:dyDescent="0.45">
      <c r="A475">
        <f>SUMIFS(fact_batting_summary!G:G, fact_batting_summary!E:E, fact_batting_summary!E475)</f>
        <v>533</v>
      </c>
      <c r="B475" s="9">
        <f>AVERAGEIFS(fact_batting_summary!G:G, fact_batting_summary!E:E,fact_batting_summary!E475)</f>
        <v>15.676470588235293</v>
      </c>
      <c r="C475">
        <v>7</v>
      </c>
    </row>
    <row r="476" spans="1:3" x14ac:dyDescent="0.45">
      <c r="A476">
        <f>SUMIFS(fact_batting_summary!G:G, fact_batting_summary!E:E, fact_batting_summary!E476)</f>
        <v>70</v>
      </c>
      <c r="B476" s="9">
        <f>AVERAGEIFS(fact_batting_summary!G:G, fact_batting_summary!E:E,fact_batting_summary!E476)</f>
        <v>7.7777777777777777</v>
      </c>
      <c r="C476">
        <v>8</v>
      </c>
    </row>
    <row r="477" spans="1:3" x14ac:dyDescent="0.45">
      <c r="A477">
        <f>SUMIFS(fact_batting_summary!G:G, fact_batting_summary!E:E, fact_batting_summary!E477)</f>
        <v>238</v>
      </c>
      <c r="B477" s="9">
        <f>AVERAGEIFS(fact_batting_summary!G:G, fact_batting_summary!E:E,fact_batting_summary!E477)</f>
        <v>9.9166666666666661</v>
      </c>
      <c r="C477">
        <v>9</v>
      </c>
    </row>
    <row r="478" spans="1:3" x14ac:dyDescent="0.45">
      <c r="A478">
        <f>SUMIFS(fact_batting_summary!G:G, fact_batting_summary!E:E, fact_batting_summary!E478)</f>
        <v>948</v>
      </c>
      <c r="B478" s="9">
        <f>AVERAGEIFS(fact_batting_summary!G:G, fact_batting_summary!E:E,fact_batting_summary!E478)</f>
        <v>31.6</v>
      </c>
      <c r="C478">
        <v>1</v>
      </c>
    </row>
    <row r="479" spans="1:3" x14ac:dyDescent="0.45">
      <c r="A479">
        <f>SUMIFS(fact_batting_summary!G:G, fact_batting_summary!E:E, fact_batting_summary!E479)</f>
        <v>134</v>
      </c>
      <c r="B479" s="9">
        <f>AVERAGEIFS(fact_batting_summary!G:G, fact_batting_summary!E:E,fact_batting_summary!E479)</f>
        <v>19.142857142857142</v>
      </c>
      <c r="C479">
        <v>2</v>
      </c>
    </row>
    <row r="480" spans="1:3" x14ac:dyDescent="0.45">
      <c r="A480">
        <f>SUMIFS(fact_batting_summary!G:G, fact_batting_summary!E:E, fact_batting_summary!E480)</f>
        <v>1225</v>
      </c>
      <c r="B480" s="9">
        <f>AVERAGEIFS(fact_batting_summary!G:G, fact_batting_summary!E:E,fact_batting_summary!E480)</f>
        <v>32.236842105263158</v>
      </c>
      <c r="C480">
        <v>3</v>
      </c>
    </row>
    <row r="481" spans="1:3" x14ac:dyDescent="0.45">
      <c r="A481">
        <f>SUMIFS(fact_batting_summary!G:G, fact_batting_summary!E:E, fact_batting_summary!E481)</f>
        <v>1113</v>
      </c>
      <c r="B481" s="9">
        <f>AVERAGEIFS(fact_batting_summary!G:G, fact_batting_summary!E:E,fact_batting_summary!E481)</f>
        <v>28.53846153846154</v>
      </c>
      <c r="C481">
        <v>4</v>
      </c>
    </row>
    <row r="482" spans="1:3" x14ac:dyDescent="0.45">
      <c r="A482">
        <f>SUMIFS(fact_batting_summary!G:G, fact_batting_summary!E:E, fact_batting_summary!E482)</f>
        <v>115</v>
      </c>
      <c r="B482" s="9">
        <f>AVERAGEIFS(fact_batting_summary!G:G, fact_batting_summary!E:E,fact_batting_summary!E482)</f>
        <v>28.75</v>
      </c>
      <c r="C482">
        <v>5</v>
      </c>
    </row>
    <row r="483" spans="1:3" x14ac:dyDescent="0.45">
      <c r="A483">
        <f>SUMIFS(fact_batting_summary!G:G, fact_batting_summary!E:E, fact_batting_summary!E483)</f>
        <v>389</v>
      </c>
      <c r="B483" s="9">
        <f>AVERAGEIFS(fact_batting_summary!G:G, fact_batting_summary!E:E,fact_batting_summary!E483)</f>
        <v>16.208333333333332</v>
      </c>
      <c r="C483">
        <v>6</v>
      </c>
    </row>
    <row r="484" spans="1:3" x14ac:dyDescent="0.45">
      <c r="A484">
        <f>SUMIFS(fact_batting_summary!G:G, fact_batting_summary!E:E, fact_batting_summary!E484)</f>
        <v>514</v>
      </c>
      <c r="B484" s="9">
        <f>AVERAGEIFS(fact_batting_summary!G:G, fact_batting_summary!E:E,fact_batting_summary!E484)</f>
        <v>13.526315789473685</v>
      </c>
      <c r="C484">
        <v>7</v>
      </c>
    </row>
    <row r="485" spans="1:3" x14ac:dyDescent="0.45">
      <c r="A485">
        <f>SUMIFS(fact_batting_summary!G:G, fact_batting_summary!E:E, fact_batting_summary!E485)</f>
        <v>16</v>
      </c>
      <c r="B485" s="9">
        <f>AVERAGEIFS(fact_batting_summary!G:G, fact_batting_summary!E:E,fact_batting_summary!E485)</f>
        <v>5.333333333333333</v>
      </c>
      <c r="C485">
        <v>8</v>
      </c>
    </row>
    <row r="486" spans="1:3" x14ac:dyDescent="0.45">
      <c r="A486">
        <f>SUMIFS(fact_batting_summary!G:G, fact_batting_summary!E:E, fact_batting_summary!E486)</f>
        <v>91</v>
      </c>
      <c r="B486" s="9">
        <f>AVERAGEIFS(fact_batting_summary!G:G, fact_batting_summary!E:E,fact_batting_summary!E486)</f>
        <v>5.6875</v>
      </c>
      <c r="C486">
        <v>9</v>
      </c>
    </row>
    <row r="487" spans="1:3" x14ac:dyDescent="0.45">
      <c r="A487">
        <f>SUMIFS(fact_batting_summary!G:G, fact_batting_summary!E:E, fact_batting_summary!E487)</f>
        <v>16</v>
      </c>
      <c r="B487" s="9">
        <f>AVERAGEIFS(fact_batting_summary!G:G, fact_batting_summary!E:E,fact_batting_summary!E487)</f>
        <v>1.2307692307692308</v>
      </c>
      <c r="C487">
        <v>10</v>
      </c>
    </row>
    <row r="488" spans="1:3" x14ac:dyDescent="0.45">
      <c r="A488">
        <f>SUMIFS(fact_batting_summary!G:G, fact_batting_summary!E:E, fact_batting_summary!E488)</f>
        <v>391</v>
      </c>
      <c r="B488" s="9">
        <f>AVERAGEIFS(fact_batting_summary!G:G, fact_batting_summary!E:E,fact_batting_summary!E488)</f>
        <v>23</v>
      </c>
      <c r="C488">
        <v>1</v>
      </c>
    </row>
    <row r="489" spans="1:3" x14ac:dyDescent="0.45">
      <c r="A489">
        <f>SUMIFS(fact_batting_summary!G:G, fact_batting_summary!E:E, fact_batting_summary!E489)</f>
        <v>907</v>
      </c>
      <c r="B489" s="9">
        <f>AVERAGEIFS(fact_batting_summary!G:G, fact_batting_summary!E:E,fact_batting_summary!E489)</f>
        <v>26.676470588235293</v>
      </c>
      <c r="C489">
        <v>2</v>
      </c>
    </row>
    <row r="490" spans="1:3" x14ac:dyDescent="0.45">
      <c r="A490">
        <f>SUMIFS(fact_batting_summary!G:G, fact_batting_summary!E:E, fact_batting_summary!E490)</f>
        <v>193</v>
      </c>
      <c r="B490" s="9">
        <f>AVERAGEIFS(fact_batting_summary!G:G, fact_batting_summary!E:E,fact_batting_summary!E490)</f>
        <v>19.3</v>
      </c>
      <c r="C490">
        <v>3</v>
      </c>
    </row>
    <row r="491" spans="1:3" x14ac:dyDescent="0.45">
      <c r="A491">
        <f>SUMIFS(fact_batting_summary!G:G, fact_batting_summary!E:E, fact_batting_summary!E491)</f>
        <v>26</v>
      </c>
      <c r="B491" s="9">
        <f>AVERAGEIFS(fact_batting_summary!G:G, fact_batting_summary!E:E,fact_batting_summary!E491)</f>
        <v>26</v>
      </c>
      <c r="C491">
        <v>4</v>
      </c>
    </row>
    <row r="492" spans="1:3" x14ac:dyDescent="0.45">
      <c r="A492">
        <f>SUMIFS(fact_batting_summary!G:G, fact_batting_summary!E:E, fact_batting_summary!E492)</f>
        <v>695</v>
      </c>
      <c r="B492" s="9">
        <f>AVERAGEIFS(fact_batting_summary!G:G, fact_batting_summary!E:E,fact_batting_summary!E492)</f>
        <v>18.783783783783782</v>
      </c>
      <c r="C492">
        <v>5</v>
      </c>
    </row>
    <row r="493" spans="1:3" x14ac:dyDescent="0.45">
      <c r="A493">
        <f>SUMIFS(fact_batting_summary!G:G, fact_batting_summary!E:E, fact_batting_summary!E493)</f>
        <v>426</v>
      </c>
      <c r="B493" s="9">
        <f>AVERAGEIFS(fact_batting_summary!G:G, fact_batting_summary!E:E,fact_batting_summary!E493)</f>
        <v>13.741935483870968</v>
      </c>
      <c r="C493">
        <v>6</v>
      </c>
    </row>
    <row r="494" spans="1:3" x14ac:dyDescent="0.45">
      <c r="A494">
        <f>SUMIFS(fact_batting_summary!G:G, fact_batting_summary!E:E, fact_batting_summary!E494)</f>
        <v>49</v>
      </c>
      <c r="B494" s="9">
        <f>AVERAGEIFS(fact_batting_summary!G:G, fact_batting_summary!E:E,fact_batting_summary!E494)</f>
        <v>8.1666666666666661</v>
      </c>
      <c r="C494">
        <v>7</v>
      </c>
    </row>
    <row r="495" spans="1:3" x14ac:dyDescent="0.45">
      <c r="A495">
        <f>SUMIFS(fact_batting_summary!G:G, fact_batting_summary!E:E, fact_batting_summary!E495)</f>
        <v>138</v>
      </c>
      <c r="B495" s="9">
        <f>AVERAGEIFS(fact_batting_summary!G:G, fact_batting_summary!E:E,fact_batting_summary!E495)</f>
        <v>8.625</v>
      </c>
      <c r="C495">
        <v>8</v>
      </c>
    </row>
    <row r="496" spans="1:3" x14ac:dyDescent="0.45">
      <c r="A496">
        <f>SUMIFS(fact_batting_summary!G:G, fact_batting_summary!E:E, fact_batting_summary!E496)</f>
        <v>815</v>
      </c>
      <c r="B496" s="9">
        <f>AVERAGEIFS(fact_batting_summary!G:G, fact_batting_summary!E:E,fact_batting_summary!E496)</f>
        <v>25.46875</v>
      </c>
      <c r="C496">
        <v>1</v>
      </c>
    </row>
    <row r="497" spans="1:3" x14ac:dyDescent="0.45">
      <c r="A497">
        <f>SUMIFS(fact_batting_summary!G:G, fact_batting_summary!E:E, fact_batting_summary!E497)</f>
        <v>1392</v>
      </c>
      <c r="B497" s="9">
        <f>AVERAGEIFS(fact_batting_summary!G:G, fact_batting_summary!E:E,fact_batting_summary!E497)</f>
        <v>34.799999999999997</v>
      </c>
      <c r="C497">
        <v>2</v>
      </c>
    </row>
    <row r="498" spans="1:3" x14ac:dyDescent="0.45">
      <c r="A498">
        <f>SUMIFS(fact_batting_summary!G:G, fact_batting_summary!E:E, fact_batting_summary!E498)</f>
        <v>118</v>
      </c>
      <c r="B498" s="9">
        <f>AVERAGEIFS(fact_batting_summary!G:G, fact_batting_summary!E:E,fact_batting_summary!E498)</f>
        <v>19.666666666666668</v>
      </c>
      <c r="C498">
        <v>3</v>
      </c>
    </row>
    <row r="499" spans="1:3" x14ac:dyDescent="0.45">
      <c r="A499">
        <f>SUMIFS(fact_batting_summary!G:G, fact_batting_summary!E:E, fact_batting_summary!E499)</f>
        <v>722</v>
      </c>
      <c r="B499" s="9">
        <f>AVERAGEIFS(fact_batting_summary!G:G, fact_batting_summary!E:E,fact_batting_summary!E499)</f>
        <v>25.785714285714285</v>
      </c>
      <c r="C499">
        <v>4</v>
      </c>
    </row>
    <row r="500" spans="1:3" x14ac:dyDescent="0.45">
      <c r="A500">
        <f>SUMIFS(fact_batting_summary!G:G, fact_batting_summary!E:E, fact_batting_summary!E500)</f>
        <v>854</v>
      </c>
      <c r="B500" s="9">
        <f>AVERAGEIFS(fact_batting_summary!G:G, fact_batting_summary!E:E,fact_batting_summary!E500)</f>
        <v>21.35</v>
      </c>
      <c r="C500">
        <v>5</v>
      </c>
    </row>
    <row r="501" spans="1:3" x14ac:dyDescent="0.45">
      <c r="A501">
        <f>SUMIFS(fact_batting_summary!G:G, fact_batting_summary!E:E, fact_batting_summary!E501)</f>
        <v>1509</v>
      </c>
      <c r="B501" s="9">
        <f>AVERAGEIFS(fact_batting_summary!G:G, fact_batting_summary!E:E,fact_batting_summary!E501)</f>
        <v>39.710526315789473</v>
      </c>
      <c r="C501">
        <v>1</v>
      </c>
    </row>
    <row r="502" spans="1:3" x14ac:dyDescent="0.45">
      <c r="A502">
        <f>SUMIFS(fact_batting_summary!G:G, fact_batting_summary!E:E, fact_batting_summary!E502)</f>
        <v>1132</v>
      </c>
      <c r="B502" s="9">
        <f>AVERAGEIFS(fact_batting_summary!G:G, fact_batting_summary!E:E,fact_batting_summary!E502)</f>
        <v>33.294117647058826</v>
      </c>
      <c r="C502">
        <v>2</v>
      </c>
    </row>
    <row r="503" spans="1:3" x14ac:dyDescent="0.45">
      <c r="A503">
        <f>SUMIFS(fact_batting_summary!G:G, fact_batting_summary!E:E, fact_batting_summary!E503)</f>
        <v>1304</v>
      </c>
      <c r="B503" s="9">
        <f>AVERAGEIFS(fact_batting_summary!G:G, fact_batting_summary!E:E,fact_batting_summary!E503)</f>
        <v>28.977777777777778</v>
      </c>
      <c r="C503">
        <v>3</v>
      </c>
    </row>
    <row r="504" spans="1:3" x14ac:dyDescent="0.45">
      <c r="A504">
        <f>SUMIFS(fact_batting_summary!G:G, fact_batting_summary!E:E, fact_batting_summary!E504)</f>
        <v>354</v>
      </c>
      <c r="B504" s="9">
        <f>AVERAGEIFS(fact_batting_summary!G:G, fact_batting_summary!E:E,fact_batting_summary!E504)</f>
        <v>11.419354838709678</v>
      </c>
      <c r="C504">
        <v>4</v>
      </c>
    </row>
    <row r="505" spans="1:3" x14ac:dyDescent="0.45">
      <c r="A505">
        <f>SUMIFS(fact_batting_summary!G:G, fact_batting_summary!E:E, fact_batting_summary!E505)</f>
        <v>864</v>
      </c>
      <c r="B505" s="9">
        <f>AVERAGEIFS(fact_batting_summary!G:G, fact_batting_summary!E:E,fact_batting_summary!E505)</f>
        <v>23.351351351351351</v>
      </c>
      <c r="C505">
        <v>5</v>
      </c>
    </row>
    <row r="506" spans="1:3" x14ac:dyDescent="0.45">
      <c r="A506">
        <f>SUMIFS(fact_batting_summary!G:G, fact_batting_summary!E:E, fact_batting_summary!E506)</f>
        <v>540</v>
      </c>
      <c r="B506" s="9">
        <f>AVERAGEIFS(fact_batting_summary!G:G, fact_batting_summary!E:E,fact_batting_summary!E506)</f>
        <v>23.478260869565219</v>
      </c>
      <c r="C506">
        <v>1</v>
      </c>
    </row>
    <row r="507" spans="1:3" x14ac:dyDescent="0.45">
      <c r="A507">
        <f>SUMIFS(fact_batting_summary!G:G, fact_batting_summary!E:E, fact_batting_summary!E507)</f>
        <v>463</v>
      </c>
      <c r="B507" s="9">
        <f>AVERAGEIFS(fact_batting_summary!G:G, fact_batting_summary!E:E,fact_batting_summary!E507)</f>
        <v>27.235294117647058</v>
      </c>
      <c r="C507">
        <v>2</v>
      </c>
    </row>
    <row r="508" spans="1:3" x14ac:dyDescent="0.45">
      <c r="A508">
        <f>SUMIFS(fact_batting_summary!G:G, fact_batting_summary!E:E, fact_batting_summary!E508)</f>
        <v>416</v>
      </c>
      <c r="B508" s="9">
        <f>AVERAGEIFS(fact_batting_summary!G:G, fact_batting_summary!E:E,fact_batting_summary!E508)</f>
        <v>18.90909090909091</v>
      </c>
      <c r="C508">
        <v>3</v>
      </c>
    </row>
    <row r="509" spans="1:3" x14ac:dyDescent="0.45">
      <c r="A509">
        <f>SUMIFS(fact_batting_summary!G:G, fact_batting_summary!E:E, fact_batting_summary!E509)</f>
        <v>370</v>
      </c>
      <c r="B509" s="9">
        <f>AVERAGEIFS(fact_batting_summary!G:G, fact_batting_summary!E:E,fact_batting_summary!E509)</f>
        <v>20.555555555555557</v>
      </c>
      <c r="C509">
        <v>4</v>
      </c>
    </row>
    <row r="510" spans="1:3" x14ac:dyDescent="0.45">
      <c r="A510">
        <f>SUMIFS(fact_batting_summary!G:G, fact_batting_summary!E:E, fact_batting_summary!E510)</f>
        <v>58</v>
      </c>
      <c r="B510" s="9">
        <f>AVERAGEIFS(fact_batting_summary!G:G, fact_batting_summary!E:E,fact_batting_summary!E510)</f>
        <v>11.6</v>
      </c>
      <c r="C510">
        <v>5</v>
      </c>
    </row>
    <row r="511" spans="1:3" x14ac:dyDescent="0.45">
      <c r="A511">
        <f>SUMIFS(fact_batting_summary!G:G, fact_batting_summary!E:E, fact_batting_summary!E511)</f>
        <v>34</v>
      </c>
      <c r="B511" s="9">
        <f>AVERAGEIFS(fact_batting_summary!G:G, fact_batting_summary!E:E,fact_batting_summary!E511)</f>
        <v>11.333333333333334</v>
      </c>
      <c r="C511">
        <v>6</v>
      </c>
    </row>
    <row r="512" spans="1:3" x14ac:dyDescent="0.45">
      <c r="A512">
        <f>SUMIFS(fact_batting_summary!G:G, fact_batting_summary!E:E, fact_batting_summary!E512)</f>
        <v>284</v>
      </c>
      <c r="B512" s="9">
        <f>AVERAGEIFS(fact_batting_summary!G:G, fact_batting_summary!E:E,fact_batting_summary!E512)</f>
        <v>14.2</v>
      </c>
      <c r="C512">
        <v>7</v>
      </c>
    </row>
    <row r="513" spans="1:3" x14ac:dyDescent="0.45">
      <c r="A513">
        <f>SUMIFS(fact_batting_summary!G:G, fact_batting_summary!E:E, fact_batting_summary!E513)</f>
        <v>304</v>
      </c>
      <c r="B513" s="9">
        <f>AVERAGEIFS(fact_batting_summary!G:G, fact_batting_summary!E:E,fact_batting_summary!E513)</f>
        <v>11.692307692307692</v>
      </c>
      <c r="C513">
        <v>8</v>
      </c>
    </row>
    <row r="514" spans="1:3" x14ac:dyDescent="0.45">
      <c r="A514">
        <f>SUMIFS(fact_batting_summary!G:G, fact_batting_summary!E:E, fact_batting_summary!E514)</f>
        <v>100</v>
      </c>
      <c r="B514" s="9">
        <f>AVERAGEIFS(fact_batting_summary!G:G, fact_batting_summary!E:E,fact_batting_summary!E514)</f>
        <v>5.2631578947368425</v>
      </c>
      <c r="C514">
        <v>9</v>
      </c>
    </row>
    <row r="515" spans="1:3" x14ac:dyDescent="0.45">
      <c r="A515">
        <f>SUMIFS(fact_batting_summary!G:G, fact_batting_summary!E:E, fact_batting_summary!E515)</f>
        <v>10</v>
      </c>
      <c r="B515" s="9">
        <f>AVERAGEIFS(fact_batting_summary!G:G, fact_batting_summary!E:E,fact_batting_summary!E515)</f>
        <v>2.5</v>
      </c>
      <c r="C515">
        <v>10</v>
      </c>
    </row>
    <row r="516" spans="1:3" x14ac:dyDescent="0.45">
      <c r="A516">
        <f>SUMIFS(fact_batting_summary!G:G, fact_batting_summary!E:E, fact_batting_summary!E516)</f>
        <v>1593</v>
      </c>
      <c r="B516" s="9">
        <f>AVERAGEIFS(fact_batting_summary!G:G, fact_batting_summary!E:E,fact_batting_summary!E516)</f>
        <v>35.4</v>
      </c>
      <c r="C516">
        <v>1</v>
      </c>
    </row>
    <row r="517" spans="1:3" x14ac:dyDescent="0.45">
      <c r="A517">
        <f>SUMIFS(fact_batting_summary!G:G, fact_batting_summary!E:E, fact_batting_summary!E517)</f>
        <v>1831</v>
      </c>
      <c r="B517" s="9">
        <f>AVERAGEIFS(fact_batting_summary!G:G, fact_batting_summary!E:E,fact_batting_summary!E517)</f>
        <v>39.804347826086953</v>
      </c>
      <c r="C517">
        <v>2</v>
      </c>
    </row>
    <row r="518" spans="1:3" x14ac:dyDescent="0.45">
      <c r="A518">
        <f>SUMIFS(fact_batting_summary!G:G, fact_batting_summary!E:E, fact_batting_summary!E518)</f>
        <v>725</v>
      </c>
      <c r="B518" s="9">
        <f>AVERAGEIFS(fact_batting_summary!G:G, fact_batting_summary!E:E,fact_batting_summary!E518)</f>
        <v>20.714285714285715</v>
      </c>
      <c r="C518">
        <v>3</v>
      </c>
    </row>
    <row r="519" spans="1:3" x14ac:dyDescent="0.45">
      <c r="A519">
        <f>SUMIFS(fact_batting_summary!G:G, fact_batting_summary!E:E, fact_batting_summary!E519)</f>
        <v>160</v>
      </c>
      <c r="B519" s="9">
        <f>AVERAGEIFS(fact_batting_summary!G:G, fact_batting_summary!E:E,fact_batting_summary!E519)</f>
        <v>14.545454545454545</v>
      </c>
      <c r="C519">
        <v>4</v>
      </c>
    </row>
    <row r="520" spans="1:3" x14ac:dyDescent="0.45">
      <c r="A520">
        <f>SUMIFS(fact_batting_summary!G:G, fact_batting_summary!E:E, fact_batting_summary!E520)</f>
        <v>689</v>
      </c>
      <c r="B520" s="9">
        <f>AVERAGEIFS(fact_batting_summary!G:G, fact_batting_summary!E:E,fact_batting_summary!E520)</f>
        <v>19.138888888888889</v>
      </c>
      <c r="C520">
        <v>5</v>
      </c>
    </row>
    <row r="521" spans="1:3" x14ac:dyDescent="0.45">
      <c r="A521">
        <f>SUMIFS(fact_batting_summary!G:G, fact_batting_summary!E:E, fact_batting_summary!E521)</f>
        <v>533</v>
      </c>
      <c r="B521" s="9">
        <f>AVERAGEIFS(fact_batting_summary!G:G, fact_batting_summary!E:E,fact_batting_summary!E521)</f>
        <v>15.676470588235293</v>
      </c>
      <c r="C521">
        <v>6</v>
      </c>
    </row>
    <row r="522" spans="1:3" x14ac:dyDescent="0.45">
      <c r="A522">
        <f>SUMIFS(fact_batting_summary!G:G, fact_batting_summary!E:E, fact_batting_summary!E522)</f>
        <v>948</v>
      </c>
      <c r="B522" s="9">
        <f>AVERAGEIFS(fact_batting_summary!G:G, fact_batting_summary!E:E,fact_batting_summary!E522)</f>
        <v>31.6</v>
      </c>
      <c r="C522">
        <v>1</v>
      </c>
    </row>
    <row r="523" spans="1:3" x14ac:dyDescent="0.45">
      <c r="A523">
        <f>SUMIFS(fact_batting_summary!G:G, fact_batting_summary!E:E, fact_batting_summary!E523)</f>
        <v>981</v>
      </c>
      <c r="B523" s="9">
        <f>AVERAGEIFS(fact_batting_summary!G:G, fact_batting_summary!E:E,fact_batting_summary!E523)</f>
        <v>22.813953488372093</v>
      </c>
      <c r="C523">
        <v>2</v>
      </c>
    </row>
    <row r="524" spans="1:3" x14ac:dyDescent="0.45">
      <c r="A524">
        <f>SUMIFS(fact_batting_summary!G:G, fact_batting_summary!E:E, fact_batting_summary!E524)</f>
        <v>1225</v>
      </c>
      <c r="B524" s="9">
        <f>AVERAGEIFS(fact_batting_summary!G:G, fact_batting_summary!E:E,fact_batting_summary!E524)</f>
        <v>32.236842105263158</v>
      </c>
      <c r="C524">
        <v>3</v>
      </c>
    </row>
    <row r="525" spans="1:3" x14ac:dyDescent="0.45">
      <c r="A525">
        <f>SUMIFS(fact_batting_summary!G:G, fact_batting_summary!E:E, fact_batting_summary!E525)</f>
        <v>514</v>
      </c>
      <c r="B525" s="9">
        <f>AVERAGEIFS(fact_batting_summary!G:G, fact_batting_summary!E:E,fact_batting_summary!E525)</f>
        <v>13.526315789473685</v>
      </c>
      <c r="C525">
        <v>4</v>
      </c>
    </row>
    <row r="526" spans="1:3" x14ac:dyDescent="0.45">
      <c r="A526">
        <f>SUMIFS(fact_batting_summary!G:G, fact_batting_summary!E:E, fact_batting_summary!E526)</f>
        <v>389</v>
      </c>
      <c r="B526" s="9">
        <f>AVERAGEIFS(fact_batting_summary!G:G, fact_batting_summary!E:E,fact_batting_summary!E526)</f>
        <v>16.208333333333332</v>
      </c>
      <c r="C526">
        <v>5</v>
      </c>
    </row>
    <row r="527" spans="1:3" x14ac:dyDescent="0.45">
      <c r="A527">
        <f>SUMIFS(fact_batting_summary!G:G, fact_batting_summary!E:E, fact_batting_summary!E527)</f>
        <v>960</v>
      </c>
      <c r="B527" s="9">
        <f>AVERAGEIFS(fact_batting_summary!G:G, fact_batting_summary!E:E,fact_batting_summary!E527)</f>
        <v>23.414634146341463</v>
      </c>
      <c r="C527">
        <v>6</v>
      </c>
    </row>
    <row r="528" spans="1:3" x14ac:dyDescent="0.45">
      <c r="A528">
        <f>SUMIFS(fact_batting_summary!G:G, fact_batting_summary!E:E, fact_batting_summary!E528)</f>
        <v>31</v>
      </c>
      <c r="B528" s="9">
        <f>AVERAGEIFS(fact_batting_summary!G:G, fact_batting_summary!E:E,fact_batting_summary!E528)</f>
        <v>7.75</v>
      </c>
      <c r="C528">
        <v>7</v>
      </c>
    </row>
    <row r="529" spans="1:3" x14ac:dyDescent="0.45">
      <c r="A529">
        <f>SUMIFS(fact_batting_summary!G:G, fact_batting_summary!E:E, fact_batting_summary!E529)</f>
        <v>0</v>
      </c>
      <c r="B529" s="9">
        <f>AVERAGEIFS(fact_batting_summary!G:G, fact_batting_summary!E:E,fact_batting_summary!E529)</f>
        <v>0</v>
      </c>
      <c r="C529">
        <v>8</v>
      </c>
    </row>
    <row r="530" spans="1:3" x14ac:dyDescent="0.45">
      <c r="A530">
        <f>SUMIFS(fact_batting_summary!G:G, fact_batting_summary!E:E, fact_batting_summary!E530)</f>
        <v>1516</v>
      </c>
      <c r="B530" s="9">
        <f>AVERAGEIFS(fact_batting_summary!G:G, fact_batting_summary!E:E,fact_batting_summary!E530)</f>
        <v>40.972972972972975</v>
      </c>
      <c r="C530">
        <v>1</v>
      </c>
    </row>
    <row r="531" spans="1:3" x14ac:dyDescent="0.45">
      <c r="A531">
        <f>SUMIFS(fact_batting_summary!G:G, fact_batting_summary!E:E, fact_batting_summary!E531)</f>
        <v>391</v>
      </c>
      <c r="B531" s="9">
        <f>AVERAGEIFS(fact_batting_summary!G:G, fact_batting_summary!E:E,fact_batting_summary!E531)</f>
        <v>23</v>
      </c>
      <c r="C531">
        <v>2</v>
      </c>
    </row>
    <row r="532" spans="1:3" x14ac:dyDescent="0.45">
      <c r="A532">
        <f>SUMIFS(fact_batting_summary!G:G, fact_batting_summary!E:E, fact_batting_summary!E532)</f>
        <v>193</v>
      </c>
      <c r="B532" s="9">
        <f>AVERAGEIFS(fact_batting_summary!G:G, fact_batting_summary!E:E,fact_batting_summary!E532)</f>
        <v>19.3</v>
      </c>
      <c r="C532">
        <v>3</v>
      </c>
    </row>
    <row r="533" spans="1:3" x14ac:dyDescent="0.45">
      <c r="A533">
        <f>SUMIFS(fact_batting_summary!G:G, fact_batting_summary!E:E, fact_batting_summary!E533)</f>
        <v>729</v>
      </c>
      <c r="B533" s="9">
        <f>AVERAGEIFS(fact_batting_summary!G:G, fact_batting_summary!E:E,fact_batting_summary!E533)</f>
        <v>19.184210526315791</v>
      </c>
      <c r="C533">
        <v>4</v>
      </c>
    </row>
    <row r="534" spans="1:3" x14ac:dyDescent="0.45">
      <c r="A534">
        <f>SUMIFS(fact_batting_summary!G:G, fact_batting_summary!E:E, fact_batting_summary!E534)</f>
        <v>695</v>
      </c>
      <c r="B534" s="9">
        <f>AVERAGEIFS(fact_batting_summary!G:G, fact_batting_summary!E:E,fact_batting_summary!E534)</f>
        <v>18.783783783783782</v>
      </c>
      <c r="C534">
        <v>5</v>
      </c>
    </row>
    <row r="535" spans="1:3" x14ac:dyDescent="0.45">
      <c r="A535">
        <f>SUMIFS(fact_batting_summary!G:G, fact_batting_summary!E:E, fact_batting_summary!E535)</f>
        <v>426</v>
      </c>
      <c r="B535" s="9">
        <f>AVERAGEIFS(fact_batting_summary!G:G, fact_batting_summary!E:E,fact_batting_summary!E535)</f>
        <v>13.741935483870968</v>
      </c>
      <c r="C535">
        <v>6</v>
      </c>
    </row>
    <row r="536" spans="1:3" x14ac:dyDescent="0.45">
      <c r="A536">
        <f>SUMIFS(fact_batting_summary!G:G, fact_batting_summary!E:E, fact_batting_summary!E536)</f>
        <v>138</v>
      </c>
      <c r="B536" s="9">
        <f>AVERAGEIFS(fact_batting_summary!G:G, fact_batting_summary!E:E,fact_batting_summary!E536)</f>
        <v>8.625</v>
      </c>
      <c r="C536">
        <v>7</v>
      </c>
    </row>
    <row r="537" spans="1:3" x14ac:dyDescent="0.45">
      <c r="A537">
        <f>SUMIFS(fact_batting_summary!G:G, fact_batting_summary!E:E, fact_batting_summary!E537)</f>
        <v>1385</v>
      </c>
      <c r="B537" s="9">
        <f>AVERAGEIFS(fact_batting_summary!G:G, fact_batting_summary!E:E,fact_batting_summary!E537)</f>
        <v>30.777777777777779</v>
      </c>
      <c r="C537">
        <v>1</v>
      </c>
    </row>
    <row r="538" spans="1:3" x14ac:dyDescent="0.45">
      <c r="A538">
        <f>SUMIFS(fact_batting_summary!G:G, fact_batting_summary!E:E, fact_batting_summary!E538)</f>
        <v>1048</v>
      </c>
      <c r="B538" s="9">
        <f>AVERAGEIFS(fact_batting_summary!G:G, fact_batting_summary!E:E,fact_batting_summary!E538)</f>
        <v>24.952380952380953</v>
      </c>
      <c r="C538">
        <v>2</v>
      </c>
    </row>
    <row r="539" spans="1:3" x14ac:dyDescent="0.45">
      <c r="A539">
        <f>SUMIFS(fact_batting_summary!G:G, fact_batting_summary!E:E, fact_batting_summary!E539)</f>
        <v>404</v>
      </c>
      <c r="B539" s="9">
        <f>AVERAGEIFS(fact_batting_summary!G:G, fact_batting_summary!E:E,fact_batting_summary!E539)</f>
        <v>36.727272727272727</v>
      </c>
      <c r="C539">
        <v>3</v>
      </c>
    </row>
    <row r="540" spans="1:3" x14ac:dyDescent="0.45">
      <c r="A540">
        <f>SUMIFS(fact_batting_summary!G:G, fact_batting_summary!E:E, fact_batting_summary!E540)</f>
        <v>1214</v>
      </c>
      <c r="B540" s="9">
        <f>AVERAGEIFS(fact_batting_summary!G:G, fact_batting_summary!E:E,fact_batting_summary!E540)</f>
        <v>29.609756097560975</v>
      </c>
      <c r="C540">
        <v>4</v>
      </c>
    </row>
    <row r="541" spans="1:3" x14ac:dyDescent="0.45">
      <c r="A541">
        <f>SUMIFS(fact_batting_summary!G:G, fact_batting_summary!E:E, fact_batting_summary!E541)</f>
        <v>313</v>
      </c>
      <c r="B541" s="9">
        <f>AVERAGEIFS(fact_batting_summary!G:G, fact_batting_summary!E:E,fact_batting_summary!E541)</f>
        <v>22.357142857142858</v>
      </c>
      <c r="C541">
        <v>5</v>
      </c>
    </row>
    <row r="542" spans="1:3" x14ac:dyDescent="0.45">
      <c r="A542">
        <f>SUMIFS(fact_batting_summary!G:G, fact_batting_summary!E:E, fact_batting_summary!E542)</f>
        <v>320</v>
      </c>
      <c r="B542" s="9">
        <f>AVERAGEIFS(fact_batting_summary!G:G, fact_batting_summary!E:E,fact_batting_summary!E542)</f>
        <v>13.333333333333334</v>
      </c>
      <c r="C542">
        <v>6</v>
      </c>
    </row>
    <row r="543" spans="1:3" x14ac:dyDescent="0.45">
      <c r="A543">
        <f>SUMIFS(fact_batting_summary!G:G, fact_batting_summary!E:E, fact_batting_summary!E543)</f>
        <v>44</v>
      </c>
      <c r="B543" s="9">
        <f>AVERAGEIFS(fact_batting_summary!G:G, fact_batting_summary!E:E,fact_batting_summary!E543)</f>
        <v>3.6666666666666665</v>
      </c>
      <c r="C543">
        <v>7</v>
      </c>
    </row>
    <row r="544" spans="1:3" x14ac:dyDescent="0.45">
      <c r="A544">
        <f>SUMIFS(fact_batting_summary!G:G, fact_batting_summary!E:E, fact_batting_summary!E544)</f>
        <v>65</v>
      </c>
      <c r="B544" s="9">
        <f>AVERAGEIFS(fact_batting_summary!G:G, fact_batting_summary!E:E,fact_batting_summary!E544)</f>
        <v>9.2857142857142865</v>
      </c>
      <c r="C544">
        <v>8</v>
      </c>
    </row>
    <row r="545" spans="1:3" x14ac:dyDescent="0.45">
      <c r="A545">
        <f>SUMIFS(fact_batting_summary!G:G, fact_batting_summary!E:E, fact_batting_summary!E545)</f>
        <v>108</v>
      </c>
      <c r="B545" s="9">
        <f>AVERAGEIFS(fact_batting_summary!G:G, fact_batting_summary!E:E,fact_batting_summary!E545)</f>
        <v>6</v>
      </c>
      <c r="C545">
        <v>9</v>
      </c>
    </row>
    <row r="546" spans="1:3" x14ac:dyDescent="0.45">
      <c r="A546">
        <f>SUMIFS(fact_batting_summary!G:G, fact_batting_summary!E:E, fact_batting_summary!E546)</f>
        <v>51</v>
      </c>
      <c r="B546" s="9">
        <f>AVERAGEIFS(fact_batting_summary!G:G, fact_batting_summary!E:E,fact_batting_summary!E546)</f>
        <v>4.6363636363636367</v>
      </c>
      <c r="C546">
        <v>10</v>
      </c>
    </row>
    <row r="547" spans="1:3" x14ac:dyDescent="0.45">
      <c r="A547">
        <f>SUMIFS(fact_batting_summary!G:G, fact_batting_summary!E:E, fact_batting_summary!E547)</f>
        <v>1157</v>
      </c>
      <c r="B547" s="9">
        <f>AVERAGEIFS(fact_batting_summary!G:G, fact_batting_summary!E:E,fact_batting_summary!E547)</f>
        <v>26.295454545454547</v>
      </c>
      <c r="C547">
        <v>1</v>
      </c>
    </row>
    <row r="548" spans="1:3" x14ac:dyDescent="0.45">
      <c r="A548">
        <f>SUMIFS(fact_batting_summary!G:G, fact_batting_summary!E:E, fact_batting_summary!E548)</f>
        <v>1851</v>
      </c>
      <c r="B548" s="9">
        <f>AVERAGEIFS(fact_batting_summary!G:G, fact_batting_summary!E:E,fact_batting_summary!E548)</f>
        <v>37.020000000000003</v>
      </c>
      <c r="C548">
        <v>2</v>
      </c>
    </row>
    <row r="549" spans="1:3" x14ac:dyDescent="0.45">
      <c r="A549">
        <f>SUMIFS(fact_batting_summary!G:G, fact_batting_summary!E:E, fact_batting_summary!E549)</f>
        <v>1083</v>
      </c>
      <c r="B549" s="9">
        <f>AVERAGEIFS(fact_batting_summary!G:G, fact_batting_summary!E:E,fact_batting_summary!E549)</f>
        <v>25.186046511627907</v>
      </c>
      <c r="C549">
        <v>3</v>
      </c>
    </row>
    <row r="550" spans="1:3" x14ac:dyDescent="0.45">
      <c r="A550">
        <f>SUMIFS(fact_batting_summary!G:G, fact_batting_summary!E:E, fact_batting_summary!E550)</f>
        <v>133</v>
      </c>
      <c r="B550" s="9">
        <f>AVERAGEIFS(fact_batting_summary!G:G, fact_batting_summary!E:E,fact_batting_summary!E550)</f>
        <v>8.3125</v>
      </c>
      <c r="C550">
        <v>4</v>
      </c>
    </row>
    <row r="551" spans="1:3" x14ac:dyDescent="0.45">
      <c r="A551">
        <f>SUMIFS(fact_batting_summary!G:G, fact_batting_summary!E:E, fact_batting_summary!E551)</f>
        <v>154</v>
      </c>
      <c r="B551" s="9">
        <f>AVERAGEIFS(fact_batting_summary!G:G, fact_batting_summary!E:E,fact_batting_summary!E551)</f>
        <v>5.1333333333333337</v>
      </c>
      <c r="C551">
        <v>5</v>
      </c>
    </row>
    <row r="552" spans="1:3" x14ac:dyDescent="0.45">
      <c r="A552">
        <f>SUMIFS(fact_batting_summary!G:G, fact_batting_summary!E:E, fact_batting_summary!E552)</f>
        <v>745</v>
      </c>
      <c r="B552" s="9">
        <f>AVERAGEIFS(fact_batting_summary!G:G, fact_batting_summary!E:E,fact_batting_summary!E552)</f>
        <v>21.285714285714285</v>
      </c>
      <c r="C552">
        <v>6</v>
      </c>
    </row>
    <row r="553" spans="1:3" x14ac:dyDescent="0.45">
      <c r="A553">
        <f>SUMIFS(fact_batting_summary!G:G, fact_batting_summary!E:E, fact_batting_summary!E553)</f>
        <v>693</v>
      </c>
      <c r="B553" s="9">
        <f>AVERAGEIFS(fact_batting_summary!G:G, fact_batting_summary!E:E,fact_batting_summary!E553)</f>
        <v>15.75</v>
      </c>
      <c r="C553">
        <v>7</v>
      </c>
    </row>
    <row r="554" spans="1:3" x14ac:dyDescent="0.45">
      <c r="A554">
        <f>SUMIFS(fact_batting_summary!G:G, fact_batting_summary!E:E, fact_batting_summary!E554)</f>
        <v>156</v>
      </c>
      <c r="B554" s="9">
        <f>AVERAGEIFS(fact_batting_summary!G:G, fact_batting_summary!E:E,fact_batting_summary!E554)</f>
        <v>15.6</v>
      </c>
      <c r="C554">
        <v>8</v>
      </c>
    </row>
    <row r="555" spans="1:3" x14ac:dyDescent="0.45">
      <c r="A555">
        <f>SUMIFS(fact_batting_summary!G:G, fact_batting_summary!E:E, fact_batting_summary!E555)</f>
        <v>815</v>
      </c>
      <c r="B555" s="9">
        <f>AVERAGEIFS(fact_batting_summary!G:G, fact_batting_summary!E:E,fact_batting_summary!E555)</f>
        <v>25.46875</v>
      </c>
      <c r="C555">
        <v>1</v>
      </c>
    </row>
    <row r="556" spans="1:3" x14ac:dyDescent="0.45">
      <c r="A556">
        <f>SUMIFS(fact_batting_summary!G:G, fact_batting_summary!E:E, fact_batting_summary!E556)</f>
        <v>1392</v>
      </c>
      <c r="B556" s="9">
        <f>AVERAGEIFS(fact_batting_summary!G:G, fact_batting_summary!E:E,fact_batting_summary!E556)</f>
        <v>34.799999999999997</v>
      </c>
      <c r="C556">
        <v>2</v>
      </c>
    </row>
    <row r="557" spans="1:3" x14ac:dyDescent="0.45">
      <c r="A557">
        <f>SUMIFS(fact_batting_summary!G:G, fact_batting_summary!E:E, fact_batting_summary!E557)</f>
        <v>722</v>
      </c>
      <c r="B557" s="9">
        <f>AVERAGEIFS(fact_batting_summary!G:G, fact_batting_summary!E:E,fact_batting_summary!E557)</f>
        <v>25.785714285714285</v>
      </c>
      <c r="C557">
        <v>3</v>
      </c>
    </row>
    <row r="558" spans="1:3" x14ac:dyDescent="0.45">
      <c r="A558">
        <f>SUMIFS(fact_batting_summary!G:G, fact_batting_summary!E:E, fact_batting_summary!E558)</f>
        <v>645</v>
      </c>
      <c r="B558" s="9">
        <f>AVERAGEIFS(fact_batting_summary!G:G, fact_batting_summary!E:E,fact_batting_summary!E558)</f>
        <v>21.5</v>
      </c>
      <c r="C558">
        <v>4</v>
      </c>
    </row>
    <row r="559" spans="1:3" x14ac:dyDescent="0.45">
      <c r="A559">
        <f>SUMIFS(fact_batting_summary!G:G, fact_batting_summary!E:E, fact_batting_summary!E559)</f>
        <v>854</v>
      </c>
      <c r="B559" s="9">
        <f>AVERAGEIFS(fact_batting_summary!G:G, fact_batting_summary!E:E,fact_batting_summary!E559)</f>
        <v>21.35</v>
      </c>
      <c r="C559">
        <v>5</v>
      </c>
    </row>
    <row r="560" spans="1:3" x14ac:dyDescent="0.45">
      <c r="A560">
        <f>SUMIFS(fact_batting_summary!G:G, fact_batting_summary!E:E, fact_batting_summary!E560)</f>
        <v>1509</v>
      </c>
      <c r="B560" s="9">
        <f>AVERAGEIFS(fact_batting_summary!G:G, fact_batting_summary!E:E,fact_batting_summary!E560)</f>
        <v>39.710526315789473</v>
      </c>
      <c r="C560">
        <v>1</v>
      </c>
    </row>
    <row r="561" spans="1:3" x14ac:dyDescent="0.45">
      <c r="A561">
        <f>SUMIFS(fact_batting_summary!G:G, fact_batting_summary!E:E, fact_batting_summary!E561)</f>
        <v>1132</v>
      </c>
      <c r="B561" s="9">
        <f>AVERAGEIFS(fact_batting_summary!G:G, fact_batting_summary!E:E,fact_batting_summary!E561)</f>
        <v>33.294117647058826</v>
      </c>
      <c r="C561">
        <v>2</v>
      </c>
    </row>
    <row r="562" spans="1:3" x14ac:dyDescent="0.45">
      <c r="A562">
        <f>SUMIFS(fact_batting_summary!G:G, fact_batting_summary!E:E, fact_batting_summary!E562)</f>
        <v>1304</v>
      </c>
      <c r="B562" s="9">
        <f>AVERAGEIFS(fact_batting_summary!G:G, fact_batting_summary!E:E,fact_batting_summary!E562)</f>
        <v>28.977777777777778</v>
      </c>
      <c r="C562">
        <v>3</v>
      </c>
    </row>
    <row r="563" spans="1:3" x14ac:dyDescent="0.45">
      <c r="A563">
        <f>SUMIFS(fact_batting_summary!G:G, fact_batting_summary!E:E, fact_batting_summary!E563)</f>
        <v>937</v>
      </c>
      <c r="B563" s="9">
        <f>AVERAGEIFS(fact_batting_summary!G:G, fact_batting_summary!E:E,fact_batting_summary!E563)</f>
        <v>27.558823529411764</v>
      </c>
      <c r="C563">
        <v>4</v>
      </c>
    </row>
    <row r="564" spans="1:3" x14ac:dyDescent="0.45">
      <c r="A564">
        <f>SUMIFS(fact_batting_summary!G:G, fact_batting_summary!E:E, fact_batting_summary!E564)</f>
        <v>864</v>
      </c>
      <c r="B564" s="9">
        <f>AVERAGEIFS(fact_batting_summary!G:G, fact_batting_summary!E:E,fact_batting_summary!E564)</f>
        <v>23.351351351351351</v>
      </c>
      <c r="C564">
        <v>5</v>
      </c>
    </row>
    <row r="565" spans="1:3" x14ac:dyDescent="0.45">
      <c r="A565">
        <f>SUMIFS(fact_batting_summary!G:G, fact_batting_summary!E:E, fact_batting_summary!E565)</f>
        <v>354</v>
      </c>
      <c r="B565" s="9">
        <f>AVERAGEIFS(fact_batting_summary!G:G, fact_batting_summary!E:E,fact_batting_summary!E565)</f>
        <v>11.419354838709678</v>
      </c>
      <c r="C565">
        <v>6</v>
      </c>
    </row>
    <row r="566" spans="1:3" x14ac:dyDescent="0.45">
      <c r="A566">
        <f>SUMIFS(fact_batting_summary!G:G, fact_batting_summary!E:E, fact_batting_summary!E566)</f>
        <v>981</v>
      </c>
      <c r="B566" s="9">
        <f>AVERAGEIFS(fact_batting_summary!G:G, fact_batting_summary!E:E,fact_batting_summary!E566)</f>
        <v>22.813953488372093</v>
      </c>
      <c r="C566">
        <v>1</v>
      </c>
    </row>
    <row r="567" spans="1:3" x14ac:dyDescent="0.45">
      <c r="A567">
        <f>SUMIFS(fact_batting_summary!G:G, fact_batting_summary!E:E, fact_batting_summary!E567)</f>
        <v>948</v>
      </c>
      <c r="B567" s="9">
        <f>AVERAGEIFS(fact_batting_summary!G:G, fact_batting_summary!E:E,fact_batting_summary!E567)</f>
        <v>31.6</v>
      </c>
      <c r="C567">
        <v>2</v>
      </c>
    </row>
    <row r="568" spans="1:3" x14ac:dyDescent="0.45">
      <c r="A568">
        <f>SUMIFS(fact_batting_summary!G:G, fact_batting_summary!E:E, fact_batting_summary!E568)</f>
        <v>1225</v>
      </c>
      <c r="B568" s="9">
        <f>AVERAGEIFS(fact_batting_summary!G:G, fact_batting_summary!E:E,fact_batting_summary!E568)</f>
        <v>32.236842105263158</v>
      </c>
      <c r="C568">
        <v>3</v>
      </c>
    </row>
    <row r="569" spans="1:3" x14ac:dyDescent="0.45">
      <c r="A569">
        <f>SUMIFS(fact_batting_summary!G:G, fact_batting_summary!E:E, fact_batting_summary!E569)</f>
        <v>514</v>
      </c>
      <c r="B569" s="9">
        <f>AVERAGEIFS(fact_batting_summary!G:G, fact_batting_summary!E:E,fact_batting_summary!E569)</f>
        <v>13.526315789473685</v>
      </c>
      <c r="C569">
        <v>4</v>
      </c>
    </row>
    <row r="570" spans="1:3" x14ac:dyDescent="0.45">
      <c r="A570">
        <f>SUMIFS(fact_batting_summary!G:G, fact_batting_summary!E:E, fact_batting_summary!E570)</f>
        <v>389</v>
      </c>
      <c r="B570" s="9">
        <f>AVERAGEIFS(fact_batting_summary!G:G, fact_batting_summary!E:E,fact_batting_summary!E570)</f>
        <v>16.208333333333332</v>
      </c>
      <c r="C570">
        <v>5</v>
      </c>
    </row>
    <row r="571" spans="1:3" x14ac:dyDescent="0.45">
      <c r="A571">
        <f>SUMIFS(fact_batting_summary!G:G, fact_batting_summary!E:E, fact_batting_summary!E571)</f>
        <v>1137</v>
      </c>
      <c r="B571" s="9">
        <f>AVERAGEIFS(fact_batting_summary!G:G, fact_batting_summary!E:E,fact_batting_summary!E571)</f>
        <v>34.454545454545453</v>
      </c>
      <c r="C571">
        <v>1</v>
      </c>
    </row>
    <row r="572" spans="1:3" x14ac:dyDescent="0.45">
      <c r="A572">
        <f>SUMIFS(fact_batting_summary!G:G, fact_batting_summary!E:E, fact_batting_summary!E572)</f>
        <v>463</v>
      </c>
      <c r="B572" s="9">
        <f>AVERAGEIFS(fact_batting_summary!G:G, fact_batting_summary!E:E,fact_batting_summary!E572)</f>
        <v>27.235294117647058</v>
      </c>
      <c r="C572">
        <v>2</v>
      </c>
    </row>
    <row r="573" spans="1:3" x14ac:dyDescent="0.45">
      <c r="A573">
        <f>SUMIFS(fact_batting_summary!G:G, fact_batting_summary!E:E, fact_batting_summary!E573)</f>
        <v>540</v>
      </c>
      <c r="B573" s="9">
        <f>AVERAGEIFS(fact_batting_summary!G:G, fact_batting_summary!E:E,fact_batting_summary!E573)</f>
        <v>23.478260869565219</v>
      </c>
      <c r="C573">
        <v>3</v>
      </c>
    </row>
    <row r="574" spans="1:3" x14ac:dyDescent="0.45">
      <c r="A574">
        <f>SUMIFS(fact_batting_summary!G:G, fact_batting_summary!E:E, fact_batting_summary!E574)</f>
        <v>416</v>
      </c>
      <c r="B574" s="9">
        <f>AVERAGEIFS(fact_batting_summary!G:G, fact_batting_summary!E:E,fact_batting_summary!E574)</f>
        <v>18.90909090909091</v>
      </c>
      <c r="C574">
        <v>4</v>
      </c>
    </row>
    <row r="575" spans="1:3" x14ac:dyDescent="0.45">
      <c r="A575">
        <f>SUMIFS(fact_batting_summary!G:G, fact_batting_summary!E:E, fact_batting_summary!E575)</f>
        <v>58</v>
      </c>
      <c r="B575" s="9">
        <f>AVERAGEIFS(fact_batting_summary!G:G, fact_batting_summary!E:E,fact_batting_summary!E575)</f>
        <v>11.6</v>
      </c>
      <c r="C575">
        <v>5</v>
      </c>
    </row>
    <row r="576" spans="1:3" x14ac:dyDescent="0.45">
      <c r="A576">
        <f>SUMIFS(fact_batting_summary!G:G, fact_batting_summary!E:E, fact_batting_summary!E576)</f>
        <v>1593</v>
      </c>
      <c r="B576" s="9">
        <f>AVERAGEIFS(fact_batting_summary!G:G, fact_batting_summary!E:E,fact_batting_summary!E576)</f>
        <v>35.4</v>
      </c>
      <c r="C576">
        <v>1</v>
      </c>
    </row>
    <row r="577" spans="1:3" x14ac:dyDescent="0.45">
      <c r="A577">
        <f>SUMIFS(fact_batting_summary!G:G, fact_batting_summary!E:E, fact_batting_summary!E577)</f>
        <v>1831</v>
      </c>
      <c r="B577" s="9">
        <f>AVERAGEIFS(fact_batting_summary!G:G, fact_batting_summary!E:E,fact_batting_summary!E577)</f>
        <v>39.804347826086953</v>
      </c>
      <c r="C577">
        <v>2</v>
      </c>
    </row>
    <row r="578" spans="1:3" x14ac:dyDescent="0.45">
      <c r="A578">
        <f>SUMIFS(fact_batting_summary!G:G, fact_batting_summary!E:E, fact_batting_summary!E578)</f>
        <v>725</v>
      </c>
      <c r="B578" s="9">
        <f>AVERAGEIFS(fact_batting_summary!G:G, fact_batting_summary!E:E,fact_batting_summary!E578)</f>
        <v>20.714285714285715</v>
      </c>
      <c r="C578">
        <v>3</v>
      </c>
    </row>
    <row r="579" spans="1:3" x14ac:dyDescent="0.45">
      <c r="A579">
        <f>SUMIFS(fact_batting_summary!G:G, fact_batting_summary!E:E, fact_batting_summary!E579)</f>
        <v>533</v>
      </c>
      <c r="B579" s="9">
        <f>AVERAGEIFS(fact_batting_summary!G:G, fact_batting_summary!E:E,fact_batting_summary!E579)</f>
        <v>15.676470588235293</v>
      </c>
      <c r="C579">
        <v>4</v>
      </c>
    </row>
    <row r="580" spans="1:3" x14ac:dyDescent="0.45">
      <c r="A580">
        <f>SUMIFS(fact_batting_summary!G:G, fact_batting_summary!E:E, fact_batting_summary!E580)</f>
        <v>160</v>
      </c>
      <c r="B580" s="9">
        <f>AVERAGEIFS(fact_batting_summary!G:G, fact_batting_summary!E:E,fact_batting_summary!E580)</f>
        <v>14.545454545454545</v>
      </c>
      <c r="C580">
        <v>5</v>
      </c>
    </row>
    <row r="581" spans="1:3" x14ac:dyDescent="0.45">
      <c r="A581">
        <f>SUMIFS(fact_batting_summary!G:G, fact_batting_summary!E:E, fact_batting_summary!E581)</f>
        <v>1385</v>
      </c>
      <c r="B581" s="9">
        <f>AVERAGEIFS(fact_batting_summary!G:G, fact_batting_summary!E:E,fact_batting_summary!E581)</f>
        <v>30.777777777777779</v>
      </c>
      <c r="C581">
        <v>1</v>
      </c>
    </row>
    <row r="582" spans="1:3" x14ac:dyDescent="0.45">
      <c r="A582">
        <f>SUMIFS(fact_batting_summary!G:G, fact_batting_summary!E:E, fact_batting_summary!E582)</f>
        <v>1048</v>
      </c>
      <c r="B582" s="9">
        <f>AVERAGEIFS(fact_batting_summary!G:G, fact_batting_summary!E:E,fact_batting_summary!E582)</f>
        <v>24.952380952380953</v>
      </c>
      <c r="C582">
        <v>2</v>
      </c>
    </row>
    <row r="583" spans="1:3" x14ac:dyDescent="0.45">
      <c r="A583">
        <f>SUMIFS(fact_batting_summary!G:G, fact_batting_summary!E:E, fact_batting_summary!E583)</f>
        <v>404</v>
      </c>
      <c r="B583" s="9">
        <f>AVERAGEIFS(fact_batting_summary!G:G, fact_batting_summary!E:E,fact_batting_summary!E583)</f>
        <v>36.727272727272727</v>
      </c>
      <c r="C583">
        <v>3</v>
      </c>
    </row>
    <row r="584" spans="1:3" x14ac:dyDescent="0.45">
      <c r="A584">
        <f>SUMIFS(fact_batting_summary!G:G, fact_batting_summary!E:E, fact_batting_summary!E584)</f>
        <v>1214</v>
      </c>
      <c r="B584" s="9">
        <f>AVERAGEIFS(fact_batting_summary!G:G, fact_batting_summary!E:E,fact_batting_summary!E584)</f>
        <v>29.609756097560975</v>
      </c>
      <c r="C584">
        <v>4</v>
      </c>
    </row>
    <row r="585" spans="1:3" x14ac:dyDescent="0.45">
      <c r="A585">
        <f>SUMIFS(fact_batting_summary!G:G, fact_batting_summary!E:E, fact_batting_summary!E585)</f>
        <v>313</v>
      </c>
      <c r="B585" s="9">
        <f>AVERAGEIFS(fact_batting_summary!G:G, fact_batting_summary!E:E,fact_batting_summary!E585)</f>
        <v>22.357142857142858</v>
      </c>
      <c r="C585">
        <v>5</v>
      </c>
    </row>
    <row r="586" spans="1:3" x14ac:dyDescent="0.45">
      <c r="A586">
        <f>SUMIFS(fact_batting_summary!G:G, fact_batting_summary!E:E, fact_batting_summary!E586)</f>
        <v>192</v>
      </c>
      <c r="B586" s="9">
        <f>AVERAGEIFS(fact_batting_summary!G:G, fact_batting_summary!E:E,fact_batting_summary!E586)</f>
        <v>12</v>
      </c>
      <c r="C586">
        <v>6</v>
      </c>
    </row>
    <row r="587" spans="1:3" x14ac:dyDescent="0.45">
      <c r="A587">
        <f>SUMIFS(fact_batting_summary!G:G, fact_batting_summary!E:E, fact_batting_summary!E587)</f>
        <v>44</v>
      </c>
      <c r="B587" s="9">
        <f>AVERAGEIFS(fact_batting_summary!G:G, fact_batting_summary!E:E,fact_batting_summary!E587)</f>
        <v>3.6666666666666665</v>
      </c>
      <c r="C587">
        <v>7</v>
      </c>
    </row>
    <row r="588" spans="1:3" x14ac:dyDescent="0.45">
      <c r="A588">
        <f>SUMIFS(fact_batting_summary!G:G, fact_batting_summary!E:E, fact_batting_summary!E588)</f>
        <v>815</v>
      </c>
      <c r="B588" s="9">
        <f>AVERAGEIFS(fact_batting_summary!G:G, fact_batting_summary!E:E,fact_batting_summary!E588)</f>
        <v>25.46875</v>
      </c>
      <c r="C588">
        <v>1</v>
      </c>
    </row>
    <row r="589" spans="1:3" x14ac:dyDescent="0.45">
      <c r="A589">
        <f>SUMIFS(fact_batting_summary!G:G, fact_batting_summary!E:E, fact_batting_summary!E589)</f>
        <v>1392</v>
      </c>
      <c r="B589" s="9">
        <f>AVERAGEIFS(fact_batting_summary!G:G, fact_batting_summary!E:E,fact_batting_summary!E589)</f>
        <v>34.799999999999997</v>
      </c>
      <c r="C589">
        <v>2</v>
      </c>
    </row>
    <row r="590" spans="1:3" x14ac:dyDescent="0.45">
      <c r="A590">
        <f>SUMIFS(fact_batting_summary!G:G, fact_batting_summary!E:E, fact_batting_summary!E590)</f>
        <v>118</v>
      </c>
      <c r="B590" s="9">
        <f>AVERAGEIFS(fact_batting_summary!G:G, fact_batting_summary!E:E,fact_batting_summary!E590)</f>
        <v>19.666666666666668</v>
      </c>
      <c r="C590">
        <v>3</v>
      </c>
    </row>
    <row r="591" spans="1:3" x14ac:dyDescent="0.45">
      <c r="A591">
        <f>SUMIFS(fact_batting_summary!G:G, fact_batting_summary!E:E, fact_batting_summary!E591)</f>
        <v>722</v>
      </c>
      <c r="B591" s="9">
        <f>AVERAGEIFS(fact_batting_summary!G:G, fact_batting_summary!E:E,fact_batting_summary!E591)</f>
        <v>25.785714285714285</v>
      </c>
      <c r="C591">
        <v>4</v>
      </c>
    </row>
    <row r="592" spans="1:3" x14ac:dyDescent="0.45">
      <c r="A592">
        <f>SUMIFS(fact_batting_summary!G:G, fact_batting_summary!E:E, fact_batting_summary!E592)</f>
        <v>645</v>
      </c>
      <c r="B592" s="9">
        <f>AVERAGEIFS(fact_batting_summary!G:G, fact_batting_summary!E:E,fact_batting_summary!E592)</f>
        <v>21.5</v>
      </c>
      <c r="C592">
        <v>5</v>
      </c>
    </row>
    <row r="593" spans="1:3" x14ac:dyDescent="0.45">
      <c r="A593">
        <f>SUMIFS(fact_batting_summary!G:G, fact_batting_summary!E:E, fact_batting_summary!E593)</f>
        <v>854</v>
      </c>
      <c r="B593" s="9">
        <f>AVERAGEIFS(fact_batting_summary!G:G, fact_batting_summary!E:E,fact_batting_summary!E593)</f>
        <v>21.35</v>
      </c>
      <c r="C593">
        <v>6</v>
      </c>
    </row>
    <row r="594" spans="1:3" x14ac:dyDescent="0.45">
      <c r="A594">
        <f>SUMIFS(fact_batting_summary!G:G, fact_batting_summary!E:E, fact_batting_summary!E594)</f>
        <v>1516</v>
      </c>
      <c r="B594" s="9">
        <f>AVERAGEIFS(fact_batting_summary!G:G, fact_batting_summary!E:E,fact_batting_summary!E594)</f>
        <v>40.972972972972975</v>
      </c>
      <c r="C594">
        <v>1</v>
      </c>
    </row>
    <row r="595" spans="1:3" x14ac:dyDescent="0.45">
      <c r="A595">
        <f>SUMIFS(fact_batting_summary!G:G, fact_batting_summary!E:E, fact_batting_summary!E595)</f>
        <v>907</v>
      </c>
      <c r="B595" s="9">
        <f>AVERAGEIFS(fact_batting_summary!G:G, fact_batting_summary!E:E,fact_batting_summary!E595)</f>
        <v>26.676470588235293</v>
      </c>
      <c r="C595">
        <v>2</v>
      </c>
    </row>
    <row r="596" spans="1:3" x14ac:dyDescent="0.45">
      <c r="A596">
        <f>SUMIFS(fact_batting_summary!G:G, fact_batting_summary!E:E, fact_batting_summary!E596)</f>
        <v>193</v>
      </c>
      <c r="B596" s="9">
        <f>AVERAGEIFS(fact_batting_summary!G:G, fact_batting_summary!E:E,fact_batting_summary!E596)</f>
        <v>19.3</v>
      </c>
      <c r="C596">
        <v>3</v>
      </c>
    </row>
    <row r="597" spans="1:3" x14ac:dyDescent="0.45">
      <c r="A597">
        <f>SUMIFS(fact_batting_summary!G:G, fact_batting_summary!E:E, fact_batting_summary!E597)</f>
        <v>695</v>
      </c>
      <c r="B597" s="9">
        <f>AVERAGEIFS(fact_batting_summary!G:G, fact_batting_summary!E:E,fact_batting_summary!E597)</f>
        <v>18.783783783783782</v>
      </c>
      <c r="C597">
        <v>4</v>
      </c>
    </row>
    <row r="598" spans="1:3" x14ac:dyDescent="0.45">
      <c r="A598">
        <f>SUMIFS(fact_batting_summary!G:G, fact_batting_summary!E:E, fact_batting_summary!E598)</f>
        <v>729</v>
      </c>
      <c r="B598" s="9">
        <f>AVERAGEIFS(fact_batting_summary!G:G, fact_batting_summary!E:E,fact_batting_summary!E598)</f>
        <v>19.184210526315791</v>
      </c>
      <c r="C598">
        <v>5</v>
      </c>
    </row>
    <row r="599" spans="1:3" x14ac:dyDescent="0.45">
      <c r="A599">
        <f>SUMIFS(fact_batting_summary!G:G, fact_batting_summary!E:E, fact_batting_summary!E599)</f>
        <v>31</v>
      </c>
      <c r="B599" s="9">
        <f>AVERAGEIFS(fact_batting_summary!G:G, fact_batting_summary!E:E,fact_batting_summary!E599)</f>
        <v>7.75</v>
      </c>
      <c r="C599">
        <v>6</v>
      </c>
    </row>
    <row r="600" spans="1:3" x14ac:dyDescent="0.45">
      <c r="A600">
        <f>SUMIFS(fact_batting_summary!G:G, fact_batting_summary!E:E, fact_batting_summary!E600)</f>
        <v>426</v>
      </c>
      <c r="B600" s="9">
        <f>AVERAGEIFS(fact_batting_summary!G:G, fact_batting_summary!E:E,fact_batting_summary!E600)</f>
        <v>13.741935483870968</v>
      </c>
      <c r="C600">
        <v>7</v>
      </c>
    </row>
    <row r="601" spans="1:3" x14ac:dyDescent="0.45">
      <c r="A601">
        <f>SUMIFS(fact_batting_summary!G:G, fact_batting_summary!E:E, fact_batting_summary!E601)</f>
        <v>49</v>
      </c>
      <c r="B601" s="9">
        <f>AVERAGEIFS(fact_batting_summary!G:G, fact_batting_summary!E:E,fact_batting_summary!E601)</f>
        <v>8.1666666666666661</v>
      </c>
      <c r="C601">
        <v>8</v>
      </c>
    </row>
    <row r="602" spans="1:3" x14ac:dyDescent="0.45">
      <c r="A602">
        <f>SUMIFS(fact_batting_summary!G:G, fact_batting_summary!E:E, fact_batting_summary!E602)</f>
        <v>21</v>
      </c>
      <c r="B602" s="9">
        <f>AVERAGEIFS(fact_batting_summary!G:G, fact_batting_summary!E:E,fact_batting_summary!E602)</f>
        <v>2.3333333333333335</v>
      </c>
      <c r="C602">
        <v>9</v>
      </c>
    </row>
    <row r="603" spans="1:3" x14ac:dyDescent="0.45">
      <c r="A603">
        <f>SUMIFS(fact_batting_summary!G:G, fact_batting_summary!E:E, fact_batting_summary!E603)</f>
        <v>18</v>
      </c>
      <c r="B603" s="9">
        <f>AVERAGEIFS(fact_batting_summary!G:G, fact_batting_summary!E:E,fact_batting_summary!E603)</f>
        <v>3</v>
      </c>
      <c r="C603">
        <v>10</v>
      </c>
    </row>
    <row r="604" spans="1:3" x14ac:dyDescent="0.45">
      <c r="A604">
        <f>SUMIFS(fact_batting_summary!G:G, fact_batting_summary!E:E, fact_batting_summary!E604)</f>
        <v>25</v>
      </c>
      <c r="B604" s="9">
        <f>AVERAGEIFS(fact_batting_summary!G:G, fact_batting_summary!E:E,fact_batting_summary!E604)</f>
        <v>2.5</v>
      </c>
      <c r="C604">
        <v>11</v>
      </c>
    </row>
    <row r="605" spans="1:3" x14ac:dyDescent="0.45">
      <c r="A605">
        <f>SUMIFS(fact_batting_summary!G:G, fact_batting_summary!E:E, fact_batting_summary!E605)</f>
        <v>1851</v>
      </c>
      <c r="B605" s="9">
        <f>AVERAGEIFS(fact_batting_summary!G:G, fact_batting_summary!E:E,fact_batting_summary!E605)</f>
        <v>37.020000000000003</v>
      </c>
      <c r="C605">
        <v>1</v>
      </c>
    </row>
    <row r="606" spans="1:3" x14ac:dyDescent="0.45">
      <c r="A606">
        <f>SUMIFS(fact_batting_summary!G:G, fact_batting_summary!E:E, fact_batting_summary!E606)</f>
        <v>1157</v>
      </c>
      <c r="B606" s="9">
        <f>AVERAGEIFS(fact_batting_summary!G:G, fact_batting_summary!E:E,fact_batting_summary!E606)</f>
        <v>26.295454545454547</v>
      </c>
      <c r="C606">
        <v>2</v>
      </c>
    </row>
    <row r="607" spans="1:3" x14ac:dyDescent="0.45">
      <c r="A607">
        <f>SUMIFS(fact_batting_summary!G:G, fact_batting_summary!E:E, fact_batting_summary!E607)</f>
        <v>1083</v>
      </c>
      <c r="B607" s="9">
        <f>AVERAGEIFS(fact_batting_summary!G:G, fact_batting_summary!E:E,fact_batting_summary!E607)</f>
        <v>25.186046511627907</v>
      </c>
      <c r="C607">
        <v>3</v>
      </c>
    </row>
    <row r="608" spans="1:3" x14ac:dyDescent="0.45">
      <c r="A608">
        <f>SUMIFS(fact_batting_summary!G:G, fact_batting_summary!E:E, fact_batting_summary!E608)</f>
        <v>154</v>
      </c>
      <c r="B608" s="9">
        <f>AVERAGEIFS(fact_batting_summary!G:G, fact_batting_summary!E:E,fact_batting_summary!E608)</f>
        <v>5.1333333333333337</v>
      </c>
      <c r="C608">
        <v>4</v>
      </c>
    </row>
    <row r="609" spans="1:3" x14ac:dyDescent="0.45">
      <c r="A609">
        <f>SUMIFS(fact_batting_summary!G:G, fact_batting_summary!E:E, fact_batting_summary!E609)</f>
        <v>133</v>
      </c>
      <c r="B609" s="9">
        <f>AVERAGEIFS(fact_batting_summary!G:G, fact_batting_summary!E:E,fact_batting_summary!E609)</f>
        <v>8.3125</v>
      </c>
      <c r="C609">
        <v>5</v>
      </c>
    </row>
    <row r="610" spans="1:3" x14ac:dyDescent="0.45">
      <c r="A610">
        <f>SUMIFS(fact_batting_summary!G:G, fact_batting_summary!E:E, fact_batting_summary!E610)</f>
        <v>745</v>
      </c>
      <c r="B610" s="9">
        <f>AVERAGEIFS(fact_batting_summary!G:G, fact_batting_summary!E:E,fact_batting_summary!E610)</f>
        <v>21.285714285714285</v>
      </c>
      <c r="C610">
        <v>6</v>
      </c>
    </row>
    <row r="611" spans="1:3" x14ac:dyDescent="0.45">
      <c r="A611">
        <f>SUMIFS(fact_batting_summary!G:G, fact_batting_summary!E:E, fact_batting_summary!E611)</f>
        <v>693</v>
      </c>
      <c r="B611" s="9">
        <f>AVERAGEIFS(fact_batting_summary!G:G, fact_batting_summary!E:E,fact_batting_summary!E611)</f>
        <v>15.75</v>
      </c>
      <c r="C611">
        <v>7</v>
      </c>
    </row>
    <row r="612" spans="1:3" x14ac:dyDescent="0.45">
      <c r="A612">
        <f>SUMIFS(fact_batting_summary!G:G, fact_batting_summary!E:E, fact_batting_summary!E612)</f>
        <v>1593</v>
      </c>
      <c r="B612" s="9">
        <f>AVERAGEIFS(fact_batting_summary!G:G, fact_batting_summary!E:E,fact_batting_summary!E612)</f>
        <v>35.4</v>
      </c>
      <c r="C612">
        <v>1</v>
      </c>
    </row>
    <row r="613" spans="1:3" x14ac:dyDescent="0.45">
      <c r="A613">
        <f>SUMIFS(fact_batting_summary!G:G, fact_batting_summary!E:E, fact_batting_summary!E613)</f>
        <v>1831</v>
      </c>
      <c r="B613" s="9">
        <f>AVERAGEIFS(fact_batting_summary!G:G, fact_batting_summary!E:E,fact_batting_summary!E613)</f>
        <v>39.804347826086953</v>
      </c>
      <c r="C613">
        <v>2</v>
      </c>
    </row>
    <row r="614" spans="1:3" x14ac:dyDescent="0.45">
      <c r="A614">
        <f>SUMIFS(fact_batting_summary!G:G, fact_batting_summary!E:E, fact_batting_summary!E614)</f>
        <v>160</v>
      </c>
      <c r="B614" s="9">
        <f>AVERAGEIFS(fact_batting_summary!G:G, fact_batting_summary!E:E,fact_batting_summary!E614)</f>
        <v>14.545454545454545</v>
      </c>
      <c r="C614">
        <v>3</v>
      </c>
    </row>
    <row r="615" spans="1:3" x14ac:dyDescent="0.45">
      <c r="A615">
        <f>SUMIFS(fact_batting_summary!G:G, fact_batting_summary!E:E, fact_batting_summary!E615)</f>
        <v>689</v>
      </c>
      <c r="B615" s="9">
        <f>AVERAGEIFS(fact_batting_summary!G:G, fact_batting_summary!E:E,fact_batting_summary!E615)</f>
        <v>19.138888888888889</v>
      </c>
      <c r="C615">
        <v>4</v>
      </c>
    </row>
    <row r="616" spans="1:3" x14ac:dyDescent="0.45">
      <c r="A616">
        <f>SUMIFS(fact_batting_summary!G:G, fact_batting_summary!E:E, fact_batting_summary!E616)</f>
        <v>533</v>
      </c>
      <c r="B616" s="9">
        <f>AVERAGEIFS(fact_batting_summary!G:G, fact_batting_summary!E:E,fact_batting_summary!E616)</f>
        <v>15.676470588235293</v>
      </c>
      <c r="C616">
        <v>5</v>
      </c>
    </row>
    <row r="617" spans="1:3" x14ac:dyDescent="0.45">
      <c r="A617">
        <f>SUMIFS(fact_batting_summary!G:G, fact_batting_summary!E:E, fact_batting_summary!E617)</f>
        <v>450</v>
      </c>
      <c r="B617" s="9">
        <f>AVERAGEIFS(fact_batting_summary!G:G, fact_batting_summary!E:E,fact_batting_summary!E617)</f>
        <v>12.5</v>
      </c>
      <c r="C617">
        <v>6</v>
      </c>
    </row>
    <row r="618" spans="1:3" x14ac:dyDescent="0.45">
      <c r="A618">
        <f>SUMIFS(fact_batting_summary!G:G, fact_batting_summary!E:E, fact_batting_summary!E618)</f>
        <v>1385</v>
      </c>
      <c r="B618" s="9">
        <f>AVERAGEIFS(fact_batting_summary!G:G, fact_batting_summary!E:E,fact_batting_summary!E618)</f>
        <v>30.777777777777779</v>
      </c>
      <c r="C618">
        <v>1</v>
      </c>
    </row>
    <row r="619" spans="1:3" x14ac:dyDescent="0.45">
      <c r="A619">
        <f>SUMIFS(fact_batting_summary!G:G, fact_batting_summary!E:E, fact_batting_summary!E619)</f>
        <v>1048</v>
      </c>
      <c r="B619" s="9">
        <f>AVERAGEIFS(fact_batting_summary!G:G, fact_batting_summary!E:E,fact_batting_summary!E619)</f>
        <v>24.952380952380953</v>
      </c>
      <c r="C619">
        <v>2</v>
      </c>
    </row>
    <row r="620" spans="1:3" x14ac:dyDescent="0.45">
      <c r="A620">
        <f>SUMIFS(fact_batting_summary!G:G, fact_batting_summary!E:E, fact_batting_summary!E620)</f>
        <v>192</v>
      </c>
      <c r="B620" s="9">
        <f>AVERAGEIFS(fact_batting_summary!G:G, fact_batting_summary!E:E,fact_batting_summary!E620)</f>
        <v>12</v>
      </c>
      <c r="C620">
        <v>3</v>
      </c>
    </row>
    <row r="621" spans="1:3" x14ac:dyDescent="0.45">
      <c r="A621">
        <f>SUMIFS(fact_batting_summary!G:G, fact_batting_summary!E:E, fact_batting_summary!E621)</f>
        <v>1214</v>
      </c>
      <c r="B621" s="9">
        <f>AVERAGEIFS(fact_batting_summary!G:G, fact_batting_summary!E:E,fact_batting_summary!E621)</f>
        <v>29.609756097560975</v>
      </c>
      <c r="C621">
        <v>4</v>
      </c>
    </row>
    <row r="622" spans="1:3" x14ac:dyDescent="0.45">
      <c r="A622">
        <f>SUMIFS(fact_batting_summary!G:G, fact_batting_summary!E:E, fact_batting_summary!E622)</f>
        <v>313</v>
      </c>
      <c r="B622" s="9">
        <f>AVERAGEIFS(fact_batting_summary!G:G, fact_batting_summary!E:E,fact_batting_summary!E622)</f>
        <v>22.357142857142858</v>
      </c>
      <c r="C622">
        <v>5</v>
      </c>
    </row>
    <row r="623" spans="1:3" x14ac:dyDescent="0.45">
      <c r="A623">
        <f>SUMIFS(fact_batting_summary!G:G, fact_batting_summary!E:E, fact_batting_summary!E623)</f>
        <v>14</v>
      </c>
      <c r="B623" s="9">
        <f>AVERAGEIFS(fact_batting_summary!G:G, fact_batting_summary!E:E,fact_batting_summary!E623)</f>
        <v>2</v>
      </c>
      <c r="C623">
        <v>6</v>
      </c>
    </row>
    <row r="624" spans="1:3" x14ac:dyDescent="0.45">
      <c r="A624">
        <f>SUMIFS(fact_batting_summary!G:G, fact_batting_summary!E:E, fact_batting_summary!E624)</f>
        <v>65</v>
      </c>
      <c r="B624" s="9">
        <f>AVERAGEIFS(fact_batting_summary!G:G, fact_batting_summary!E:E,fact_batting_summary!E624)</f>
        <v>9.2857142857142865</v>
      </c>
      <c r="C624">
        <v>7</v>
      </c>
    </row>
    <row r="625" spans="1:3" x14ac:dyDescent="0.45">
      <c r="A625">
        <f>SUMIFS(fact_batting_summary!G:G, fact_batting_summary!E:E, fact_batting_summary!E625)</f>
        <v>108</v>
      </c>
      <c r="B625" s="9">
        <f>AVERAGEIFS(fact_batting_summary!G:G, fact_batting_summary!E:E,fact_batting_summary!E625)</f>
        <v>6</v>
      </c>
      <c r="C625">
        <v>8</v>
      </c>
    </row>
    <row r="626" spans="1:3" x14ac:dyDescent="0.45">
      <c r="A626">
        <f>SUMIFS(fact_batting_summary!G:G, fact_batting_summary!E:E, fact_batting_summary!E626)</f>
        <v>4</v>
      </c>
      <c r="B626" s="9">
        <f>AVERAGEIFS(fact_batting_summary!G:G, fact_batting_summary!E:E,fact_batting_summary!E626)</f>
        <v>2</v>
      </c>
      <c r="C626">
        <v>9</v>
      </c>
    </row>
    <row r="627" spans="1:3" x14ac:dyDescent="0.45">
      <c r="A627">
        <f>SUMIFS(fact_batting_summary!G:G, fact_batting_summary!E:E, fact_batting_summary!E627)</f>
        <v>15</v>
      </c>
      <c r="B627" s="9">
        <f>AVERAGEIFS(fact_batting_summary!G:G, fact_batting_summary!E:E,fact_batting_summary!E627)</f>
        <v>3.75</v>
      </c>
      <c r="C627">
        <v>10</v>
      </c>
    </row>
    <row r="628" spans="1:3" x14ac:dyDescent="0.45">
      <c r="A628">
        <f>SUMIFS(fact_batting_summary!G:G, fact_batting_summary!E:E, fact_batting_summary!E628)</f>
        <v>51</v>
      </c>
      <c r="B628" s="9">
        <f>AVERAGEIFS(fact_batting_summary!G:G, fact_batting_summary!E:E,fact_batting_summary!E628)</f>
        <v>4.6363636363636367</v>
      </c>
      <c r="C628">
        <v>11</v>
      </c>
    </row>
    <row r="629" spans="1:3" x14ac:dyDescent="0.45">
      <c r="A629">
        <f>SUMIFS(fact_batting_summary!G:G, fact_batting_summary!E:E, fact_batting_summary!E629)</f>
        <v>1157</v>
      </c>
      <c r="B629" s="9">
        <f>AVERAGEIFS(fact_batting_summary!G:G, fact_batting_summary!E:E,fact_batting_summary!E629)</f>
        <v>26.295454545454547</v>
      </c>
      <c r="C629">
        <v>1</v>
      </c>
    </row>
    <row r="630" spans="1:3" x14ac:dyDescent="0.45">
      <c r="A630">
        <f>SUMIFS(fact_batting_summary!G:G, fact_batting_summary!E:E, fact_batting_summary!E630)</f>
        <v>1851</v>
      </c>
      <c r="B630" s="9">
        <f>AVERAGEIFS(fact_batting_summary!G:G, fact_batting_summary!E:E,fact_batting_summary!E630)</f>
        <v>37.020000000000003</v>
      </c>
      <c r="C630">
        <v>2</v>
      </c>
    </row>
    <row r="631" spans="1:3" x14ac:dyDescent="0.45">
      <c r="A631">
        <f>SUMIFS(fact_batting_summary!G:G, fact_batting_summary!E:E, fact_batting_summary!E631)</f>
        <v>1083</v>
      </c>
      <c r="B631" s="9">
        <f>AVERAGEIFS(fact_batting_summary!G:G, fact_batting_summary!E:E,fact_batting_summary!E631)</f>
        <v>25.186046511627907</v>
      </c>
      <c r="C631">
        <v>3</v>
      </c>
    </row>
    <row r="632" spans="1:3" x14ac:dyDescent="0.45">
      <c r="A632">
        <f>SUMIFS(fact_batting_summary!G:G, fact_batting_summary!E:E, fact_batting_summary!E632)</f>
        <v>154</v>
      </c>
      <c r="B632" s="9">
        <f>AVERAGEIFS(fact_batting_summary!G:G, fact_batting_summary!E:E,fact_batting_summary!E632)</f>
        <v>5.1333333333333337</v>
      </c>
      <c r="C632">
        <v>4</v>
      </c>
    </row>
    <row r="633" spans="1:3" x14ac:dyDescent="0.45">
      <c r="A633">
        <f>SUMIFS(fact_batting_summary!G:G, fact_batting_summary!E:E, fact_batting_summary!E633)</f>
        <v>133</v>
      </c>
      <c r="B633" s="9">
        <f>AVERAGEIFS(fact_batting_summary!G:G, fact_batting_summary!E:E,fact_batting_summary!E633)</f>
        <v>8.3125</v>
      </c>
      <c r="C633">
        <v>5</v>
      </c>
    </row>
    <row r="634" spans="1:3" x14ac:dyDescent="0.45">
      <c r="A634">
        <f>SUMIFS(fact_batting_summary!G:G, fact_batting_summary!E:E, fact_batting_summary!E634)</f>
        <v>693</v>
      </c>
      <c r="B634" s="9">
        <f>AVERAGEIFS(fact_batting_summary!G:G, fact_batting_summary!E:E,fact_batting_summary!E634)</f>
        <v>15.75</v>
      </c>
      <c r="C634">
        <v>6</v>
      </c>
    </row>
    <row r="635" spans="1:3" x14ac:dyDescent="0.45">
      <c r="A635">
        <f>SUMIFS(fact_batting_summary!G:G, fact_batting_summary!E:E, fact_batting_summary!E635)</f>
        <v>745</v>
      </c>
      <c r="B635" s="9">
        <f>AVERAGEIFS(fact_batting_summary!G:G, fact_batting_summary!E:E,fact_batting_summary!E635)</f>
        <v>21.285714285714285</v>
      </c>
      <c r="C635">
        <v>7</v>
      </c>
    </row>
    <row r="636" spans="1:3" x14ac:dyDescent="0.45">
      <c r="A636">
        <f>SUMIFS(fact_batting_summary!G:G, fact_batting_summary!E:E, fact_batting_summary!E636)</f>
        <v>156</v>
      </c>
      <c r="B636" s="9">
        <f>AVERAGEIFS(fact_batting_summary!G:G, fact_batting_summary!E:E,fact_batting_summary!E636)</f>
        <v>15.6</v>
      </c>
      <c r="C636">
        <v>8</v>
      </c>
    </row>
    <row r="637" spans="1:3" x14ac:dyDescent="0.45">
      <c r="A637">
        <f>SUMIFS(fact_batting_summary!G:G, fact_batting_summary!E:E, fact_batting_summary!E637)</f>
        <v>28</v>
      </c>
      <c r="B637" s="9">
        <f>AVERAGEIFS(fact_batting_summary!G:G, fact_batting_summary!E:E,fact_batting_summary!E637)</f>
        <v>5.6</v>
      </c>
      <c r="C637">
        <v>9</v>
      </c>
    </row>
    <row r="638" spans="1:3" x14ac:dyDescent="0.45">
      <c r="A638">
        <f>SUMIFS(fact_batting_summary!G:G, fact_batting_summary!E:E, fact_batting_summary!E638)</f>
        <v>6</v>
      </c>
      <c r="B638" s="9">
        <f>AVERAGEIFS(fact_batting_summary!G:G, fact_batting_summary!E:E,fact_batting_summary!E638)</f>
        <v>1.2</v>
      </c>
      <c r="C638">
        <v>10</v>
      </c>
    </row>
    <row r="639" spans="1:3" x14ac:dyDescent="0.45">
      <c r="A639">
        <f>SUMIFS(fact_batting_summary!G:G, fact_batting_summary!E:E, fact_batting_summary!E639)</f>
        <v>1509</v>
      </c>
      <c r="B639" s="9">
        <f>AVERAGEIFS(fact_batting_summary!G:G, fact_batting_summary!E:E,fact_batting_summary!E639)</f>
        <v>39.710526315789473</v>
      </c>
      <c r="C639">
        <v>1</v>
      </c>
    </row>
    <row r="640" spans="1:3" x14ac:dyDescent="0.45">
      <c r="A640">
        <f>SUMIFS(fact_batting_summary!G:G, fact_batting_summary!E:E, fact_batting_summary!E640)</f>
        <v>1132</v>
      </c>
      <c r="B640" s="9">
        <f>AVERAGEIFS(fact_batting_summary!G:G, fact_batting_summary!E:E,fact_batting_summary!E640)</f>
        <v>33.294117647058826</v>
      </c>
      <c r="C640">
        <v>2</v>
      </c>
    </row>
    <row r="641" spans="1:3" x14ac:dyDescent="0.45">
      <c r="A641">
        <f>SUMIFS(fact_batting_summary!G:G, fact_batting_summary!E:E, fact_batting_summary!E641)</f>
        <v>1304</v>
      </c>
      <c r="B641" s="9">
        <f>AVERAGEIFS(fact_batting_summary!G:G, fact_batting_summary!E:E,fact_batting_summary!E641)</f>
        <v>28.977777777777778</v>
      </c>
      <c r="C641">
        <v>3</v>
      </c>
    </row>
    <row r="642" spans="1:3" x14ac:dyDescent="0.45">
      <c r="A642">
        <f>SUMIFS(fact_batting_summary!G:G, fact_batting_summary!E:E, fact_batting_summary!E642)</f>
        <v>937</v>
      </c>
      <c r="B642" s="9">
        <f>AVERAGEIFS(fact_batting_summary!G:G, fact_batting_summary!E:E,fact_batting_summary!E642)</f>
        <v>27.558823529411764</v>
      </c>
      <c r="C642">
        <v>4</v>
      </c>
    </row>
    <row r="643" spans="1:3" x14ac:dyDescent="0.45">
      <c r="A643">
        <f>SUMIFS(fact_batting_summary!G:G, fact_batting_summary!E:E, fact_batting_summary!E643)</f>
        <v>459</v>
      </c>
      <c r="B643" s="9">
        <f>AVERAGEIFS(fact_batting_summary!G:G, fact_batting_summary!E:E,fact_batting_summary!E643)</f>
        <v>13.909090909090908</v>
      </c>
      <c r="C643">
        <v>5</v>
      </c>
    </row>
    <row r="644" spans="1:3" x14ac:dyDescent="0.45">
      <c r="A644">
        <f>SUMIFS(fact_batting_summary!G:G, fact_batting_summary!E:E, fact_batting_summary!E644)</f>
        <v>864</v>
      </c>
      <c r="B644" s="9">
        <f>AVERAGEIFS(fact_batting_summary!G:G, fact_batting_summary!E:E,fact_batting_summary!E644)</f>
        <v>23.351351351351351</v>
      </c>
      <c r="C644">
        <v>6</v>
      </c>
    </row>
    <row r="645" spans="1:3" x14ac:dyDescent="0.45">
      <c r="A645">
        <f>SUMIFS(fact_batting_summary!G:G, fact_batting_summary!E:E, fact_batting_summary!E645)</f>
        <v>948</v>
      </c>
      <c r="B645" s="9">
        <f>AVERAGEIFS(fact_batting_summary!G:G, fact_batting_summary!E:E,fact_batting_summary!E645)</f>
        <v>31.6</v>
      </c>
      <c r="C645">
        <v>1</v>
      </c>
    </row>
    <row r="646" spans="1:3" x14ac:dyDescent="0.45">
      <c r="A646">
        <f>SUMIFS(fact_batting_summary!G:G, fact_batting_summary!E:E, fact_batting_summary!E646)</f>
        <v>981</v>
      </c>
      <c r="B646" s="9">
        <f>AVERAGEIFS(fact_batting_summary!G:G, fact_batting_summary!E:E,fact_batting_summary!E646)</f>
        <v>22.813953488372093</v>
      </c>
      <c r="C646">
        <v>2</v>
      </c>
    </row>
    <row r="647" spans="1:3" x14ac:dyDescent="0.45">
      <c r="A647">
        <f>SUMIFS(fact_batting_summary!G:G, fact_batting_summary!E:E, fact_batting_summary!E647)</f>
        <v>1113</v>
      </c>
      <c r="B647" s="9">
        <f>AVERAGEIFS(fact_batting_summary!G:G, fact_batting_summary!E:E,fact_batting_summary!E647)</f>
        <v>28.53846153846154</v>
      </c>
      <c r="C647">
        <v>3</v>
      </c>
    </row>
    <row r="648" spans="1:3" x14ac:dyDescent="0.45">
      <c r="A648">
        <f>SUMIFS(fact_batting_summary!G:G, fact_batting_summary!E:E, fact_batting_summary!E648)</f>
        <v>1225</v>
      </c>
      <c r="B648" s="9">
        <f>AVERAGEIFS(fact_batting_summary!G:G, fact_batting_summary!E:E,fact_batting_summary!E648)</f>
        <v>32.236842105263158</v>
      </c>
      <c r="C648">
        <v>4</v>
      </c>
    </row>
    <row r="649" spans="1:3" x14ac:dyDescent="0.45">
      <c r="A649">
        <f>SUMIFS(fact_batting_summary!G:G, fact_batting_summary!E:E, fact_batting_summary!E649)</f>
        <v>389</v>
      </c>
      <c r="B649" s="9">
        <f>AVERAGEIFS(fact_batting_summary!G:G, fact_batting_summary!E:E,fact_batting_summary!E649)</f>
        <v>16.208333333333332</v>
      </c>
      <c r="C649">
        <v>5</v>
      </c>
    </row>
    <row r="650" spans="1:3" x14ac:dyDescent="0.45">
      <c r="A650">
        <f>SUMIFS(fact_batting_summary!G:G, fact_batting_summary!E:E, fact_batting_summary!E650)</f>
        <v>960</v>
      </c>
      <c r="B650" s="9">
        <f>AVERAGEIFS(fact_batting_summary!G:G, fact_batting_summary!E:E,fact_batting_summary!E650)</f>
        <v>23.414634146341463</v>
      </c>
      <c r="C650">
        <v>6</v>
      </c>
    </row>
    <row r="651" spans="1:3" x14ac:dyDescent="0.45">
      <c r="A651">
        <f>SUMIFS(fact_batting_summary!G:G, fact_batting_summary!E:E, fact_batting_summary!E651)</f>
        <v>514</v>
      </c>
      <c r="B651" s="9">
        <f>AVERAGEIFS(fact_batting_summary!G:G, fact_batting_summary!E:E,fact_batting_summary!E651)</f>
        <v>13.526315789473685</v>
      </c>
      <c r="C651">
        <v>7</v>
      </c>
    </row>
    <row r="652" spans="1:3" x14ac:dyDescent="0.45">
      <c r="A652">
        <f>SUMIFS(fact_batting_summary!G:G, fact_batting_summary!E:E, fact_batting_summary!E652)</f>
        <v>34</v>
      </c>
      <c r="B652" s="9">
        <f>AVERAGEIFS(fact_batting_summary!G:G, fact_batting_summary!E:E,fact_batting_summary!E652)</f>
        <v>11.333333333333334</v>
      </c>
      <c r="C652">
        <v>8</v>
      </c>
    </row>
    <row r="653" spans="1:3" x14ac:dyDescent="0.45">
      <c r="A653">
        <f>SUMIFS(fact_batting_summary!G:G, fact_batting_summary!E:E, fact_batting_summary!E653)</f>
        <v>1516</v>
      </c>
      <c r="B653" s="9">
        <f>AVERAGEIFS(fact_batting_summary!G:G, fact_batting_summary!E:E,fact_batting_summary!E653)</f>
        <v>40.972972972972975</v>
      </c>
      <c r="C653">
        <v>1</v>
      </c>
    </row>
    <row r="654" spans="1:3" x14ac:dyDescent="0.45">
      <c r="A654">
        <f>SUMIFS(fact_batting_summary!G:G, fact_batting_summary!E:E, fact_batting_summary!E654)</f>
        <v>907</v>
      </c>
      <c r="B654" s="9">
        <f>AVERAGEIFS(fact_batting_summary!G:G, fact_batting_summary!E:E,fact_batting_summary!E654)</f>
        <v>26.676470588235293</v>
      </c>
      <c r="C654">
        <v>2</v>
      </c>
    </row>
    <row r="655" spans="1:3" x14ac:dyDescent="0.45">
      <c r="A655">
        <f>SUMIFS(fact_batting_summary!G:G, fact_batting_summary!E:E, fact_batting_summary!E655)</f>
        <v>193</v>
      </c>
      <c r="B655" s="9">
        <f>AVERAGEIFS(fact_batting_summary!G:G, fact_batting_summary!E:E,fact_batting_summary!E655)</f>
        <v>19.3</v>
      </c>
      <c r="C655">
        <v>3</v>
      </c>
    </row>
    <row r="656" spans="1:3" x14ac:dyDescent="0.45">
      <c r="A656">
        <f>SUMIFS(fact_batting_summary!G:G, fact_batting_summary!E:E, fact_batting_summary!E656)</f>
        <v>1509</v>
      </c>
      <c r="B656" s="9">
        <f>AVERAGEIFS(fact_batting_summary!G:G, fact_batting_summary!E:E,fact_batting_summary!E656)</f>
        <v>39.710526315789473</v>
      </c>
      <c r="C656">
        <v>1</v>
      </c>
    </row>
    <row r="657" spans="1:3" x14ac:dyDescent="0.45">
      <c r="A657">
        <f>SUMIFS(fact_batting_summary!G:G, fact_batting_summary!E:E, fact_batting_summary!E657)</f>
        <v>61</v>
      </c>
      <c r="B657" s="9">
        <f>AVERAGEIFS(fact_batting_summary!G:G, fact_batting_summary!E:E,fact_batting_summary!E657)</f>
        <v>12.2</v>
      </c>
      <c r="C657">
        <v>2</v>
      </c>
    </row>
    <row r="658" spans="1:3" x14ac:dyDescent="0.45">
      <c r="A658">
        <f>SUMIFS(fact_batting_summary!G:G, fact_batting_summary!E:E, fact_batting_summary!E658)</f>
        <v>1304</v>
      </c>
      <c r="B658" s="9">
        <f>AVERAGEIFS(fact_batting_summary!G:G, fact_batting_summary!E:E,fact_batting_summary!E658)</f>
        <v>28.977777777777778</v>
      </c>
      <c r="C658">
        <v>3</v>
      </c>
    </row>
    <row r="659" spans="1:3" x14ac:dyDescent="0.45">
      <c r="A659">
        <f>SUMIFS(fact_batting_summary!G:G, fact_batting_summary!E:E, fact_batting_summary!E659)</f>
        <v>864</v>
      </c>
      <c r="B659" s="9">
        <f>AVERAGEIFS(fact_batting_summary!G:G, fact_batting_summary!E:E,fact_batting_summary!E659)</f>
        <v>23.351351351351351</v>
      </c>
      <c r="C659">
        <v>4</v>
      </c>
    </row>
    <row r="660" spans="1:3" x14ac:dyDescent="0.45">
      <c r="A660">
        <f>SUMIFS(fact_batting_summary!G:G, fact_batting_summary!E:E, fact_batting_summary!E660)</f>
        <v>937</v>
      </c>
      <c r="B660" s="9">
        <f>AVERAGEIFS(fact_batting_summary!G:G, fact_batting_summary!E:E,fact_batting_summary!E660)</f>
        <v>27.558823529411764</v>
      </c>
      <c r="C660">
        <v>5</v>
      </c>
    </row>
    <row r="661" spans="1:3" x14ac:dyDescent="0.45">
      <c r="A661">
        <f>SUMIFS(fact_batting_summary!G:G, fact_batting_summary!E:E, fact_batting_summary!E661)</f>
        <v>354</v>
      </c>
      <c r="B661" s="9">
        <f>AVERAGEIFS(fact_batting_summary!G:G, fact_batting_summary!E:E,fact_batting_summary!E661)</f>
        <v>11.419354838709678</v>
      </c>
      <c r="C661">
        <v>6</v>
      </c>
    </row>
    <row r="662" spans="1:3" x14ac:dyDescent="0.45">
      <c r="A662">
        <f>SUMIFS(fact_batting_summary!G:G, fact_batting_summary!E:E, fact_batting_summary!E662)</f>
        <v>459</v>
      </c>
      <c r="B662" s="9">
        <f>AVERAGEIFS(fact_batting_summary!G:G, fact_batting_summary!E:E,fact_batting_summary!E662)</f>
        <v>13.909090909090908</v>
      </c>
      <c r="C662">
        <v>7</v>
      </c>
    </row>
    <row r="663" spans="1:3" x14ac:dyDescent="0.45">
      <c r="A663">
        <f>SUMIFS(fact_batting_summary!G:G, fact_batting_summary!E:E, fact_batting_summary!E663)</f>
        <v>67</v>
      </c>
      <c r="B663" s="9">
        <f>AVERAGEIFS(fact_batting_summary!G:G, fact_batting_summary!E:E,fact_batting_summary!E663)</f>
        <v>9.5714285714285712</v>
      </c>
      <c r="C663">
        <v>8</v>
      </c>
    </row>
    <row r="664" spans="1:3" x14ac:dyDescent="0.45">
      <c r="A664">
        <f>SUMIFS(fact_batting_summary!G:G, fact_batting_summary!E:E, fact_batting_summary!E664)</f>
        <v>16</v>
      </c>
      <c r="B664" s="9">
        <f>AVERAGEIFS(fact_batting_summary!G:G, fact_batting_summary!E:E,fact_batting_summary!E664)</f>
        <v>5.333333333333333</v>
      </c>
      <c r="C664">
        <v>9</v>
      </c>
    </row>
    <row r="665" spans="1:3" x14ac:dyDescent="0.45">
      <c r="A665">
        <f>SUMIFS(fact_batting_summary!G:G, fact_batting_summary!E:E, fact_batting_summary!E665)</f>
        <v>20</v>
      </c>
      <c r="B665" s="9">
        <f>AVERAGEIFS(fact_batting_summary!G:G, fact_batting_summary!E:E,fact_batting_summary!E665)</f>
        <v>2.5</v>
      </c>
      <c r="C665">
        <v>10</v>
      </c>
    </row>
    <row r="666" spans="1:3" x14ac:dyDescent="0.45">
      <c r="A666">
        <f>SUMIFS(fact_batting_summary!G:G, fact_batting_summary!E:E, fact_batting_summary!E666)</f>
        <v>12</v>
      </c>
      <c r="B666" s="9">
        <f>AVERAGEIFS(fact_batting_summary!G:G, fact_batting_summary!E:E,fact_batting_summary!E666)</f>
        <v>1.7142857142857142</v>
      </c>
      <c r="C666">
        <v>11</v>
      </c>
    </row>
    <row r="667" spans="1:3" x14ac:dyDescent="0.45">
      <c r="A667">
        <f>SUMIFS(fact_batting_summary!G:G, fact_batting_summary!E:E, fact_batting_summary!E667)</f>
        <v>1385</v>
      </c>
      <c r="B667" s="9">
        <f>AVERAGEIFS(fact_batting_summary!G:G, fact_batting_summary!E:E,fact_batting_summary!E667)</f>
        <v>30.777777777777779</v>
      </c>
      <c r="C667">
        <v>1</v>
      </c>
    </row>
    <row r="668" spans="1:3" x14ac:dyDescent="0.45">
      <c r="A668">
        <f>SUMIFS(fact_batting_summary!G:G, fact_batting_summary!E:E, fact_batting_summary!E668)</f>
        <v>1048</v>
      </c>
      <c r="B668" s="9">
        <f>AVERAGEIFS(fact_batting_summary!G:G, fact_batting_summary!E:E,fact_batting_summary!E668)</f>
        <v>24.952380952380953</v>
      </c>
      <c r="C668">
        <v>2</v>
      </c>
    </row>
    <row r="669" spans="1:3" x14ac:dyDescent="0.45">
      <c r="A669">
        <f>SUMIFS(fact_batting_summary!G:G, fact_batting_summary!E:E, fact_batting_summary!E669)</f>
        <v>1593</v>
      </c>
      <c r="B669" s="9">
        <f>AVERAGEIFS(fact_batting_summary!G:G, fact_batting_summary!E:E,fact_batting_summary!E669)</f>
        <v>35.4</v>
      </c>
      <c r="C669">
        <v>1</v>
      </c>
    </row>
    <row r="670" spans="1:3" x14ac:dyDescent="0.45">
      <c r="A670">
        <f>SUMIFS(fact_batting_summary!G:G, fact_batting_summary!E:E, fact_batting_summary!E670)</f>
        <v>1831</v>
      </c>
      <c r="B670" s="9">
        <f>AVERAGEIFS(fact_batting_summary!G:G, fact_batting_summary!E:E,fact_batting_summary!E670)</f>
        <v>39.804347826086953</v>
      </c>
      <c r="C670">
        <v>2</v>
      </c>
    </row>
    <row r="671" spans="1:3" x14ac:dyDescent="0.45">
      <c r="A671">
        <f>SUMIFS(fact_batting_summary!G:G, fact_batting_summary!E:E, fact_batting_summary!E671)</f>
        <v>725</v>
      </c>
      <c r="B671" s="9">
        <f>AVERAGEIFS(fact_batting_summary!G:G, fact_batting_summary!E:E,fact_batting_summary!E671)</f>
        <v>20.714285714285715</v>
      </c>
      <c r="C671">
        <v>3</v>
      </c>
    </row>
    <row r="672" spans="1:3" x14ac:dyDescent="0.45">
      <c r="A672">
        <f>SUMIFS(fact_batting_summary!G:G, fact_batting_summary!E:E, fact_batting_summary!E672)</f>
        <v>450</v>
      </c>
      <c r="B672" s="9">
        <f>AVERAGEIFS(fact_batting_summary!G:G, fact_batting_summary!E:E,fact_batting_summary!E672)</f>
        <v>12.5</v>
      </c>
      <c r="C672">
        <v>4</v>
      </c>
    </row>
    <row r="673" spans="1:3" x14ac:dyDescent="0.45">
      <c r="A673">
        <f>SUMIFS(fact_batting_summary!G:G, fact_batting_summary!E:E, fact_batting_summary!E673)</f>
        <v>533</v>
      </c>
      <c r="B673" s="9">
        <f>AVERAGEIFS(fact_batting_summary!G:G, fact_batting_summary!E:E,fact_batting_summary!E673)</f>
        <v>15.676470588235293</v>
      </c>
      <c r="C673">
        <v>5</v>
      </c>
    </row>
    <row r="674" spans="1:3" x14ac:dyDescent="0.45">
      <c r="A674">
        <f>SUMIFS(fact_batting_summary!G:G, fact_batting_summary!E:E, fact_batting_summary!E674)</f>
        <v>1157</v>
      </c>
      <c r="B674" s="9">
        <f>AVERAGEIFS(fact_batting_summary!G:G, fact_batting_summary!E:E,fact_batting_summary!E674)</f>
        <v>26.295454545454547</v>
      </c>
      <c r="C674">
        <v>1</v>
      </c>
    </row>
    <row r="675" spans="1:3" x14ac:dyDescent="0.45">
      <c r="A675">
        <f>SUMIFS(fact_batting_summary!G:G, fact_batting_summary!E:E, fact_batting_summary!E675)</f>
        <v>1851</v>
      </c>
      <c r="B675" s="9">
        <f>AVERAGEIFS(fact_batting_summary!G:G, fact_batting_summary!E:E,fact_batting_summary!E675)</f>
        <v>37.020000000000003</v>
      </c>
      <c r="C675">
        <v>2</v>
      </c>
    </row>
    <row r="676" spans="1:3" x14ac:dyDescent="0.45">
      <c r="A676">
        <f>SUMIFS(fact_batting_summary!G:G, fact_batting_summary!E:E, fact_batting_summary!E676)</f>
        <v>1083</v>
      </c>
      <c r="B676" s="9">
        <f>AVERAGEIFS(fact_batting_summary!G:G, fact_batting_summary!E:E,fact_batting_summary!E676)</f>
        <v>25.186046511627907</v>
      </c>
      <c r="C676">
        <v>3</v>
      </c>
    </row>
    <row r="677" spans="1:3" x14ac:dyDescent="0.45">
      <c r="A677">
        <f>SUMIFS(fact_batting_summary!G:G, fact_batting_summary!E:E, fact_batting_summary!E677)</f>
        <v>133</v>
      </c>
      <c r="B677" s="9">
        <f>AVERAGEIFS(fact_batting_summary!G:G, fact_batting_summary!E:E,fact_batting_summary!E677)</f>
        <v>8.3125</v>
      </c>
      <c r="C677">
        <v>4</v>
      </c>
    </row>
    <row r="678" spans="1:3" x14ac:dyDescent="0.45">
      <c r="A678">
        <f>SUMIFS(fact_batting_summary!G:G, fact_batting_summary!E:E, fact_batting_summary!E678)</f>
        <v>154</v>
      </c>
      <c r="B678" s="9">
        <f>AVERAGEIFS(fact_batting_summary!G:G, fact_batting_summary!E:E,fact_batting_summary!E678)</f>
        <v>5.1333333333333337</v>
      </c>
      <c r="C678">
        <v>5</v>
      </c>
    </row>
    <row r="679" spans="1:3" x14ac:dyDescent="0.45">
      <c r="A679">
        <f>SUMIFS(fact_batting_summary!G:G, fact_batting_summary!E:E, fact_batting_summary!E679)</f>
        <v>693</v>
      </c>
      <c r="B679" s="9">
        <f>AVERAGEIFS(fact_batting_summary!G:G, fact_batting_summary!E:E,fact_batting_summary!E679)</f>
        <v>15.75</v>
      </c>
      <c r="C679">
        <v>6</v>
      </c>
    </row>
    <row r="680" spans="1:3" x14ac:dyDescent="0.45">
      <c r="A680">
        <f>SUMIFS(fact_batting_summary!G:G, fact_batting_summary!E:E, fact_batting_summary!E680)</f>
        <v>745</v>
      </c>
      <c r="B680" s="9">
        <f>AVERAGEIFS(fact_batting_summary!G:G, fact_batting_summary!E:E,fact_batting_summary!E680)</f>
        <v>21.285714285714285</v>
      </c>
      <c r="C680">
        <v>7</v>
      </c>
    </row>
    <row r="681" spans="1:3" x14ac:dyDescent="0.45">
      <c r="A681">
        <f>SUMIFS(fact_batting_summary!G:G, fact_batting_summary!E:E, fact_batting_summary!E681)</f>
        <v>156</v>
      </c>
      <c r="B681" s="9">
        <f>AVERAGEIFS(fact_batting_summary!G:G, fact_batting_summary!E:E,fact_batting_summary!E681)</f>
        <v>15.6</v>
      </c>
      <c r="C681">
        <v>8</v>
      </c>
    </row>
    <row r="682" spans="1:3" x14ac:dyDescent="0.45">
      <c r="A682">
        <f>SUMIFS(fact_batting_summary!G:G, fact_batting_summary!E:E, fact_batting_summary!E682)</f>
        <v>0</v>
      </c>
      <c r="B682" s="9">
        <f>AVERAGEIFS(fact_batting_summary!G:G, fact_batting_summary!E:E,fact_batting_summary!E682)</f>
        <v>0</v>
      </c>
      <c r="C682">
        <v>9</v>
      </c>
    </row>
    <row r="683" spans="1:3" x14ac:dyDescent="0.45">
      <c r="A683">
        <f>SUMIFS(fact_batting_summary!G:G, fact_batting_summary!E:E, fact_batting_summary!E683)</f>
        <v>15</v>
      </c>
      <c r="B683" s="9">
        <f>AVERAGEIFS(fact_batting_summary!G:G, fact_batting_summary!E:E,fact_batting_summary!E683)</f>
        <v>1.6666666666666667</v>
      </c>
      <c r="C683">
        <v>10</v>
      </c>
    </row>
    <row r="684" spans="1:3" x14ac:dyDescent="0.45">
      <c r="A684">
        <f>SUMIFS(fact_batting_summary!G:G, fact_batting_summary!E:E, fact_batting_summary!E684)</f>
        <v>6</v>
      </c>
      <c r="B684" s="9">
        <f>AVERAGEIFS(fact_batting_summary!G:G, fact_batting_summary!E:E,fact_batting_summary!E684)</f>
        <v>1.2</v>
      </c>
      <c r="C684">
        <v>11</v>
      </c>
    </row>
    <row r="685" spans="1:3" x14ac:dyDescent="0.45">
      <c r="A685">
        <f>SUMIFS(fact_batting_summary!G:G, fact_batting_summary!E:E, fact_batting_summary!E685)</f>
        <v>1516</v>
      </c>
      <c r="B685" s="9">
        <f>AVERAGEIFS(fact_batting_summary!G:G, fact_batting_summary!E:E,fact_batting_summary!E685)</f>
        <v>40.972972972972975</v>
      </c>
      <c r="C685">
        <v>1</v>
      </c>
    </row>
    <row r="686" spans="1:3" x14ac:dyDescent="0.45">
      <c r="A686">
        <f>SUMIFS(fact_batting_summary!G:G, fact_batting_summary!E:E, fact_batting_summary!E686)</f>
        <v>907</v>
      </c>
      <c r="B686" s="9">
        <f>AVERAGEIFS(fact_batting_summary!G:G, fact_batting_summary!E:E,fact_batting_summary!E686)</f>
        <v>26.676470588235293</v>
      </c>
      <c r="C686">
        <v>2</v>
      </c>
    </row>
    <row r="687" spans="1:3" x14ac:dyDescent="0.45">
      <c r="A687">
        <f>SUMIFS(fact_batting_summary!G:G, fact_batting_summary!E:E, fact_batting_summary!E687)</f>
        <v>193</v>
      </c>
      <c r="B687" s="9">
        <f>AVERAGEIFS(fact_batting_summary!G:G, fact_batting_summary!E:E,fact_batting_summary!E687)</f>
        <v>19.3</v>
      </c>
      <c r="C687">
        <v>3</v>
      </c>
    </row>
    <row r="688" spans="1:3" x14ac:dyDescent="0.45">
      <c r="A688">
        <f>SUMIFS(fact_batting_summary!G:G, fact_batting_summary!E:E, fact_batting_summary!E688)</f>
        <v>729</v>
      </c>
      <c r="B688" s="9">
        <f>AVERAGEIFS(fact_batting_summary!G:G, fact_batting_summary!E:E,fact_batting_summary!E688)</f>
        <v>19.184210526315791</v>
      </c>
      <c r="C688">
        <v>4</v>
      </c>
    </row>
    <row r="689" spans="1:3" x14ac:dyDescent="0.45">
      <c r="A689">
        <f>SUMIFS(fact_batting_summary!G:G, fact_batting_summary!E:E, fact_batting_summary!E689)</f>
        <v>695</v>
      </c>
      <c r="B689" s="9">
        <f>AVERAGEIFS(fact_batting_summary!G:G, fact_batting_summary!E:E,fact_batting_summary!E689)</f>
        <v>18.783783783783782</v>
      </c>
      <c r="C689">
        <v>5</v>
      </c>
    </row>
    <row r="690" spans="1:3" x14ac:dyDescent="0.45">
      <c r="A690">
        <f>SUMIFS(fact_batting_summary!G:G, fact_batting_summary!E:E, fact_batting_summary!E690)</f>
        <v>31</v>
      </c>
      <c r="B690" s="9">
        <f>AVERAGEIFS(fact_batting_summary!G:G, fact_batting_summary!E:E,fact_batting_summary!E690)</f>
        <v>7.75</v>
      </c>
      <c r="C690">
        <v>6</v>
      </c>
    </row>
    <row r="691" spans="1:3" x14ac:dyDescent="0.45">
      <c r="A691">
        <f>SUMIFS(fact_batting_summary!G:G, fact_batting_summary!E:E, fact_batting_summary!E691)</f>
        <v>426</v>
      </c>
      <c r="B691" s="9">
        <f>AVERAGEIFS(fact_batting_summary!G:G, fact_batting_summary!E:E,fact_batting_summary!E691)</f>
        <v>13.741935483870968</v>
      </c>
      <c r="C691">
        <v>7</v>
      </c>
    </row>
    <row r="692" spans="1:3" x14ac:dyDescent="0.45">
      <c r="A692">
        <f>SUMIFS(fact_batting_summary!G:G, fact_batting_summary!E:E, fact_batting_summary!E692)</f>
        <v>14</v>
      </c>
      <c r="B692" s="9">
        <f>AVERAGEIFS(fact_batting_summary!G:G, fact_batting_summary!E:E,fact_batting_summary!E692)</f>
        <v>3.5</v>
      </c>
      <c r="C692">
        <v>8</v>
      </c>
    </row>
    <row r="693" spans="1:3" x14ac:dyDescent="0.45">
      <c r="A693">
        <f>SUMIFS(fact_batting_summary!G:G, fact_batting_summary!E:E, fact_batting_summary!E693)</f>
        <v>27</v>
      </c>
      <c r="B693" s="9">
        <f>AVERAGEIFS(fact_batting_summary!G:G, fact_batting_summary!E:E,fact_batting_summary!E693)</f>
        <v>3.8571428571428572</v>
      </c>
      <c r="C693">
        <v>9</v>
      </c>
    </row>
    <row r="694" spans="1:3" x14ac:dyDescent="0.45">
      <c r="A694">
        <f>SUMIFS(fact_batting_summary!G:G, fact_batting_summary!E:E, fact_batting_summary!E694)</f>
        <v>18</v>
      </c>
      <c r="B694" s="9">
        <f>AVERAGEIFS(fact_batting_summary!G:G, fact_batting_summary!E:E,fact_batting_summary!E694)</f>
        <v>3</v>
      </c>
      <c r="C694">
        <v>10</v>
      </c>
    </row>
    <row r="695" spans="1:3" x14ac:dyDescent="0.45">
      <c r="A695">
        <f>SUMIFS(fact_batting_summary!G:G, fact_batting_summary!E:E, fact_batting_summary!E695)</f>
        <v>25</v>
      </c>
      <c r="B695" s="9">
        <f>AVERAGEIFS(fact_batting_summary!G:G, fact_batting_summary!E:E,fact_batting_summary!E695)</f>
        <v>2.5</v>
      </c>
      <c r="C695">
        <v>11</v>
      </c>
    </row>
    <row r="696" spans="1:3" x14ac:dyDescent="0.45">
      <c r="A696">
        <f>SUMIFS(fact_batting_summary!G:G, fact_batting_summary!E:E, fact_batting_summary!E696)</f>
        <v>1137</v>
      </c>
      <c r="B696" s="9">
        <f>AVERAGEIFS(fact_batting_summary!G:G, fact_batting_summary!E:E,fact_batting_summary!E696)</f>
        <v>34.454545454545453</v>
      </c>
      <c r="C696">
        <v>1</v>
      </c>
    </row>
    <row r="697" spans="1:3" x14ac:dyDescent="0.45">
      <c r="A697">
        <f>SUMIFS(fact_batting_summary!G:G, fact_batting_summary!E:E, fact_batting_summary!E697)</f>
        <v>463</v>
      </c>
      <c r="B697" s="9">
        <f>AVERAGEIFS(fact_batting_summary!G:G, fact_batting_summary!E:E,fact_batting_summary!E697)</f>
        <v>27.235294117647058</v>
      </c>
      <c r="C697">
        <v>2</v>
      </c>
    </row>
    <row r="698" spans="1:3" x14ac:dyDescent="0.45">
      <c r="A698">
        <f>SUMIFS(fact_batting_summary!G:G, fact_batting_summary!E:E, fact_batting_summary!E698)</f>
        <v>416</v>
      </c>
      <c r="B698" s="9">
        <f>AVERAGEIFS(fact_batting_summary!G:G, fact_batting_summary!E:E,fact_batting_summary!E698)</f>
        <v>18.90909090909091</v>
      </c>
      <c r="C698">
        <v>3</v>
      </c>
    </row>
    <row r="699" spans="1:3" x14ac:dyDescent="0.45">
      <c r="A699">
        <f>SUMIFS(fact_batting_summary!G:G, fact_batting_summary!E:E, fact_batting_summary!E699)</f>
        <v>981</v>
      </c>
      <c r="B699" s="9">
        <f>AVERAGEIFS(fact_batting_summary!G:G, fact_batting_summary!E:E,fact_batting_summary!E699)</f>
        <v>22.813953488372093</v>
      </c>
      <c r="C699">
        <v>1</v>
      </c>
    </row>
    <row r="700" spans="1:3" x14ac:dyDescent="0.45">
      <c r="A700">
        <f>SUMIFS(fact_batting_summary!G:G, fact_batting_summary!E:E, fact_batting_summary!E700)</f>
        <v>948</v>
      </c>
      <c r="B700" s="9">
        <f>AVERAGEIFS(fact_batting_summary!G:G, fact_batting_summary!E:E,fact_batting_summary!E700)</f>
        <v>31.6</v>
      </c>
      <c r="C700">
        <v>2</v>
      </c>
    </row>
    <row r="701" spans="1:3" x14ac:dyDescent="0.45">
      <c r="A701">
        <f>SUMIFS(fact_batting_summary!G:G, fact_batting_summary!E:E, fact_batting_summary!E701)</f>
        <v>1225</v>
      </c>
      <c r="B701" s="9">
        <f>AVERAGEIFS(fact_batting_summary!G:G, fact_batting_summary!E:E,fact_batting_summary!E701)</f>
        <v>32.236842105263158</v>
      </c>
      <c r="C701">
        <v>3</v>
      </c>
    </row>
    <row r="702" spans="1:3" x14ac:dyDescent="0.45">
      <c r="A702">
        <f>SUMIFS(fact_batting_summary!G:G, fact_batting_summary!E:E, fact_batting_summary!E702)</f>
        <v>1113</v>
      </c>
      <c r="B702" s="9">
        <f>AVERAGEIFS(fact_batting_summary!G:G, fact_batting_summary!E:E,fact_batting_summary!E702)</f>
        <v>28.53846153846154</v>
      </c>
      <c r="C702">
        <v>4</v>
      </c>
    </row>
    <row r="703" spans="1:3" x14ac:dyDescent="0.45">
      <c r="A703">
        <f>SUMIFS(fact_batting_summary!G:G, fact_batting_summary!E:E, fact_batting_summary!E703)</f>
        <v>960</v>
      </c>
      <c r="B703" s="9">
        <f>AVERAGEIFS(fact_batting_summary!G:G, fact_batting_summary!E:E,fact_batting_summary!E703)</f>
        <v>23.414634146341463</v>
      </c>
      <c r="C703">
        <v>5</v>
      </c>
    </row>
    <row r="704" spans="1:3" x14ac:dyDescent="0.45">
      <c r="A704">
        <f>SUMIFS(fact_batting_summary!G:G, fact_batting_summary!E:E, fact_batting_summary!E704)</f>
        <v>514</v>
      </c>
      <c r="B704" s="9">
        <f>AVERAGEIFS(fact_batting_summary!G:G, fact_batting_summary!E:E,fact_batting_summary!E704)</f>
        <v>13.526315789473685</v>
      </c>
      <c r="C704">
        <v>6</v>
      </c>
    </row>
    <row r="705" spans="1:3" x14ac:dyDescent="0.45">
      <c r="A705">
        <f>SUMIFS(fact_batting_summary!G:G, fact_batting_summary!E:E, fact_batting_summary!E705)</f>
        <v>389</v>
      </c>
      <c r="B705" s="9">
        <f>AVERAGEIFS(fact_batting_summary!G:G, fact_batting_summary!E:E,fact_batting_summary!E705)</f>
        <v>16.208333333333332</v>
      </c>
      <c r="C705">
        <v>7</v>
      </c>
    </row>
    <row r="706" spans="1:3" x14ac:dyDescent="0.45">
      <c r="A706">
        <f>SUMIFS(fact_batting_summary!G:G, fact_batting_summary!E:E, fact_batting_summary!E706)</f>
        <v>34</v>
      </c>
      <c r="B706" s="9">
        <f>AVERAGEIFS(fact_batting_summary!G:G, fact_batting_summary!E:E,fact_batting_summary!E706)</f>
        <v>11.333333333333334</v>
      </c>
      <c r="C706">
        <v>8</v>
      </c>
    </row>
    <row r="707" spans="1:3" x14ac:dyDescent="0.45">
      <c r="A707">
        <f>SUMIFS(fact_batting_summary!G:G, fact_batting_summary!E:E, fact_batting_summary!E707)</f>
        <v>91</v>
      </c>
      <c r="B707" s="9">
        <f>AVERAGEIFS(fact_batting_summary!G:G, fact_batting_summary!E:E,fact_batting_summary!E707)</f>
        <v>5.6875</v>
      </c>
      <c r="C707">
        <v>9</v>
      </c>
    </row>
    <row r="708" spans="1:3" x14ac:dyDescent="0.45">
      <c r="A708">
        <f>SUMIFS(fact_batting_summary!G:G, fact_batting_summary!E:E, fact_batting_summary!E708)</f>
        <v>16</v>
      </c>
      <c r="B708" s="9">
        <f>AVERAGEIFS(fact_batting_summary!G:G, fact_batting_summary!E:E,fact_batting_summary!E708)</f>
        <v>1.2307692307692308</v>
      </c>
      <c r="C708">
        <v>10</v>
      </c>
    </row>
    <row r="709" spans="1:3" x14ac:dyDescent="0.45">
      <c r="A709">
        <f>SUMIFS(fact_batting_summary!G:G, fact_batting_summary!E:E, fact_batting_summary!E709)</f>
        <v>57</v>
      </c>
      <c r="B709" s="9">
        <f>AVERAGEIFS(fact_batting_summary!G:G, fact_batting_summary!E:E,fact_batting_summary!E709)</f>
        <v>3.5625</v>
      </c>
      <c r="C709">
        <v>11</v>
      </c>
    </row>
    <row r="710" spans="1:3" x14ac:dyDescent="0.45">
      <c r="A710">
        <f>SUMIFS(fact_batting_summary!G:G, fact_batting_summary!E:E, fact_batting_summary!E710)</f>
        <v>815</v>
      </c>
      <c r="B710" s="9">
        <f>AVERAGEIFS(fact_batting_summary!G:G, fact_batting_summary!E:E,fact_batting_summary!E710)</f>
        <v>25.46875</v>
      </c>
      <c r="C710">
        <v>1</v>
      </c>
    </row>
    <row r="711" spans="1:3" x14ac:dyDescent="0.45">
      <c r="A711">
        <f>SUMIFS(fact_batting_summary!G:G, fact_batting_summary!E:E, fact_batting_summary!E711)</f>
        <v>1392</v>
      </c>
      <c r="B711" s="9">
        <f>AVERAGEIFS(fact_batting_summary!G:G, fact_batting_summary!E:E,fact_batting_summary!E711)</f>
        <v>34.799999999999997</v>
      </c>
      <c r="C711">
        <v>2</v>
      </c>
    </row>
    <row r="712" spans="1:3" x14ac:dyDescent="0.45">
      <c r="A712">
        <f>SUMIFS(fact_batting_summary!G:G, fact_batting_summary!E:E, fact_batting_summary!E712)</f>
        <v>118</v>
      </c>
      <c r="B712" s="9">
        <f>AVERAGEIFS(fact_batting_summary!G:G, fact_batting_summary!E:E,fact_batting_summary!E712)</f>
        <v>19.666666666666668</v>
      </c>
      <c r="C712">
        <v>3</v>
      </c>
    </row>
    <row r="713" spans="1:3" x14ac:dyDescent="0.45">
      <c r="A713">
        <f>SUMIFS(fact_batting_summary!G:G, fact_batting_summary!E:E, fact_batting_summary!E713)</f>
        <v>295</v>
      </c>
      <c r="B713" s="9">
        <f>AVERAGEIFS(fact_batting_summary!G:G, fact_batting_summary!E:E,fact_batting_summary!E713)</f>
        <v>15.526315789473685</v>
      </c>
      <c r="C713">
        <v>4</v>
      </c>
    </row>
    <row r="714" spans="1:3" x14ac:dyDescent="0.45">
      <c r="A714">
        <f>SUMIFS(fact_batting_summary!G:G, fact_batting_summary!E:E, fact_batting_summary!E714)</f>
        <v>722</v>
      </c>
      <c r="B714" s="9">
        <f>AVERAGEIFS(fact_batting_summary!G:G, fact_batting_summary!E:E,fact_batting_summary!E714)</f>
        <v>25.785714285714285</v>
      </c>
      <c r="C714">
        <v>5</v>
      </c>
    </row>
    <row r="715" spans="1:3" x14ac:dyDescent="0.45">
      <c r="A715">
        <f>SUMIFS(fact_batting_summary!G:G, fact_batting_summary!E:E, fact_batting_summary!E715)</f>
        <v>854</v>
      </c>
      <c r="B715" s="9">
        <f>AVERAGEIFS(fact_batting_summary!G:G, fact_batting_summary!E:E,fact_batting_summary!E715)</f>
        <v>21.35</v>
      </c>
      <c r="C715">
        <v>6</v>
      </c>
    </row>
    <row r="716" spans="1:3" x14ac:dyDescent="0.45">
      <c r="A716">
        <f>SUMIFS(fact_batting_summary!G:G, fact_batting_summary!E:E, fact_batting_summary!E716)</f>
        <v>1593</v>
      </c>
      <c r="B716" s="9">
        <f>AVERAGEIFS(fact_batting_summary!G:G, fact_batting_summary!E:E,fact_batting_summary!E716)</f>
        <v>35.4</v>
      </c>
      <c r="C716">
        <v>1</v>
      </c>
    </row>
    <row r="717" spans="1:3" x14ac:dyDescent="0.45">
      <c r="A717">
        <f>SUMIFS(fact_batting_summary!G:G, fact_batting_summary!E:E, fact_batting_summary!E717)</f>
        <v>1831</v>
      </c>
      <c r="B717" s="9">
        <f>AVERAGEIFS(fact_batting_summary!G:G, fact_batting_summary!E:E,fact_batting_summary!E717)</f>
        <v>39.804347826086953</v>
      </c>
      <c r="C717">
        <v>2</v>
      </c>
    </row>
    <row r="718" spans="1:3" x14ac:dyDescent="0.45">
      <c r="A718">
        <f>SUMIFS(fact_batting_summary!G:G, fact_batting_summary!E:E, fact_batting_summary!E718)</f>
        <v>725</v>
      </c>
      <c r="B718" s="9">
        <f>AVERAGEIFS(fact_batting_summary!G:G, fact_batting_summary!E:E,fact_batting_summary!E718)</f>
        <v>20.714285714285715</v>
      </c>
      <c r="C718">
        <v>3</v>
      </c>
    </row>
    <row r="719" spans="1:3" x14ac:dyDescent="0.45">
      <c r="A719">
        <f>SUMIFS(fact_batting_summary!G:G, fact_batting_summary!E:E, fact_batting_summary!E719)</f>
        <v>160</v>
      </c>
      <c r="B719" s="9">
        <f>AVERAGEIFS(fact_batting_summary!G:G, fact_batting_summary!E:E,fact_batting_summary!E719)</f>
        <v>14.545454545454545</v>
      </c>
      <c r="C719">
        <v>4</v>
      </c>
    </row>
    <row r="720" spans="1:3" x14ac:dyDescent="0.45">
      <c r="A720">
        <f>SUMIFS(fact_batting_summary!G:G, fact_batting_summary!E:E, fact_batting_summary!E720)</f>
        <v>689</v>
      </c>
      <c r="B720" s="9">
        <f>AVERAGEIFS(fact_batting_summary!G:G, fact_batting_summary!E:E,fact_batting_summary!E720)</f>
        <v>19.138888888888889</v>
      </c>
      <c r="C720">
        <v>5</v>
      </c>
    </row>
    <row r="721" spans="1:3" x14ac:dyDescent="0.45">
      <c r="A721">
        <f>SUMIFS(fact_batting_summary!G:G, fact_batting_summary!E:E, fact_batting_summary!E721)</f>
        <v>533</v>
      </c>
      <c r="B721" s="9">
        <f>AVERAGEIFS(fact_batting_summary!G:G, fact_batting_summary!E:E,fact_batting_summary!E721)</f>
        <v>15.676470588235293</v>
      </c>
      <c r="C721">
        <v>6</v>
      </c>
    </row>
    <row r="722" spans="1:3" x14ac:dyDescent="0.45">
      <c r="A722">
        <f>SUMIFS(fact_batting_summary!G:G, fact_batting_summary!E:E, fact_batting_summary!E722)</f>
        <v>450</v>
      </c>
      <c r="B722" s="9">
        <f>AVERAGEIFS(fact_batting_summary!G:G, fact_batting_summary!E:E,fact_batting_summary!E722)</f>
        <v>12.5</v>
      </c>
      <c r="C722">
        <v>7</v>
      </c>
    </row>
    <row r="723" spans="1:3" x14ac:dyDescent="0.45">
      <c r="A723">
        <f>SUMIFS(fact_batting_summary!G:G, fact_batting_summary!E:E, fact_batting_summary!E723)</f>
        <v>332</v>
      </c>
      <c r="B723" s="9">
        <f>AVERAGEIFS(fact_batting_summary!G:G, fact_batting_summary!E:E,fact_batting_summary!E723)</f>
        <v>19.529411764705884</v>
      </c>
      <c r="C723">
        <v>8</v>
      </c>
    </row>
    <row r="724" spans="1:3" x14ac:dyDescent="0.45">
      <c r="A724">
        <f>SUMIFS(fact_batting_summary!G:G, fact_batting_summary!E:E, fact_batting_summary!E724)</f>
        <v>70</v>
      </c>
      <c r="B724" s="9">
        <f>AVERAGEIFS(fact_batting_summary!G:G, fact_batting_summary!E:E,fact_batting_summary!E724)</f>
        <v>7.7777777777777777</v>
      </c>
      <c r="C724">
        <v>9</v>
      </c>
    </row>
    <row r="725" spans="1:3" x14ac:dyDescent="0.45">
      <c r="A725">
        <f>SUMIFS(fact_batting_summary!G:G, fact_batting_summary!E:E, fact_batting_summary!E725)</f>
        <v>238</v>
      </c>
      <c r="B725" s="9">
        <f>AVERAGEIFS(fact_batting_summary!G:G, fact_batting_summary!E:E,fact_batting_summary!E725)</f>
        <v>9.9166666666666661</v>
      </c>
      <c r="C725">
        <v>10</v>
      </c>
    </row>
    <row r="726" spans="1:3" x14ac:dyDescent="0.45">
      <c r="A726">
        <f>SUMIFS(fact_batting_summary!G:G, fact_batting_summary!E:E, fact_batting_summary!E726)</f>
        <v>2</v>
      </c>
      <c r="B726" s="9">
        <f>AVERAGEIFS(fact_batting_summary!G:G, fact_batting_summary!E:E,fact_batting_summary!E726)</f>
        <v>0.66666666666666663</v>
      </c>
      <c r="C726">
        <v>11</v>
      </c>
    </row>
    <row r="727" spans="1:3" x14ac:dyDescent="0.45">
      <c r="A727">
        <f>SUMIFS(fact_batting_summary!G:G, fact_batting_summary!E:E, fact_batting_summary!E727)</f>
        <v>1509</v>
      </c>
      <c r="B727" s="9">
        <f>AVERAGEIFS(fact_batting_summary!G:G, fact_batting_summary!E:E,fact_batting_summary!E727)</f>
        <v>39.710526315789473</v>
      </c>
      <c r="C727">
        <v>1</v>
      </c>
    </row>
    <row r="728" spans="1:3" x14ac:dyDescent="0.45">
      <c r="A728">
        <f>SUMIFS(fact_batting_summary!G:G, fact_batting_summary!E:E, fact_batting_summary!E728)</f>
        <v>61</v>
      </c>
      <c r="B728" s="9">
        <f>AVERAGEIFS(fact_batting_summary!G:G, fact_batting_summary!E:E,fact_batting_summary!E728)</f>
        <v>12.2</v>
      </c>
      <c r="C728">
        <v>2</v>
      </c>
    </row>
    <row r="729" spans="1:3" x14ac:dyDescent="0.45">
      <c r="A729">
        <f>SUMIFS(fact_batting_summary!G:G, fact_batting_summary!E:E, fact_batting_summary!E729)</f>
        <v>1304</v>
      </c>
      <c r="B729" s="9">
        <f>AVERAGEIFS(fact_batting_summary!G:G, fact_batting_summary!E:E,fact_batting_summary!E729)</f>
        <v>28.977777777777778</v>
      </c>
      <c r="C729">
        <v>3</v>
      </c>
    </row>
    <row r="730" spans="1:3" x14ac:dyDescent="0.45">
      <c r="A730">
        <f>SUMIFS(fact_batting_summary!G:G, fact_batting_summary!E:E, fact_batting_summary!E730)</f>
        <v>937</v>
      </c>
      <c r="B730" s="9">
        <f>AVERAGEIFS(fact_batting_summary!G:G, fact_batting_summary!E:E,fact_batting_summary!E730)</f>
        <v>27.558823529411764</v>
      </c>
      <c r="C730">
        <v>4</v>
      </c>
    </row>
    <row r="731" spans="1:3" x14ac:dyDescent="0.45">
      <c r="A731">
        <f>SUMIFS(fact_batting_summary!G:G, fact_batting_summary!E:E, fact_batting_summary!E731)</f>
        <v>864</v>
      </c>
      <c r="B731" s="9">
        <f>AVERAGEIFS(fact_batting_summary!G:G, fact_batting_summary!E:E,fact_batting_summary!E731)</f>
        <v>23.351351351351351</v>
      </c>
      <c r="C731">
        <v>5</v>
      </c>
    </row>
    <row r="732" spans="1:3" x14ac:dyDescent="0.45">
      <c r="A732">
        <f>SUMIFS(fact_batting_summary!G:G, fact_batting_summary!E:E, fact_batting_summary!E732)</f>
        <v>354</v>
      </c>
      <c r="B732" s="9">
        <f>AVERAGEIFS(fact_batting_summary!G:G, fact_batting_summary!E:E,fact_batting_summary!E732)</f>
        <v>11.419354838709678</v>
      </c>
      <c r="C732">
        <v>6</v>
      </c>
    </row>
    <row r="733" spans="1:3" x14ac:dyDescent="0.45">
      <c r="A733">
        <f>SUMIFS(fact_batting_summary!G:G, fact_batting_summary!E:E, fact_batting_summary!E733)</f>
        <v>459</v>
      </c>
      <c r="B733" s="9">
        <f>AVERAGEIFS(fact_batting_summary!G:G, fact_batting_summary!E:E,fact_batting_summary!E733)</f>
        <v>13.909090909090908</v>
      </c>
      <c r="C733">
        <v>7</v>
      </c>
    </row>
    <row r="734" spans="1:3" x14ac:dyDescent="0.45">
      <c r="A734">
        <f>SUMIFS(fact_batting_summary!G:G, fact_batting_summary!E:E, fact_batting_summary!E734)</f>
        <v>67</v>
      </c>
      <c r="B734" s="9">
        <f>AVERAGEIFS(fact_batting_summary!G:G, fact_batting_summary!E:E,fact_batting_summary!E734)</f>
        <v>9.5714285714285712</v>
      </c>
      <c r="C734">
        <v>8</v>
      </c>
    </row>
    <row r="735" spans="1:3" x14ac:dyDescent="0.45">
      <c r="A735">
        <f>SUMIFS(fact_batting_summary!G:G, fact_batting_summary!E:E, fact_batting_summary!E735)</f>
        <v>109</v>
      </c>
      <c r="B735" s="9">
        <f>AVERAGEIFS(fact_batting_summary!G:G, fact_batting_summary!E:E,fact_batting_summary!E735)</f>
        <v>12.111111111111111</v>
      </c>
      <c r="C735">
        <v>9</v>
      </c>
    </row>
    <row r="736" spans="1:3" x14ac:dyDescent="0.45">
      <c r="A736">
        <f>SUMIFS(fact_batting_summary!G:G, fact_batting_summary!E:E, fact_batting_summary!E736)</f>
        <v>20</v>
      </c>
      <c r="B736" s="9">
        <f>AVERAGEIFS(fact_batting_summary!G:G, fact_batting_summary!E:E,fact_batting_summary!E736)</f>
        <v>2.5</v>
      </c>
      <c r="C736">
        <v>10</v>
      </c>
    </row>
    <row r="737" spans="1:3" x14ac:dyDescent="0.45">
      <c r="A737">
        <f>SUMIFS(fact_batting_summary!G:G, fact_batting_summary!E:E, fact_batting_summary!E737)</f>
        <v>12</v>
      </c>
      <c r="B737" s="9">
        <f>AVERAGEIFS(fact_batting_summary!G:G, fact_batting_summary!E:E,fact_batting_summary!E737)</f>
        <v>1.7142857142857142</v>
      </c>
      <c r="C737">
        <v>11</v>
      </c>
    </row>
    <row r="738" spans="1:3" x14ac:dyDescent="0.45">
      <c r="A738">
        <f>SUMIFS(fact_batting_summary!G:G, fact_batting_summary!E:E, fact_batting_summary!E738)</f>
        <v>1516</v>
      </c>
      <c r="B738" s="9">
        <f>AVERAGEIFS(fact_batting_summary!G:G, fact_batting_summary!E:E,fact_batting_summary!E738)</f>
        <v>40.972972972972975</v>
      </c>
      <c r="C738">
        <v>1</v>
      </c>
    </row>
    <row r="739" spans="1:3" x14ac:dyDescent="0.45">
      <c r="A739">
        <f>SUMIFS(fact_batting_summary!G:G, fact_batting_summary!E:E, fact_batting_summary!E739)</f>
        <v>907</v>
      </c>
      <c r="B739" s="9">
        <f>AVERAGEIFS(fact_batting_summary!G:G, fact_batting_summary!E:E,fact_batting_summary!E739)</f>
        <v>26.676470588235293</v>
      </c>
      <c r="C739">
        <v>2</v>
      </c>
    </row>
    <row r="740" spans="1:3" x14ac:dyDescent="0.45">
      <c r="A740">
        <f>SUMIFS(fact_batting_summary!G:G, fact_batting_summary!E:E, fact_batting_summary!E740)</f>
        <v>193</v>
      </c>
      <c r="B740" s="9">
        <f>AVERAGEIFS(fact_batting_summary!G:G, fact_batting_summary!E:E,fact_batting_summary!E740)</f>
        <v>19.3</v>
      </c>
      <c r="C740">
        <v>3</v>
      </c>
    </row>
    <row r="741" spans="1:3" x14ac:dyDescent="0.45">
      <c r="A741">
        <f>SUMIFS(fact_batting_summary!G:G, fact_batting_summary!E:E, fact_batting_summary!E741)</f>
        <v>695</v>
      </c>
      <c r="B741" s="9">
        <f>AVERAGEIFS(fact_batting_summary!G:G, fact_batting_summary!E:E,fact_batting_summary!E741)</f>
        <v>18.783783783783782</v>
      </c>
      <c r="C741">
        <v>4</v>
      </c>
    </row>
    <row r="742" spans="1:3" x14ac:dyDescent="0.45">
      <c r="A742">
        <f>SUMIFS(fact_batting_summary!G:G, fact_batting_summary!E:E, fact_batting_summary!E742)</f>
        <v>729</v>
      </c>
      <c r="B742" s="9">
        <f>AVERAGEIFS(fact_batting_summary!G:G, fact_batting_summary!E:E,fact_batting_summary!E742)</f>
        <v>19.184210526315791</v>
      </c>
      <c r="C742">
        <v>5</v>
      </c>
    </row>
    <row r="743" spans="1:3" x14ac:dyDescent="0.45">
      <c r="A743">
        <f>SUMIFS(fact_batting_summary!G:G, fact_batting_summary!E:E, fact_batting_summary!E743)</f>
        <v>426</v>
      </c>
      <c r="B743" s="9">
        <f>AVERAGEIFS(fact_batting_summary!G:G, fact_batting_summary!E:E,fact_batting_summary!E743)</f>
        <v>13.741935483870968</v>
      </c>
      <c r="C743">
        <v>6</v>
      </c>
    </row>
    <row r="744" spans="1:3" x14ac:dyDescent="0.45">
      <c r="A744">
        <f>SUMIFS(fact_batting_summary!G:G, fact_batting_summary!E:E, fact_batting_summary!E744)</f>
        <v>815</v>
      </c>
      <c r="B744" s="9">
        <f>AVERAGEIFS(fact_batting_summary!G:G, fact_batting_summary!E:E,fact_batting_summary!E744)</f>
        <v>25.46875</v>
      </c>
      <c r="C744">
        <v>1</v>
      </c>
    </row>
    <row r="745" spans="1:3" x14ac:dyDescent="0.45">
      <c r="A745">
        <f>SUMIFS(fact_batting_summary!G:G, fact_batting_summary!E:E, fact_batting_summary!E745)</f>
        <v>1392</v>
      </c>
      <c r="B745" s="9">
        <f>AVERAGEIFS(fact_batting_summary!G:G, fact_batting_summary!E:E,fact_batting_summary!E745)</f>
        <v>34.799999999999997</v>
      </c>
      <c r="C745">
        <v>2</v>
      </c>
    </row>
    <row r="746" spans="1:3" x14ac:dyDescent="0.45">
      <c r="A746">
        <f>SUMIFS(fact_batting_summary!G:G, fact_batting_summary!E:E, fact_batting_summary!E746)</f>
        <v>118</v>
      </c>
      <c r="B746" s="9">
        <f>AVERAGEIFS(fact_batting_summary!G:G, fact_batting_summary!E:E,fact_batting_summary!E746)</f>
        <v>19.666666666666668</v>
      </c>
      <c r="C746">
        <v>3</v>
      </c>
    </row>
    <row r="747" spans="1:3" x14ac:dyDescent="0.45">
      <c r="A747">
        <f>SUMIFS(fact_batting_summary!G:G, fact_batting_summary!E:E, fact_batting_summary!E747)</f>
        <v>722</v>
      </c>
      <c r="B747" s="9">
        <f>AVERAGEIFS(fact_batting_summary!G:G, fact_batting_summary!E:E,fact_batting_summary!E747)</f>
        <v>25.785714285714285</v>
      </c>
      <c r="C747">
        <v>4</v>
      </c>
    </row>
    <row r="748" spans="1:3" x14ac:dyDescent="0.45">
      <c r="A748">
        <f>SUMIFS(fact_batting_summary!G:G, fact_batting_summary!E:E, fact_batting_summary!E748)</f>
        <v>645</v>
      </c>
      <c r="B748" s="9">
        <f>AVERAGEIFS(fact_batting_summary!G:G, fact_batting_summary!E:E,fact_batting_summary!E748)</f>
        <v>21.5</v>
      </c>
      <c r="C748">
        <v>5</v>
      </c>
    </row>
    <row r="749" spans="1:3" x14ac:dyDescent="0.45">
      <c r="A749">
        <f>SUMIFS(fact_batting_summary!G:G, fact_batting_summary!E:E, fact_batting_summary!E749)</f>
        <v>295</v>
      </c>
      <c r="B749" s="9">
        <f>AVERAGEIFS(fact_batting_summary!G:G, fact_batting_summary!E:E,fact_batting_summary!E749)</f>
        <v>15.526315789473685</v>
      </c>
      <c r="C749">
        <v>6</v>
      </c>
    </row>
    <row r="750" spans="1:3" x14ac:dyDescent="0.45">
      <c r="A750">
        <f>SUMIFS(fact_batting_summary!G:G, fact_batting_summary!E:E, fact_batting_summary!E750)</f>
        <v>1385</v>
      </c>
      <c r="B750" s="9">
        <f>AVERAGEIFS(fact_batting_summary!G:G, fact_batting_summary!E:E,fact_batting_summary!E750)</f>
        <v>30.777777777777779</v>
      </c>
      <c r="C750">
        <v>1</v>
      </c>
    </row>
    <row r="751" spans="1:3" x14ac:dyDescent="0.45">
      <c r="A751">
        <f>SUMIFS(fact_batting_summary!G:G, fact_batting_summary!E:E, fact_batting_summary!E751)</f>
        <v>1048</v>
      </c>
      <c r="B751" s="9">
        <f>AVERAGEIFS(fact_batting_summary!G:G, fact_batting_summary!E:E,fact_batting_summary!E751)</f>
        <v>24.952380952380953</v>
      </c>
      <c r="C751">
        <v>2</v>
      </c>
    </row>
    <row r="752" spans="1:3" x14ac:dyDescent="0.45">
      <c r="A752">
        <f>SUMIFS(fact_batting_summary!G:G, fact_batting_summary!E:E, fact_batting_summary!E752)</f>
        <v>404</v>
      </c>
      <c r="B752" s="9">
        <f>AVERAGEIFS(fact_batting_summary!G:G, fact_batting_summary!E:E,fact_batting_summary!E752)</f>
        <v>36.727272727272727</v>
      </c>
      <c r="C752">
        <v>3</v>
      </c>
    </row>
    <row r="753" spans="1:3" x14ac:dyDescent="0.45">
      <c r="A753">
        <f>SUMIFS(fact_batting_summary!G:G, fact_batting_summary!E:E, fact_batting_summary!E753)</f>
        <v>1214</v>
      </c>
      <c r="B753" s="9">
        <f>AVERAGEIFS(fact_batting_summary!G:G, fact_batting_summary!E:E,fact_batting_summary!E753)</f>
        <v>29.609756097560975</v>
      </c>
      <c r="C753">
        <v>4</v>
      </c>
    </row>
    <row r="754" spans="1:3" x14ac:dyDescent="0.45">
      <c r="A754">
        <f>SUMIFS(fact_batting_summary!G:G, fact_batting_summary!E:E, fact_batting_summary!E754)</f>
        <v>313</v>
      </c>
      <c r="B754" s="9">
        <f>AVERAGEIFS(fact_batting_summary!G:G, fact_batting_summary!E:E,fact_batting_summary!E754)</f>
        <v>22.357142857142858</v>
      </c>
      <c r="C754">
        <v>5</v>
      </c>
    </row>
    <row r="755" spans="1:3" x14ac:dyDescent="0.45">
      <c r="A755">
        <f>SUMIFS(fact_batting_summary!G:G, fact_batting_summary!E:E, fact_batting_summary!E755)</f>
        <v>65</v>
      </c>
      <c r="B755" s="9">
        <f>AVERAGEIFS(fact_batting_summary!G:G, fact_batting_summary!E:E,fact_batting_summary!E755)</f>
        <v>9.2857142857142865</v>
      </c>
      <c r="C755">
        <v>6</v>
      </c>
    </row>
    <row r="756" spans="1:3" x14ac:dyDescent="0.45">
      <c r="A756">
        <f>SUMIFS(fact_batting_summary!G:G, fact_batting_summary!E:E, fact_batting_summary!E756)</f>
        <v>1157</v>
      </c>
      <c r="B756" s="9">
        <f>AVERAGEIFS(fact_batting_summary!G:G, fact_batting_summary!E:E,fact_batting_summary!E756)</f>
        <v>26.295454545454547</v>
      </c>
      <c r="C756">
        <v>1</v>
      </c>
    </row>
    <row r="757" spans="1:3" x14ac:dyDescent="0.45">
      <c r="A757">
        <f>SUMIFS(fact_batting_summary!G:G, fact_batting_summary!E:E, fact_batting_summary!E757)</f>
        <v>1851</v>
      </c>
      <c r="B757" s="9">
        <f>AVERAGEIFS(fact_batting_summary!G:G, fact_batting_summary!E:E,fact_batting_summary!E757)</f>
        <v>37.020000000000003</v>
      </c>
      <c r="C757">
        <v>2</v>
      </c>
    </row>
    <row r="758" spans="1:3" x14ac:dyDescent="0.45">
      <c r="A758">
        <f>SUMIFS(fact_batting_summary!G:G, fact_batting_summary!E:E, fact_batting_summary!E758)</f>
        <v>1083</v>
      </c>
      <c r="B758" s="9">
        <f>AVERAGEIFS(fact_batting_summary!G:G, fact_batting_summary!E:E,fact_batting_summary!E758)</f>
        <v>25.186046511627907</v>
      </c>
      <c r="C758">
        <v>3</v>
      </c>
    </row>
    <row r="759" spans="1:3" x14ac:dyDescent="0.45">
      <c r="A759">
        <f>SUMIFS(fact_batting_summary!G:G, fact_batting_summary!E:E, fact_batting_summary!E759)</f>
        <v>133</v>
      </c>
      <c r="B759" s="9">
        <f>AVERAGEIFS(fact_batting_summary!G:G, fact_batting_summary!E:E,fact_batting_summary!E759)</f>
        <v>8.3125</v>
      </c>
      <c r="C759">
        <v>4</v>
      </c>
    </row>
    <row r="760" spans="1:3" x14ac:dyDescent="0.45">
      <c r="A760">
        <f>SUMIFS(fact_batting_summary!G:G, fact_batting_summary!E:E, fact_batting_summary!E760)</f>
        <v>693</v>
      </c>
      <c r="B760" s="9">
        <f>AVERAGEIFS(fact_batting_summary!G:G, fact_batting_summary!E:E,fact_batting_summary!E760)</f>
        <v>15.75</v>
      </c>
      <c r="C760">
        <v>5</v>
      </c>
    </row>
    <row r="761" spans="1:3" x14ac:dyDescent="0.45">
      <c r="A761">
        <f>SUMIFS(fact_batting_summary!G:G, fact_batting_summary!E:E, fact_batting_summary!E761)</f>
        <v>47</v>
      </c>
      <c r="B761" s="9">
        <f>AVERAGEIFS(fact_batting_summary!G:G, fact_batting_summary!E:E,fact_batting_summary!E761)</f>
        <v>7.833333333333333</v>
      </c>
      <c r="C761">
        <v>6</v>
      </c>
    </row>
    <row r="762" spans="1:3" x14ac:dyDescent="0.45">
      <c r="A762">
        <f>SUMIFS(fact_batting_summary!G:G, fact_batting_summary!E:E, fact_batting_summary!E762)</f>
        <v>745</v>
      </c>
      <c r="B762" s="9">
        <f>AVERAGEIFS(fact_batting_summary!G:G, fact_batting_summary!E:E,fact_batting_summary!E762)</f>
        <v>21.285714285714285</v>
      </c>
      <c r="C762">
        <v>7</v>
      </c>
    </row>
    <row r="763" spans="1:3" x14ac:dyDescent="0.45">
      <c r="A763">
        <f>SUMIFS(fact_batting_summary!G:G, fact_batting_summary!E:E, fact_batting_summary!E763)</f>
        <v>156</v>
      </c>
      <c r="B763" s="9">
        <f>AVERAGEIFS(fact_batting_summary!G:G, fact_batting_summary!E:E,fact_batting_summary!E763)</f>
        <v>15.6</v>
      </c>
      <c r="C763">
        <v>8</v>
      </c>
    </row>
    <row r="764" spans="1:3" x14ac:dyDescent="0.45">
      <c r="A764">
        <f>SUMIFS(fact_batting_summary!G:G, fact_batting_summary!E:E, fact_batting_summary!E764)</f>
        <v>4</v>
      </c>
      <c r="B764" s="9">
        <f>AVERAGEIFS(fact_batting_summary!G:G, fact_batting_summary!E:E,fact_batting_summary!E764)</f>
        <v>2</v>
      </c>
      <c r="C764">
        <v>9</v>
      </c>
    </row>
    <row r="765" spans="1:3" x14ac:dyDescent="0.45">
      <c r="A765">
        <f>SUMIFS(fact_batting_summary!G:G, fact_batting_summary!E:E, fact_batting_summary!E765)</f>
        <v>15</v>
      </c>
      <c r="B765" s="9">
        <f>AVERAGEIFS(fact_batting_summary!G:G, fact_batting_summary!E:E,fact_batting_summary!E765)</f>
        <v>1.6666666666666667</v>
      </c>
      <c r="C765">
        <v>10</v>
      </c>
    </row>
    <row r="766" spans="1:3" x14ac:dyDescent="0.45">
      <c r="A766">
        <f>SUMIFS(fact_batting_summary!G:G, fact_batting_summary!E:E, fact_batting_summary!E766)</f>
        <v>948</v>
      </c>
      <c r="B766" s="9">
        <f>AVERAGEIFS(fact_batting_summary!G:G, fact_batting_summary!E:E,fact_batting_summary!E766)</f>
        <v>31.6</v>
      </c>
      <c r="C766">
        <v>1</v>
      </c>
    </row>
    <row r="767" spans="1:3" x14ac:dyDescent="0.45">
      <c r="A767">
        <f>SUMIFS(fact_batting_summary!G:G, fact_batting_summary!E:E, fact_batting_summary!E767)</f>
        <v>981</v>
      </c>
      <c r="B767" s="9">
        <f>AVERAGEIFS(fact_batting_summary!G:G, fact_batting_summary!E:E,fact_batting_summary!E767)</f>
        <v>22.813953488372093</v>
      </c>
      <c r="C767">
        <v>2</v>
      </c>
    </row>
    <row r="768" spans="1:3" x14ac:dyDescent="0.45">
      <c r="A768">
        <f>SUMIFS(fact_batting_summary!G:G, fact_batting_summary!E:E, fact_batting_summary!E768)</f>
        <v>1225</v>
      </c>
      <c r="B768" s="9">
        <f>AVERAGEIFS(fact_batting_summary!G:G, fact_batting_summary!E:E,fact_batting_summary!E768)</f>
        <v>32.236842105263158</v>
      </c>
      <c r="C768">
        <v>3</v>
      </c>
    </row>
    <row r="769" spans="1:3" x14ac:dyDescent="0.45">
      <c r="A769">
        <f>SUMIFS(fact_batting_summary!G:G, fact_batting_summary!E:E, fact_batting_summary!E769)</f>
        <v>1113</v>
      </c>
      <c r="B769" s="9">
        <f>AVERAGEIFS(fact_batting_summary!G:G, fact_batting_summary!E:E,fact_batting_summary!E769)</f>
        <v>28.53846153846154</v>
      </c>
      <c r="C769">
        <v>4</v>
      </c>
    </row>
    <row r="770" spans="1:3" x14ac:dyDescent="0.45">
      <c r="A770">
        <f>SUMIFS(fact_batting_summary!G:G, fact_batting_summary!E:E, fact_batting_summary!E770)</f>
        <v>389</v>
      </c>
      <c r="B770" s="9">
        <f>AVERAGEIFS(fact_batting_summary!G:G, fact_batting_summary!E:E,fact_batting_summary!E770)</f>
        <v>16.208333333333332</v>
      </c>
      <c r="C770">
        <v>5</v>
      </c>
    </row>
    <row r="771" spans="1:3" x14ac:dyDescent="0.45">
      <c r="A771">
        <f>SUMIFS(fact_batting_summary!G:G, fact_batting_summary!E:E, fact_batting_summary!E771)</f>
        <v>960</v>
      </c>
      <c r="B771" s="9">
        <f>AVERAGEIFS(fact_batting_summary!G:G, fact_batting_summary!E:E,fact_batting_summary!E771)</f>
        <v>23.414634146341463</v>
      </c>
      <c r="C771">
        <v>6</v>
      </c>
    </row>
    <row r="772" spans="1:3" x14ac:dyDescent="0.45">
      <c r="A772">
        <f>SUMIFS(fact_batting_summary!G:G, fact_batting_summary!E:E, fact_batting_summary!E772)</f>
        <v>514</v>
      </c>
      <c r="B772" s="9">
        <f>AVERAGEIFS(fact_batting_summary!G:G, fact_batting_summary!E:E,fact_batting_summary!E772)</f>
        <v>13.526315789473685</v>
      </c>
      <c r="C772">
        <v>7</v>
      </c>
    </row>
    <row r="773" spans="1:3" x14ac:dyDescent="0.45">
      <c r="A773">
        <f>SUMIFS(fact_batting_summary!G:G, fact_batting_summary!E:E, fact_batting_summary!E773)</f>
        <v>1137</v>
      </c>
      <c r="B773" s="9">
        <f>AVERAGEIFS(fact_batting_summary!G:G, fact_batting_summary!E:E,fact_batting_summary!E773)</f>
        <v>34.454545454545453</v>
      </c>
      <c r="C773">
        <v>1</v>
      </c>
    </row>
    <row r="774" spans="1:3" x14ac:dyDescent="0.45">
      <c r="A774">
        <f>SUMIFS(fact_batting_summary!G:G, fact_batting_summary!E:E, fact_batting_summary!E774)</f>
        <v>463</v>
      </c>
      <c r="B774" s="9">
        <f>AVERAGEIFS(fact_batting_summary!G:G, fact_batting_summary!E:E,fact_batting_summary!E774)</f>
        <v>27.235294117647058</v>
      </c>
      <c r="C774">
        <v>2</v>
      </c>
    </row>
    <row r="775" spans="1:3" x14ac:dyDescent="0.45">
      <c r="A775">
        <f>SUMIFS(fact_batting_summary!G:G, fact_batting_summary!E:E, fact_batting_summary!E775)</f>
        <v>540</v>
      </c>
      <c r="B775" s="9">
        <f>AVERAGEIFS(fact_batting_summary!G:G, fact_batting_summary!E:E,fact_batting_summary!E775)</f>
        <v>23.478260869565219</v>
      </c>
      <c r="C775">
        <v>3</v>
      </c>
    </row>
    <row r="776" spans="1:3" x14ac:dyDescent="0.45">
      <c r="A776">
        <f>SUMIFS(fact_batting_summary!G:G, fact_batting_summary!E:E, fact_batting_summary!E776)</f>
        <v>11</v>
      </c>
      <c r="B776" s="9">
        <f>AVERAGEIFS(fact_batting_summary!G:G, fact_batting_summary!E:E,fact_batting_summary!E776)</f>
        <v>11</v>
      </c>
      <c r="C776">
        <v>4</v>
      </c>
    </row>
    <row r="777" spans="1:3" x14ac:dyDescent="0.45">
      <c r="A777">
        <f>SUMIFS(fact_batting_summary!G:G, fact_batting_summary!E:E, fact_batting_summary!E777)</f>
        <v>370</v>
      </c>
      <c r="B777" s="9">
        <f>AVERAGEIFS(fact_batting_summary!G:G, fact_batting_summary!E:E,fact_batting_summary!E777)</f>
        <v>20.555555555555557</v>
      </c>
      <c r="C777">
        <v>5</v>
      </c>
    </row>
    <row r="778" spans="1:3" x14ac:dyDescent="0.45">
      <c r="A778">
        <f>SUMIFS(fact_batting_summary!G:G, fact_batting_summary!E:E, fact_batting_summary!E778)</f>
        <v>745</v>
      </c>
      <c r="B778" s="9">
        <f>AVERAGEIFS(fact_batting_summary!G:G, fact_batting_summary!E:E,fact_batting_summary!E778)</f>
        <v>24.032258064516128</v>
      </c>
      <c r="C778">
        <v>6</v>
      </c>
    </row>
    <row r="779" spans="1:3" x14ac:dyDescent="0.45">
      <c r="A779">
        <f>SUMIFS(fact_batting_summary!G:G, fact_batting_summary!E:E, fact_batting_summary!E779)</f>
        <v>284</v>
      </c>
      <c r="B779" s="9">
        <f>AVERAGEIFS(fact_batting_summary!G:G, fact_batting_summary!E:E,fact_batting_summary!E779)</f>
        <v>14.2</v>
      </c>
      <c r="C779">
        <v>7</v>
      </c>
    </row>
    <row r="780" spans="1:3" x14ac:dyDescent="0.45">
      <c r="A780">
        <f>SUMIFS(fact_batting_summary!G:G, fact_batting_summary!E:E, fact_batting_summary!E780)</f>
        <v>304</v>
      </c>
      <c r="B780" s="9">
        <f>AVERAGEIFS(fact_batting_summary!G:G, fact_batting_summary!E:E,fact_batting_summary!E780)</f>
        <v>11.692307692307692</v>
      </c>
      <c r="C780">
        <v>8</v>
      </c>
    </row>
    <row r="781" spans="1:3" x14ac:dyDescent="0.45">
      <c r="A781">
        <f>SUMIFS(fact_batting_summary!G:G, fact_batting_summary!E:E, fact_batting_summary!E781)</f>
        <v>100</v>
      </c>
      <c r="B781" s="9">
        <f>AVERAGEIFS(fact_batting_summary!G:G, fact_batting_summary!E:E,fact_batting_summary!E781)</f>
        <v>5.2631578947368425</v>
      </c>
      <c r="C781">
        <v>9</v>
      </c>
    </row>
    <row r="782" spans="1:3" x14ac:dyDescent="0.45">
      <c r="A782">
        <f>SUMIFS(fact_batting_summary!G:G, fact_batting_summary!E:E, fact_batting_summary!E782)</f>
        <v>1</v>
      </c>
      <c r="B782" s="9">
        <f>AVERAGEIFS(fact_batting_summary!G:G, fact_batting_summary!E:E,fact_batting_summary!E782)</f>
        <v>1</v>
      </c>
      <c r="C782">
        <v>10</v>
      </c>
    </row>
    <row r="783" spans="1:3" x14ac:dyDescent="0.45">
      <c r="A783">
        <f>SUMIFS(fact_batting_summary!G:G, fact_batting_summary!E:E, fact_batting_summary!E783)</f>
        <v>1</v>
      </c>
      <c r="B783" s="9">
        <f>AVERAGEIFS(fact_batting_summary!G:G, fact_batting_summary!E:E,fact_batting_summary!E783)</f>
        <v>0.33333333333333331</v>
      </c>
      <c r="C783">
        <v>11</v>
      </c>
    </row>
    <row r="784" spans="1:3" x14ac:dyDescent="0.45">
      <c r="A784">
        <f>SUMIFS(fact_batting_summary!G:G, fact_batting_summary!E:E, fact_batting_summary!E784)</f>
        <v>1516</v>
      </c>
      <c r="B784" s="9">
        <f>AVERAGEIFS(fact_batting_summary!G:G, fact_batting_summary!E:E,fact_batting_summary!E784)</f>
        <v>40.972972972972975</v>
      </c>
      <c r="C784">
        <v>1</v>
      </c>
    </row>
    <row r="785" spans="1:3" x14ac:dyDescent="0.45">
      <c r="A785">
        <f>SUMIFS(fact_batting_summary!G:G, fact_batting_summary!E:E, fact_batting_summary!E785)</f>
        <v>907</v>
      </c>
      <c r="B785" s="9">
        <f>AVERAGEIFS(fact_batting_summary!G:G, fact_batting_summary!E:E,fact_batting_summary!E785)</f>
        <v>26.676470588235293</v>
      </c>
      <c r="C785">
        <v>2</v>
      </c>
    </row>
    <row r="786" spans="1:3" x14ac:dyDescent="0.45">
      <c r="A786">
        <f>SUMIFS(fact_batting_summary!G:G, fact_batting_summary!E:E, fact_batting_summary!E786)</f>
        <v>193</v>
      </c>
      <c r="B786" s="9">
        <f>AVERAGEIFS(fact_batting_summary!G:G, fact_batting_summary!E:E,fact_batting_summary!E786)</f>
        <v>19.3</v>
      </c>
      <c r="C786">
        <v>3</v>
      </c>
    </row>
    <row r="787" spans="1:3" x14ac:dyDescent="0.45">
      <c r="A787">
        <f>SUMIFS(fact_batting_summary!G:G, fact_batting_summary!E:E, fact_batting_summary!E787)</f>
        <v>695</v>
      </c>
      <c r="B787" s="9">
        <f>AVERAGEIFS(fact_batting_summary!G:G, fact_batting_summary!E:E,fact_batting_summary!E787)</f>
        <v>18.783783783783782</v>
      </c>
      <c r="C787">
        <v>4</v>
      </c>
    </row>
    <row r="788" spans="1:3" x14ac:dyDescent="0.45">
      <c r="A788">
        <f>SUMIFS(fact_batting_summary!G:G, fact_batting_summary!E:E, fact_batting_summary!E788)</f>
        <v>729</v>
      </c>
      <c r="B788" s="9">
        <f>AVERAGEIFS(fact_batting_summary!G:G, fact_batting_summary!E:E,fact_batting_summary!E788)</f>
        <v>19.184210526315791</v>
      </c>
      <c r="C788">
        <v>5</v>
      </c>
    </row>
    <row r="789" spans="1:3" x14ac:dyDescent="0.45">
      <c r="A789">
        <f>SUMIFS(fact_batting_summary!G:G, fact_batting_summary!E:E, fact_batting_summary!E789)</f>
        <v>426</v>
      </c>
      <c r="B789" s="9">
        <f>AVERAGEIFS(fact_batting_summary!G:G, fact_batting_summary!E:E,fact_batting_summary!E789)</f>
        <v>13.741935483870968</v>
      </c>
      <c r="C789">
        <v>6</v>
      </c>
    </row>
    <row r="790" spans="1:3" x14ac:dyDescent="0.45">
      <c r="A790">
        <f>SUMIFS(fact_batting_summary!G:G, fact_batting_summary!E:E, fact_batting_summary!E790)</f>
        <v>15</v>
      </c>
      <c r="B790" s="9">
        <f>AVERAGEIFS(fact_batting_summary!G:G, fact_batting_summary!E:E,fact_batting_summary!E790)</f>
        <v>7.5</v>
      </c>
      <c r="C790">
        <v>7</v>
      </c>
    </row>
    <row r="791" spans="1:3" x14ac:dyDescent="0.45">
      <c r="A791">
        <f>SUMIFS(fact_batting_summary!G:G, fact_batting_summary!E:E, fact_batting_summary!E791)</f>
        <v>27</v>
      </c>
      <c r="B791" s="9">
        <f>AVERAGEIFS(fact_batting_summary!G:G, fact_batting_summary!E:E,fact_batting_summary!E791)</f>
        <v>3.8571428571428572</v>
      </c>
      <c r="C791">
        <v>8</v>
      </c>
    </row>
    <row r="792" spans="1:3" x14ac:dyDescent="0.45">
      <c r="A792">
        <f>SUMIFS(fact_batting_summary!G:G, fact_batting_summary!E:E, fact_batting_summary!E792)</f>
        <v>18</v>
      </c>
      <c r="B792" s="9">
        <f>AVERAGEIFS(fact_batting_summary!G:G, fact_batting_summary!E:E,fact_batting_summary!E792)</f>
        <v>3</v>
      </c>
      <c r="C792">
        <v>9</v>
      </c>
    </row>
    <row r="793" spans="1:3" x14ac:dyDescent="0.45">
      <c r="A793">
        <f>SUMIFS(fact_batting_summary!G:G, fact_batting_summary!E:E, fact_batting_summary!E793)</f>
        <v>0</v>
      </c>
      <c r="B793" s="9">
        <f>AVERAGEIFS(fact_batting_summary!G:G, fact_batting_summary!E:E,fact_batting_summary!E793)</f>
        <v>0</v>
      </c>
      <c r="C793">
        <v>10</v>
      </c>
    </row>
    <row r="794" spans="1:3" x14ac:dyDescent="0.45">
      <c r="A794">
        <f>SUMIFS(fact_batting_summary!G:G, fact_batting_summary!E:E, fact_batting_summary!E794)</f>
        <v>1593</v>
      </c>
      <c r="B794" s="9">
        <f>AVERAGEIFS(fact_batting_summary!G:G, fact_batting_summary!E:E,fact_batting_summary!E794)</f>
        <v>35.4</v>
      </c>
      <c r="C794">
        <v>1</v>
      </c>
    </row>
    <row r="795" spans="1:3" x14ac:dyDescent="0.45">
      <c r="A795">
        <f>SUMIFS(fact_batting_summary!G:G, fact_batting_summary!E:E, fact_batting_summary!E795)</f>
        <v>1831</v>
      </c>
      <c r="B795" s="9">
        <f>AVERAGEIFS(fact_batting_summary!G:G, fact_batting_summary!E:E,fact_batting_summary!E795)</f>
        <v>39.804347826086953</v>
      </c>
      <c r="C795">
        <v>2</v>
      </c>
    </row>
    <row r="796" spans="1:3" x14ac:dyDescent="0.45">
      <c r="A796">
        <f>SUMIFS(fact_batting_summary!G:G, fact_batting_summary!E:E, fact_batting_summary!E796)</f>
        <v>725</v>
      </c>
      <c r="B796" s="9">
        <f>AVERAGEIFS(fact_batting_summary!G:G, fact_batting_summary!E:E,fact_batting_summary!E796)</f>
        <v>20.714285714285715</v>
      </c>
      <c r="C796">
        <v>3</v>
      </c>
    </row>
    <row r="797" spans="1:3" x14ac:dyDescent="0.45">
      <c r="A797">
        <f>SUMIFS(fact_batting_summary!G:G, fact_batting_summary!E:E, fact_batting_summary!E797)</f>
        <v>160</v>
      </c>
      <c r="B797" s="9">
        <f>AVERAGEIFS(fact_batting_summary!G:G, fact_batting_summary!E:E,fact_batting_summary!E797)</f>
        <v>14.545454545454545</v>
      </c>
      <c r="C797">
        <v>4</v>
      </c>
    </row>
    <row r="798" spans="1:3" x14ac:dyDescent="0.45">
      <c r="A798">
        <f>SUMIFS(fact_batting_summary!G:G, fact_batting_summary!E:E, fact_batting_summary!E798)</f>
        <v>689</v>
      </c>
      <c r="B798" s="9">
        <f>AVERAGEIFS(fact_batting_summary!G:G, fact_batting_summary!E:E,fact_batting_summary!E798)</f>
        <v>19.138888888888889</v>
      </c>
      <c r="C798">
        <v>5</v>
      </c>
    </row>
    <row r="799" spans="1:3" x14ac:dyDescent="0.45">
      <c r="A799">
        <f>SUMIFS(fact_batting_summary!G:G, fact_batting_summary!E:E, fact_batting_summary!E799)</f>
        <v>332</v>
      </c>
      <c r="B799" s="9">
        <f>AVERAGEIFS(fact_batting_summary!G:G, fact_batting_summary!E:E,fact_batting_summary!E799)</f>
        <v>19.529411764705884</v>
      </c>
      <c r="C799">
        <v>6</v>
      </c>
    </row>
    <row r="800" spans="1:3" x14ac:dyDescent="0.45">
      <c r="A800">
        <f>SUMIFS(fact_batting_summary!G:G, fact_batting_summary!E:E, fact_batting_summary!E800)</f>
        <v>815</v>
      </c>
      <c r="B800" s="9">
        <f>AVERAGEIFS(fact_batting_summary!G:G, fact_batting_summary!E:E,fact_batting_summary!E800)</f>
        <v>25.46875</v>
      </c>
      <c r="C800">
        <v>1</v>
      </c>
    </row>
    <row r="801" spans="1:3" x14ac:dyDescent="0.45">
      <c r="A801">
        <f>SUMIFS(fact_batting_summary!G:G, fact_batting_summary!E:E, fact_batting_summary!E801)</f>
        <v>1392</v>
      </c>
      <c r="B801" s="9">
        <f>AVERAGEIFS(fact_batting_summary!G:G, fact_batting_summary!E:E,fact_batting_summary!E801)</f>
        <v>34.799999999999997</v>
      </c>
      <c r="C801">
        <v>2</v>
      </c>
    </row>
    <row r="802" spans="1:3" x14ac:dyDescent="0.45">
      <c r="A802">
        <f>SUMIFS(fact_batting_summary!G:G, fact_batting_summary!E:E, fact_batting_summary!E802)</f>
        <v>467</v>
      </c>
      <c r="B802" s="9">
        <f>AVERAGEIFS(fact_batting_summary!G:G, fact_batting_summary!E:E,fact_batting_summary!E802)</f>
        <v>24.578947368421051</v>
      </c>
      <c r="C802">
        <v>3</v>
      </c>
    </row>
    <row r="803" spans="1:3" x14ac:dyDescent="0.45">
      <c r="A803">
        <f>SUMIFS(fact_batting_summary!G:G, fact_batting_summary!E:E, fact_batting_summary!E803)</f>
        <v>722</v>
      </c>
      <c r="B803" s="9">
        <f>AVERAGEIFS(fact_batting_summary!G:G, fact_batting_summary!E:E,fact_batting_summary!E803)</f>
        <v>25.785714285714285</v>
      </c>
      <c r="C803">
        <v>4</v>
      </c>
    </row>
    <row r="804" spans="1:3" x14ac:dyDescent="0.45">
      <c r="A804">
        <f>SUMIFS(fact_batting_summary!G:G, fact_batting_summary!E:E, fact_batting_summary!E804)</f>
        <v>645</v>
      </c>
      <c r="B804" s="9">
        <f>AVERAGEIFS(fact_batting_summary!G:G, fact_batting_summary!E:E,fact_batting_summary!E804)</f>
        <v>21.5</v>
      </c>
      <c r="C804">
        <v>5</v>
      </c>
    </row>
    <row r="805" spans="1:3" x14ac:dyDescent="0.45">
      <c r="A805">
        <f>SUMIFS(fact_batting_summary!G:G, fact_batting_summary!E:E, fact_batting_summary!E805)</f>
        <v>295</v>
      </c>
      <c r="B805" s="9">
        <f>AVERAGEIFS(fact_batting_summary!G:G, fact_batting_summary!E:E,fact_batting_summary!E805)</f>
        <v>15.526315789473685</v>
      </c>
      <c r="C805">
        <v>6</v>
      </c>
    </row>
    <row r="806" spans="1:3" x14ac:dyDescent="0.45">
      <c r="A806">
        <f>SUMIFS(fact_batting_summary!G:G, fact_batting_summary!E:E, fact_batting_summary!E806)</f>
        <v>21</v>
      </c>
      <c r="B806" s="9">
        <f>AVERAGEIFS(fact_batting_summary!G:G, fact_batting_summary!E:E,fact_batting_summary!E806)</f>
        <v>10.5</v>
      </c>
      <c r="C806">
        <v>7</v>
      </c>
    </row>
    <row r="807" spans="1:3" x14ac:dyDescent="0.45">
      <c r="A807">
        <f>SUMIFS(fact_batting_summary!G:G, fact_batting_summary!E:E, fact_batting_summary!E807)</f>
        <v>15</v>
      </c>
      <c r="B807" s="9">
        <f>AVERAGEIFS(fact_batting_summary!G:G, fact_batting_summary!E:E,fact_batting_summary!E807)</f>
        <v>15</v>
      </c>
      <c r="C807">
        <v>8</v>
      </c>
    </row>
    <row r="808" spans="1:3" x14ac:dyDescent="0.45">
      <c r="A808">
        <f>SUMIFS(fact_batting_summary!G:G, fact_batting_summary!E:E, fact_batting_summary!E808)</f>
        <v>302</v>
      </c>
      <c r="B808" s="9">
        <f>AVERAGEIFS(fact_batting_summary!G:G, fact_batting_summary!E:E,fact_batting_summary!E808)</f>
        <v>11.185185185185185</v>
      </c>
      <c r="C808">
        <v>9</v>
      </c>
    </row>
    <row r="809" spans="1:3" x14ac:dyDescent="0.45">
      <c r="A809">
        <f>SUMIFS(fact_batting_summary!G:G, fact_batting_summary!E:E, fact_batting_summary!E809)</f>
        <v>61</v>
      </c>
      <c r="B809" s="9">
        <f>AVERAGEIFS(fact_batting_summary!G:G, fact_batting_summary!E:E,fact_batting_summary!E809)</f>
        <v>4.6923076923076925</v>
      </c>
      <c r="C809">
        <v>10</v>
      </c>
    </row>
    <row r="810" spans="1:3" x14ac:dyDescent="0.45">
      <c r="A810">
        <f>SUMIFS(fact_batting_summary!G:G, fact_batting_summary!E:E, fact_batting_summary!E810)</f>
        <v>1509</v>
      </c>
      <c r="B810" s="9">
        <f>AVERAGEIFS(fact_batting_summary!G:G, fact_batting_summary!E:E,fact_batting_summary!E810)</f>
        <v>39.710526315789473</v>
      </c>
      <c r="C810">
        <v>1</v>
      </c>
    </row>
    <row r="811" spans="1:3" x14ac:dyDescent="0.45">
      <c r="A811">
        <f>SUMIFS(fact_batting_summary!G:G, fact_batting_summary!E:E, fact_batting_summary!E811)</f>
        <v>61</v>
      </c>
      <c r="B811" s="9">
        <f>AVERAGEIFS(fact_batting_summary!G:G, fact_batting_summary!E:E,fact_batting_summary!E811)</f>
        <v>12.2</v>
      </c>
      <c r="C811">
        <v>2</v>
      </c>
    </row>
    <row r="812" spans="1:3" x14ac:dyDescent="0.45">
      <c r="A812">
        <f>SUMIFS(fact_batting_summary!G:G, fact_batting_summary!E:E, fact_batting_summary!E812)</f>
        <v>1304</v>
      </c>
      <c r="B812" s="9">
        <f>AVERAGEIFS(fact_batting_summary!G:G, fact_batting_summary!E:E,fact_batting_summary!E812)</f>
        <v>28.977777777777778</v>
      </c>
      <c r="C812">
        <v>3</v>
      </c>
    </row>
    <row r="813" spans="1:3" x14ac:dyDescent="0.45">
      <c r="A813">
        <f>SUMIFS(fact_batting_summary!G:G, fact_batting_summary!E:E, fact_batting_summary!E813)</f>
        <v>937</v>
      </c>
      <c r="B813" s="9">
        <f>AVERAGEIFS(fact_batting_summary!G:G, fact_batting_summary!E:E,fact_batting_summary!E813)</f>
        <v>27.558823529411764</v>
      </c>
      <c r="C813">
        <v>4</v>
      </c>
    </row>
    <row r="814" spans="1:3" x14ac:dyDescent="0.45">
      <c r="A814">
        <f>SUMIFS(fact_batting_summary!G:G, fact_batting_summary!E:E, fact_batting_summary!E814)</f>
        <v>864</v>
      </c>
      <c r="B814" s="9">
        <f>AVERAGEIFS(fact_batting_summary!G:G, fact_batting_summary!E:E,fact_batting_summary!E814)</f>
        <v>23.351351351351351</v>
      </c>
      <c r="C814">
        <v>5</v>
      </c>
    </row>
    <row r="815" spans="1:3" x14ac:dyDescent="0.45">
      <c r="A815">
        <f>SUMIFS(fact_batting_summary!G:G, fact_batting_summary!E:E, fact_batting_summary!E815)</f>
        <v>354</v>
      </c>
      <c r="B815" s="9">
        <f>AVERAGEIFS(fact_batting_summary!G:G, fact_batting_summary!E:E,fact_batting_summary!E815)</f>
        <v>11.419354838709678</v>
      </c>
      <c r="C815">
        <v>6</v>
      </c>
    </row>
    <row r="816" spans="1:3" x14ac:dyDescent="0.45">
      <c r="A816">
        <f>SUMIFS(fact_batting_summary!G:G, fact_batting_summary!E:E, fact_batting_summary!E816)</f>
        <v>459</v>
      </c>
      <c r="B816" s="9">
        <f>AVERAGEIFS(fact_batting_summary!G:G, fact_batting_summary!E:E,fact_batting_summary!E816)</f>
        <v>13.909090909090908</v>
      </c>
      <c r="C816">
        <v>7</v>
      </c>
    </row>
    <row r="817" spans="1:3" x14ac:dyDescent="0.45">
      <c r="A817">
        <f>SUMIFS(fact_batting_summary!G:G, fact_batting_summary!E:E, fact_batting_summary!E817)</f>
        <v>67</v>
      </c>
      <c r="B817" s="9">
        <f>AVERAGEIFS(fact_batting_summary!G:G, fact_batting_summary!E:E,fact_batting_summary!E817)</f>
        <v>9.5714285714285712</v>
      </c>
      <c r="C817">
        <v>8</v>
      </c>
    </row>
    <row r="818" spans="1:3" x14ac:dyDescent="0.45">
      <c r="A818">
        <f>SUMIFS(fact_batting_summary!G:G, fact_batting_summary!E:E, fact_batting_summary!E818)</f>
        <v>109</v>
      </c>
      <c r="B818" s="9">
        <f>AVERAGEIFS(fact_batting_summary!G:G, fact_batting_summary!E:E,fact_batting_summary!E818)</f>
        <v>12.111111111111111</v>
      </c>
      <c r="C818">
        <v>9</v>
      </c>
    </row>
    <row r="819" spans="1:3" x14ac:dyDescent="0.45">
      <c r="A819">
        <f>SUMIFS(fact_batting_summary!G:G, fact_batting_summary!E:E, fact_batting_summary!E819)</f>
        <v>1385</v>
      </c>
      <c r="B819" s="9">
        <f>AVERAGEIFS(fact_batting_summary!G:G, fact_batting_summary!E:E,fact_batting_summary!E819)</f>
        <v>30.777777777777779</v>
      </c>
      <c r="C819">
        <v>1</v>
      </c>
    </row>
    <row r="820" spans="1:3" x14ac:dyDescent="0.45">
      <c r="A820">
        <f>SUMIFS(fact_batting_summary!G:G, fact_batting_summary!E:E, fact_batting_summary!E820)</f>
        <v>1048</v>
      </c>
      <c r="B820" s="9">
        <f>AVERAGEIFS(fact_batting_summary!G:G, fact_batting_summary!E:E,fact_batting_summary!E820)</f>
        <v>24.952380952380953</v>
      </c>
      <c r="C820">
        <v>2</v>
      </c>
    </row>
    <row r="821" spans="1:3" x14ac:dyDescent="0.45">
      <c r="A821">
        <f>SUMIFS(fact_batting_summary!G:G, fact_batting_summary!E:E, fact_batting_summary!E821)</f>
        <v>320</v>
      </c>
      <c r="B821" s="9">
        <f>AVERAGEIFS(fact_batting_summary!G:G, fact_batting_summary!E:E,fact_batting_summary!E821)</f>
        <v>13.333333333333334</v>
      </c>
      <c r="C821">
        <v>3</v>
      </c>
    </row>
    <row r="822" spans="1:3" x14ac:dyDescent="0.45">
      <c r="A822">
        <f>SUMIFS(fact_batting_summary!G:G, fact_batting_summary!E:E, fact_batting_summary!E822)</f>
        <v>1214</v>
      </c>
      <c r="B822" s="9">
        <f>AVERAGEIFS(fact_batting_summary!G:G, fact_batting_summary!E:E,fact_batting_summary!E822)</f>
        <v>29.609756097560975</v>
      </c>
      <c r="C822">
        <v>4</v>
      </c>
    </row>
    <row r="823" spans="1:3" x14ac:dyDescent="0.45">
      <c r="A823">
        <f>SUMIFS(fact_batting_summary!G:G, fact_batting_summary!E:E, fact_batting_summary!E823)</f>
        <v>313</v>
      </c>
      <c r="B823" s="9">
        <f>AVERAGEIFS(fact_batting_summary!G:G, fact_batting_summary!E:E,fact_batting_summary!E823)</f>
        <v>22.357142857142858</v>
      </c>
      <c r="C823">
        <v>5</v>
      </c>
    </row>
    <row r="824" spans="1:3" x14ac:dyDescent="0.45">
      <c r="A824">
        <f>SUMIFS(fact_batting_summary!G:G, fact_batting_summary!E:E, fact_batting_summary!E824)</f>
        <v>192</v>
      </c>
      <c r="B824" s="9">
        <f>AVERAGEIFS(fact_batting_summary!G:G, fact_batting_summary!E:E,fact_batting_summary!E824)</f>
        <v>12</v>
      </c>
      <c r="C824">
        <v>6</v>
      </c>
    </row>
    <row r="825" spans="1:3" x14ac:dyDescent="0.45">
      <c r="A825">
        <f>SUMIFS(fact_batting_summary!G:G, fact_batting_summary!E:E, fact_batting_summary!E825)</f>
        <v>14</v>
      </c>
      <c r="B825" s="9">
        <f>AVERAGEIFS(fact_batting_summary!G:G, fact_batting_summary!E:E,fact_batting_summary!E825)</f>
        <v>2</v>
      </c>
      <c r="C825">
        <v>7</v>
      </c>
    </row>
    <row r="826" spans="1:3" x14ac:dyDescent="0.45">
      <c r="A826">
        <f>SUMIFS(fact_batting_summary!G:G, fact_batting_summary!E:E, fact_batting_summary!E826)</f>
        <v>65</v>
      </c>
      <c r="B826" s="9">
        <f>AVERAGEIFS(fact_batting_summary!G:G, fact_batting_summary!E:E,fact_batting_summary!E826)</f>
        <v>9.2857142857142865</v>
      </c>
      <c r="C826">
        <v>8</v>
      </c>
    </row>
    <row r="827" spans="1:3" x14ac:dyDescent="0.45">
      <c r="A827">
        <f>SUMIFS(fact_batting_summary!G:G, fact_batting_summary!E:E, fact_batting_summary!E827)</f>
        <v>108</v>
      </c>
      <c r="B827" s="9">
        <f>AVERAGEIFS(fact_batting_summary!G:G, fact_batting_summary!E:E,fact_batting_summary!E827)</f>
        <v>6</v>
      </c>
      <c r="C827">
        <v>9</v>
      </c>
    </row>
    <row r="828" spans="1:3" x14ac:dyDescent="0.45">
      <c r="A828">
        <f>SUMIFS(fact_batting_summary!G:G, fact_batting_summary!E:E, fact_batting_summary!E828)</f>
        <v>819</v>
      </c>
      <c r="B828" s="9">
        <f>AVERAGEIFS(fact_batting_summary!G:G, fact_batting_summary!E:E,fact_batting_summary!E828)</f>
        <v>22.135135135135137</v>
      </c>
      <c r="C828">
        <v>1</v>
      </c>
    </row>
    <row r="829" spans="1:3" x14ac:dyDescent="0.45">
      <c r="A829">
        <f>SUMIFS(fact_batting_summary!G:G, fact_batting_summary!E:E, fact_batting_summary!E829)</f>
        <v>1137</v>
      </c>
      <c r="B829" s="9">
        <f>AVERAGEIFS(fact_batting_summary!G:G, fact_batting_summary!E:E,fact_batting_summary!E829)</f>
        <v>34.454545454545453</v>
      </c>
      <c r="C829">
        <v>2</v>
      </c>
    </row>
    <row r="830" spans="1:3" x14ac:dyDescent="0.45">
      <c r="A830">
        <f>SUMIFS(fact_batting_summary!G:G, fact_batting_summary!E:E, fact_batting_summary!E830)</f>
        <v>540</v>
      </c>
      <c r="B830" s="9">
        <f>AVERAGEIFS(fact_batting_summary!G:G, fact_batting_summary!E:E,fact_batting_summary!E830)</f>
        <v>23.478260869565219</v>
      </c>
      <c r="C830">
        <v>3</v>
      </c>
    </row>
    <row r="831" spans="1:3" x14ac:dyDescent="0.45">
      <c r="A831">
        <f>SUMIFS(fact_batting_summary!G:G, fact_batting_summary!E:E, fact_batting_summary!E831)</f>
        <v>463</v>
      </c>
      <c r="B831" s="9">
        <f>AVERAGEIFS(fact_batting_summary!G:G, fact_batting_summary!E:E,fact_batting_summary!E831)</f>
        <v>27.235294117647058</v>
      </c>
      <c r="C831">
        <v>4</v>
      </c>
    </row>
    <row r="832" spans="1:3" x14ac:dyDescent="0.45">
      <c r="A832">
        <f>SUMIFS(fact_batting_summary!G:G, fact_batting_summary!E:E, fact_batting_summary!E832)</f>
        <v>284</v>
      </c>
      <c r="B832" s="9">
        <f>AVERAGEIFS(fact_batting_summary!G:G, fact_batting_summary!E:E,fact_batting_summary!E832)</f>
        <v>14.2</v>
      </c>
      <c r="C832">
        <v>5</v>
      </c>
    </row>
    <row r="833" spans="1:3" x14ac:dyDescent="0.45">
      <c r="A833">
        <f>SUMIFS(fact_batting_summary!G:G, fact_batting_summary!E:E, fact_batting_summary!E833)</f>
        <v>370</v>
      </c>
      <c r="B833" s="9">
        <f>AVERAGEIFS(fact_batting_summary!G:G, fact_batting_summary!E:E,fact_batting_summary!E833)</f>
        <v>20.555555555555557</v>
      </c>
      <c r="C833">
        <v>6</v>
      </c>
    </row>
    <row r="834" spans="1:3" x14ac:dyDescent="0.45">
      <c r="A834">
        <f>SUMIFS(fact_batting_summary!G:G, fact_batting_summary!E:E, fact_batting_summary!E834)</f>
        <v>155</v>
      </c>
      <c r="B834" s="9">
        <f>AVERAGEIFS(fact_batting_summary!G:G, fact_batting_summary!E:E,fact_batting_summary!E834)</f>
        <v>8.6111111111111107</v>
      </c>
      <c r="C834">
        <v>7</v>
      </c>
    </row>
    <row r="835" spans="1:3" x14ac:dyDescent="0.45">
      <c r="A835">
        <f>SUMIFS(fact_batting_summary!G:G, fact_batting_summary!E:E, fact_batting_summary!E835)</f>
        <v>304</v>
      </c>
      <c r="B835" s="9">
        <f>AVERAGEIFS(fact_batting_summary!G:G, fact_batting_summary!E:E,fact_batting_summary!E835)</f>
        <v>11.692307692307692</v>
      </c>
      <c r="C835">
        <v>8</v>
      </c>
    </row>
    <row r="836" spans="1:3" x14ac:dyDescent="0.45">
      <c r="A836">
        <f>SUMIFS(fact_batting_summary!G:G, fact_batting_summary!E:E, fact_batting_summary!E836)</f>
        <v>100</v>
      </c>
      <c r="B836" s="9">
        <f>AVERAGEIFS(fact_batting_summary!G:G, fact_batting_summary!E:E,fact_batting_summary!E836)</f>
        <v>5.2631578947368425</v>
      </c>
      <c r="C836">
        <v>9</v>
      </c>
    </row>
    <row r="837" spans="1:3" x14ac:dyDescent="0.45">
      <c r="A837">
        <f>SUMIFS(fact_batting_summary!G:G, fact_batting_summary!E:E, fact_batting_summary!E837)</f>
        <v>0</v>
      </c>
      <c r="B837" s="9">
        <f>AVERAGEIFS(fact_batting_summary!G:G, fact_batting_summary!E:E,fact_batting_summary!E837)</f>
        <v>0</v>
      </c>
      <c r="C837">
        <v>10</v>
      </c>
    </row>
    <row r="838" spans="1:3" x14ac:dyDescent="0.45">
      <c r="A838">
        <f>SUMIFS(fact_batting_summary!G:G, fact_batting_summary!E:E, fact_batting_summary!E838)</f>
        <v>0</v>
      </c>
      <c r="B838" s="9">
        <f>AVERAGEIFS(fact_batting_summary!G:G, fact_batting_summary!E:E,fact_batting_summary!E838)</f>
        <v>0</v>
      </c>
      <c r="C838">
        <v>11</v>
      </c>
    </row>
    <row r="839" spans="1:3" x14ac:dyDescent="0.45">
      <c r="A839">
        <f>SUMIFS(fact_batting_summary!G:G, fact_batting_summary!E:E, fact_batting_summary!E839)</f>
        <v>981</v>
      </c>
      <c r="B839" s="9">
        <f>AVERAGEIFS(fact_batting_summary!G:G, fact_batting_summary!E:E,fact_batting_summary!E839)</f>
        <v>22.813953488372093</v>
      </c>
      <c r="C839">
        <v>1</v>
      </c>
    </row>
    <row r="840" spans="1:3" x14ac:dyDescent="0.45">
      <c r="A840">
        <f>SUMIFS(fact_batting_summary!G:G, fact_batting_summary!E:E, fact_batting_summary!E840)</f>
        <v>948</v>
      </c>
      <c r="B840" s="9">
        <f>AVERAGEIFS(fact_batting_summary!G:G, fact_batting_summary!E:E,fact_batting_summary!E840)</f>
        <v>31.6</v>
      </c>
      <c r="C840">
        <v>2</v>
      </c>
    </row>
    <row r="841" spans="1:3" x14ac:dyDescent="0.45">
      <c r="A841">
        <f>SUMIFS(fact_batting_summary!G:G, fact_batting_summary!E:E, fact_batting_summary!E841)</f>
        <v>1225</v>
      </c>
      <c r="B841" s="9">
        <f>AVERAGEIFS(fact_batting_summary!G:G, fact_batting_summary!E:E,fact_batting_summary!E841)</f>
        <v>32.236842105263158</v>
      </c>
      <c r="C841">
        <v>3</v>
      </c>
    </row>
    <row r="842" spans="1:3" x14ac:dyDescent="0.45">
      <c r="A842">
        <f>SUMIFS(fact_batting_summary!G:G, fact_batting_summary!E:E, fact_batting_summary!E842)</f>
        <v>1113</v>
      </c>
      <c r="B842" s="9">
        <f>AVERAGEIFS(fact_batting_summary!G:G, fact_batting_summary!E:E,fact_batting_summary!E842)</f>
        <v>28.53846153846154</v>
      </c>
      <c r="C842">
        <v>4</v>
      </c>
    </row>
    <row r="843" spans="1:3" x14ac:dyDescent="0.45">
      <c r="A843">
        <f>SUMIFS(fact_batting_summary!G:G, fact_batting_summary!E:E, fact_batting_summary!E843)</f>
        <v>960</v>
      </c>
      <c r="B843" s="9">
        <f>AVERAGEIFS(fact_batting_summary!G:G, fact_batting_summary!E:E,fact_batting_summary!E843)</f>
        <v>23.414634146341463</v>
      </c>
      <c r="C843">
        <v>5</v>
      </c>
    </row>
    <row r="844" spans="1:3" x14ac:dyDescent="0.45">
      <c r="A844">
        <f>SUMIFS(fact_batting_summary!G:G, fact_batting_summary!E:E, fact_batting_summary!E844)</f>
        <v>389</v>
      </c>
      <c r="B844" s="9">
        <f>AVERAGEIFS(fact_batting_summary!G:G, fact_batting_summary!E:E,fact_batting_summary!E844)</f>
        <v>16.208333333333332</v>
      </c>
      <c r="C844">
        <v>6</v>
      </c>
    </row>
    <row r="845" spans="1:3" x14ac:dyDescent="0.45">
      <c r="A845">
        <f>SUMIFS(fact_batting_summary!G:G, fact_batting_summary!E:E, fact_batting_summary!E845)</f>
        <v>514</v>
      </c>
      <c r="B845" s="9">
        <f>AVERAGEIFS(fact_batting_summary!G:G, fact_batting_summary!E:E,fact_batting_summary!E845)</f>
        <v>13.526315789473685</v>
      </c>
      <c r="C845">
        <v>7</v>
      </c>
    </row>
    <row r="846" spans="1:3" x14ac:dyDescent="0.45">
      <c r="A846">
        <f>SUMIFS(fact_batting_summary!G:G, fact_batting_summary!E:E, fact_batting_summary!E846)</f>
        <v>48</v>
      </c>
      <c r="B846" s="9">
        <f>AVERAGEIFS(fact_batting_summary!G:G, fact_batting_summary!E:E,fact_batting_summary!E846)</f>
        <v>4.3636363636363633</v>
      </c>
      <c r="C846">
        <v>8</v>
      </c>
    </row>
    <row r="847" spans="1:3" x14ac:dyDescent="0.45">
      <c r="A847">
        <f>SUMIFS(fact_batting_summary!G:G, fact_batting_summary!E:E, fact_batting_summary!E847)</f>
        <v>91</v>
      </c>
      <c r="B847" s="9">
        <f>AVERAGEIFS(fact_batting_summary!G:G, fact_batting_summary!E:E,fact_batting_summary!E847)</f>
        <v>5.6875</v>
      </c>
      <c r="C847">
        <v>9</v>
      </c>
    </row>
    <row r="848" spans="1:3" x14ac:dyDescent="0.45">
      <c r="A848">
        <f>SUMIFS(fact_batting_summary!G:G, fact_batting_summary!E:E, fact_batting_summary!E848)</f>
        <v>16</v>
      </c>
      <c r="B848" s="9">
        <f>AVERAGEIFS(fact_batting_summary!G:G, fact_batting_summary!E:E,fact_batting_summary!E848)</f>
        <v>1.2307692307692308</v>
      </c>
      <c r="C848">
        <v>10</v>
      </c>
    </row>
    <row r="849" spans="1:3" x14ac:dyDescent="0.45">
      <c r="A849">
        <f>SUMIFS(fact_batting_summary!G:G, fact_batting_summary!E:E, fact_batting_summary!E849)</f>
        <v>57</v>
      </c>
      <c r="B849" s="9">
        <f>AVERAGEIFS(fact_batting_summary!G:G, fact_batting_summary!E:E,fact_batting_summary!E849)</f>
        <v>3.5625</v>
      </c>
      <c r="C849">
        <v>11</v>
      </c>
    </row>
    <row r="850" spans="1:3" x14ac:dyDescent="0.45">
      <c r="A850">
        <f>SUMIFS(fact_batting_summary!G:G, fact_batting_summary!E:E, fact_batting_summary!E850)</f>
        <v>1157</v>
      </c>
      <c r="B850" s="9">
        <f>AVERAGEIFS(fact_batting_summary!G:G, fact_batting_summary!E:E,fact_batting_summary!E850)</f>
        <v>26.295454545454547</v>
      </c>
      <c r="C850">
        <v>1</v>
      </c>
    </row>
    <row r="851" spans="1:3" x14ac:dyDescent="0.45">
      <c r="A851">
        <f>SUMIFS(fact_batting_summary!G:G, fact_batting_summary!E:E, fact_batting_summary!E851)</f>
        <v>1851</v>
      </c>
      <c r="B851" s="9">
        <f>AVERAGEIFS(fact_batting_summary!G:G, fact_batting_summary!E:E,fact_batting_summary!E851)</f>
        <v>37.020000000000003</v>
      </c>
      <c r="C851">
        <v>2</v>
      </c>
    </row>
    <row r="852" spans="1:3" x14ac:dyDescent="0.45">
      <c r="A852">
        <f>SUMIFS(fact_batting_summary!G:G, fact_batting_summary!E:E, fact_batting_summary!E852)</f>
        <v>1083</v>
      </c>
      <c r="B852" s="9">
        <f>AVERAGEIFS(fact_batting_summary!G:G, fact_batting_summary!E:E,fact_batting_summary!E852)</f>
        <v>25.186046511627907</v>
      </c>
      <c r="C852">
        <v>3</v>
      </c>
    </row>
    <row r="853" spans="1:3" x14ac:dyDescent="0.45">
      <c r="A853">
        <f>SUMIFS(fact_batting_summary!G:G, fact_batting_summary!E:E, fact_batting_summary!E853)</f>
        <v>133</v>
      </c>
      <c r="B853" s="9">
        <f>AVERAGEIFS(fact_batting_summary!G:G, fact_batting_summary!E:E,fact_batting_summary!E853)</f>
        <v>8.3125</v>
      </c>
      <c r="C853">
        <v>4</v>
      </c>
    </row>
    <row r="854" spans="1:3" x14ac:dyDescent="0.45">
      <c r="A854">
        <f>SUMIFS(fact_batting_summary!G:G, fact_batting_summary!E:E, fact_batting_summary!E854)</f>
        <v>47</v>
      </c>
      <c r="B854" s="9">
        <f>AVERAGEIFS(fact_batting_summary!G:G, fact_batting_summary!E:E,fact_batting_summary!E854)</f>
        <v>7.833333333333333</v>
      </c>
      <c r="C854">
        <v>5</v>
      </c>
    </row>
    <row r="855" spans="1:3" x14ac:dyDescent="0.45">
      <c r="A855">
        <f>SUMIFS(fact_batting_summary!G:G, fact_batting_summary!E:E, fact_batting_summary!E855)</f>
        <v>693</v>
      </c>
      <c r="B855" s="9">
        <f>AVERAGEIFS(fact_batting_summary!G:G, fact_batting_summary!E:E,fact_batting_summary!E855)</f>
        <v>15.75</v>
      </c>
      <c r="C855">
        <v>6</v>
      </c>
    </row>
    <row r="856" spans="1:3" x14ac:dyDescent="0.45">
      <c r="A856">
        <f>SUMIFS(fact_batting_summary!G:G, fact_batting_summary!E:E, fact_batting_summary!E856)</f>
        <v>745</v>
      </c>
      <c r="B856" s="9">
        <f>AVERAGEIFS(fact_batting_summary!G:G, fact_batting_summary!E:E,fact_batting_summary!E856)</f>
        <v>21.285714285714285</v>
      </c>
      <c r="C856">
        <v>7</v>
      </c>
    </row>
    <row r="857" spans="1:3" x14ac:dyDescent="0.45">
      <c r="A857">
        <f>SUMIFS(fact_batting_summary!G:G, fact_batting_summary!E:E, fact_batting_summary!E857)</f>
        <v>156</v>
      </c>
      <c r="B857" s="9">
        <f>AVERAGEIFS(fact_batting_summary!G:G, fact_batting_summary!E:E,fact_batting_summary!E857)</f>
        <v>15.6</v>
      </c>
      <c r="C857">
        <v>8</v>
      </c>
    </row>
    <row r="858" spans="1:3" x14ac:dyDescent="0.45">
      <c r="A858">
        <f>SUMIFS(fact_batting_summary!G:G, fact_batting_summary!E:E, fact_batting_summary!E858)</f>
        <v>4</v>
      </c>
      <c r="B858" s="9">
        <f>AVERAGEIFS(fact_batting_summary!G:G, fact_batting_summary!E:E,fact_batting_summary!E858)</f>
        <v>2</v>
      </c>
      <c r="C858">
        <v>9</v>
      </c>
    </row>
    <row r="859" spans="1:3" x14ac:dyDescent="0.45">
      <c r="A859">
        <f>SUMIFS(fact_batting_summary!G:G, fact_batting_summary!E:E, fact_batting_summary!E859)</f>
        <v>1516</v>
      </c>
      <c r="B859" s="9">
        <f>AVERAGEIFS(fact_batting_summary!G:G, fact_batting_summary!E:E,fact_batting_summary!E859)</f>
        <v>40.972972972972975</v>
      </c>
      <c r="C859">
        <v>1</v>
      </c>
    </row>
    <row r="860" spans="1:3" x14ac:dyDescent="0.45">
      <c r="A860">
        <f>SUMIFS(fact_batting_summary!G:G, fact_batting_summary!E:E, fact_batting_summary!E860)</f>
        <v>907</v>
      </c>
      <c r="B860" s="9">
        <f>AVERAGEIFS(fact_batting_summary!G:G, fact_batting_summary!E:E,fact_batting_summary!E860)</f>
        <v>26.676470588235293</v>
      </c>
      <c r="C860">
        <v>2</v>
      </c>
    </row>
    <row r="861" spans="1:3" x14ac:dyDescent="0.45">
      <c r="A861">
        <f>SUMIFS(fact_batting_summary!G:G, fact_batting_summary!E:E, fact_batting_summary!E861)</f>
        <v>193</v>
      </c>
      <c r="B861" s="9">
        <f>AVERAGEIFS(fact_batting_summary!G:G, fact_batting_summary!E:E,fact_batting_summary!E861)</f>
        <v>19.3</v>
      </c>
      <c r="C861">
        <v>3</v>
      </c>
    </row>
    <row r="862" spans="1:3" x14ac:dyDescent="0.45">
      <c r="A862">
        <f>SUMIFS(fact_batting_summary!G:G, fact_batting_summary!E:E, fact_batting_summary!E862)</f>
        <v>695</v>
      </c>
      <c r="B862" s="9">
        <f>AVERAGEIFS(fact_batting_summary!G:G, fact_batting_summary!E:E,fact_batting_summary!E862)</f>
        <v>18.783783783783782</v>
      </c>
      <c r="C862">
        <v>4</v>
      </c>
    </row>
    <row r="863" spans="1:3" x14ac:dyDescent="0.45">
      <c r="A863">
        <f>SUMIFS(fact_batting_summary!G:G, fact_batting_summary!E:E, fact_batting_summary!E863)</f>
        <v>729</v>
      </c>
      <c r="B863" s="9">
        <f>AVERAGEIFS(fact_batting_summary!G:G, fact_batting_summary!E:E,fact_batting_summary!E863)</f>
        <v>19.184210526315791</v>
      </c>
      <c r="C863">
        <v>5</v>
      </c>
    </row>
    <row r="864" spans="1:3" x14ac:dyDescent="0.45">
      <c r="A864">
        <f>SUMIFS(fact_batting_summary!G:G, fact_batting_summary!E:E, fact_batting_summary!E864)</f>
        <v>426</v>
      </c>
      <c r="B864" s="9">
        <f>AVERAGEIFS(fact_batting_summary!G:G, fact_batting_summary!E:E,fact_batting_summary!E864)</f>
        <v>13.741935483870968</v>
      </c>
      <c r="C864">
        <v>6</v>
      </c>
    </row>
    <row r="865" spans="1:3" x14ac:dyDescent="0.45">
      <c r="A865">
        <f>SUMIFS(fact_batting_summary!G:G, fact_batting_summary!E:E, fact_batting_summary!E865)</f>
        <v>15</v>
      </c>
      <c r="B865" s="9">
        <f>AVERAGEIFS(fact_batting_summary!G:G, fact_batting_summary!E:E,fact_batting_summary!E865)</f>
        <v>7.5</v>
      </c>
      <c r="C865">
        <v>7</v>
      </c>
    </row>
    <row r="866" spans="1:3" x14ac:dyDescent="0.45">
      <c r="A866">
        <f>SUMIFS(fact_batting_summary!G:G, fact_batting_summary!E:E, fact_batting_summary!E866)</f>
        <v>15</v>
      </c>
      <c r="B866" s="9">
        <f>AVERAGEIFS(fact_batting_summary!G:G, fact_batting_summary!E:E,fact_batting_summary!E866)</f>
        <v>5</v>
      </c>
      <c r="C866">
        <v>1</v>
      </c>
    </row>
    <row r="867" spans="1:3" x14ac:dyDescent="0.45">
      <c r="A867">
        <f>SUMIFS(fact_batting_summary!G:G, fact_batting_summary!E:E, fact_batting_summary!E867)</f>
        <v>61</v>
      </c>
      <c r="B867" s="9">
        <f>AVERAGEIFS(fact_batting_summary!G:G, fact_batting_summary!E:E,fact_batting_summary!E867)</f>
        <v>12.2</v>
      </c>
      <c r="C867">
        <v>2</v>
      </c>
    </row>
    <row r="868" spans="1:3" x14ac:dyDescent="0.45">
      <c r="A868">
        <f>SUMIFS(fact_batting_summary!G:G, fact_batting_summary!E:E, fact_batting_summary!E868)</f>
        <v>1304</v>
      </c>
      <c r="B868" s="9">
        <f>AVERAGEIFS(fact_batting_summary!G:G, fact_batting_summary!E:E,fact_batting_summary!E868)</f>
        <v>28.977777777777778</v>
      </c>
      <c r="C868">
        <v>3</v>
      </c>
    </row>
    <row r="869" spans="1:3" x14ac:dyDescent="0.45">
      <c r="A869">
        <f>SUMIFS(fact_batting_summary!G:G, fact_batting_summary!E:E, fact_batting_summary!E869)</f>
        <v>1509</v>
      </c>
      <c r="B869" s="9">
        <f>AVERAGEIFS(fact_batting_summary!G:G, fact_batting_summary!E:E,fact_batting_summary!E869)</f>
        <v>39.710526315789473</v>
      </c>
      <c r="C869">
        <v>4</v>
      </c>
    </row>
    <row r="870" spans="1:3" x14ac:dyDescent="0.45">
      <c r="A870">
        <f>SUMIFS(fact_batting_summary!G:G, fact_batting_summary!E:E, fact_batting_summary!E870)</f>
        <v>937</v>
      </c>
      <c r="B870" s="9">
        <f>AVERAGEIFS(fact_batting_summary!G:G, fact_batting_summary!E:E,fact_batting_summary!E870)</f>
        <v>27.558823529411764</v>
      </c>
      <c r="C870">
        <v>5</v>
      </c>
    </row>
    <row r="871" spans="1:3" x14ac:dyDescent="0.45">
      <c r="A871">
        <f>SUMIFS(fact_batting_summary!G:G, fact_batting_summary!E:E, fact_batting_summary!E871)</f>
        <v>354</v>
      </c>
      <c r="B871" s="9">
        <f>AVERAGEIFS(fact_batting_summary!G:G, fact_batting_summary!E:E,fact_batting_summary!E871)</f>
        <v>11.419354838709678</v>
      </c>
      <c r="C871">
        <v>6</v>
      </c>
    </row>
    <row r="872" spans="1:3" x14ac:dyDescent="0.45">
      <c r="A872">
        <f>SUMIFS(fact_batting_summary!G:G, fact_batting_summary!E:E, fact_batting_summary!E872)</f>
        <v>459</v>
      </c>
      <c r="B872" s="9">
        <f>AVERAGEIFS(fact_batting_summary!G:G, fact_batting_summary!E:E,fact_batting_summary!E872)</f>
        <v>13.909090909090908</v>
      </c>
      <c r="C872">
        <v>7</v>
      </c>
    </row>
    <row r="873" spans="1:3" x14ac:dyDescent="0.45">
      <c r="A873">
        <f>SUMIFS(fact_batting_summary!G:G, fact_batting_summary!E:E, fact_batting_summary!E873)</f>
        <v>67</v>
      </c>
      <c r="B873" s="9">
        <f>AVERAGEIFS(fact_batting_summary!G:G, fact_batting_summary!E:E,fact_batting_summary!E873)</f>
        <v>9.5714285714285712</v>
      </c>
      <c r="C873">
        <v>8</v>
      </c>
    </row>
    <row r="874" spans="1:3" x14ac:dyDescent="0.45">
      <c r="A874">
        <f>SUMIFS(fact_batting_summary!G:G, fact_batting_summary!E:E, fact_batting_summary!E874)</f>
        <v>1157</v>
      </c>
      <c r="B874" s="9">
        <f>AVERAGEIFS(fact_batting_summary!G:G, fact_batting_summary!E:E,fact_batting_summary!E874)</f>
        <v>26.295454545454547</v>
      </c>
      <c r="C874">
        <v>1</v>
      </c>
    </row>
    <row r="875" spans="1:3" x14ac:dyDescent="0.45">
      <c r="A875">
        <f>SUMIFS(fact_batting_summary!G:G, fact_batting_summary!E:E, fact_batting_summary!E875)</f>
        <v>1851</v>
      </c>
      <c r="B875" s="9">
        <f>AVERAGEIFS(fact_batting_summary!G:G, fact_batting_summary!E:E,fact_batting_summary!E875)</f>
        <v>37.020000000000003</v>
      </c>
      <c r="C875">
        <v>2</v>
      </c>
    </row>
    <row r="876" spans="1:3" x14ac:dyDescent="0.45">
      <c r="A876">
        <f>SUMIFS(fact_batting_summary!G:G, fact_batting_summary!E:E, fact_batting_summary!E876)</f>
        <v>1083</v>
      </c>
      <c r="B876" s="9">
        <f>AVERAGEIFS(fact_batting_summary!G:G, fact_batting_summary!E:E,fact_batting_summary!E876)</f>
        <v>25.186046511627907</v>
      </c>
      <c r="C876">
        <v>3</v>
      </c>
    </row>
    <row r="877" spans="1:3" x14ac:dyDescent="0.45">
      <c r="A877">
        <f>SUMIFS(fact_batting_summary!G:G, fact_batting_summary!E:E, fact_batting_summary!E877)</f>
        <v>745</v>
      </c>
      <c r="B877" s="9">
        <f>AVERAGEIFS(fact_batting_summary!G:G, fact_batting_summary!E:E,fact_batting_summary!E877)</f>
        <v>21.285714285714285</v>
      </c>
      <c r="C877">
        <v>4</v>
      </c>
    </row>
    <row r="878" spans="1:3" x14ac:dyDescent="0.45">
      <c r="A878">
        <f>SUMIFS(fact_batting_summary!G:G, fact_batting_summary!E:E, fact_batting_summary!E878)</f>
        <v>133</v>
      </c>
      <c r="B878" s="9">
        <f>AVERAGEIFS(fact_batting_summary!G:G, fact_batting_summary!E:E,fact_batting_summary!E878)</f>
        <v>8.3125</v>
      </c>
      <c r="C878">
        <v>5</v>
      </c>
    </row>
    <row r="879" spans="1:3" x14ac:dyDescent="0.45">
      <c r="A879">
        <f>SUMIFS(fact_batting_summary!G:G, fact_batting_summary!E:E, fact_batting_summary!E879)</f>
        <v>693</v>
      </c>
      <c r="B879" s="9">
        <f>AVERAGEIFS(fact_batting_summary!G:G, fact_batting_summary!E:E,fact_batting_summary!E879)</f>
        <v>15.75</v>
      </c>
      <c r="C879">
        <v>6</v>
      </c>
    </row>
    <row r="880" spans="1:3" x14ac:dyDescent="0.45">
      <c r="A880">
        <f>SUMIFS(fact_batting_summary!G:G, fact_batting_summary!E:E, fact_batting_summary!E880)</f>
        <v>47</v>
      </c>
      <c r="B880" s="9">
        <f>AVERAGEIFS(fact_batting_summary!G:G, fact_batting_summary!E:E,fact_batting_summary!E880)</f>
        <v>7.833333333333333</v>
      </c>
      <c r="C880">
        <v>7</v>
      </c>
    </row>
    <row r="881" spans="1:3" x14ac:dyDescent="0.45">
      <c r="A881">
        <f>SUMIFS(fact_batting_summary!G:G, fact_batting_summary!E:E, fact_batting_summary!E881)</f>
        <v>819</v>
      </c>
      <c r="B881" s="9">
        <f>AVERAGEIFS(fact_batting_summary!G:G, fact_batting_summary!E:E,fact_batting_summary!E881)</f>
        <v>22.135135135135137</v>
      </c>
      <c r="C881">
        <v>1</v>
      </c>
    </row>
    <row r="882" spans="1:3" x14ac:dyDescent="0.45">
      <c r="A882">
        <f>SUMIFS(fact_batting_summary!G:G, fact_batting_summary!E:E, fact_batting_summary!E882)</f>
        <v>1137</v>
      </c>
      <c r="B882" s="9">
        <f>AVERAGEIFS(fact_batting_summary!G:G, fact_batting_summary!E:E,fact_batting_summary!E882)</f>
        <v>34.454545454545453</v>
      </c>
      <c r="C882">
        <v>2</v>
      </c>
    </row>
    <row r="883" spans="1:3" x14ac:dyDescent="0.45">
      <c r="A883">
        <f>SUMIFS(fact_batting_summary!G:G, fact_batting_summary!E:E, fact_batting_summary!E883)</f>
        <v>540</v>
      </c>
      <c r="B883" s="9">
        <f>AVERAGEIFS(fact_batting_summary!G:G, fact_batting_summary!E:E,fact_batting_summary!E883)</f>
        <v>23.478260869565219</v>
      </c>
      <c r="C883">
        <v>3</v>
      </c>
    </row>
    <row r="884" spans="1:3" x14ac:dyDescent="0.45">
      <c r="A884">
        <f>SUMIFS(fact_batting_summary!G:G, fact_batting_summary!E:E, fact_batting_summary!E884)</f>
        <v>463</v>
      </c>
      <c r="B884" s="9">
        <f>AVERAGEIFS(fact_batting_summary!G:G, fact_batting_summary!E:E,fact_batting_summary!E884)</f>
        <v>27.235294117647058</v>
      </c>
      <c r="C884">
        <v>4</v>
      </c>
    </row>
    <row r="885" spans="1:3" x14ac:dyDescent="0.45">
      <c r="A885">
        <f>SUMIFS(fact_batting_summary!G:G, fact_batting_summary!E:E, fact_batting_summary!E885)</f>
        <v>34</v>
      </c>
      <c r="B885" s="9">
        <f>AVERAGEIFS(fact_batting_summary!G:G, fact_batting_summary!E:E,fact_batting_summary!E885)</f>
        <v>11.333333333333334</v>
      </c>
      <c r="C885">
        <v>5</v>
      </c>
    </row>
    <row r="886" spans="1:3" x14ac:dyDescent="0.45">
      <c r="A886">
        <f>SUMIFS(fact_batting_summary!G:G, fact_batting_summary!E:E, fact_batting_summary!E886)</f>
        <v>370</v>
      </c>
      <c r="B886" s="9">
        <f>AVERAGEIFS(fact_batting_summary!G:G, fact_batting_summary!E:E,fact_batting_summary!E886)</f>
        <v>20.555555555555557</v>
      </c>
      <c r="C886">
        <v>6</v>
      </c>
    </row>
    <row r="887" spans="1:3" x14ac:dyDescent="0.45">
      <c r="A887">
        <f>SUMIFS(fact_batting_summary!G:G, fact_batting_summary!E:E, fact_batting_summary!E887)</f>
        <v>284</v>
      </c>
      <c r="B887" s="9">
        <f>AVERAGEIFS(fact_batting_summary!G:G, fact_batting_summary!E:E,fact_batting_summary!E887)</f>
        <v>14.2</v>
      </c>
      <c r="C887">
        <v>7</v>
      </c>
    </row>
    <row r="888" spans="1:3" x14ac:dyDescent="0.45">
      <c r="A888">
        <f>SUMIFS(fact_batting_summary!G:G, fact_batting_summary!E:E, fact_batting_summary!E888)</f>
        <v>1593</v>
      </c>
      <c r="B888" s="9">
        <f>AVERAGEIFS(fact_batting_summary!G:G, fact_batting_summary!E:E,fact_batting_summary!E888)</f>
        <v>35.4</v>
      </c>
      <c r="C888">
        <v>1</v>
      </c>
    </row>
    <row r="889" spans="1:3" x14ac:dyDescent="0.45">
      <c r="A889">
        <f>SUMIFS(fact_batting_summary!G:G, fact_batting_summary!E:E, fact_batting_summary!E889)</f>
        <v>1831</v>
      </c>
      <c r="B889" s="9">
        <f>AVERAGEIFS(fact_batting_summary!G:G, fact_batting_summary!E:E,fact_batting_summary!E889)</f>
        <v>39.804347826086953</v>
      </c>
      <c r="C889">
        <v>2</v>
      </c>
    </row>
    <row r="890" spans="1:3" x14ac:dyDescent="0.45">
      <c r="A890">
        <f>SUMIFS(fact_batting_summary!G:G, fact_batting_summary!E:E, fact_batting_summary!E890)</f>
        <v>725</v>
      </c>
      <c r="B890" s="9">
        <f>AVERAGEIFS(fact_batting_summary!G:G, fact_batting_summary!E:E,fact_batting_summary!E890)</f>
        <v>20.714285714285715</v>
      </c>
      <c r="C890">
        <v>3</v>
      </c>
    </row>
    <row r="891" spans="1:3" x14ac:dyDescent="0.45">
      <c r="A891">
        <f>SUMIFS(fact_batting_summary!G:G, fact_batting_summary!E:E, fact_batting_summary!E891)</f>
        <v>160</v>
      </c>
      <c r="B891" s="9">
        <f>AVERAGEIFS(fact_batting_summary!G:G, fact_batting_summary!E:E,fact_batting_summary!E891)</f>
        <v>14.545454545454545</v>
      </c>
      <c r="C891">
        <v>4</v>
      </c>
    </row>
    <row r="892" spans="1:3" x14ac:dyDescent="0.45">
      <c r="A892">
        <f>SUMIFS(fact_batting_summary!G:G, fact_batting_summary!E:E, fact_batting_summary!E892)</f>
        <v>689</v>
      </c>
      <c r="B892" s="9">
        <f>AVERAGEIFS(fact_batting_summary!G:G, fact_batting_summary!E:E,fact_batting_summary!E892)</f>
        <v>19.138888888888889</v>
      </c>
      <c r="C892">
        <v>5</v>
      </c>
    </row>
    <row r="893" spans="1:3" x14ac:dyDescent="0.45">
      <c r="A893">
        <f>SUMIFS(fact_batting_summary!G:G, fact_batting_summary!E:E, fact_batting_summary!E893)</f>
        <v>533</v>
      </c>
      <c r="B893" s="9">
        <f>AVERAGEIFS(fact_batting_summary!G:G, fact_batting_summary!E:E,fact_batting_summary!E893)</f>
        <v>15.676470588235293</v>
      </c>
      <c r="C893">
        <v>6</v>
      </c>
    </row>
    <row r="894" spans="1:3" x14ac:dyDescent="0.45">
      <c r="A894">
        <f>SUMIFS(fact_batting_summary!G:G, fact_batting_summary!E:E, fact_batting_summary!E894)</f>
        <v>450</v>
      </c>
      <c r="B894" s="9">
        <f>AVERAGEIFS(fact_batting_summary!G:G, fact_batting_summary!E:E,fact_batting_summary!E894)</f>
        <v>12.5</v>
      </c>
      <c r="C894">
        <v>7</v>
      </c>
    </row>
    <row r="895" spans="1:3" x14ac:dyDescent="0.45">
      <c r="A895">
        <f>SUMIFS(fact_batting_summary!G:G, fact_batting_summary!E:E, fact_batting_summary!E895)</f>
        <v>332</v>
      </c>
      <c r="B895" s="9">
        <f>AVERAGEIFS(fact_batting_summary!G:G, fact_batting_summary!E:E,fact_batting_summary!E895)</f>
        <v>19.529411764705884</v>
      </c>
      <c r="C895">
        <v>8</v>
      </c>
    </row>
    <row r="896" spans="1:3" x14ac:dyDescent="0.45">
      <c r="A896">
        <f>SUMIFS(fact_batting_summary!G:G, fact_batting_summary!E:E, fact_batting_summary!E896)</f>
        <v>815</v>
      </c>
      <c r="B896" s="9">
        <f>AVERAGEIFS(fact_batting_summary!G:G, fact_batting_summary!E:E,fact_batting_summary!E896)</f>
        <v>25.46875</v>
      </c>
      <c r="C896">
        <v>1</v>
      </c>
    </row>
    <row r="897" spans="1:3" x14ac:dyDescent="0.45">
      <c r="A897">
        <f>SUMIFS(fact_batting_summary!G:G, fact_batting_summary!E:E, fact_batting_summary!E897)</f>
        <v>1392</v>
      </c>
      <c r="B897" s="9">
        <f>AVERAGEIFS(fact_batting_summary!G:G, fact_batting_summary!E:E,fact_batting_summary!E897)</f>
        <v>34.799999999999997</v>
      </c>
      <c r="C897">
        <v>2</v>
      </c>
    </row>
    <row r="898" spans="1:3" x14ac:dyDescent="0.45">
      <c r="A898">
        <f>SUMIFS(fact_batting_summary!G:G, fact_batting_summary!E:E, fact_batting_summary!E898)</f>
        <v>722</v>
      </c>
      <c r="B898" s="9">
        <f>AVERAGEIFS(fact_batting_summary!G:G, fact_batting_summary!E:E,fact_batting_summary!E898)</f>
        <v>25.785714285714285</v>
      </c>
      <c r="C898">
        <v>3</v>
      </c>
    </row>
    <row r="899" spans="1:3" x14ac:dyDescent="0.45">
      <c r="A899">
        <f>SUMIFS(fact_batting_summary!G:G, fact_batting_summary!E:E, fact_batting_summary!E899)</f>
        <v>645</v>
      </c>
      <c r="B899" s="9">
        <f>AVERAGEIFS(fact_batting_summary!G:G, fact_batting_summary!E:E,fact_batting_summary!E899)</f>
        <v>21.5</v>
      </c>
      <c r="C899">
        <v>4</v>
      </c>
    </row>
    <row r="900" spans="1:3" x14ac:dyDescent="0.45">
      <c r="A900">
        <f>SUMIFS(fact_batting_summary!G:G, fact_batting_summary!E:E, fact_batting_summary!E900)</f>
        <v>854</v>
      </c>
      <c r="B900" s="9">
        <f>AVERAGEIFS(fact_batting_summary!G:G, fact_batting_summary!E:E,fact_batting_summary!E900)</f>
        <v>21.35</v>
      </c>
      <c r="C900">
        <v>5</v>
      </c>
    </row>
    <row r="901" spans="1:3" x14ac:dyDescent="0.45">
      <c r="A901">
        <f>SUMIFS(fact_batting_summary!G:G, fact_batting_summary!E:E, fact_batting_summary!E901)</f>
        <v>981</v>
      </c>
      <c r="B901" s="9">
        <f>AVERAGEIFS(fact_batting_summary!G:G, fact_batting_summary!E:E,fact_batting_summary!E901)</f>
        <v>22.813953488372093</v>
      </c>
      <c r="C901">
        <v>1</v>
      </c>
    </row>
    <row r="902" spans="1:3" x14ac:dyDescent="0.45">
      <c r="A902">
        <f>SUMIFS(fact_batting_summary!G:G, fact_batting_summary!E:E, fact_batting_summary!E902)</f>
        <v>49</v>
      </c>
      <c r="B902" s="9">
        <f>AVERAGEIFS(fact_batting_summary!G:G, fact_batting_summary!E:E,fact_batting_summary!E902)</f>
        <v>49</v>
      </c>
      <c r="C902">
        <v>2</v>
      </c>
    </row>
    <row r="903" spans="1:3" x14ac:dyDescent="0.45">
      <c r="A903">
        <f>SUMIFS(fact_batting_summary!G:G, fact_batting_summary!E:E, fact_batting_summary!E903)</f>
        <v>1225</v>
      </c>
      <c r="B903" s="9">
        <f>AVERAGEIFS(fact_batting_summary!G:G, fact_batting_summary!E:E,fact_batting_summary!E903)</f>
        <v>32.236842105263158</v>
      </c>
      <c r="C903">
        <v>3</v>
      </c>
    </row>
    <row r="904" spans="1:3" x14ac:dyDescent="0.45">
      <c r="A904">
        <f>SUMIFS(fact_batting_summary!G:G, fact_batting_summary!E:E, fact_batting_summary!E904)</f>
        <v>1113</v>
      </c>
      <c r="B904" s="9">
        <f>AVERAGEIFS(fact_batting_summary!G:G, fact_batting_summary!E:E,fact_batting_summary!E904)</f>
        <v>28.53846153846154</v>
      </c>
      <c r="C904">
        <v>4</v>
      </c>
    </row>
    <row r="905" spans="1:3" x14ac:dyDescent="0.45">
      <c r="A905">
        <f>SUMIFS(fact_batting_summary!G:G, fact_batting_summary!E:E, fact_batting_summary!E905)</f>
        <v>960</v>
      </c>
      <c r="B905" s="9">
        <f>AVERAGEIFS(fact_batting_summary!G:G, fact_batting_summary!E:E,fact_batting_summary!E905)</f>
        <v>23.414634146341463</v>
      </c>
      <c r="C905">
        <v>5</v>
      </c>
    </row>
    <row r="906" spans="1:3" x14ac:dyDescent="0.45">
      <c r="A906">
        <f>SUMIFS(fact_batting_summary!G:G, fact_batting_summary!E:E, fact_batting_summary!E906)</f>
        <v>389</v>
      </c>
      <c r="B906" s="9">
        <f>AVERAGEIFS(fact_batting_summary!G:G, fact_batting_summary!E:E,fact_batting_summary!E906)</f>
        <v>16.208333333333332</v>
      </c>
      <c r="C906">
        <v>6</v>
      </c>
    </row>
    <row r="907" spans="1:3" x14ac:dyDescent="0.45">
      <c r="A907">
        <f>SUMIFS(fact_batting_summary!G:G, fact_batting_summary!E:E, fact_batting_summary!E907)</f>
        <v>514</v>
      </c>
      <c r="B907" s="9">
        <f>AVERAGEIFS(fact_batting_summary!G:G, fact_batting_summary!E:E,fact_batting_summary!E907)</f>
        <v>13.526315789473685</v>
      </c>
      <c r="C907">
        <v>7</v>
      </c>
    </row>
    <row r="908" spans="1:3" x14ac:dyDescent="0.45">
      <c r="A908">
        <f>SUMIFS(fact_batting_summary!G:G, fact_batting_summary!E:E, fact_batting_summary!E908)</f>
        <v>48</v>
      </c>
      <c r="B908" s="9">
        <f>AVERAGEIFS(fact_batting_summary!G:G, fact_batting_summary!E:E,fact_batting_summary!E908)</f>
        <v>4.3636363636363633</v>
      </c>
      <c r="C908">
        <v>8</v>
      </c>
    </row>
    <row r="909" spans="1:3" x14ac:dyDescent="0.45">
      <c r="A909">
        <f>SUMIFS(fact_batting_summary!G:G, fact_batting_summary!E:E, fact_batting_summary!E909)</f>
        <v>91</v>
      </c>
      <c r="B909" s="9">
        <f>AVERAGEIFS(fact_batting_summary!G:G, fact_batting_summary!E:E,fact_batting_summary!E909)</f>
        <v>5.6875</v>
      </c>
      <c r="C909">
        <v>9</v>
      </c>
    </row>
    <row r="910" spans="1:3" x14ac:dyDescent="0.45">
      <c r="A910">
        <f>SUMIFS(fact_batting_summary!G:G, fact_batting_summary!E:E, fact_batting_summary!E910)</f>
        <v>16</v>
      </c>
      <c r="B910" s="9">
        <f>AVERAGEIFS(fact_batting_summary!G:G, fact_batting_summary!E:E,fact_batting_summary!E910)</f>
        <v>1.2307692307692308</v>
      </c>
      <c r="C910">
        <v>10</v>
      </c>
    </row>
    <row r="911" spans="1:3" x14ac:dyDescent="0.45">
      <c r="A911">
        <f>SUMIFS(fact_batting_summary!G:G, fact_batting_summary!E:E, fact_batting_summary!E911)</f>
        <v>192</v>
      </c>
      <c r="B911" s="9">
        <f>AVERAGEIFS(fact_batting_summary!G:G, fact_batting_summary!E:E,fact_batting_summary!E911)</f>
        <v>12</v>
      </c>
      <c r="C911">
        <v>1</v>
      </c>
    </row>
    <row r="912" spans="1:3" x14ac:dyDescent="0.45">
      <c r="A912">
        <f>SUMIFS(fact_batting_summary!G:G, fact_batting_summary!E:E, fact_batting_summary!E912)</f>
        <v>1385</v>
      </c>
      <c r="B912" s="9">
        <f>AVERAGEIFS(fact_batting_summary!G:G, fact_batting_summary!E:E,fact_batting_summary!E912)</f>
        <v>30.777777777777779</v>
      </c>
      <c r="C912">
        <v>2</v>
      </c>
    </row>
    <row r="913" spans="1:3" x14ac:dyDescent="0.45">
      <c r="A913">
        <f>SUMIFS(fact_batting_summary!G:G, fact_batting_summary!E:E, fact_batting_summary!E913)</f>
        <v>404</v>
      </c>
      <c r="B913" s="9">
        <f>AVERAGEIFS(fact_batting_summary!G:G, fact_batting_summary!E:E,fact_batting_summary!E913)</f>
        <v>36.727272727272727</v>
      </c>
      <c r="C913">
        <v>3</v>
      </c>
    </row>
    <row r="914" spans="1:3" x14ac:dyDescent="0.45">
      <c r="A914">
        <f>SUMIFS(fact_batting_summary!G:G, fact_batting_summary!E:E, fact_batting_summary!E914)</f>
        <v>1214</v>
      </c>
      <c r="B914" s="9">
        <f>AVERAGEIFS(fact_batting_summary!G:G, fact_batting_summary!E:E,fact_batting_summary!E914)</f>
        <v>29.609756097560975</v>
      </c>
      <c r="C914">
        <v>4</v>
      </c>
    </row>
    <row r="915" spans="1:3" x14ac:dyDescent="0.45">
      <c r="A915">
        <f>SUMIFS(fact_batting_summary!G:G, fact_batting_summary!E:E, fact_batting_summary!E915)</f>
        <v>313</v>
      </c>
      <c r="B915" s="9">
        <f>AVERAGEIFS(fact_batting_summary!G:G, fact_batting_summary!E:E,fact_batting_summary!E915)</f>
        <v>22.357142857142858</v>
      </c>
      <c r="C915">
        <v>5</v>
      </c>
    </row>
    <row r="916" spans="1:3" x14ac:dyDescent="0.45">
      <c r="A916">
        <f>SUMIFS(fact_batting_summary!G:G, fact_batting_summary!E:E, fact_batting_summary!E916)</f>
        <v>320</v>
      </c>
      <c r="B916" s="9">
        <f>AVERAGEIFS(fact_batting_summary!G:G, fact_batting_summary!E:E,fact_batting_summary!E916)</f>
        <v>13.333333333333334</v>
      </c>
      <c r="C916">
        <v>6</v>
      </c>
    </row>
    <row r="917" spans="1:3" x14ac:dyDescent="0.45">
      <c r="A917">
        <f>SUMIFS(fact_batting_summary!G:G, fact_batting_summary!E:E, fact_batting_summary!E917)</f>
        <v>14</v>
      </c>
      <c r="B917" s="9">
        <f>AVERAGEIFS(fact_batting_summary!G:G, fact_batting_summary!E:E,fact_batting_summary!E917)</f>
        <v>2</v>
      </c>
      <c r="C917">
        <v>7</v>
      </c>
    </row>
    <row r="918" spans="1:3" x14ac:dyDescent="0.45">
      <c r="A918">
        <f>SUMIFS(fact_batting_summary!G:G, fact_batting_summary!E:E, fact_batting_summary!E918)</f>
        <v>65</v>
      </c>
      <c r="B918" s="9">
        <f>AVERAGEIFS(fact_batting_summary!G:G, fact_batting_summary!E:E,fact_batting_summary!E918)</f>
        <v>9.2857142857142865</v>
      </c>
      <c r="C918">
        <v>8</v>
      </c>
    </row>
    <row r="919" spans="1:3" x14ac:dyDescent="0.45">
      <c r="A919">
        <f>SUMIFS(fact_batting_summary!G:G, fact_batting_summary!E:E, fact_batting_summary!E919)</f>
        <v>108</v>
      </c>
      <c r="B919" s="9">
        <f>AVERAGEIFS(fact_batting_summary!G:G, fact_batting_summary!E:E,fact_batting_summary!E919)</f>
        <v>6</v>
      </c>
      <c r="C919">
        <v>9</v>
      </c>
    </row>
    <row r="920" spans="1:3" x14ac:dyDescent="0.45">
      <c r="A920">
        <f>SUMIFS(fact_batting_summary!G:G, fact_batting_summary!E:E, fact_batting_summary!E920)</f>
        <v>51</v>
      </c>
      <c r="B920" s="9">
        <f>AVERAGEIFS(fact_batting_summary!G:G, fact_batting_summary!E:E,fact_batting_summary!E920)</f>
        <v>4.6363636363636367</v>
      </c>
      <c r="C920">
        <v>10</v>
      </c>
    </row>
    <row r="921" spans="1:3" x14ac:dyDescent="0.45">
      <c r="A921">
        <f>SUMIFS(fact_batting_summary!G:G, fact_batting_summary!E:E, fact_batting_summary!E921)</f>
        <v>1132</v>
      </c>
      <c r="B921" s="9">
        <f>AVERAGEIFS(fact_batting_summary!G:G, fact_batting_summary!E:E,fact_batting_summary!E921)</f>
        <v>33.294117647058826</v>
      </c>
      <c r="C921">
        <v>1</v>
      </c>
    </row>
    <row r="922" spans="1:3" x14ac:dyDescent="0.45">
      <c r="A922">
        <f>SUMIFS(fact_batting_summary!G:G, fact_batting_summary!E:E, fact_batting_summary!E922)</f>
        <v>1509</v>
      </c>
      <c r="B922" s="9">
        <f>AVERAGEIFS(fact_batting_summary!G:G, fact_batting_summary!E:E,fact_batting_summary!E922)</f>
        <v>39.710526315789473</v>
      </c>
      <c r="C922">
        <v>2</v>
      </c>
    </row>
    <row r="923" spans="1:3" x14ac:dyDescent="0.45">
      <c r="A923">
        <f>SUMIFS(fact_batting_summary!G:G, fact_batting_summary!E:E, fact_batting_summary!E923)</f>
        <v>1304</v>
      </c>
      <c r="B923" s="9">
        <f>AVERAGEIFS(fact_batting_summary!G:G, fact_batting_summary!E:E,fact_batting_summary!E923)</f>
        <v>28.977777777777778</v>
      </c>
      <c r="C923">
        <v>3</v>
      </c>
    </row>
    <row r="924" spans="1:3" x14ac:dyDescent="0.45">
      <c r="A924">
        <f>SUMIFS(fact_batting_summary!G:G, fact_batting_summary!E:E, fact_batting_summary!E924)</f>
        <v>1048</v>
      </c>
      <c r="B924" s="9">
        <f>AVERAGEIFS(fact_batting_summary!G:G, fact_batting_summary!E:E,fact_batting_summary!E924)</f>
        <v>24.952380952380953</v>
      </c>
      <c r="C924">
        <v>4</v>
      </c>
    </row>
    <row r="925" spans="1:3" x14ac:dyDescent="0.45">
      <c r="A925">
        <f>SUMIFS(fact_batting_summary!G:G, fact_batting_summary!E:E, fact_batting_summary!E925)</f>
        <v>854</v>
      </c>
      <c r="B925" s="9">
        <f>AVERAGEIFS(fact_batting_summary!G:G, fact_batting_summary!E:E,fact_batting_summary!E925)</f>
        <v>21.35</v>
      </c>
      <c r="C925">
        <v>5</v>
      </c>
    </row>
    <row r="926" spans="1:3" x14ac:dyDescent="0.45">
      <c r="A926">
        <f>SUMIFS(fact_batting_summary!G:G, fact_batting_summary!E:E, fact_batting_summary!E926)</f>
        <v>302</v>
      </c>
      <c r="B926" s="9">
        <f>AVERAGEIFS(fact_batting_summary!G:G, fact_batting_summary!E:E,fact_batting_summary!E926)</f>
        <v>11.185185185185185</v>
      </c>
      <c r="C926">
        <v>6</v>
      </c>
    </row>
    <row r="927" spans="1:3" x14ac:dyDescent="0.45">
      <c r="A927">
        <f>SUMIFS(fact_batting_summary!G:G, fact_batting_summary!E:E, fact_batting_summary!E927)</f>
        <v>354</v>
      </c>
      <c r="B927" s="9">
        <f>AVERAGEIFS(fact_batting_summary!G:G, fact_batting_summary!E:E,fact_batting_summary!E927)</f>
        <v>11.419354838709678</v>
      </c>
      <c r="C927">
        <v>7</v>
      </c>
    </row>
    <row r="928" spans="1:3" x14ac:dyDescent="0.45">
      <c r="A928">
        <f>SUMIFS(fact_batting_summary!G:G, fact_batting_summary!E:E, fact_batting_summary!E928)</f>
        <v>57</v>
      </c>
      <c r="B928" s="9">
        <f>AVERAGEIFS(fact_batting_summary!G:G, fact_batting_summary!E:E,fact_batting_summary!E928)</f>
        <v>3.5625</v>
      </c>
      <c r="C928">
        <v>8</v>
      </c>
    </row>
    <row r="929" spans="1:3" x14ac:dyDescent="0.45">
      <c r="A929">
        <f>SUMIFS(fact_batting_summary!G:G, fact_batting_summary!E:E, fact_batting_summary!E929)</f>
        <v>8</v>
      </c>
      <c r="B929" s="9">
        <f>AVERAGEIFS(fact_batting_summary!G:G, fact_batting_summary!E:E,fact_batting_summary!E929)</f>
        <v>8</v>
      </c>
      <c r="C929">
        <v>9</v>
      </c>
    </row>
    <row r="930" spans="1:3" x14ac:dyDescent="0.45">
      <c r="A930">
        <f>SUMIFS(fact_batting_summary!G:G, fact_batting_summary!E:E, fact_batting_summary!E930)</f>
        <v>6</v>
      </c>
      <c r="B930" s="9">
        <f>AVERAGEIFS(fact_batting_summary!G:G, fact_batting_summary!E:E,fact_batting_summary!E930)</f>
        <v>1.2</v>
      </c>
      <c r="C930">
        <v>10</v>
      </c>
    </row>
    <row r="931" spans="1:3" x14ac:dyDescent="0.45">
      <c r="A931">
        <f>SUMIFS(fact_batting_summary!G:G, fact_batting_summary!E:E, fact_batting_summary!E931)</f>
        <v>819</v>
      </c>
      <c r="B931" s="9">
        <f>AVERAGEIFS(fact_batting_summary!G:G, fact_batting_summary!E:E,fact_batting_summary!E931)</f>
        <v>22.135135135135137</v>
      </c>
      <c r="C931">
        <v>1</v>
      </c>
    </row>
    <row r="932" spans="1:3" x14ac:dyDescent="0.45">
      <c r="A932">
        <f>SUMIFS(fact_batting_summary!G:G, fact_batting_summary!E:E, fact_batting_summary!E932)</f>
        <v>1851</v>
      </c>
      <c r="B932" s="9">
        <f>AVERAGEIFS(fact_batting_summary!G:G, fact_batting_summary!E:E,fact_batting_summary!E932)</f>
        <v>37.020000000000003</v>
      </c>
      <c r="C932">
        <v>2</v>
      </c>
    </row>
    <row r="933" spans="1:3" x14ac:dyDescent="0.45">
      <c r="A933">
        <f>SUMIFS(fact_batting_summary!G:G, fact_batting_summary!E:E, fact_batting_summary!E933)</f>
        <v>157</v>
      </c>
      <c r="B933" s="9">
        <f>AVERAGEIFS(fact_batting_summary!G:G, fact_batting_summary!E:E,fact_batting_summary!E933)</f>
        <v>15.7</v>
      </c>
      <c r="C933">
        <v>3</v>
      </c>
    </row>
    <row r="934" spans="1:3" x14ac:dyDescent="0.45">
      <c r="A934">
        <f>SUMIFS(fact_batting_summary!G:G, fact_batting_summary!E:E, fact_batting_summary!E934)</f>
        <v>960</v>
      </c>
      <c r="B934" s="9">
        <f>AVERAGEIFS(fact_batting_summary!G:G, fact_batting_summary!E:E,fact_batting_summary!E934)</f>
        <v>23.414634146341463</v>
      </c>
      <c r="C934">
        <v>4</v>
      </c>
    </row>
    <row r="935" spans="1:3" x14ac:dyDescent="0.45">
      <c r="A935">
        <f>SUMIFS(fact_batting_summary!G:G, fact_batting_summary!E:E, fact_batting_summary!E935)</f>
        <v>864</v>
      </c>
      <c r="B935" s="9">
        <f>AVERAGEIFS(fact_batting_summary!G:G, fact_batting_summary!E:E,fact_batting_summary!E935)</f>
        <v>23.351351351351351</v>
      </c>
      <c r="C935">
        <v>5</v>
      </c>
    </row>
    <row r="936" spans="1:3" x14ac:dyDescent="0.45">
      <c r="A936">
        <f>SUMIFS(fact_batting_summary!G:G, fact_batting_summary!E:E, fact_batting_summary!E936)</f>
        <v>1385</v>
      </c>
      <c r="B936" s="9">
        <f>AVERAGEIFS(fact_batting_summary!G:G, fact_batting_summary!E:E,fact_batting_summary!E936)</f>
        <v>30.777777777777779</v>
      </c>
      <c r="C936">
        <v>1</v>
      </c>
    </row>
    <row r="937" spans="1:3" x14ac:dyDescent="0.45">
      <c r="A937">
        <f>SUMIFS(fact_batting_summary!G:G, fact_batting_summary!E:E, fact_batting_summary!E937)</f>
        <v>1831</v>
      </c>
      <c r="B937" s="9">
        <f>AVERAGEIFS(fact_batting_summary!G:G, fact_batting_summary!E:E,fact_batting_summary!E937)</f>
        <v>39.804347826086953</v>
      </c>
      <c r="C937">
        <v>2</v>
      </c>
    </row>
    <row r="938" spans="1:3" x14ac:dyDescent="0.45">
      <c r="A938">
        <f>SUMIFS(fact_batting_summary!G:G, fact_batting_summary!E:E, fact_batting_summary!E938)</f>
        <v>404</v>
      </c>
      <c r="B938" s="9">
        <f>AVERAGEIFS(fact_batting_summary!G:G, fact_batting_summary!E:E,fact_batting_summary!E938)</f>
        <v>36.727272727272727</v>
      </c>
      <c r="C938">
        <v>3</v>
      </c>
    </row>
    <row r="939" spans="1:3" x14ac:dyDescent="0.45">
      <c r="A939">
        <f>SUMIFS(fact_batting_summary!G:G, fact_batting_summary!E:E, fact_batting_summary!E939)</f>
        <v>1214</v>
      </c>
      <c r="B939" s="9">
        <f>AVERAGEIFS(fact_batting_summary!G:G, fact_batting_summary!E:E,fact_batting_summary!E939)</f>
        <v>29.609756097560975</v>
      </c>
      <c r="C939">
        <v>4</v>
      </c>
    </row>
    <row r="940" spans="1:3" x14ac:dyDescent="0.45">
      <c r="A940">
        <f>SUMIFS(fact_batting_summary!G:G, fact_batting_summary!E:E, fact_batting_summary!E940)</f>
        <v>315</v>
      </c>
      <c r="B940" s="9">
        <f>AVERAGEIFS(fact_batting_summary!G:G, fact_batting_summary!E:E,fact_batting_summary!E940)</f>
        <v>16.578947368421051</v>
      </c>
      <c r="C940">
        <v>5</v>
      </c>
    </row>
    <row r="941" spans="1:3" x14ac:dyDescent="0.45">
      <c r="A941">
        <f>SUMIFS(fact_batting_summary!G:G, fact_batting_summary!E:E, fact_batting_summary!E941)</f>
        <v>693</v>
      </c>
      <c r="B941" s="9">
        <f>AVERAGEIFS(fact_batting_summary!G:G, fact_batting_summary!E:E,fact_batting_summary!E941)</f>
        <v>15.75</v>
      </c>
      <c r="C941">
        <v>6</v>
      </c>
    </row>
    <row r="942" spans="1:3" x14ac:dyDescent="0.45">
      <c r="A942">
        <f>SUMIFS(fact_batting_summary!G:G, fact_batting_summary!E:E, fact_batting_summary!E942)</f>
        <v>320</v>
      </c>
      <c r="B942" s="9">
        <f>AVERAGEIFS(fact_batting_summary!G:G, fact_batting_summary!E:E,fact_batting_summary!E942)</f>
        <v>13.333333333333334</v>
      </c>
      <c r="C942">
        <v>7</v>
      </c>
    </row>
    <row r="943" spans="1:3" x14ac:dyDescent="0.45">
      <c r="A943">
        <f>SUMIFS(fact_batting_summary!G:G, fact_batting_summary!E:E, fact_batting_summary!E943)</f>
        <v>72</v>
      </c>
      <c r="B943" s="9">
        <f>AVERAGEIFS(fact_batting_summary!G:G, fact_batting_summary!E:E,fact_batting_summary!E943)</f>
        <v>5.1428571428571432</v>
      </c>
      <c r="C943">
        <v>8</v>
      </c>
    </row>
    <row r="944" spans="1:3" x14ac:dyDescent="0.45">
      <c r="A944">
        <f>SUMIFS(fact_batting_summary!G:G, fact_batting_summary!E:E, fact_batting_summary!E944)</f>
        <v>108</v>
      </c>
      <c r="B944" s="9">
        <f>AVERAGEIFS(fact_batting_summary!G:G, fact_batting_summary!E:E,fact_batting_summary!E944)</f>
        <v>6</v>
      </c>
      <c r="C944">
        <v>9</v>
      </c>
    </row>
    <row r="945" spans="1:3" x14ac:dyDescent="0.45">
      <c r="A945">
        <f>SUMIFS(fact_batting_summary!G:G, fact_batting_summary!E:E, fact_batting_summary!E945)</f>
        <v>19</v>
      </c>
      <c r="B945" s="9">
        <f>AVERAGEIFS(fact_batting_summary!G:G, fact_batting_summary!E:E,fact_batting_summary!E945)</f>
        <v>3.1666666666666665</v>
      </c>
      <c r="C945">
        <v>10</v>
      </c>
    </row>
    <row r="946" spans="1:3" x14ac:dyDescent="0.45">
      <c r="A946">
        <f>SUMIFS(fact_batting_summary!G:G, fact_batting_summary!E:E, fact_batting_summary!E946)</f>
        <v>1132</v>
      </c>
      <c r="B946" s="9">
        <f>AVERAGEIFS(fact_batting_summary!G:G, fact_batting_summary!E:E,fact_batting_summary!E946)</f>
        <v>33.294117647058826</v>
      </c>
      <c r="C946">
        <v>1</v>
      </c>
    </row>
    <row r="947" spans="1:3" x14ac:dyDescent="0.45">
      <c r="A947">
        <f>SUMIFS(fact_batting_summary!G:G, fact_batting_summary!E:E, fact_batting_summary!E947)</f>
        <v>1509</v>
      </c>
      <c r="B947" s="9">
        <f>AVERAGEIFS(fact_batting_summary!G:G, fact_batting_summary!E:E,fact_batting_summary!E947)</f>
        <v>39.710526315789473</v>
      </c>
      <c r="C947">
        <v>2</v>
      </c>
    </row>
    <row r="948" spans="1:3" x14ac:dyDescent="0.45">
      <c r="A948">
        <f>SUMIFS(fact_batting_summary!G:G, fact_batting_summary!E:E, fact_batting_summary!E948)</f>
        <v>1304</v>
      </c>
      <c r="B948" s="9">
        <f>AVERAGEIFS(fact_batting_summary!G:G, fact_batting_summary!E:E,fact_batting_summary!E948)</f>
        <v>28.977777777777778</v>
      </c>
      <c r="C948">
        <v>3</v>
      </c>
    </row>
    <row r="949" spans="1:3" x14ac:dyDescent="0.45">
      <c r="A949">
        <f>SUMIFS(fact_batting_summary!G:G, fact_batting_summary!E:E, fact_batting_summary!E949)</f>
        <v>1048</v>
      </c>
      <c r="B949" s="9">
        <f>AVERAGEIFS(fact_batting_summary!G:G, fact_batting_summary!E:E,fact_batting_summary!E949)</f>
        <v>24.952380952380953</v>
      </c>
      <c r="C949">
        <v>4</v>
      </c>
    </row>
    <row r="950" spans="1:3" x14ac:dyDescent="0.45">
      <c r="A950">
        <f>SUMIFS(fact_batting_summary!G:G, fact_batting_summary!E:E, fact_batting_summary!E950)</f>
        <v>854</v>
      </c>
      <c r="B950" s="9">
        <f>AVERAGEIFS(fact_batting_summary!G:G, fact_batting_summary!E:E,fact_batting_summary!E950)</f>
        <v>21.35</v>
      </c>
      <c r="C950">
        <v>5</v>
      </c>
    </row>
    <row r="951" spans="1:3" x14ac:dyDescent="0.45">
      <c r="A951">
        <f>SUMIFS(fact_batting_summary!G:G, fact_batting_summary!E:E, fact_batting_summary!E951)</f>
        <v>1385</v>
      </c>
      <c r="B951" s="9">
        <f>AVERAGEIFS(fact_batting_summary!G:G, fact_batting_summary!E:E,fact_batting_summary!E951)</f>
        <v>30.777777777777779</v>
      </c>
      <c r="C951">
        <v>1</v>
      </c>
    </row>
    <row r="952" spans="1:3" x14ac:dyDescent="0.45">
      <c r="A952">
        <f>SUMIFS(fact_batting_summary!G:G, fact_batting_summary!E:E, fact_batting_summary!E952)</f>
        <v>1831</v>
      </c>
      <c r="B952" s="9">
        <f>AVERAGEIFS(fact_batting_summary!G:G, fact_batting_summary!E:E,fact_batting_summary!E952)</f>
        <v>39.804347826086953</v>
      </c>
      <c r="C952">
        <v>2</v>
      </c>
    </row>
    <row r="953" spans="1:3" x14ac:dyDescent="0.45">
      <c r="A953">
        <f>SUMIFS(fact_batting_summary!G:G, fact_batting_summary!E:E, fact_batting_summary!E953)</f>
        <v>404</v>
      </c>
      <c r="B953" s="9">
        <f>AVERAGEIFS(fact_batting_summary!G:G, fact_batting_summary!E:E,fact_batting_summary!E953)</f>
        <v>36.727272727272727</v>
      </c>
      <c r="C953">
        <v>3</v>
      </c>
    </row>
    <row r="954" spans="1:3" x14ac:dyDescent="0.45">
      <c r="A954">
        <f>SUMIFS(fact_batting_summary!G:G, fact_batting_summary!E:E, fact_batting_summary!E954)</f>
        <v>1214</v>
      </c>
      <c r="B954" s="9">
        <f>AVERAGEIFS(fact_batting_summary!G:G, fact_batting_summary!E:E,fact_batting_summary!E954)</f>
        <v>29.609756097560975</v>
      </c>
      <c r="C954">
        <v>4</v>
      </c>
    </row>
    <row r="955" spans="1:3" x14ac:dyDescent="0.45">
      <c r="A955">
        <f>SUMIFS(fact_batting_summary!G:G, fact_batting_summary!E:E, fact_batting_summary!E955)</f>
        <v>315</v>
      </c>
      <c r="B955" s="9">
        <f>AVERAGEIFS(fact_batting_summary!G:G, fact_batting_summary!E:E,fact_batting_summary!E955)</f>
        <v>16.578947368421051</v>
      </c>
      <c r="C955">
        <v>5</v>
      </c>
    </row>
    <row r="956" spans="1:3" x14ac:dyDescent="0.45">
      <c r="A956">
        <f>SUMIFS(fact_batting_summary!G:G, fact_batting_summary!E:E, fact_batting_summary!E956)</f>
        <v>693</v>
      </c>
      <c r="B956" s="9">
        <f>AVERAGEIFS(fact_batting_summary!G:G, fact_batting_summary!E:E,fact_batting_summary!E956)</f>
        <v>15.75</v>
      </c>
      <c r="C956">
        <v>6</v>
      </c>
    </row>
    <row r="957" spans="1:3" x14ac:dyDescent="0.45">
      <c r="A957">
        <f>SUMIFS(fact_batting_summary!G:G, fact_batting_summary!E:E, fact_batting_summary!E957)</f>
        <v>948</v>
      </c>
      <c r="B957" s="9">
        <f>AVERAGEIFS(fact_batting_summary!G:G, fact_batting_summary!E:E,fact_batting_summary!E957)</f>
        <v>31.6</v>
      </c>
      <c r="C957">
        <v>1</v>
      </c>
    </row>
    <row r="958" spans="1:3" x14ac:dyDescent="0.45">
      <c r="A958">
        <f>SUMIFS(fact_batting_summary!G:G, fact_batting_summary!E:E, fact_batting_summary!E958)</f>
        <v>1516</v>
      </c>
      <c r="B958" s="9">
        <f>AVERAGEIFS(fact_batting_summary!G:G, fact_batting_summary!E:E,fact_batting_summary!E958)</f>
        <v>40.972972972972975</v>
      </c>
      <c r="C958">
        <v>2</v>
      </c>
    </row>
    <row r="959" spans="1:3" x14ac:dyDescent="0.45">
      <c r="A959">
        <f>SUMIFS(fact_batting_summary!G:G, fact_batting_summary!E:E, fact_batting_summary!E959)</f>
        <v>61</v>
      </c>
      <c r="B959" s="9">
        <f>AVERAGEIFS(fact_batting_summary!G:G, fact_batting_summary!E:E,fact_batting_summary!E959)</f>
        <v>12.2</v>
      </c>
      <c r="C959">
        <v>3</v>
      </c>
    </row>
    <row r="960" spans="1:3" x14ac:dyDescent="0.45">
      <c r="A960">
        <f>SUMIFS(fact_batting_summary!G:G, fact_batting_summary!E:E, fact_batting_summary!E960)</f>
        <v>695</v>
      </c>
      <c r="B960" s="9">
        <f>AVERAGEIFS(fact_batting_summary!G:G, fact_batting_summary!E:E,fact_batting_summary!E960)</f>
        <v>18.783783783783782</v>
      </c>
      <c r="C960">
        <v>4</v>
      </c>
    </row>
    <row r="961" spans="1:3" x14ac:dyDescent="0.45">
      <c r="A961">
        <f>SUMIFS(fact_batting_summary!G:G, fact_batting_summary!E:E, fact_batting_summary!E961)</f>
        <v>645</v>
      </c>
      <c r="B961" s="9">
        <f>AVERAGEIFS(fact_batting_summary!G:G, fact_batting_summary!E:E,fact_batting_summary!E961)</f>
        <v>21.5</v>
      </c>
      <c r="C961">
        <v>5</v>
      </c>
    </row>
    <row r="962" spans="1:3" x14ac:dyDescent="0.45">
      <c r="A962">
        <f>SUMIFS(fact_batting_summary!G:G, fact_batting_summary!E:E, fact_batting_summary!E962)</f>
        <v>224</v>
      </c>
      <c r="B962" s="9">
        <f>AVERAGEIFS(fact_batting_summary!G:G, fact_batting_summary!E:E,fact_batting_summary!E962)</f>
        <v>22.4</v>
      </c>
      <c r="C962">
        <v>6</v>
      </c>
    </row>
    <row r="963" spans="1:3" x14ac:dyDescent="0.45">
      <c r="A963">
        <f>SUMIFS(fact_batting_summary!G:G, fact_batting_summary!E:E, fact_batting_summary!E963)</f>
        <v>514</v>
      </c>
      <c r="B963" s="9">
        <f>AVERAGEIFS(fact_batting_summary!G:G, fact_batting_summary!E:E,fact_batting_summary!E963)</f>
        <v>13.526315789473685</v>
      </c>
      <c r="C963">
        <v>7</v>
      </c>
    </row>
    <row r="964" spans="1:3" x14ac:dyDescent="0.45">
      <c r="A964">
        <f>SUMIFS(fact_batting_summary!G:G, fact_batting_summary!E:E, fact_batting_summary!E964)</f>
        <v>43</v>
      </c>
      <c r="B964" s="9">
        <f>AVERAGEIFS(fact_batting_summary!G:G, fact_batting_summary!E:E,fact_batting_summary!E964)</f>
        <v>5.375</v>
      </c>
      <c r="C964">
        <v>8</v>
      </c>
    </row>
    <row r="965" spans="1:3" x14ac:dyDescent="0.45">
      <c r="A965">
        <f>SUMIFS(fact_batting_summary!G:G, fact_batting_summary!E:E, fact_batting_summary!E965)</f>
        <v>1132</v>
      </c>
      <c r="B965" s="9">
        <f>AVERAGEIFS(fact_batting_summary!G:G, fact_batting_summary!E:E,fact_batting_summary!E965)</f>
        <v>33.294117647058826</v>
      </c>
      <c r="C965">
        <v>1</v>
      </c>
    </row>
    <row r="966" spans="1:3" x14ac:dyDescent="0.45">
      <c r="A966">
        <f>SUMIFS(fact_batting_summary!G:G, fact_batting_summary!E:E, fact_batting_summary!E966)</f>
        <v>1509</v>
      </c>
      <c r="B966" s="9">
        <f>AVERAGEIFS(fact_batting_summary!G:G, fact_batting_summary!E:E,fact_batting_summary!E966)</f>
        <v>39.710526315789473</v>
      </c>
      <c r="C966">
        <v>2</v>
      </c>
    </row>
    <row r="967" spans="1:3" x14ac:dyDescent="0.45">
      <c r="A967">
        <f>SUMIFS(fact_batting_summary!G:G, fact_batting_summary!E:E, fact_batting_summary!E967)</f>
        <v>1304</v>
      </c>
      <c r="B967" s="9">
        <f>AVERAGEIFS(fact_batting_summary!G:G, fact_batting_summary!E:E,fact_batting_summary!E967)</f>
        <v>28.977777777777778</v>
      </c>
      <c r="C967">
        <v>3</v>
      </c>
    </row>
    <row r="968" spans="1:3" x14ac:dyDescent="0.45">
      <c r="A968">
        <f>SUMIFS(fact_batting_summary!G:G, fact_batting_summary!E:E, fact_batting_summary!E968)</f>
        <v>1048</v>
      </c>
      <c r="B968" s="9">
        <f>AVERAGEIFS(fact_batting_summary!G:G, fact_batting_summary!E:E,fact_batting_summary!E968)</f>
        <v>24.952380952380953</v>
      </c>
      <c r="C968">
        <v>4</v>
      </c>
    </row>
    <row r="969" spans="1:3" x14ac:dyDescent="0.45">
      <c r="A969">
        <f>SUMIFS(fact_batting_summary!G:G, fact_batting_summary!E:E, fact_batting_summary!E969)</f>
        <v>854</v>
      </c>
      <c r="B969" s="9">
        <f>AVERAGEIFS(fact_batting_summary!G:G, fact_batting_summary!E:E,fact_batting_summary!E969)</f>
        <v>21.35</v>
      </c>
      <c r="C969">
        <v>5</v>
      </c>
    </row>
    <row r="970" spans="1:3" x14ac:dyDescent="0.45">
      <c r="A970">
        <f>SUMIFS(fact_batting_summary!G:G, fact_batting_summary!E:E, fact_batting_summary!E970)</f>
        <v>354</v>
      </c>
      <c r="B970" s="9">
        <f>AVERAGEIFS(fact_batting_summary!G:G, fact_batting_summary!E:E,fact_batting_summary!E970)</f>
        <v>11.419354838709678</v>
      </c>
      <c r="C970">
        <v>6</v>
      </c>
    </row>
    <row r="971" spans="1:3" x14ac:dyDescent="0.45">
      <c r="A971">
        <f>SUMIFS(fact_batting_summary!G:G, fact_batting_summary!E:E, fact_batting_summary!E971)</f>
        <v>302</v>
      </c>
      <c r="B971" s="9">
        <f>AVERAGEIFS(fact_batting_summary!G:G, fact_batting_summary!E:E,fact_batting_summary!E971)</f>
        <v>11.185185185185185</v>
      </c>
      <c r="C971">
        <v>7</v>
      </c>
    </row>
    <row r="972" spans="1:3" x14ac:dyDescent="0.45">
      <c r="A972">
        <f>SUMIFS(fact_batting_summary!G:G, fact_batting_summary!E:E, fact_batting_summary!E972)</f>
        <v>57</v>
      </c>
      <c r="B972" s="9">
        <f>AVERAGEIFS(fact_batting_summary!G:G, fact_batting_summary!E:E,fact_batting_summary!E972)</f>
        <v>3.5625</v>
      </c>
      <c r="C972">
        <v>8</v>
      </c>
    </row>
    <row r="973" spans="1:3" x14ac:dyDescent="0.45">
      <c r="A973">
        <f>SUMIFS(fact_batting_summary!G:G, fact_batting_summary!E:E, fact_batting_summary!E973)</f>
        <v>819</v>
      </c>
      <c r="B973" s="9">
        <f>AVERAGEIFS(fact_batting_summary!G:G, fact_batting_summary!E:E,fact_batting_summary!E973)</f>
        <v>22.135135135135137</v>
      </c>
      <c r="C973">
        <v>1</v>
      </c>
    </row>
    <row r="974" spans="1:3" x14ac:dyDescent="0.45">
      <c r="A974">
        <f>SUMIFS(fact_batting_summary!G:G, fact_batting_summary!E:E, fact_batting_summary!E974)</f>
        <v>1851</v>
      </c>
      <c r="B974" s="9">
        <f>AVERAGEIFS(fact_batting_summary!G:G, fact_batting_summary!E:E,fact_batting_summary!E974)</f>
        <v>37.020000000000003</v>
      </c>
      <c r="C974">
        <v>2</v>
      </c>
    </row>
    <row r="975" spans="1:3" x14ac:dyDescent="0.45">
      <c r="A975">
        <f>SUMIFS(fact_batting_summary!G:G, fact_batting_summary!E:E, fact_batting_summary!E975)</f>
        <v>157</v>
      </c>
      <c r="B975" s="9">
        <f>AVERAGEIFS(fact_batting_summary!G:G, fact_batting_summary!E:E,fact_batting_summary!E975)</f>
        <v>15.7</v>
      </c>
      <c r="C975">
        <v>3</v>
      </c>
    </row>
    <row r="976" spans="1:3" x14ac:dyDescent="0.45">
      <c r="A976">
        <f>SUMIFS(fact_batting_summary!G:G, fact_batting_summary!E:E, fact_batting_summary!E976)</f>
        <v>960</v>
      </c>
      <c r="B976" s="9">
        <f>AVERAGEIFS(fact_batting_summary!G:G, fact_batting_summary!E:E,fact_batting_summary!E976)</f>
        <v>23.414634146341463</v>
      </c>
      <c r="C976">
        <v>4</v>
      </c>
    </row>
    <row r="977" spans="1:3" x14ac:dyDescent="0.45">
      <c r="A977">
        <f>SUMIFS(fact_batting_summary!G:G, fact_batting_summary!E:E, fact_batting_summary!E977)</f>
        <v>864</v>
      </c>
      <c r="B977" s="9">
        <f>AVERAGEIFS(fact_batting_summary!G:G, fact_batting_summary!E:E,fact_batting_summary!E977)</f>
        <v>23.351351351351351</v>
      </c>
      <c r="C977">
        <v>5</v>
      </c>
    </row>
    <row r="978" spans="1:3" x14ac:dyDescent="0.45">
      <c r="A978">
        <f>SUMIFS(fact_batting_summary!G:G, fact_batting_summary!E:E, fact_batting_summary!E978)</f>
        <v>140</v>
      </c>
      <c r="B978" s="9">
        <f>AVERAGEIFS(fact_batting_summary!G:G, fact_batting_summary!E:E,fact_batting_summary!E978)</f>
        <v>15.555555555555555</v>
      </c>
      <c r="C978">
        <v>1</v>
      </c>
    </row>
    <row r="979" spans="1:3" x14ac:dyDescent="0.45">
      <c r="A979">
        <f>SUMIFS(fact_batting_summary!G:G, fact_batting_summary!E:E, fact_batting_summary!E979)</f>
        <v>745</v>
      </c>
      <c r="B979" s="9">
        <f>AVERAGEIFS(fact_batting_summary!G:G, fact_batting_summary!E:E,fact_batting_summary!E979)</f>
        <v>24.032258064516128</v>
      </c>
      <c r="C979">
        <v>2</v>
      </c>
    </row>
    <row r="980" spans="1:3" x14ac:dyDescent="0.45">
      <c r="A980">
        <f>SUMIFS(fact_batting_summary!G:G, fact_batting_summary!E:E, fact_batting_summary!E980)</f>
        <v>1083</v>
      </c>
      <c r="B980" s="9">
        <f>AVERAGEIFS(fact_batting_summary!G:G, fact_batting_summary!E:E,fact_batting_summary!E980)</f>
        <v>25.186046511627907</v>
      </c>
      <c r="C980">
        <v>3</v>
      </c>
    </row>
    <row r="981" spans="1:3" x14ac:dyDescent="0.45">
      <c r="A981">
        <f>SUMIFS(fact_batting_summary!G:G, fact_batting_summary!E:E, fact_batting_summary!E981)</f>
        <v>775</v>
      </c>
      <c r="B981" s="9">
        <f>AVERAGEIFS(fact_batting_summary!G:G, fact_batting_summary!E:E,fact_batting_summary!E981)</f>
        <v>25</v>
      </c>
      <c r="C981">
        <v>4</v>
      </c>
    </row>
    <row r="982" spans="1:3" x14ac:dyDescent="0.45">
      <c r="A982">
        <f>SUMIFS(fact_batting_summary!G:G, fact_batting_summary!E:E, fact_batting_summary!E982)</f>
        <v>729</v>
      </c>
      <c r="B982" s="9">
        <f>AVERAGEIFS(fact_batting_summary!G:G, fact_batting_summary!E:E,fact_batting_summary!E982)</f>
        <v>19.184210526315791</v>
      </c>
      <c r="C982">
        <v>5</v>
      </c>
    </row>
    <row r="983" spans="1:3" x14ac:dyDescent="0.45">
      <c r="A983">
        <f>SUMIFS(fact_batting_summary!G:G, fact_batting_summary!E:E, fact_batting_summary!E983)</f>
        <v>192</v>
      </c>
      <c r="B983" s="9">
        <f>AVERAGEIFS(fact_batting_summary!G:G, fact_batting_summary!E:E,fact_batting_summary!E983)</f>
        <v>12</v>
      </c>
      <c r="C983">
        <v>6</v>
      </c>
    </row>
    <row r="984" spans="1:3" x14ac:dyDescent="0.45">
      <c r="A984">
        <f>SUMIFS(fact_batting_summary!G:G, fact_batting_summary!E:E, fact_batting_summary!E984)</f>
        <v>58</v>
      </c>
      <c r="B984" s="9">
        <f>AVERAGEIFS(fact_batting_summary!G:G, fact_batting_summary!E:E,fact_batting_summary!E984)</f>
        <v>14.5</v>
      </c>
      <c r="C984">
        <v>7</v>
      </c>
    </row>
    <row r="985" spans="1:3" x14ac:dyDescent="0.45">
      <c r="A985">
        <f>SUMIFS(fact_batting_summary!G:G, fact_batting_summary!E:E, fact_batting_summary!E985)</f>
        <v>2</v>
      </c>
      <c r="B985" s="9">
        <f>AVERAGEIFS(fact_batting_summary!G:G, fact_batting_summary!E:E,fact_batting_summary!E985)</f>
        <v>1</v>
      </c>
      <c r="C985">
        <v>8</v>
      </c>
    </row>
    <row r="986" spans="1:3" x14ac:dyDescent="0.45">
      <c r="A986">
        <f>SUMIFS(fact_batting_summary!G:G, fact_batting_summary!E:E, fact_batting_summary!E986)</f>
        <v>100</v>
      </c>
      <c r="B986" s="9">
        <f>AVERAGEIFS(fact_batting_summary!G:G, fact_batting_summary!E:E,fact_batting_summary!E986)</f>
        <v>5.2631578947368425</v>
      </c>
      <c r="C986">
        <v>9</v>
      </c>
    </row>
    <row r="987" spans="1:3" x14ac:dyDescent="0.45">
      <c r="A987">
        <f>SUMIFS(fact_batting_summary!G:G, fact_batting_summary!E:E, fact_batting_summary!E987)</f>
        <v>23</v>
      </c>
      <c r="B987" s="9">
        <f>AVERAGEIFS(fact_batting_summary!G:G, fact_batting_summary!E:E,fact_batting_summary!E987)</f>
        <v>3.8333333333333335</v>
      </c>
      <c r="C987">
        <v>10</v>
      </c>
    </row>
    <row r="988" spans="1:3" x14ac:dyDescent="0.45">
      <c r="A988">
        <f>SUMIFS(fact_batting_summary!G:G, fact_batting_summary!E:E, fact_batting_summary!E988)</f>
        <v>463</v>
      </c>
      <c r="B988" s="9">
        <f>AVERAGEIFS(fact_batting_summary!G:G, fact_batting_summary!E:E,fact_batting_summary!E988)</f>
        <v>27.235294117647058</v>
      </c>
      <c r="C988">
        <v>1</v>
      </c>
    </row>
    <row r="989" spans="1:3" x14ac:dyDescent="0.45">
      <c r="A989">
        <f>SUMIFS(fact_batting_summary!G:G, fact_batting_summary!E:E, fact_batting_summary!E989)</f>
        <v>1392</v>
      </c>
      <c r="B989" s="9">
        <f>AVERAGEIFS(fact_batting_summary!G:G, fact_batting_summary!E:E,fact_batting_summary!E989)</f>
        <v>34.799999999999997</v>
      </c>
      <c r="C989">
        <v>2</v>
      </c>
    </row>
    <row r="990" spans="1:3" x14ac:dyDescent="0.45">
      <c r="A990">
        <f>SUMIFS(fact_batting_summary!G:G, fact_batting_summary!E:E, fact_batting_summary!E990)</f>
        <v>426</v>
      </c>
      <c r="B990" s="9">
        <f>AVERAGEIFS(fact_batting_summary!G:G, fact_batting_summary!E:E,fact_batting_summary!E990)</f>
        <v>13.741935483870968</v>
      </c>
      <c r="C990">
        <v>3</v>
      </c>
    </row>
    <row r="991" spans="1:3" x14ac:dyDescent="0.45">
      <c r="A991">
        <f>SUMIFS(fact_batting_summary!G:G, fact_batting_summary!E:E, fact_batting_summary!E991)</f>
        <v>907</v>
      </c>
      <c r="B991" s="9">
        <f>AVERAGEIFS(fact_batting_summary!G:G, fact_batting_summary!E:E,fact_batting_summary!E991)</f>
        <v>26.676470588235293</v>
      </c>
      <c r="C991">
        <v>4</v>
      </c>
    </row>
    <row r="992" spans="1:3" x14ac:dyDescent="0.45">
      <c r="A992">
        <f>SUMIFS(fact_batting_summary!G:G, fact_batting_summary!E:E, fact_batting_summary!E992)</f>
        <v>758</v>
      </c>
      <c r="B992" s="9">
        <f>AVERAGEIFS(fact_batting_summary!G:G, fact_batting_summary!E:E,fact_batting_summary!E992)</f>
        <v>27.071428571428573</v>
      </c>
      <c r="C992">
        <v>5</v>
      </c>
    </row>
    <row r="993" spans="1:3" x14ac:dyDescent="0.45">
      <c r="A993">
        <f>SUMIFS(fact_batting_summary!G:G, fact_batting_summary!E:E, fact_batting_summary!E993)</f>
        <v>543</v>
      </c>
      <c r="B993" s="9">
        <f>AVERAGEIFS(fact_batting_summary!G:G, fact_batting_summary!E:E,fact_batting_summary!E993)</f>
        <v>22.625</v>
      </c>
      <c r="C993">
        <v>6</v>
      </c>
    </row>
    <row r="994" spans="1:3" x14ac:dyDescent="0.45">
      <c r="A994">
        <f>SUMIFS(fact_batting_summary!G:G, fact_batting_summary!E:E, fact_batting_summary!E994)</f>
        <v>97</v>
      </c>
      <c r="B994" s="9">
        <f>AVERAGEIFS(fact_batting_summary!G:G, fact_batting_summary!E:E,fact_batting_summary!E994)</f>
        <v>16.166666666666668</v>
      </c>
      <c r="C994">
        <v>7</v>
      </c>
    </row>
    <row r="995" spans="1:3" x14ac:dyDescent="0.45">
      <c r="A995">
        <f>SUMIFS(fact_batting_summary!G:G, fact_batting_summary!E:E, fact_batting_summary!E995)</f>
        <v>815</v>
      </c>
      <c r="B995" s="9">
        <f>AVERAGEIFS(fact_batting_summary!G:G, fact_batting_summary!E:E,fact_batting_summary!E995)</f>
        <v>25.46875</v>
      </c>
      <c r="C995">
        <v>1</v>
      </c>
    </row>
    <row r="996" spans="1:3" x14ac:dyDescent="0.45">
      <c r="A996">
        <f>SUMIFS(fact_batting_summary!G:G, fact_batting_summary!E:E, fact_batting_summary!E996)</f>
        <v>1137</v>
      </c>
      <c r="B996" s="9">
        <f>AVERAGEIFS(fact_batting_summary!G:G, fact_batting_summary!E:E,fact_batting_summary!E996)</f>
        <v>34.454545454545453</v>
      </c>
      <c r="C996">
        <v>2</v>
      </c>
    </row>
    <row r="997" spans="1:3" x14ac:dyDescent="0.45">
      <c r="A997">
        <f>SUMIFS(fact_batting_summary!G:G, fact_batting_summary!E:E, fact_batting_summary!E997)</f>
        <v>379</v>
      </c>
      <c r="B997" s="9">
        <f>AVERAGEIFS(fact_batting_summary!G:G, fact_batting_summary!E:E,fact_batting_summary!E997)</f>
        <v>22.294117647058822</v>
      </c>
      <c r="C997">
        <v>3</v>
      </c>
    </row>
    <row r="998" spans="1:3" x14ac:dyDescent="0.45">
      <c r="A998">
        <f>SUMIFS(fact_batting_summary!G:G, fact_batting_summary!E:E, fact_batting_summary!E998)</f>
        <v>722</v>
      </c>
      <c r="B998" s="9">
        <f>AVERAGEIFS(fact_batting_summary!G:G, fact_batting_summary!E:E,fact_batting_summary!E998)</f>
        <v>25.785714285714285</v>
      </c>
      <c r="C998">
        <v>4</v>
      </c>
    </row>
    <row r="999" spans="1:3" x14ac:dyDescent="0.45">
      <c r="A999">
        <f>SUMIFS(fact_batting_summary!G:G, fact_batting_summary!E:E, fact_batting_summary!E999)</f>
        <v>144</v>
      </c>
      <c r="B999" s="9">
        <f>AVERAGEIFS(fact_batting_summary!G:G, fact_batting_summary!E:E,fact_batting_summary!E999)</f>
        <v>13.090909090909092</v>
      </c>
      <c r="C999">
        <v>5</v>
      </c>
    </row>
    <row r="1000" spans="1:3" x14ac:dyDescent="0.45">
      <c r="A1000">
        <f>SUMIFS(fact_batting_summary!G:G, fact_batting_summary!E:E, fact_batting_summary!E1000)</f>
        <v>257</v>
      </c>
      <c r="B1000" s="9">
        <f>AVERAGEIFS(fact_batting_summary!G:G, fact_batting_summary!E:E,fact_batting_summary!E1000)</f>
        <v>17.133333333333333</v>
      </c>
      <c r="C1000">
        <v>6</v>
      </c>
    </row>
    <row r="1001" spans="1:3" x14ac:dyDescent="0.45">
      <c r="A1001">
        <f>SUMIFS(fact_batting_summary!G:G, fact_batting_summary!E:E, fact_batting_summary!E1001)</f>
        <v>505</v>
      </c>
      <c r="B1001" s="9">
        <f>AVERAGEIFS(fact_batting_summary!G:G, fact_batting_summary!E:E,fact_batting_summary!E1001)</f>
        <v>17.413793103448278</v>
      </c>
      <c r="C1001">
        <v>7</v>
      </c>
    </row>
    <row r="1002" spans="1:3" x14ac:dyDescent="0.45">
      <c r="A1002">
        <f>SUMIFS(fact_batting_summary!G:G, fact_batting_summary!E:E, fact_batting_summary!E1002)</f>
        <v>238</v>
      </c>
      <c r="B1002" s="9">
        <f>AVERAGEIFS(fact_batting_summary!G:G, fact_batting_summary!E:E,fact_batting_summary!E1002)</f>
        <v>9.9166666666666661</v>
      </c>
      <c r="C1002">
        <v>8</v>
      </c>
    </row>
    <row r="1003" spans="1:3" x14ac:dyDescent="0.45">
      <c r="A1003">
        <f>SUMIFS(fact_batting_summary!G:G, fact_batting_summary!E:E, fact_batting_summary!E1003)</f>
        <v>79</v>
      </c>
      <c r="B1003" s="9">
        <f>AVERAGEIFS(fact_batting_summary!G:G, fact_batting_summary!E:E,fact_batting_summary!E1003)</f>
        <v>4.6470588235294121</v>
      </c>
      <c r="C1003">
        <v>9</v>
      </c>
    </row>
    <row r="1004" spans="1:3" x14ac:dyDescent="0.45">
      <c r="A1004">
        <f>SUMIFS(fact_batting_summary!G:G, fact_batting_summary!E:E, fact_batting_summary!E1004)</f>
        <v>1113</v>
      </c>
      <c r="B1004" s="9">
        <f>AVERAGEIFS(fact_batting_summary!G:G, fact_batting_summary!E:E,fact_batting_summary!E1004)</f>
        <v>28.53846153846154</v>
      </c>
      <c r="C1004">
        <v>1</v>
      </c>
    </row>
    <row r="1005" spans="1:3" x14ac:dyDescent="0.45">
      <c r="A1005">
        <f>SUMIFS(fact_batting_summary!G:G, fact_batting_summary!E:E, fact_batting_summary!E1005)</f>
        <v>981</v>
      </c>
      <c r="B1005" s="9">
        <f>AVERAGEIFS(fact_batting_summary!G:G, fact_batting_summary!E:E,fact_batting_summary!E1005)</f>
        <v>22.813953488372093</v>
      </c>
      <c r="C1005">
        <v>2</v>
      </c>
    </row>
    <row r="1006" spans="1:3" x14ac:dyDescent="0.45">
      <c r="A1006">
        <f>SUMIFS(fact_batting_summary!G:G, fact_batting_summary!E:E, fact_batting_summary!E1006)</f>
        <v>161</v>
      </c>
      <c r="B1006" s="9">
        <f>AVERAGEIFS(fact_batting_summary!G:G, fact_batting_summary!E:E,fact_batting_summary!E1006)</f>
        <v>23</v>
      </c>
      <c r="C1006">
        <v>3</v>
      </c>
    </row>
    <row r="1007" spans="1:3" x14ac:dyDescent="0.45">
      <c r="A1007">
        <f>SUMIFS(fact_batting_summary!G:G, fact_batting_summary!E:E, fact_batting_summary!E1007)</f>
        <v>740</v>
      </c>
      <c r="B1007" s="9">
        <f>AVERAGEIFS(fact_batting_summary!G:G, fact_batting_summary!E:E,fact_batting_summary!E1007)</f>
        <v>29.6</v>
      </c>
      <c r="C1007">
        <v>4</v>
      </c>
    </row>
    <row r="1008" spans="1:3" x14ac:dyDescent="0.45">
      <c r="A1008">
        <f>SUMIFS(fact_batting_summary!G:G, fact_batting_summary!E:E, fact_batting_summary!E1008)</f>
        <v>418</v>
      </c>
      <c r="B1008" s="9">
        <f>AVERAGEIFS(fact_batting_summary!G:G, fact_batting_summary!E:E,fact_batting_summary!E1008)</f>
        <v>17.416666666666668</v>
      </c>
      <c r="C1008">
        <v>5</v>
      </c>
    </row>
    <row r="1009" spans="1:3" x14ac:dyDescent="0.45">
      <c r="A1009">
        <f>SUMIFS(fact_batting_summary!G:G, fact_batting_summary!E:E, fact_batting_summary!E1009)</f>
        <v>45</v>
      </c>
      <c r="B1009" s="9">
        <f>AVERAGEIFS(fact_batting_summary!G:G, fact_batting_summary!E:E,fact_batting_summary!E1009)</f>
        <v>11.25</v>
      </c>
      <c r="C1009">
        <v>6</v>
      </c>
    </row>
    <row r="1010" spans="1:3" x14ac:dyDescent="0.45">
      <c r="A1010">
        <f>SUMIFS(fact_batting_summary!G:G, fact_batting_summary!E:E, fact_batting_summary!E1010)</f>
        <v>44</v>
      </c>
      <c r="B1010" s="9">
        <f>AVERAGEIFS(fact_batting_summary!G:G, fact_batting_summary!E:E,fact_batting_summary!E1010)</f>
        <v>3.6666666666666665</v>
      </c>
      <c r="C1010">
        <v>7</v>
      </c>
    </row>
    <row r="1011" spans="1:3" x14ac:dyDescent="0.45">
      <c r="A1011">
        <f>SUMIFS(fact_batting_summary!G:G, fact_batting_summary!E:E, fact_batting_summary!E1011)</f>
        <v>1593</v>
      </c>
      <c r="B1011" s="9">
        <f>AVERAGEIFS(fact_batting_summary!G:G, fact_batting_summary!E:E,fact_batting_summary!E1011)</f>
        <v>35.4</v>
      </c>
      <c r="C1011">
        <v>1</v>
      </c>
    </row>
    <row r="1012" spans="1:3" x14ac:dyDescent="0.45">
      <c r="A1012">
        <f>SUMIFS(fact_batting_summary!G:G, fact_batting_summary!E:E, fact_batting_summary!E1012)</f>
        <v>924</v>
      </c>
      <c r="B1012" s="9">
        <f>AVERAGEIFS(fact_batting_summary!G:G, fact_batting_summary!E:E,fact_batting_summary!E1012)</f>
        <v>42</v>
      </c>
      <c r="C1012">
        <v>2</v>
      </c>
    </row>
    <row r="1013" spans="1:3" x14ac:dyDescent="0.45">
      <c r="A1013">
        <f>SUMIFS(fact_batting_summary!G:G, fact_batting_summary!E:E, fact_batting_summary!E1013)</f>
        <v>725</v>
      </c>
      <c r="B1013" s="9">
        <f>AVERAGEIFS(fact_batting_summary!G:G, fact_batting_summary!E:E,fact_batting_summary!E1013)</f>
        <v>20.714285714285715</v>
      </c>
      <c r="C1013">
        <v>3</v>
      </c>
    </row>
    <row r="1014" spans="1:3" x14ac:dyDescent="0.45">
      <c r="A1014">
        <f>SUMIFS(fact_batting_summary!G:G, fact_batting_summary!E:E, fact_batting_summary!E1014)</f>
        <v>129</v>
      </c>
      <c r="B1014" s="9">
        <f>AVERAGEIFS(fact_batting_summary!G:G, fact_batting_summary!E:E,fact_batting_summary!E1014)</f>
        <v>16.125</v>
      </c>
      <c r="C1014">
        <v>4</v>
      </c>
    </row>
    <row r="1015" spans="1:3" x14ac:dyDescent="0.45">
      <c r="A1015">
        <f>SUMIFS(fact_batting_summary!G:G, fact_batting_summary!E:E, fact_batting_summary!E1015)</f>
        <v>689</v>
      </c>
      <c r="B1015" s="9">
        <f>AVERAGEIFS(fact_batting_summary!G:G, fact_batting_summary!E:E,fact_batting_summary!E1015)</f>
        <v>19.138888888888889</v>
      </c>
      <c r="C1015">
        <v>5</v>
      </c>
    </row>
    <row r="1016" spans="1:3" x14ac:dyDescent="0.45">
      <c r="A1016">
        <f>SUMIFS(fact_batting_summary!G:G, fact_batting_summary!E:E, fact_batting_summary!E1016)</f>
        <v>450</v>
      </c>
      <c r="B1016" s="9">
        <f>AVERAGEIFS(fact_batting_summary!G:G, fact_batting_summary!E:E,fact_batting_summary!E1016)</f>
        <v>12.5</v>
      </c>
      <c r="C1016">
        <v>6</v>
      </c>
    </row>
    <row r="1017" spans="1:3" x14ac:dyDescent="0.45">
      <c r="A1017">
        <f>SUMIFS(fact_batting_summary!G:G, fact_batting_summary!E:E, fact_batting_summary!E1017)</f>
        <v>24</v>
      </c>
      <c r="B1017" s="9">
        <f>AVERAGEIFS(fact_batting_summary!G:G, fact_batting_summary!E:E,fact_batting_summary!E1017)</f>
        <v>4</v>
      </c>
      <c r="C1017">
        <v>7</v>
      </c>
    </row>
    <row r="1018" spans="1:3" x14ac:dyDescent="0.45">
      <c r="A1018">
        <f>SUMIFS(fact_batting_summary!G:G, fact_batting_summary!E:E, fact_batting_summary!E1018)</f>
        <v>7</v>
      </c>
      <c r="B1018" s="9">
        <f>AVERAGEIFS(fact_batting_summary!G:G, fact_batting_summary!E:E,fact_batting_summary!E1018)</f>
        <v>2.3333333333333335</v>
      </c>
      <c r="C1018">
        <v>8</v>
      </c>
    </row>
    <row r="1019" spans="1:3" x14ac:dyDescent="0.45">
      <c r="A1019">
        <f>SUMIFS(fact_batting_summary!G:G, fact_batting_summary!E:E, fact_batting_summary!E1019)</f>
        <v>1132</v>
      </c>
      <c r="B1019" s="9">
        <f>AVERAGEIFS(fact_batting_summary!G:G, fact_batting_summary!E:E,fact_batting_summary!E1019)</f>
        <v>33.294117647058826</v>
      </c>
      <c r="C1019">
        <v>1</v>
      </c>
    </row>
    <row r="1020" spans="1:3" x14ac:dyDescent="0.45">
      <c r="A1020">
        <f>SUMIFS(fact_batting_summary!G:G, fact_batting_summary!E:E, fact_batting_summary!E1020)</f>
        <v>1509</v>
      </c>
      <c r="B1020" s="9">
        <f>AVERAGEIFS(fact_batting_summary!G:G, fact_batting_summary!E:E,fact_batting_summary!E1020)</f>
        <v>39.710526315789473</v>
      </c>
      <c r="C1020">
        <v>2</v>
      </c>
    </row>
    <row r="1021" spans="1:3" x14ac:dyDescent="0.45">
      <c r="A1021">
        <f>SUMIFS(fact_batting_summary!G:G, fact_batting_summary!E:E, fact_batting_summary!E1021)</f>
        <v>1304</v>
      </c>
      <c r="B1021" s="9">
        <f>AVERAGEIFS(fact_batting_summary!G:G, fact_batting_summary!E:E,fact_batting_summary!E1021)</f>
        <v>28.977777777777778</v>
      </c>
      <c r="C1021">
        <v>3</v>
      </c>
    </row>
    <row r="1022" spans="1:3" x14ac:dyDescent="0.45">
      <c r="A1022">
        <f>SUMIFS(fact_batting_summary!G:G, fact_batting_summary!E:E, fact_batting_summary!E1022)</f>
        <v>1048</v>
      </c>
      <c r="B1022" s="9">
        <f>AVERAGEIFS(fact_batting_summary!G:G, fact_batting_summary!E:E,fact_batting_summary!E1022)</f>
        <v>24.952380952380953</v>
      </c>
      <c r="C1022">
        <v>4</v>
      </c>
    </row>
    <row r="1023" spans="1:3" x14ac:dyDescent="0.45">
      <c r="A1023">
        <f>SUMIFS(fact_batting_summary!G:G, fact_batting_summary!E:E, fact_batting_summary!E1023)</f>
        <v>302</v>
      </c>
      <c r="B1023" s="9">
        <f>AVERAGEIFS(fact_batting_summary!G:G, fact_batting_summary!E:E,fact_batting_summary!E1023)</f>
        <v>11.185185185185185</v>
      </c>
      <c r="C1023">
        <v>5</v>
      </c>
    </row>
    <row r="1024" spans="1:3" x14ac:dyDescent="0.45">
      <c r="A1024">
        <f>SUMIFS(fact_batting_summary!G:G, fact_batting_summary!E:E, fact_batting_summary!E1024)</f>
        <v>854</v>
      </c>
      <c r="B1024" s="9">
        <f>AVERAGEIFS(fact_batting_summary!G:G, fact_batting_summary!E:E,fact_batting_summary!E1024)</f>
        <v>21.35</v>
      </c>
      <c r="C1024">
        <v>6</v>
      </c>
    </row>
    <row r="1025" spans="1:3" x14ac:dyDescent="0.45">
      <c r="A1025">
        <f>SUMIFS(fact_batting_summary!G:G, fact_batting_summary!E:E, fact_batting_summary!E1025)</f>
        <v>354</v>
      </c>
      <c r="B1025" s="9">
        <f>AVERAGEIFS(fact_batting_summary!G:G, fact_batting_summary!E:E,fact_batting_summary!E1025)</f>
        <v>11.419354838709678</v>
      </c>
      <c r="C1025">
        <v>7</v>
      </c>
    </row>
    <row r="1026" spans="1:3" x14ac:dyDescent="0.45">
      <c r="A1026">
        <f>SUMIFS(fact_batting_summary!G:G, fact_batting_summary!E:E, fact_batting_summary!E1026)</f>
        <v>819</v>
      </c>
      <c r="B1026" s="9">
        <f>AVERAGEIFS(fact_batting_summary!G:G, fact_batting_summary!E:E,fact_batting_summary!E1026)</f>
        <v>22.135135135135137</v>
      </c>
      <c r="C1026">
        <v>1</v>
      </c>
    </row>
    <row r="1027" spans="1:3" x14ac:dyDescent="0.45">
      <c r="A1027">
        <f>SUMIFS(fact_batting_summary!G:G, fact_batting_summary!E:E, fact_batting_summary!E1027)</f>
        <v>1851</v>
      </c>
      <c r="B1027" s="9">
        <f>AVERAGEIFS(fact_batting_summary!G:G, fact_batting_summary!E:E,fact_batting_summary!E1027)</f>
        <v>37.020000000000003</v>
      </c>
      <c r="C1027">
        <v>2</v>
      </c>
    </row>
    <row r="1028" spans="1:3" x14ac:dyDescent="0.45">
      <c r="A1028">
        <f>SUMIFS(fact_batting_summary!G:G, fact_batting_summary!E:E, fact_batting_summary!E1028)</f>
        <v>157</v>
      </c>
      <c r="B1028" s="9">
        <f>AVERAGEIFS(fact_batting_summary!G:G, fact_batting_summary!E:E,fact_batting_summary!E1028)</f>
        <v>15.7</v>
      </c>
      <c r="C1028">
        <v>3</v>
      </c>
    </row>
    <row r="1029" spans="1:3" x14ac:dyDescent="0.45">
      <c r="A1029">
        <f>SUMIFS(fact_batting_summary!G:G, fact_batting_summary!E:E, fact_batting_summary!E1029)</f>
        <v>960</v>
      </c>
      <c r="B1029" s="9">
        <f>AVERAGEIFS(fact_batting_summary!G:G, fact_batting_summary!E:E,fact_batting_summary!E1029)</f>
        <v>23.414634146341463</v>
      </c>
      <c r="C1029">
        <v>4</v>
      </c>
    </row>
    <row r="1030" spans="1:3" x14ac:dyDescent="0.45">
      <c r="A1030">
        <f>SUMIFS(fact_batting_summary!G:G, fact_batting_summary!E:E, fact_batting_summary!E1030)</f>
        <v>864</v>
      </c>
      <c r="B1030" s="9">
        <f>AVERAGEIFS(fact_batting_summary!G:G, fact_batting_summary!E:E,fact_batting_summary!E1030)</f>
        <v>23.351351351351351</v>
      </c>
      <c r="C1030">
        <v>5</v>
      </c>
    </row>
    <row r="1031" spans="1:3" x14ac:dyDescent="0.45">
      <c r="A1031">
        <f>SUMIFS(fact_batting_summary!G:G, fact_batting_summary!E:E, fact_batting_summary!E1031)</f>
        <v>459</v>
      </c>
      <c r="B1031" s="9">
        <f>AVERAGEIFS(fact_batting_summary!G:G, fact_batting_summary!E:E,fact_batting_summary!E1031)</f>
        <v>13.909090909090908</v>
      </c>
      <c r="C1031">
        <v>6</v>
      </c>
    </row>
    <row r="1032" spans="1:3" x14ac:dyDescent="0.45">
      <c r="A1032">
        <f>SUMIFS(fact_batting_summary!G:G, fact_batting_summary!E:E, fact_batting_summary!E1032)</f>
        <v>304</v>
      </c>
      <c r="B1032" s="9">
        <f>AVERAGEIFS(fact_batting_summary!G:G, fact_batting_summary!E:E,fact_batting_summary!E1032)</f>
        <v>11.692307692307692</v>
      </c>
      <c r="C1032">
        <v>7</v>
      </c>
    </row>
    <row r="1033" spans="1:3" x14ac:dyDescent="0.45">
      <c r="A1033">
        <f>SUMIFS(fact_batting_summary!G:G, fact_batting_summary!E:E, fact_batting_summary!E1033)</f>
        <v>1385</v>
      </c>
      <c r="B1033" s="9">
        <f>AVERAGEIFS(fact_batting_summary!G:G, fact_batting_summary!E:E,fact_batting_summary!E1033)</f>
        <v>30.777777777777779</v>
      </c>
      <c r="C1033">
        <v>1</v>
      </c>
    </row>
    <row r="1034" spans="1:3" x14ac:dyDescent="0.45">
      <c r="A1034">
        <f>SUMIFS(fact_batting_summary!G:G, fact_batting_summary!E:E, fact_batting_summary!E1034)</f>
        <v>1831</v>
      </c>
      <c r="B1034" s="9">
        <f>AVERAGEIFS(fact_batting_summary!G:G, fact_batting_summary!E:E,fact_batting_summary!E1034)</f>
        <v>39.804347826086953</v>
      </c>
      <c r="C1034">
        <v>2</v>
      </c>
    </row>
    <row r="1035" spans="1:3" x14ac:dyDescent="0.45">
      <c r="A1035">
        <f>SUMIFS(fact_batting_summary!G:G, fact_batting_summary!E:E, fact_batting_summary!E1035)</f>
        <v>1214</v>
      </c>
      <c r="B1035" s="9">
        <f>AVERAGEIFS(fact_batting_summary!G:G, fact_batting_summary!E:E,fact_batting_summary!E1035)</f>
        <v>29.609756097560975</v>
      </c>
      <c r="C1035">
        <v>3</v>
      </c>
    </row>
    <row r="1036" spans="1:3" x14ac:dyDescent="0.45">
      <c r="A1036">
        <f>SUMIFS(fact_batting_summary!G:G, fact_batting_summary!E:E, fact_batting_summary!E1036)</f>
        <v>693</v>
      </c>
      <c r="B1036" s="9">
        <f>AVERAGEIFS(fact_batting_summary!G:G, fact_batting_summary!E:E,fact_batting_summary!E1036)</f>
        <v>15.75</v>
      </c>
      <c r="C1036">
        <v>4</v>
      </c>
    </row>
    <row r="1037" spans="1:3" x14ac:dyDescent="0.45">
      <c r="A1037">
        <f>SUMIFS(fact_batting_summary!G:G, fact_batting_summary!E:E, fact_batting_summary!E1037)</f>
        <v>948</v>
      </c>
      <c r="B1037" s="9">
        <f>AVERAGEIFS(fact_batting_summary!G:G, fact_batting_summary!E:E,fact_batting_summary!E1037)</f>
        <v>31.6</v>
      </c>
      <c r="C1037">
        <v>1</v>
      </c>
    </row>
    <row r="1038" spans="1:3" x14ac:dyDescent="0.45">
      <c r="A1038">
        <f>SUMIFS(fact_batting_summary!G:G, fact_batting_summary!E:E, fact_batting_summary!E1038)</f>
        <v>1516</v>
      </c>
      <c r="B1038" s="9">
        <f>AVERAGEIFS(fact_batting_summary!G:G, fact_batting_summary!E:E,fact_batting_summary!E1038)</f>
        <v>40.972972972972975</v>
      </c>
      <c r="C1038">
        <v>2</v>
      </c>
    </row>
    <row r="1039" spans="1:3" x14ac:dyDescent="0.45">
      <c r="A1039">
        <f>SUMIFS(fact_batting_summary!G:G, fact_batting_summary!E:E, fact_batting_summary!E1039)</f>
        <v>956</v>
      </c>
      <c r="B1039" s="9">
        <f>AVERAGEIFS(fact_batting_summary!G:G, fact_batting_summary!E:E,fact_batting_summary!E1039)</f>
        <v>26.555555555555557</v>
      </c>
      <c r="C1039">
        <v>1</v>
      </c>
    </row>
    <row r="1040" spans="1:3" x14ac:dyDescent="0.45">
      <c r="A1040">
        <f>SUMIFS(fact_batting_summary!G:G, fact_batting_summary!E:E, fact_batting_summary!E1040)</f>
        <v>4</v>
      </c>
      <c r="B1040" s="9">
        <f>AVERAGEIFS(fact_batting_summary!G:G, fact_batting_summary!E:E,fact_batting_summary!E1040)</f>
        <v>4</v>
      </c>
      <c r="C1040">
        <v>2</v>
      </c>
    </row>
    <row r="1041" spans="1:3" x14ac:dyDescent="0.45">
      <c r="A1041">
        <f>SUMIFS(fact_batting_summary!G:G, fact_batting_summary!E:E, fact_batting_summary!E1041)</f>
        <v>1157</v>
      </c>
      <c r="B1041" s="9">
        <f>AVERAGEIFS(fact_batting_summary!G:G, fact_batting_summary!E:E,fact_batting_summary!E1041)</f>
        <v>26.295454545454547</v>
      </c>
      <c r="C1041">
        <v>3</v>
      </c>
    </row>
    <row r="1042" spans="1:3" x14ac:dyDescent="0.45">
      <c r="A1042">
        <f>SUMIFS(fact_batting_summary!G:G, fact_batting_summary!E:E, fact_batting_summary!E1042)</f>
        <v>576</v>
      </c>
      <c r="B1042" s="9">
        <f>AVERAGEIFS(fact_batting_summary!G:G, fact_batting_summary!E:E,fact_batting_summary!E1042)</f>
        <v>26.181818181818183</v>
      </c>
      <c r="C1042">
        <v>4</v>
      </c>
    </row>
    <row r="1043" spans="1:3" x14ac:dyDescent="0.45">
      <c r="A1043">
        <f>SUMIFS(fact_batting_summary!G:G, fact_batting_summary!E:E, fact_batting_summary!E1043)</f>
        <v>169</v>
      </c>
      <c r="B1043" s="9">
        <f>AVERAGEIFS(fact_batting_summary!G:G, fact_batting_summary!E:E,fact_batting_summary!E1043)</f>
        <v>21.125</v>
      </c>
      <c r="C1043">
        <v>5</v>
      </c>
    </row>
    <row r="1044" spans="1:3" x14ac:dyDescent="0.45">
      <c r="A1044">
        <f>SUMIFS(fact_batting_summary!G:G, fact_batting_summary!E:E, fact_batting_summary!E1044)</f>
        <v>745</v>
      </c>
      <c r="B1044" s="9">
        <f>AVERAGEIFS(fact_batting_summary!G:G, fact_batting_summary!E:E,fact_batting_summary!E1044)</f>
        <v>21.285714285714285</v>
      </c>
      <c r="C1044">
        <v>6</v>
      </c>
    </row>
    <row r="1045" spans="1:3" x14ac:dyDescent="0.45">
      <c r="A1045">
        <f>SUMIFS(fact_batting_summary!G:G, fact_batting_summary!E:E, fact_batting_summary!E1045)</f>
        <v>648</v>
      </c>
      <c r="B1045" s="9">
        <f>AVERAGEIFS(fact_batting_summary!G:G, fact_batting_summary!E:E,fact_batting_summary!E1045)</f>
        <v>30.857142857142858</v>
      </c>
      <c r="C1045">
        <v>7</v>
      </c>
    </row>
    <row r="1046" spans="1:3" x14ac:dyDescent="0.45">
      <c r="A1046">
        <f>SUMIFS(fact_batting_summary!G:G, fact_batting_summary!E:E, fact_batting_summary!E1046)</f>
        <v>154</v>
      </c>
      <c r="B1046" s="9">
        <f>AVERAGEIFS(fact_batting_summary!G:G, fact_batting_summary!E:E,fact_batting_summary!E1046)</f>
        <v>5.1333333333333337</v>
      </c>
      <c r="C1046">
        <v>8</v>
      </c>
    </row>
    <row r="1047" spans="1:3" x14ac:dyDescent="0.45">
      <c r="A1047">
        <f>SUMIFS(fact_batting_summary!G:G, fact_batting_summary!E:E, fact_batting_summary!E1047)</f>
        <v>74</v>
      </c>
      <c r="B1047" s="9">
        <f>AVERAGEIFS(fact_batting_summary!G:G, fact_batting_summary!E:E,fact_batting_summary!E1047)</f>
        <v>6.166666666666667</v>
      </c>
      <c r="C1047">
        <v>9</v>
      </c>
    </row>
    <row r="1048" spans="1:3" x14ac:dyDescent="0.45">
      <c r="A1048">
        <f>SUMIFS(fact_batting_summary!G:G, fact_batting_summary!E:E, fact_batting_summary!E1048)</f>
        <v>745</v>
      </c>
      <c r="B1048" s="9">
        <f>AVERAGEIFS(fact_batting_summary!G:G, fact_batting_summary!E:E,fact_batting_summary!E1048)</f>
        <v>24.032258064516128</v>
      </c>
      <c r="C1048">
        <v>1</v>
      </c>
    </row>
    <row r="1049" spans="1:3" x14ac:dyDescent="0.45">
      <c r="A1049">
        <f>SUMIFS(fact_batting_summary!G:G, fact_batting_summary!E:E, fact_batting_summary!E1049)</f>
        <v>140</v>
      </c>
      <c r="B1049" s="9">
        <f>AVERAGEIFS(fact_batting_summary!G:G, fact_batting_summary!E:E,fact_batting_summary!E1049)</f>
        <v>15.555555555555555</v>
      </c>
      <c r="C1049">
        <v>2</v>
      </c>
    </row>
    <row r="1050" spans="1:3" x14ac:dyDescent="0.45">
      <c r="A1050">
        <f>SUMIFS(fact_batting_summary!G:G, fact_batting_summary!E:E, fact_batting_summary!E1050)</f>
        <v>1083</v>
      </c>
      <c r="B1050" s="9">
        <f>AVERAGEIFS(fact_batting_summary!G:G, fact_batting_summary!E:E,fact_batting_summary!E1050)</f>
        <v>25.186046511627907</v>
      </c>
      <c r="C1050">
        <v>3</v>
      </c>
    </row>
    <row r="1051" spans="1:3" x14ac:dyDescent="0.45">
      <c r="A1051">
        <f>SUMIFS(fact_batting_summary!G:G, fact_batting_summary!E:E, fact_batting_summary!E1051)</f>
        <v>729</v>
      </c>
      <c r="B1051" s="9">
        <f>AVERAGEIFS(fact_batting_summary!G:G, fact_batting_summary!E:E,fact_batting_summary!E1051)</f>
        <v>19.184210526315791</v>
      </c>
      <c r="C1051">
        <v>4</v>
      </c>
    </row>
    <row r="1052" spans="1:3" x14ac:dyDescent="0.45">
      <c r="A1052">
        <f>SUMIFS(fact_batting_summary!G:G, fact_batting_summary!E:E, fact_batting_summary!E1052)</f>
        <v>775</v>
      </c>
      <c r="B1052" s="9">
        <f>AVERAGEIFS(fact_batting_summary!G:G, fact_batting_summary!E:E,fact_batting_summary!E1052)</f>
        <v>25</v>
      </c>
      <c r="C1052">
        <v>5</v>
      </c>
    </row>
    <row r="1053" spans="1:3" x14ac:dyDescent="0.45">
      <c r="A1053">
        <f>SUMIFS(fact_batting_summary!G:G, fact_batting_summary!E:E, fact_batting_summary!E1053)</f>
        <v>416</v>
      </c>
      <c r="B1053" s="9">
        <f>AVERAGEIFS(fact_batting_summary!G:G, fact_batting_summary!E:E,fact_batting_summary!E1053)</f>
        <v>18.90909090909091</v>
      </c>
      <c r="C1053">
        <v>6</v>
      </c>
    </row>
    <row r="1054" spans="1:3" x14ac:dyDescent="0.45">
      <c r="A1054">
        <f>SUMIFS(fact_batting_summary!G:G, fact_batting_summary!E:E, fact_batting_summary!E1054)</f>
        <v>192</v>
      </c>
      <c r="B1054" s="9">
        <f>AVERAGEIFS(fact_batting_summary!G:G, fact_batting_summary!E:E,fact_batting_summary!E1054)</f>
        <v>12</v>
      </c>
      <c r="C1054">
        <v>7</v>
      </c>
    </row>
    <row r="1055" spans="1:3" x14ac:dyDescent="0.45">
      <c r="A1055">
        <f>SUMIFS(fact_batting_summary!G:G, fact_batting_summary!E:E, fact_batting_summary!E1055)</f>
        <v>981</v>
      </c>
      <c r="B1055" s="9">
        <f>AVERAGEIFS(fact_batting_summary!G:G, fact_batting_summary!E:E,fact_batting_summary!E1055)</f>
        <v>22.813953488372093</v>
      </c>
      <c r="C1055">
        <v>1</v>
      </c>
    </row>
    <row r="1056" spans="1:3" x14ac:dyDescent="0.45">
      <c r="A1056">
        <f>SUMIFS(fact_batting_summary!G:G, fact_batting_summary!E:E, fact_batting_summary!E1056)</f>
        <v>1113</v>
      </c>
      <c r="B1056" s="9">
        <f>AVERAGEIFS(fact_batting_summary!G:G, fact_batting_summary!E:E,fact_batting_summary!E1056)</f>
        <v>28.53846153846154</v>
      </c>
      <c r="C1056">
        <v>2</v>
      </c>
    </row>
    <row r="1057" spans="1:3" x14ac:dyDescent="0.45">
      <c r="A1057">
        <f>SUMIFS(fact_batting_summary!G:G, fact_batting_summary!E:E, fact_batting_summary!E1057)</f>
        <v>44</v>
      </c>
      <c r="B1057" s="9">
        <f>AVERAGEIFS(fact_batting_summary!G:G, fact_batting_summary!E:E,fact_batting_summary!E1057)</f>
        <v>3.6666666666666665</v>
      </c>
      <c r="C1057">
        <v>3</v>
      </c>
    </row>
    <row r="1058" spans="1:3" x14ac:dyDescent="0.45">
      <c r="A1058">
        <f>SUMIFS(fact_batting_summary!G:G, fact_batting_summary!E:E, fact_batting_summary!E1058)</f>
        <v>740</v>
      </c>
      <c r="B1058" s="9">
        <f>AVERAGEIFS(fact_batting_summary!G:G, fact_batting_summary!E:E,fact_batting_summary!E1058)</f>
        <v>29.6</v>
      </c>
      <c r="C1058">
        <v>4</v>
      </c>
    </row>
    <row r="1059" spans="1:3" x14ac:dyDescent="0.45">
      <c r="A1059">
        <f>SUMIFS(fact_batting_summary!G:G, fact_batting_summary!E:E, fact_batting_summary!E1059)</f>
        <v>418</v>
      </c>
      <c r="B1059" s="9">
        <f>AVERAGEIFS(fact_batting_summary!G:G, fact_batting_summary!E:E,fact_batting_summary!E1059)</f>
        <v>17.416666666666668</v>
      </c>
      <c r="C1059">
        <v>5</v>
      </c>
    </row>
    <row r="1060" spans="1:3" x14ac:dyDescent="0.45">
      <c r="A1060">
        <f>SUMIFS(fact_batting_summary!G:G, fact_batting_summary!E:E, fact_batting_summary!E1060)</f>
        <v>27</v>
      </c>
      <c r="B1060" s="9">
        <f>AVERAGEIFS(fact_batting_summary!G:G, fact_batting_summary!E:E,fact_batting_summary!E1060)</f>
        <v>6.75</v>
      </c>
      <c r="C1060">
        <v>6</v>
      </c>
    </row>
    <row r="1061" spans="1:3" x14ac:dyDescent="0.45">
      <c r="A1061">
        <f>SUMIFS(fact_batting_summary!G:G, fact_batting_summary!E:E, fact_batting_summary!E1061)</f>
        <v>45</v>
      </c>
      <c r="B1061" s="9">
        <f>AVERAGEIFS(fact_batting_summary!G:G, fact_batting_summary!E:E,fact_batting_summary!E1061)</f>
        <v>11.25</v>
      </c>
      <c r="C1061">
        <v>7</v>
      </c>
    </row>
    <row r="1062" spans="1:3" x14ac:dyDescent="0.45">
      <c r="A1062">
        <f>SUMIFS(fact_batting_summary!G:G, fact_batting_summary!E:E, fact_batting_summary!E1062)</f>
        <v>0</v>
      </c>
      <c r="B1062" s="9">
        <f>AVERAGEIFS(fact_batting_summary!G:G, fact_batting_summary!E:E,fact_batting_summary!E1062)</f>
        <v>0</v>
      </c>
      <c r="C1062">
        <v>8</v>
      </c>
    </row>
    <row r="1063" spans="1:3" x14ac:dyDescent="0.45">
      <c r="A1063">
        <f>SUMIFS(fact_batting_summary!G:G, fact_batting_summary!E:E, fact_batting_summary!E1063)</f>
        <v>16</v>
      </c>
      <c r="B1063" s="9">
        <f>AVERAGEIFS(fact_batting_summary!G:G, fact_batting_summary!E:E,fact_batting_summary!E1063)</f>
        <v>1.2307692307692308</v>
      </c>
      <c r="C1063">
        <v>9</v>
      </c>
    </row>
    <row r="1064" spans="1:3" x14ac:dyDescent="0.45">
      <c r="A1064">
        <f>SUMIFS(fact_batting_summary!G:G, fact_batting_summary!E:E, fact_batting_summary!E1064)</f>
        <v>1137</v>
      </c>
      <c r="B1064" s="9">
        <f>AVERAGEIFS(fact_batting_summary!G:G, fact_batting_summary!E:E,fact_batting_summary!E1064)</f>
        <v>34.454545454545453</v>
      </c>
      <c r="C1064">
        <v>1</v>
      </c>
    </row>
    <row r="1065" spans="1:3" x14ac:dyDescent="0.45">
      <c r="A1065">
        <f>SUMIFS(fact_batting_summary!G:G, fact_batting_summary!E:E, fact_batting_summary!E1065)</f>
        <v>144</v>
      </c>
      <c r="B1065" s="9">
        <f>AVERAGEIFS(fact_batting_summary!G:G, fact_batting_summary!E:E,fact_batting_summary!E1065)</f>
        <v>13.090909090909092</v>
      </c>
      <c r="C1065">
        <v>2</v>
      </c>
    </row>
    <row r="1066" spans="1:3" x14ac:dyDescent="0.45">
      <c r="A1066">
        <f>SUMIFS(fact_batting_summary!G:G, fact_batting_summary!E:E, fact_batting_summary!E1066)</f>
        <v>379</v>
      </c>
      <c r="B1066" s="9">
        <f>AVERAGEIFS(fact_batting_summary!G:G, fact_batting_summary!E:E,fact_batting_summary!E1066)</f>
        <v>22.294117647058822</v>
      </c>
      <c r="C1066">
        <v>3</v>
      </c>
    </row>
    <row r="1067" spans="1:3" x14ac:dyDescent="0.45">
      <c r="A1067">
        <f>SUMIFS(fact_batting_summary!G:G, fact_batting_summary!E:E, fact_batting_summary!E1067)</f>
        <v>295</v>
      </c>
      <c r="B1067" s="9">
        <f>AVERAGEIFS(fact_batting_summary!G:G, fact_batting_summary!E:E,fact_batting_summary!E1067)</f>
        <v>15.526315789473685</v>
      </c>
      <c r="C1067">
        <v>4</v>
      </c>
    </row>
    <row r="1068" spans="1:3" x14ac:dyDescent="0.45">
      <c r="A1068">
        <f>SUMIFS(fact_batting_summary!G:G, fact_batting_summary!E:E, fact_batting_summary!E1068)</f>
        <v>722</v>
      </c>
      <c r="B1068" s="9">
        <f>AVERAGEIFS(fact_batting_summary!G:G, fact_batting_summary!E:E,fact_batting_summary!E1068)</f>
        <v>25.785714285714285</v>
      </c>
      <c r="C1068">
        <v>5</v>
      </c>
    </row>
    <row r="1069" spans="1:3" x14ac:dyDescent="0.45">
      <c r="A1069">
        <f>SUMIFS(fact_batting_summary!G:G, fact_batting_summary!E:E, fact_batting_summary!E1069)</f>
        <v>257</v>
      </c>
      <c r="B1069" s="9">
        <f>AVERAGEIFS(fact_batting_summary!G:G, fact_batting_summary!E:E,fact_batting_summary!E1069)</f>
        <v>17.133333333333333</v>
      </c>
      <c r="C1069">
        <v>6</v>
      </c>
    </row>
    <row r="1070" spans="1:3" x14ac:dyDescent="0.45">
      <c r="A1070">
        <f>SUMIFS(fact_batting_summary!G:G, fact_batting_summary!E:E, fact_batting_summary!E1070)</f>
        <v>505</v>
      </c>
      <c r="B1070" s="9">
        <f>AVERAGEIFS(fact_batting_summary!G:G, fact_batting_summary!E:E,fact_batting_summary!E1070)</f>
        <v>17.413793103448278</v>
      </c>
      <c r="C1070">
        <v>7</v>
      </c>
    </row>
    <row r="1071" spans="1:3" x14ac:dyDescent="0.45">
      <c r="A1071">
        <f>SUMIFS(fact_batting_summary!G:G, fact_batting_summary!E:E, fact_batting_summary!E1071)</f>
        <v>238</v>
      </c>
      <c r="B1071" s="9">
        <f>AVERAGEIFS(fact_batting_summary!G:G, fact_batting_summary!E:E,fact_batting_summary!E1071)</f>
        <v>9.9166666666666661</v>
      </c>
      <c r="C1071">
        <v>8</v>
      </c>
    </row>
    <row r="1072" spans="1:3" x14ac:dyDescent="0.45">
      <c r="A1072">
        <f>SUMIFS(fact_batting_summary!G:G, fact_batting_summary!E:E, fact_batting_summary!E1072)</f>
        <v>79</v>
      </c>
      <c r="B1072" s="9">
        <f>AVERAGEIFS(fact_batting_summary!G:G, fact_batting_summary!E:E,fact_batting_summary!E1072)</f>
        <v>4.6470588235294121</v>
      </c>
      <c r="C1072">
        <v>9</v>
      </c>
    </row>
    <row r="1073" spans="1:3" x14ac:dyDescent="0.45">
      <c r="A1073">
        <f>SUMIFS(fact_batting_summary!G:G, fact_batting_summary!E:E, fact_batting_summary!E1073)</f>
        <v>463</v>
      </c>
      <c r="B1073" s="9">
        <f>AVERAGEIFS(fact_batting_summary!G:G, fact_batting_summary!E:E,fact_batting_summary!E1073)</f>
        <v>27.235294117647058</v>
      </c>
      <c r="C1073">
        <v>1</v>
      </c>
    </row>
    <row r="1074" spans="1:3" x14ac:dyDescent="0.45">
      <c r="A1074">
        <f>SUMIFS(fact_batting_summary!G:G, fact_batting_summary!E:E, fact_batting_summary!E1074)</f>
        <v>1392</v>
      </c>
      <c r="B1074" s="9">
        <f>AVERAGEIFS(fact_batting_summary!G:G, fact_batting_summary!E:E,fact_batting_summary!E1074)</f>
        <v>34.799999999999997</v>
      </c>
      <c r="C1074">
        <v>2</v>
      </c>
    </row>
    <row r="1075" spans="1:3" x14ac:dyDescent="0.45">
      <c r="A1075">
        <f>SUMIFS(fact_batting_summary!G:G, fact_batting_summary!E:E, fact_batting_summary!E1075)</f>
        <v>277</v>
      </c>
      <c r="B1075" s="9">
        <f>AVERAGEIFS(fact_batting_summary!G:G, fact_batting_summary!E:E,fact_batting_summary!E1075)</f>
        <v>21.307692307692307</v>
      </c>
      <c r="C1075">
        <v>3</v>
      </c>
    </row>
    <row r="1076" spans="1:3" x14ac:dyDescent="0.45">
      <c r="A1076">
        <f>SUMIFS(fact_batting_summary!G:G, fact_batting_summary!E:E, fact_batting_summary!E1076)</f>
        <v>758</v>
      </c>
      <c r="B1076" s="9">
        <f>AVERAGEIFS(fact_batting_summary!G:G, fact_batting_summary!E:E,fact_batting_summary!E1076)</f>
        <v>27.071428571428573</v>
      </c>
      <c r="C1076">
        <v>4</v>
      </c>
    </row>
    <row r="1077" spans="1:3" x14ac:dyDescent="0.45">
      <c r="A1077">
        <f>SUMIFS(fact_batting_summary!G:G, fact_batting_summary!E:E, fact_batting_summary!E1077)</f>
        <v>907</v>
      </c>
      <c r="B1077" s="9">
        <f>AVERAGEIFS(fact_batting_summary!G:G, fact_batting_summary!E:E,fact_batting_summary!E1077)</f>
        <v>26.676470588235293</v>
      </c>
      <c r="C1077">
        <v>5</v>
      </c>
    </row>
    <row r="1078" spans="1:3" x14ac:dyDescent="0.45">
      <c r="A1078">
        <f>SUMIFS(fact_batting_summary!G:G, fact_batting_summary!E:E, fact_batting_summary!E1078)</f>
        <v>543</v>
      </c>
      <c r="B1078" s="9">
        <f>AVERAGEIFS(fact_batting_summary!G:G, fact_batting_summary!E:E,fact_batting_summary!E1078)</f>
        <v>22.625</v>
      </c>
      <c r="C1078">
        <v>6</v>
      </c>
    </row>
    <row r="1079" spans="1:3" x14ac:dyDescent="0.45">
      <c r="A1079">
        <f>SUMIFS(fact_batting_summary!G:G, fact_batting_summary!E:E, fact_batting_summary!E1079)</f>
        <v>138</v>
      </c>
      <c r="B1079" s="9">
        <f>AVERAGEIFS(fact_batting_summary!G:G, fact_batting_summary!E:E,fact_batting_summary!E1079)</f>
        <v>8.625</v>
      </c>
      <c r="C1079">
        <v>7</v>
      </c>
    </row>
    <row r="1080" spans="1:3" x14ac:dyDescent="0.45">
      <c r="A1080">
        <f>SUMIFS(fact_batting_summary!G:G, fact_batting_summary!E:E, fact_batting_summary!E1080)</f>
        <v>57</v>
      </c>
      <c r="B1080" s="9">
        <f>AVERAGEIFS(fact_batting_summary!G:G, fact_batting_summary!E:E,fact_batting_summary!E1080)</f>
        <v>8.1428571428571423</v>
      </c>
      <c r="C1080">
        <v>8</v>
      </c>
    </row>
    <row r="1081" spans="1:3" x14ac:dyDescent="0.45">
      <c r="A1081">
        <f>SUMIFS(fact_batting_summary!G:G, fact_batting_summary!E:E, fact_batting_summary!E1081)</f>
        <v>91</v>
      </c>
      <c r="B1081" s="9">
        <f>AVERAGEIFS(fact_batting_summary!G:G, fact_batting_summary!E:E,fact_batting_summary!E1081)</f>
        <v>5.6875</v>
      </c>
      <c r="C1081">
        <v>9</v>
      </c>
    </row>
    <row r="1082" spans="1:3" x14ac:dyDescent="0.45">
      <c r="A1082">
        <f>SUMIFS(fact_batting_summary!G:G, fact_batting_summary!E:E, fact_batting_summary!E1082)</f>
        <v>61</v>
      </c>
      <c r="B1082" s="9">
        <f>AVERAGEIFS(fact_batting_summary!G:G, fact_batting_summary!E:E,fact_batting_summary!E1082)</f>
        <v>4.6923076923076925</v>
      </c>
      <c r="C1082">
        <v>10</v>
      </c>
    </row>
    <row r="1083" spans="1:3" x14ac:dyDescent="0.45">
      <c r="A1083">
        <f>SUMIFS(fact_batting_summary!G:G, fact_batting_summary!E:E, fact_batting_summary!E1083)</f>
        <v>25</v>
      </c>
      <c r="B1083" s="9">
        <f>AVERAGEIFS(fact_batting_summary!G:G, fact_batting_summary!E:E,fact_batting_summary!E1083)</f>
        <v>2.5</v>
      </c>
      <c r="C1083">
        <v>11</v>
      </c>
    </row>
    <row r="1084" spans="1:3" x14ac:dyDescent="0.45">
      <c r="A1084">
        <f>SUMIFS(fact_batting_summary!G:G, fact_batting_summary!E:E, fact_batting_summary!E1084)</f>
        <v>1132</v>
      </c>
      <c r="B1084" s="9">
        <f>AVERAGEIFS(fact_batting_summary!G:G, fact_batting_summary!E:E,fact_batting_summary!E1084)</f>
        <v>33.294117647058826</v>
      </c>
      <c r="C1084">
        <v>1</v>
      </c>
    </row>
    <row r="1085" spans="1:3" x14ac:dyDescent="0.45">
      <c r="A1085">
        <f>SUMIFS(fact_batting_summary!G:G, fact_batting_summary!E:E, fact_batting_summary!E1085)</f>
        <v>1509</v>
      </c>
      <c r="B1085" s="9">
        <f>AVERAGEIFS(fact_batting_summary!G:G, fact_batting_summary!E:E,fact_batting_summary!E1085)</f>
        <v>39.710526315789473</v>
      </c>
      <c r="C1085">
        <v>2</v>
      </c>
    </row>
    <row r="1086" spans="1:3" x14ac:dyDescent="0.45">
      <c r="A1086">
        <f>SUMIFS(fact_batting_summary!G:G, fact_batting_summary!E:E, fact_batting_summary!E1086)</f>
        <v>1304</v>
      </c>
      <c r="B1086" s="9">
        <f>AVERAGEIFS(fact_batting_summary!G:G, fact_batting_summary!E:E,fact_batting_summary!E1086)</f>
        <v>28.977777777777778</v>
      </c>
      <c r="C1086">
        <v>3</v>
      </c>
    </row>
    <row r="1087" spans="1:3" x14ac:dyDescent="0.45">
      <c r="A1087">
        <f>SUMIFS(fact_batting_summary!G:G, fact_batting_summary!E:E, fact_batting_summary!E1087)</f>
        <v>1048</v>
      </c>
      <c r="B1087" s="9">
        <f>AVERAGEIFS(fact_batting_summary!G:G, fact_batting_summary!E:E,fact_batting_summary!E1087)</f>
        <v>24.952380952380953</v>
      </c>
      <c r="C1087">
        <v>4</v>
      </c>
    </row>
    <row r="1088" spans="1:3" x14ac:dyDescent="0.45">
      <c r="A1088">
        <f>SUMIFS(fact_batting_summary!G:G, fact_batting_summary!E:E, fact_batting_summary!E1088)</f>
        <v>354</v>
      </c>
      <c r="B1088" s="9">
        <f>AVERAGEIFS(fact_batting_summary!G:G, fact_batting_summary!E:E,fact_batting_summary!E1088)</f>
        <v>11.419354838709678</v>
      </c>
      <c r="C1088">
        <v>5</v>
      </c>
    </row>
    <row r="1089" spans="1:3" x14ac:dyDescent="0.45">
      <c r="A1089">
        <f>SUMIFS(fact_batting_summary!G:G, fact_batting_summary!E:E, fact_batting_summary!E1089)</f>
        <v>31</v>
      </c>
      <c r="B1089" s="9">
        <f>AVERAGEIFS(fact_batting_summary!G:G, fact_batting_summary!E:E,fact_batting_summary!E1089)</f>
        <v>7.75</v>
      </c>
      <c r="C1089">
        <v>6</v>
      </c>
    </row>
    <row r="1090" spans="1:3" x14ac:dyDescent="0.45">
      <c r="A1090">
        <f>SUMIFS(fact_batting_summary!G:G, fact_batting_summary!E:E, fact_batting_summary!E1090)</f>
        <v>302</v>
      </c>
      <c r="B1090" s="9">
        <f>AVERAGEIFS(fact_batting_summary!G:G, fact_batting_summary!E:E,fact_batting_summary!E1090)</f>
        <v>11.185185185185185</v>
      </c>
      <c r="C1090">
        <v>7</v>
      </c>
    </row>
    <row r="1091" spans="1:3" x14ac:dyDescent="0.45">
      <c r="A1091">
        <f>SUMIFS(fact_batting_summary!G:G, fact_batting_summary!E:E, fact_batting_summary!E1091)</f>
        <v>57</v>
      </c>
      <c r="B1091" s="9">
        <f>AVERAGEIFS(fact_batting_summary!G:G, fact_batting_summary!E:E,fact_batting_summary!E1091)</f>
        <v>3.5625</v>
      </c>
      <c r="C1091">
        <v>8</v>
      </c>
    </row>
    <row r="1092" spans="1:3" x14ac:dyDescent="0.45">
      <c r="A1092">
        <f>SUMIFS(fact_batting_summary!G:G, fact_batting_summary!E:E, fact_batting_summary!E1092)</f>
        <v>948</v>
      </c>
      <c r="B1092" s="9">
        <f>AVERAGEIFS(fact_batting_summary!G:G, fact_batting_summary!E:E,fact_batting_summary!E1092)</f>
        <v>31.6</v>
      </c>
      <c r="C1092">
        <v>1</v>
      </c>
    </row>
    <row r="1093" spans="1:3" x14ac:dyDescent="0.45">
      <c r="A1093">
        <f>SUMIFS(fact_batting_summary!G:G, fact_batting_summary!E:E, fact_batting_summary!E1093)</f>
        <v>1516</v>
      </c>
      <c r="B1093" s="9">
        <f>AVERAGEIFS(fact_batting_summary!G:G, fact_batting_summary!E:E,fact_batting_summary!E1093)</f>
        <v>40.972972972972975</v>
      </c>
      <c r="C1093">
        <v>2</v>
      </c>
    </row>
    <row r="1094" spans="1:3" x14ac:dyDescent="0.45">
      <c r="A1094">
        <f>SUMIFS(fact_batting_summary!G:G, fact_batting_summary!E:E, fact_batting_summary!E1094)</f>
        <v>340</v>
      </c>
      <c r="B1094" s="9">
        <f>AVERAGEIFS(fact_batting_summary!G:G, fact_batting_summary!E:E,fact_batting_summary!E1094)</f>
        <v>15.454545454545455</v>
      </c>
      <c r="C1094">
        <v>3</v>
      </c>
    </row>
    <row r="1095" spans="1:3" x14ac:dyDescent="0.45">
      <c r="A1095">
        <f>SUMIFS(fact_batting_summary!G:G, fact_batting_summary!E:E, fact_batting_summary!E1095)</f>
        <v>695</v>
      </c>
      <c r="B1095" s="9">
        <f>AVERAGEIFS(fact_batting_summary!G:G, fact_batting_summary!E:E,fact_batting_summary!E1095)</f>
        <v>18.783783783783782</v>
      </c>
      <c r="C1095">
        <v>4</v>
      </c>
    </row>
    <row r="1096" spans="1:3" x14ac:dyDescent="0.45">
      <c r="A1096">
        <f>SUMIFS(fact_batting_summary!G:G, fact_batting_summary!E:E, fact_batting_summary!E1096)</f>
        <v>514</v>
      </c>
      <c r="B1096" s="9">
        <f>AVERAGEIFS(fact_batting_summary!G:G, fact_batting_summary!E:E,fact_batting_summary!E1096)</f>
        <v>13.526315789473685</v>
      </c>
      <c r="C1096">
        <v>5</v>
      </c>
    </row>
    <row r="1097" spans="1:3" x14ac:dyDescent="0.45">
      <c r="A1097">
        <f>SUMIFS(fact_batting_summary!G:G, fact_batting_summary!E:E, fact_batting_summary!E1097)</f>
        <v>645</v>
      </c>
      <c r="B1097" s="9">
        <f>AVERAGEIFS(fact_batting_summary!G:G, fact_batting_summary!E:E,fact_batting_summary!E1097)</f>
        <v>21.5</v>
      </c>
      <c r="C1097">
        <v>6</v>
      </c>
    </row>
    <row r="1098" spans="1:3" x14ac:dyDescent="0.45">
      <c r="A1098">
        <f>SUMIFS(fact_batting_summary!G:G, fact_batting_summary!E:E, fact_batting_summary!E1098)</f>
        <v>155</v>
      </c>
      <c r="B1098" s="9">
        <f>AVERAGEIFS(fact_batting_summary!G:G, fact_batting_summary!E:E,fact_batting_summary!E1098)</f>
        <v>8.6111111111111107</v>
      </c>
      <c r="C1098">
        <v>7</v>
      </c>
    </row>
    <row r="1099" spans="1:3" x14ac:dyDescent="0.45">
      <c r="A1099">
        <f>SUMIFS(fact_batting_summary!G:G, fact_batting_summary!E:E, fact_batting_summary!E1099)</f>
        <v>43</v>
      </c>
      <c r="B1099" s="9">
        <f>AVERAGEIFS(fact_batting_summary!G:G, fact_batting_summary!E:E,fact_batting_summary!E1099)</f>
        <v>5.375</v>
      </c>
      <c r="C1099">
        <v>8</v>
      </c>
    </row>
    <row r="1100" spans="1:3" x14ac:dyDescent="0.45">
      <c r="A1100">
        <f>SUMIFS(fact_batting_summary!G:G, fact_batting_summary!E:E, fact_batting_summary!E1100)</f>
        <v>23</v>
      </c>
      <c r="B1100" s="9">
        <f>AVERAGEIFS(fact_batting_summary!G:G, fact_batting_summary!E:E,fact_batting_summary!E1100)</f>
        <v>5.75</v>
      </c>
      <c r="C1100">
        <v>9</v>
      </c>
    </row>
    <row r="1101" spans="1:3" x14ac:dyDescent="0.45">
      <c r="A1101">
        <f>SUMIFS(fact_batting_summary!G:G, fact_batting_summary!E:E, fact_batting_summary!E1101)</f>
        <v>27</v>
      </c>
      <c r="B1101" s="9">
        <f>AVERAGEIFS(fact_batting_summary!G:G, fact_batting_summary!E:E,fact_batting_summary!E1101)</f>
        <v>4.5</v>
      </c>
      <c r="C1101">
        <v>10</v>
      </c>
    </row>
    <row r="1102" spans="1:3" x14ac:dyDescent="0.45">
      <c r="A1102">
        <f>SUMIFS(fact_batting_summary!G:G, fact_batting_summary!E:E, fact_batting_summary!E1102)</f>
        <v>1593</v>
      </c>
      <c r="B1102" s="9">
        <f>AVERAGEIFS(fact_batting_summary!G:G, fact_batting_summary!E:E,fact_batting_summary!E1102)</f>
        <v>35.4</v>
      </c>
      <c r="C1102">
        <v>1</v>
      </c>
    </row>
    <row r="1103" spans="1:3" x14ac:dyDescent="0.45">
      <c r="A1103">
        <f>SUMIFS(fact_batting_summary!G:G, fact_batting_summary!E:E, fact_batting_summary!E1103)</f>
        <v>924</v>
      </c>
      <c r="B1103" s="9">
        <f>AVERAGEIFS(fact_batting_summary!G:G, fact_batting_summary!E:E,fact_batting_summary!E1103)</f>
        <v>42</v>
      </c>
      <c r="C1103">
        <v>2</v>
      </c>
    </row>
    <row r="1104" spans="1:3" x14ac:dyDescent="0.45">
      <c r="A1104">
        <f>SUMIFS(fact_batting_summary!G:G, fact_batting_summary!E:E, fact_batting_summary!E1104)</f>
        <v>725</v>
      </c>
      <c r="B1104" s="9">
        <f>AVERAGEIFS(fact_batting_summary!G:G, fact_batting_summary!E:E,fact_batting_summary!E1104)</f>
        <v>20.714285714285715</v>
      </c>
      <c r="C1104">
        <v>3</v>
      </c>
    </row>
    <row r="1105" spans="1:3" x14ac:dyDescent="0.45">
      <c r="A1105">
        <f>SUMIFS(fact_batting_summary!G:G, fact_batting_summary!E:E, fact_batting_summary!E1105)</f>
        <v>129</v>
      </c>
      <c r="B1105" s="9">
        <f>AVERAGEIFS(fact_batting_summary!G:G, fact_batting_summary!E:E,fact_batting_summary!E1105)</f>
        <v>16.125</v>
      </c>
      <c r="C1105">
        <v>4</v>
      </c>
    </row>
    <row r="1106" spans="1:3" x14ac:dyDescent="0.45">
      <c r="A1106">
        <f>SUMIFS(fact_batting_summary!G:G, fact_batting_summary!E:E, fact_batting_summary!E1106)</f>
        <v>937</v>
      </c>
      <c r="B1106" s="9">
        <f>AVERAGEIFS(fact_batting_summary!G:G, fact_batting_summary!E:E,fact_batting_summary!E1106)</f>
        <v>27.558823529411764</v>
      </c>
      <c r="C1106">
        <v>5</v>
      </c>
    </row>
    <row r="1107" spans="1:3" x14ac:dyDescent="0.45">
      <c r="A1107">
        <f>SUMIFS(fact_batting_summary!G:G, fact_batting_summary!E:E, fact_batting_summary!E1107)</f>
        <v>450</v>
      </c>
      <c r="B1107" s="9">
        <f>AVERAGEIFS(fact_batting_summary!G:G, fact_batting_summary!E:E,fact_batting_summary!E1107)</f>
        <v>12.5</v>
      </c>
      <c r="C1107">
        <v>6</v>
      </c>
    </row>
    <row r="1108" spans="1:3" x14ac:dyDescent="0.45">
      <c r="A1108">
        <f>SUMIFS(fact_batting_summary!G:G, fact_batting_summary!E:E, fact_batting_summary!E1108)</f>
        <v>24</v>
      </c>
      <c r="B1108" s="9">
        <f>AVERAGEIFS(fact_batting_summary!G:G, fact_batting_summary!E:E,fact_batting_summary!E1108)</f>
        <v>4</v>
      </c>
      <c r="C1108">
        <v>7</v>
      </c>
    </row>
    <row r="1109" spans="1:3" x14ac:dyDescent="0.45">
      <c r="A1109">
        <f>SUMIFS(fact_batting_summary!G:G, fact_batting_summary!E:E, fact_batting_summary!E1109)</f>
        <v>819</v>
      </c>
      <c r="B1109" s="9">
        <f>AVERAGEIFS(fact_batting_summary!G:G, fact_batting_summary!E:E,fact_batting_summary!E1109)</f>
        <v>22.135135135135137</v>
      </c>
      <c r="C1109">
        <v>1</v>
      </c>
    </row>
    <row r="1110" spans="1:3" x14ac:dyDescent="0.45">
      <c r="A1110">
        <f>SUMIFS(fact_batting_summary!G:G, fact_batting_summary!E:E, fact_batting_summary!E1110)</f>
        <v>1851</v>
      </c>
      <c r="B1110" s="9">
        <f>AVERAGEIFS(fact_batting_summary!G:G, fact_batting_summary!E:E,fact_batting_summary!E1110)</f>
        <v>37.020000000000003</v>
      </c>
      <c r="C1110">
        <v>2</v>
      </c>
    </row>
    <row r="1111" spans="1:3" x14ac:dyDescent="0.45">
      <c r="A1111">
        <f>SUMIFS(fact_batting_summary!G:G, fact_batting_summary!E:E, fact_batting_summary!E1111)</f>
        <v>157</v>
      </c>
      <c r="B1111" s="9">
        <f>AVERAGEIFS(fact_batting_summary!G:G, fact_batting_summary!E:E,fact_batting_summary!E1111)</f>
        <v>15.7</v>
      </c>
      <c r="C1111">
        <v>3</v>
      </c>
    </row>
    <row r="1112" spans="1:3" x14ac:dyDescent="0.45">
      <c r="A1112">
        <f>SUMIFS(fact_batting_summary!G:G, fact_batting_summary!E:E, fact_batting_summary!E1112)</f>
        <v>960</v>
      </c>
      <c r="B1112" s="9">
        <f>AVERAGEIFS(fact_batting_summary!G:G, fact_batting_summary!E:E,fact_batting_summary!E1112)</f>
        <v>23.414634146341463</v>
      </c>
      <c r="C1112">
        <v>4</v>
      </c>
    </row>
    <row r="1113" spans="1:3" x14ac:dyDescent="0.45">
      <c r="A1113">
        <f>SUMIFS(fact_batting_summary!G:G, fact_batting_summary!E:E, fact_batting_summary!E1113)</f>
        <v>864</v>
      </c>
      <c r="B1113" s="9">
        <f>AVERAGEIFS(fact_batting_summary!G:G, fact_batting_summary!E:E,fact_batting_summary!E1113)</f>
        <v>23.351351351351351</v>
      </c>
      <c r="C1113">
        <v>5</v>
      </c>
    </row>
    <row r="1114" spans="1:3" x14ac:dyDescent="0.45">
      <c r="A1114">
        <f>SUMIFS(fact_batting_summary!G:G, fact_batting_summary!E:E, fact_batting_summary!E1114)</f>
        <v>956</v>
      </c>
      <c r="B1114" s="9">
        <f>AVERAGEIFS(fact_batting_summary!G:G, fact_batting_summary!E:E,fact_batting_summary!E1114)</f>
        <v>26.555555555555557</v>
      </c>
      <c r="C1114">
        <v>1</v>
      </c>
    </row>
    <row r="1115" spans="1:3" x14ac:dyDescent="0.45">
      <c r="A1115">
        <f>SUMIFS(fact_batting_summary!G:G, fact_batting_summary!E:E, fact_batting_summary!E1115)</f>
        <v>467</v>
      </c>
      <c r="B1115" s="9">
        <f>AVERAGEIFS(fact_batting_summary!G:G, fact_batting_summary!E:E,fact_batting_summary!E1115)</f>
        <v>24.578947368421051</v>
      </c>
      <c r="C1115">
        <v>2</v>
      </c>
    </row>
    <row r="1116" spans="1:3" x14ac:dyDescent="0.45">
      <c r="A1116">
        <f>SUMIFS(fact_batting_summary!G:G, fact_batting_summary!E:E, fact_batting_summary!E1116)</f>
        <v>1157</v>
      </c>
      <c r="B1116" s="9">
        <f>AVERAGEIFS(fact_batting_summary!G:G, fact_batting_summary!E:E,fact_batting_summary!E1116)</f>
        <v>26.295454545454547</v>
      </c>
      <c r="C1116">
        <v>3</v>
      </c>
    </row>
    <row r="1117" spans="1:3" x14ac:dyDescent="0.45">
      <c r="A1117">
        <f>SUMIFS(fact_batting_summary!G:G, fact_batting_summary!E:E, fact_batting_summary!E1117)</f>
        <v>576</v>
      </c>
      <c r="B1117" s="9">
        <f>AVERAGEIFS(fact_batting_summary!G:G, fact_batting_summary!E:E,fact_batting_summary!E1117)</f>
        <v>26.181818181818183</v>
      </c>
      <c r="C1117">
        <v>4</v>
      </c>
    </row>
    <row r="1118" spans="1:3" x14ac:dyDescent="0.45">
      <c r="A1118">
        <f>SUMIFS(fact_batting_summary!G:G, fact_batting_summary!E:E, fact_batting_summary!E1118)</f>
        <v>169</v>
      </c>
      <c r="B1118" s="9">
        <f>AVERAGEIFS(fact_batting_summary!G:G, fact_batting_summary!E:E,fact_batting_summary!E1118)</f>
        <v>21.125</v>
      </c>
      <c r="C1118">
        <v>5</v>
      </c>
    </row>
    <row r="1119" spans="1:3" x14ac:dyDescent="0.45">
      <c r="A1119">
        <f>SUMIFS(fact_batting_summary!G:G, fact_batting_summary!E:E, fact_batting_summary!E1119)</f>
        <v>648</v>
      </c>
      <c r="B1119" s="9">
        <f>AVERAGEIFS(fact_batting_summary!G:G, fact_batting_summary!E:E,fact_batting_summary!E1119)</f>
        <v>30.857142857142858</v>
      </c>
      <c r="C1119">
        <v>6</v>
      </c>
    </row>
    <row r="1120" spans="1:3" x14ac:dyDescent="0.45">
      <c r="A1120">
        <f>SUMIFS(fact_batting_summary!G:G, fact_batting_summary!E:E, fact_batting_summary!E1120)</f>
        <v>745</v>
      </c>
      <c r="B1120" s="9">
        <f>AVERAGEIFS(fact_batting_summary!G:G, fact_batting_summary!E:E,fact_batting_summary!E1120)</f>
        <v>21.285714285714285</v>
      </c>
      <c r="C1120">
        <v>7</v>
      </c>
    </row>
    <row r="1121" spans="1:3" x14ac:dyDescent="0.45">
      <c r="A1121">
        <f>SUMIFS(fact_batting_summary!G:G, fact_batting_summary!E:E, fact_batting_summary!E1121)</f>
        <v>154</v>
      </c>
      <c r="B1121" s="9">
        <f>AVERAGEIFS(fact_batting_summary!G:G, fact_batting_summary!E:E,fact_batting_summary!E1121)</f>
        <v>5.1333333333333337</v>
      </c>
      <c r="C1121">
        <v>8</v>
      </c>
    </row>
    <row r="1122" spans="1:3" x14ac:dyDescent="0.45">
      <c r="A1122">
        <f>SUMIFS(fact_batting_summary!G:G, fact_batting_summary!E:E, fact_batting_summary!E1122)</f>
        <v>745</v>
      </c>
      <c r="B1122" s="9">
        <f>AVERAGEIFS(fact_batting_summary!G:G, fact_batting_summary!E:E,fact_batting_summary!E1122)</f>
        <v>24.032258064516128</v>
      </c>
      <c r="C1122">
        <v>1</v>
      </c>
    </row>
    <row r="1123" spans="1:3" x14ac:dyDescent="0.45">
      <c r="A1123">
        <f>SUMIFS(fact_batting_summary!G:G, fact_batting_summary!E:E, fact_batting_summary!E1123)</f>
        <v>416</v>
      </c>
      <c r="B1123" s="9">
        <f>AVERAGEIFS(fact_batting_summary!G:G, fact_batting_summary!E:E,fact_batting_summary!E1123)</f>
        <v>18.90909090909091</v>
      </c>
      <c r="C1123">
        <v>2</v>
      </c>
    </row>
    <row r="1124" spans="1:3" x14ac:dyDescent="0.45">
      <c r="A1124">
        <f>SUMIFS(fact_batting_summary!G:G, fact_batting_summary!E:E, fact_batting_summary!E1124)</f>
        <v>1083</v>
      </c>
      <c r="B1124" s="9">
        <f>AVERAGEIFS(fact_batting_summary!G:G, fact_batting_summary!E:E,fact_batting_summary!E1124)</f>
        <v>25.186046511627907</v>
      </c>
      <c r="C1124">
        <v>3</v>
      </c>
    </row>
    <row r="1125" spans="1:3" x14ac:dyDescent="0.45">
      <c r="A1125">
        <f>SUMIFS(fact_batting_summary!G:G, fact_batting_summary!E:E, fact_batting_summary!E1125)</f>
        <v>775</v>
      </c>
      <c r="B1125" s="9">
        <f>AVERAGEIFS(fact_batting_summary!G:G, fact_batting_summary!E:E,fact_batting_summary!E1125)</f>
        <v>25</v>
      </c>
      <c r="C1125">
        <v>4</v>
      </c>
    </row>
    <row r="1126" spans="1:3" x14ac:dyDescent="0.45">
      <c r="A1126">
        <f>SUMIFS(fact_batting_summary!G:G, fact_batting_summary!E:E, fact_batting_summary!E1126)</f>
        <v>729</v>
      </c>
      <c r="B1126" s="9">
        <f>AVERAGEIFS(fact_batting_summary!G:G, fact_batting_summary!E:E,fact_batting_summary!E1126)</f>
        <v>19.184210526315791</v>
      </c>
      <c r="C1126">
        <v>5</v>
      </c>
    </row>
    <row r="1127" spans="1:3" x14ac:dyDescent="0.45">
      <c r="A1127">
        <f>SUMIFS(fact_batting_summary!G:G, fact_batting_summary!E:E, fact_batting_summary!E1127)</f>
        <v>192</v>
      </c>
      <c r="B1127" s="9">
        <f>AVERAGEIFS(fact_batting_summary!G:G, fact_batting_summary!E:E,fact_batting_summary!E1127)</f>
        <v>12</v>
      </c>
      <c r="C1127">
        <v>6</v>
      </c>
    </row>
    <row r="1128" spans="1:3" x14ac:dyDescent="0.45">
      <c r="A1128">
        <f>SUMIFS(fact_batting_summary!G:G, fact_batting_summary!E:E, fact_batting_summary!E1128)</f>
        <v>69</v>
      </c>
      <c r="B1128" s="9">
        <f>AVERAGEIFS(fact_batting_summary!G:G, fact_batting_summary!E:E,fact_batting_summary!E1128)</f>
        <v>13.8</v>
      </c>
      <c r="C1128">
        <v>7</v>
      </c>
    </row>
    <row r="1129" spans="1:3" x14ac:dyDescent="0.45">
      <c r="A1129">
        <f>SUMIFS(fact_batting_summary!G:G, fact_batting_summary!E:E, fact_batting_summary!E1129)</f>
        <v>48</v>
      </c>
      <c r="B1129" s="9">
        <f>AVERAGEIFS(fact_batting_summary!G:G, fact_batting_summary!E:E,fact_batting_summary!E1129)</f>
        <v>4.3636363636363633</v>
      </c>
      <c r="C1129">
        <v>8</v>
      </c>
    </row>
    <row r="1130" spans="1:3" x14ac:dyDescent="0.45">
      <c r="A1130">
        <f>SUMIFS(fact_batting_summary!G:G, fact_batting_summary!E:E, fact_batting_summary!E1130)</f>
        <v>100</v>
      </c>
      <c r="B1130" s="9">
        <f>AVERAGEIFS(fact_batting_summary!G:G, fact_batting_summary!E:E,fact_batting_summary!E1130)</f>
        <v>5.2631578947368425</v>
      </c>
      <c r="C1130">
        <v>9</v>
      </c>
    </row>
    <row r="1131" spans="1:3" x14ac:dyDescent="0.45">
      <c r="A1131">
        <f>SUMIFS(fact_batting_summary!G:G, fact_batting_summary!E:E, fact_batting_summary!E1131)</f>
        <v>23</v>
      </c>
      <c r="B1131" s="9">
        <f>AVERAGEIFS(fact_batting_summary!G:G, fact_batting_summary!E:E,fact_batting_summary!E1131)</f>
        <v>3.8333333333333335</v>
      </c>
      <c r="C1131">
        <v>10</v>
      </c>
    </row>
    <row r="1132" spans="1:3" x14ac:dyDescent="0.45">
      <c r="A1132">
        <f>SUMIFS(fact_batting_summary!G:G, fact_batting_summary!E:E, fact_batting_summary!E1132)</f>
        <v>463</v>
      </c>
      <c r="B1132" s="9">
        <f>AVERAGEIFS(fact_batting_summary!G:G, fact_batting_summary!E:E,fact_batting_summary!E1132)</f>
        <v>27.235294117647058</v>
      </c>
      <c r="C1132">
        <v>1</v>
      </c>
    </row>
    <row r="1133" spans="1:3" x14ac:dyDescent="0.45">
      <c r="A1133">
        <f>SUMIFS(fact_batting_summary!G:G, fact_batting_summary!E:E, fact_batting_summary!E1133)</f>
        <v>1392</v>
      </c>
      <c r="B1133" s="9">
        <f>AVERAGEIFS(fact_batting_summary!G:G, fact_batting_summary!E:E,fact_batting_summary!E1133)</f>
        <v>34.799999999999997</v>
      </c>
      <c r="C1133">
        <v>2</v>
      </c>
    </row>
    <row r="1134" spans="1:3" x14ac:dyDescent="0.45">
      <c r="A1134">
        <f>SUMIFS(fact_batting_summary!G:G, fact_batting_summary!E:E, fact_batting_summary!E1134)</f>
        <v>277</v>
      </c>
      <c r="B1134" s="9">
        <f>AVERAGEIFS(fact_batting_summary!G:G, fact_batting_summary!E:E,fact_batting_summary!E1134)</f>
        <v>21.307692307692307</v>
      </c>
      <c r="C1134">
        <v>3</v>
      </c>
    </row>
    <row r="1135" spans="1:3" x14ac:dyDescent="0.45">
      <c r="A1135">
        <f>SUMIFS(fact_batting_summary!G:G, fact_batting_summary!E:E, fact_batting_summary!E1135)</f>
        <v>758</v>
      </c>
      <c r="B1135" s="9">
        <f>AVERAGEIFS(fact_batting_summary!G:G, fact_batting_summary!E:E,fact_batting_summary!E1135)</f>
        <v>27.071428571428573</v>
      </c>
      <c r="C1135">
        <v>4</v>
      </c>
    </row>
    <row r="1136" spans="1:3" x14ac:dyDescent="0.45">
      <c r="A1136">
        <f>SUMIFS(fact_batting_summary!G:G, fact_batting_summary!E:E, fact_batting_summary!E1136)</f>
        <v>907</v>
      </c>
      <c r="B1136" s="9">
        <f>AVERAGEIFS(fact_batting_summary!G:G, fact_batting_summary!E:E,fact_batting_summary!E1136)</f>
        <v>26.676470588235293</v>
      </c>
      <c r="C1136">
        <v>5</v>
      </c>
    </row>
    <row r="1137" spans="1:3" x14ac:dyDescent="0.45">
      <c r="A1137">
        <f>SUMIFS(fact_batting_summary!G:G, fact_batting_summary!E:E, fact_batting_summary!E1137)</f>
        <v>543</v>
      </c>
      <c r="B1137" s="9">
        <f>AVERAGEIFS(fact_batting_summary!G:G, fact_batting_summary!E:E,fact_batting_summary!E1137)</f>
        <v>22.625</v>
      </c>
      <c r="C1137">
        <v>6</v>
      </c>
    </row>
    <row r="1138" spans="1:3" x14ac:dyDescent="0.45">
      <c r="A1138">
        <f>SUMIFS(fact_batting_summary!G:G, fact_batting_summary!E:E, fact_batting_summary!E1138)</f>
        <v>138</v>
      </c>
      <c r="B1138" s="9">
        <f>AVERAGEIFS(fact_batting_summary!G:G, fact_batting_summary!E:E,fact_batting_summary!E1138)</f>
        <v>8.625</v>
      </c>
      <c r="C1138">
        <v>7</v>
      </c>
    </row>
    <row r="1139" spans="1:3" x14ac:dyDescent="0.45">
      <c r="A1139">
        <f>SUMIFS(fact_batting_summary!G:G, fact_batting_summary!E:E, fact_batting_summary!E1139)</f>
        <v>57</v>
      </c>
      <c r="B1139" s="9">
        <f>AVERAGEIFS(fact_batting_summary!G:G, fact_batting_summary!E:E,fact_batting_summary!E1139)</f>
        <v>8.1428571428571423</v>
      </c>
      <c r="C1139">
        <v>8</v>
      </c>
    </row>
    <row r="1140" spans="1:3" x14ac:dyDescent="0.45">
      <c r="A1140">
        <f>SUMIFS(fact_batting_summary!G:G, fact_batting_summary!E:E, fact_batting_summary!E1140)</f>
        <v>91</v>
      </c>
      <c r="B1140" s="9">
        <f>AVERAGEIFS(fact_batting_summary!G:G, fact_batting_summary!E:E,fact_batting_summary!E1140)</f>
        <v>5.6875</v>
      </c>
      <c r="C1140">
        <v>9</v>
      </c>
    </row>
    <row r="1141" spans="1:3" x14ac:dyDescent="0.45">
      <c r="A1141">
        <f>SUMIFS(fact_batting_summary!G:G, fact_batting_summary!E:E, fact_batting_summary!E1141)</f>
        <v>61</v>
      </c>
      <c r="B1141" s="9">
        <f>AVERAGEIFS(fact_batting_summary!G:G, fact_batting_summary!E:E,fact_batting_summary!E1141)</f>
        <v>4.6923076923076925</v>
      </c>
      <c r="C1141">
        <v>10</v>
      </c>
    </row>
    <row r="1142" spans="1:3" x14ac:dyDescent="0.45">
      <c r="A1142">
        <f>SUMIFS(fact_batting_summary!G:G, fact_batting_summary!E:E, fact_batting_summary!E1142)</f>
        <v>1385</v>
      </c>
      <c r="B1142" s="9">
        <f>AVERAGEIFS(fact_batting_summary!G:G, fact_batting_summary!E:E,fact_batting_summary!E1142)</f>
        <v>30.777777777777779</v>
      </c>
      <c r="C1142">
        <v>1</v>
      </c>
    </row>
    <row r="1143" spans="1:3" x14ac:dyDescent="0.45">
      <c r="A1143">
        <f>SUMIFS(fact_batting_summary!G:G, fact_batting_summary!E:E, fact_batting_summary!E1143)</f>
        <v>1831</v>
      </c>
      <c r="B1143" s="9">
        <f>AVERAGEIFS(fact_batting_summary!G:G, fact_batting_summary!E:E,fact_batting_summary!E1143)</f>
        <v>39.804347826086953</v>
      </c>
      <c r="C1143">
        <v>2</v>
      </c>
    </row>
    <row r="1144" spans="1:3" x14ac:dyDescent="0.45">
      <c r="A1144">
        <f>SUMIFS(fact_batting_summary!G:G, fact_batting_summary!E:E, fact_batting_summary!E1144)</f>
        <v>404</v>
      </c>
      <c r="B1144" s="9">
        <f>AVERAGEIFS(fact_batting_summary!G:G, fact_batting_summary!E:E,fact_batting_summary!E1144)</f>
        <v>36.727272727272727</v>
      </c>
      <c r="C1144">
        <v>3</v>
      </c>
    </row>
    <row r="1145" spans="1:3" x14ac:dyDescent="0.45">
      <c r="A1145">
        <f>SUMIFS(fact_batting_summary!G:G, fact_batting_summary!E:E, fact_batting_summary!E1145)</f>
        <v>315</v>
      </c>
      <c r="B1145" s="9">
        <f>AVERAGEIFS(fact_batting_summary!G:G, fact_batting_summary!E:E,fact_batting_summary!E1145)</f>
        <v>16.578947368421051</v>
      </c>
      <c r="C1145">
        <v>4</v>
      </c>
    </row>
    <row r="1146" spans="1:3" x14ac:dyDescent="0.45">
      <c r="A1146">
        <f>SUMIFS(fact_batting_summary!G:G, fact_batting_summary!E:E, fact_batting_summary!E1146)</f>
        <v>1214</v>
      </c>
      <c r="B1146" s="9">
        <f>AVERAGEIFS(fact_batting_summary!G:G, fact_batting_summary!E:E,fact_batting_summary!E1146)</f>
        <v>29.609756097560975</v>
      </c>
      <c r="C1146">
        <v>5</v>
      </c>
    </row>
    <row r="1147" spans="1:3" x14ac:dyDescent="0.45">
      <c r="A1147">
        <f>SUMIFS(fact_batting_summary!G:G, fact_batting_summary!E:E, fact_batting_summary!E1147)</f>
        <v>693</v>
      </c>
      <c r="B1147" s="9">
        <f>AVERAGEIFS(fact_batting_summary!G:G, fact_batting_summary!E:E,fact_batting_summary!E1147)</f>
        <v>15.75</v>
      </c>
      <c r="C1147">
        <v>6</v>
      </c>
    </row>
    <row r="1148" spans="1:3" x14ac:dyDescent="0.45">
      <c r="A1148">
        <f>SUMIFS(fact_batting_summary!G:G, fact_batting_summary!E:E, fact_batting_summary!E1148)</f>
        <v>320</v>
      </c>
      <c r="B1148" s="9">
        <f>AVERAGEIFS(fact_batting_summary!G:G, fact_batting_summary!E:E,fact_batting_summary!E1148)</f>
        <v>13.333333333333334</v>
      </c>
      <c r="C1148">
        <v>7</v>
      </c>
    </row>
    <row r="1149" spans="1:3" x14ac:dyDescent="0.45">
      <c r="A1149">
        <f>SUMIFS(fact_batting_summary!G:G, fact_batting_summary!E:E, fact_batting_summary!E1149)</f>
        <v>108</v>
      </c>
      <c r="B1149" s="9">
        <f>AVERAGEIFS(fact_batting_summary!G:G, fact_batting_summary!E:E,fact_batting_summary!E1149)</f>
        <v>6</v>
      </c>
      <c r="C1149">
        <v>8</v>
      </c>
    </row>
    <row r="1150" spans="1:3" x14ac:dyDescent="0.45">
      <c r="A1150">
        <f>SUMIFS(fact_batting_summary!G:G, fact_batting_summary!E:E, fact_batting_summary!E1150)</f>
        <v>72</v>
      </c>
      <c r="B1150" s="9">
        <f>AVERAGEIFS(fact_batting_summary!G:G, fact_batting_summary!E:E,fact_batting_summary!E1150)</f>
        <v>5.1428571428571432</v>
      </c>
      <c r="C1150">
        <v>9</v>
      </c>
    </row>
    <row r="1151" spans="1:3" x14ac:dyDescent="0.45">
      <c r="A1151">
        <f>SUMIFS(fact_batting_summary!G:G, fact_batting_summary!E:E, fact_batting_summary!E1151)</f>
        <v>51</v>
      </c>
      <c r="B1151" s="9">
        <f>AVERAGEIFS(fact_batting_summary!G:G, fact_batting_summary!E:E,fact_batting_summary!E1151)</f>
        <v>4.6363636363636367</v>
      </c>
      <c r="C1151">
        <v>10</v>
      </c>
    </row>
    <row r="1152" spans="1:3" x14ac:dyDescent="0.45">
      <c r="A1152">
        <f>SUMIFS(fact_batting_summary!G:G, fact_batting_summary!E:E, fact_batting_summary!E1152)</f>
        <v>19</v>
      </c>
      <c r="B1152" s="9">
        <f>AVERAGEIFS(fact_batting_summary!G:G, fact_batting_summary!E:E,fact_batting_summary!E1152)</f>
        <v>3.1666666666666665</v>
      </c>
      <c r="C1152">
        <v>11</v>
      </c>
    </row>
    <row r="1153" spans="1:3" x14ac:dyDescent="0.45">
      <c r="A1153">
        <f>SUMIFS(fact_batting_summary!G:G, fact_batting_summary!E:E, fact_batting_summary!E1153)</f>
        <v>1593</v>
      </c>
      <c r="B1153" s="9">
        <f>AVERAGEIFS(fact_batting_summary!G:G, fact_batting_summary!E:E,fact_batting_summary!E1153)</f>
        <v>35.4</v>
      </c>
      <c r="C1153">
        <v>1</v>
      </c>
    </row>
    <row r="1154" spans="1:3" x14ac:dyDescent="0.45">
      <c r="A1154">
        <f>SUMIFS(fact_batting_summary!G:G, fact_batting_summary!E:E, fact_batting_summary!E1154)</f>
        <v>924</v>
      </c>
      <c r="B1154" s="9">
        <f>AVERAGEIFS(fact_batting_summary!G:G, fact_batting_summary!E:E,fact_batting_summary!E1154)</f>
        <v>42</v>
      </c>
      <c r="C1154">
        <v>2</v>
      </c>
    </row>
    <row r="1155" spans="1:3" x14ac:dyDescent="0.45">
      <c r="A1155">
        <f>SUMIFS(fact_batting_summary!G:G, fact_batting_summary!E:E, fact_batting_summary!E1155)</f>
        <v>725</v>
      </c>
      <c r="B1155" s="9">
        <f>AVERAGEIFS(fact_batting_summary!G:G, fact_batting_summary!E:E,fact_batting_summary!E1155)</f>
        <v>20.714285714285715</v>
      </c>
      <c r="C1155">
        <v>3</v>
      </c>
    </row>
    <row r="1156" spans="1:3" x14ac:dyDescent="0.45">
      <c r="A1156">
        <f>SUMIFS(fact_batting_summary!G:G, fact_batting_summary!E:E, fact_batting_summary!E1156)</f>
        <v>345</v>
      </c>
      <c r="B1156" s="9">
        <f>AVERAGEIFS(fact_batting_summary!G:G, fact_batting_summary!E:E,fact_batting_summary!E1156)</f>
        <v>23</v>
      </c>
      <c r="C1156">
        <v>4</v>
      </c>
    </row>
    <row r="1157" spans="1:3" x14ac:dyDescent="0.45">
      <c r="A1157">
        <f>SUMIFS(fact_batting_summary!G:G, fact_batting_summary!E:E, fact_batting_summary!E1157)</f>
        <v>689</v>
      </c>
      <c r="B1157" s="9">
        <f>AVERAGEIFS(fact_batting_summary!G:G, fact_batting_summary!E:E,fact_batting_summary!E1157)</f>
        <v>19.138888888888889</v>
      </c>
      <c r="C1157">
        <v>5</v>
      </c>
    </row>
    <row r="1158" spans="1:3" x14ac:dyDescent="0.45">
      <c r="A1158">
        <f>SUMIFS(fact_batting_summary!G:G, fact_batting_summary!E:E, fact_batting_summary!E1158)</f>
        <v>450</v>
      </c>
      <c r="B1158" s="9">
        <f>AVERAGEIFS(fact_batting_summary!G:G, fact_batting_summary!E:E,fact_batting_summary!E1158)</f>
        <v>12.5</v>
      </c>
      <c r="C1158">
        <v>6</v>
      </c>
    </row>
    <row r="1159" spans="1:3" x14ac:dyDescent="0.45">
      <c r="A1159">
        <f>SUMIFS(fact_batting_summary!G:G, fact_batting_summary!E:E, fact_batting_summary!E1159)</f>
        <v>937</v>
      </c>
      <c r="B1159" s="9">
        <f>AVERAGEIFS(fact_batting_summary!G:G, fact_batting_summary!E:E,fact_batting_summary!E1159)</f>
        <v>27.558823529411764</v>
      </c>
      <c r="C1159">
        <v>7</v>
      </c>
    </row>
    <row r="1160" spans="1:3" x14ac:dyDescent="0.45">
      <c r="A1160">
        <f>SUMIFS(fact_batting_summary!G:G, fact_batting_summary!E:E, fact_batting_summary!E1160)</f>
        <v>70</v>
      </c>
      <c r="B1160" s="9">
        <f>AVERAGEIFS(fact_batting_summary!G:G, fact_batting_summary!E:E,fact_batting_summary!E1160)</f>
        <v>7.7777777777777777</v>
      </c>
      <c r="C1160">
        <v>8</v>
      </c>
    </row>
    <row r="1161" spans="1:3" x14ac:dyDescent="0.45">
      <c r="A1161">
        <f>SUMIFS(fact_batting_summary!G:G, fact_batting_summary!E:E, fact_batting_summary!E1161)</f>
        <v>7</v>
      </c>
      <c r="B1161" s="9">
        <f>AVERAGEIFS(fact_batting_summary!G:G, fact_batting_summary!E:E,fact_batting_summary!E1161)</f>
        <v>2.3333333333333335</v>
      </c>
      <c r="C1161">
        <v>9</v>
      </c>
    </row>
    <row r="1162" spans="1:3" x14ac:dyDescent="0.45">
      <c r="A1162">
        <f>SUMIFS(fact_batting_summary!G:G, fact_batting_summary!E:E, fact_batting_summary!E1162)</f>
        <v>7</v>
      </c>
      <c r="B1162" s="9">
        <f>AVERAGEIFS(fact_batting_summary!G:G, fact_batting_summary!E:E,fact_batting_summary!E1162)</f>
        <v>3.5</v>
      </c>
      <c r="C1162">
        <v>10</v>
      </c>
    </row>
    <row r="1163" spans="1:3" x14ac:dyDescent="0.45">
      <c r="A1163">
        <f>SUMIFS(fact_batting_summary!G:G, fact_batting_summary!E:E, fact_batting_summary!E1163)</f>
        <v>6</v>
      </c>
      <c r="B1163" s="9">
        <f>AVERAGEIFS(fact_batting_summary!G:G, fact_batting_summary!E:E,fact_batting_summary!E1163)</f>
        <v>3</v>
      </c>
      <c r="C1163">
        <v>11</v>
      </c>
    </row>
    <row r="1164" spans="1:3" x14ac:dyDescent="0.45">
      <c r="A1164">
        <f>SUMIFS(fact_batting_summary!G:G, fact_batting_summary!E:E, fact_batting_summary!E1164)</f>
        <v>1113</v>
      </c>
      <c r="B1164" s="9">
        <f>AVERAGEIFS(fact_batting_summary!G:G, fact_batting_summary!E:E,fact_batting_summary!E1164)</f>
        <v>28.53846153846154</v>
      </c>
      <c r="C1164">
        <v>1</v>
      </c>
    </row>
    <row r="1165" spans="1:3" x14ac:dyDescent="0.45">
      <c r="A1165">
        <f>SUMIFS(fact_batting_summary!G:G, fact_batting_summary!E:E, fact_batting_summary!E1165)</f>
        <v>981</v>
      </c>
      <c r="B1165" s="9">
        <f>AVERAGEIFS(fact_batting_summary!G:G, fact_batting_summary!E:E,fact_batting_summary!E1165)</f>
        <v>22.813953488372093</v>
      </c>
      <c r="C1165">
        <v>2</v>
      </c>
    </row>
    <row r="1166" spans="1:3" x14ac:dyDescent="0.45">
      <c r="A1166">
        <f>SUMIFS(fact_batting_summary!G:G, fact_batting_summary!E:E, fact_batting_summary!E1166)</f>
        <v>44</v>
      </c>
      <c r="B1166" s="9">
        <f>AVERAGEIFS(fact_batting_summary!G:G, fact_batting_summary!E:E,fact_batting_summary!E1166)</f>
        <v>3.6666666666666665</v>
      </c>
      <c r="C1166">
        <v>3</v>
      </c>
    </row>
    <row r="1167" spans="1:3" x14ac:dyDescent="0.45">
      <c r="A1167">
        <f>SUMIFS(fact_batting_summary!G:G, fact_batting_summary!E:E, fact_batting_summary!E1167)</f>
        <v>740</v>
      </c>
      <c r="B1167" s="9">
        <f>AVERAGEIFS(fact_batting_summary!G:G, fact_batting_summary!E:E,fact_batting_summary!E1167)</f>
        <v>29.6</v>
      </c>
      <c r="C1167">
        <v>4</v>
      </c>
    </row>
    <row r="1168" spans="1:3" x14ac:dyDescent="0.45">
      <c r="A1168">
        <f>SUMIFS(fact_batting_summary!G:G, fact_batting_summary!E:E, fact_batting_summary!E1168)</f>
        <v>27</v>
      </c>
      <c r="B1168" s="9">
        <f>AVERAGEIFS(fact_batting_summary!G:G, fact_batting_summary!E:E,fact_batting_summary!E1168)</f>
        <v>6.75</v>
      </c>
      <c r="C1168">
        <v>5</v>
      </c>
    </row>
    <row r="1169" spans="1:3" x14ac:dyDescent="0.45">
      <c r="A1169">
        <f>SUMIFS(fact_batting_summary!G:G, fact_batting_summary!E:E, fact_batting_summary!E1169)</f>
        <v>66</v>
      </c>
      <c r="B1169" s="9">
        <f>AVERAGEIFS(fact_batting_summary!G:G, fact_batting_summary!E:E,fact_batting_summary!E1169)</f>
        <v>11</v>
      </c>
      <c r="C1169">
        <v>6</v>
      </c>
    </row>
    <row r="1170" spans="1:3" x14ac:dyDescent="0.45">
      <c r="A1170">
        <f>SUMIFS(fact_batting_summary!G:G, fact_batting_summary!E:E, fact_batting_summary!E1170)</f>
        <v>418</v>
      </c>
      <c r="B1170" s="9">
        <f>AVERAGEIFS(fact_batting_summary!G:G, fact_batting_summary!E:E,fact_batting_summary!E1170)</f>
        <v>17.416666666666668</v>
      </c>
      <c r="C1170">
        <v>7</v>
      </c>
    </row>
    <row r="1171" spans="1:3" x14ac:dyDescent="0.45">
      <c r="A1171">
        <f>SUMIFS(fact_batting_summary!G:G, fact_batting_summary!E:E, fact_batting_summary!E1171)</f>
        <v>1132</v>
      </c>
      <c r="B1171" s="9">
        <f>AVERAGEIFS(fact_batting_summary!G:G, fact_batting_summary!E:E,fact_batting_summary!E1171)</f>
        <v>33.294117647058826</v>
      </c>
      <c r="C1171">
        <v>1</v>
      </c>
    </row>
    <row r="1172" spans="1:3" x14ac:dyDescent="0.45">
      <c r="A1172">
        <f>SUMIFS(fact_batting_summary!G:G, fact_batting_summary!E:E, fact_batting_summary!E1172)</f>
        <v>1509</v>
      </c>
      <c r="B1172" s="9">
        <f>AVERAGEIFS(fact_batting_summary!G:G, fact_batting_summary!E:E,fact_batting_summary!E1172)</f>
        <v>39.710526315789473</v>
      </c>
      <c r="C1172">
        <v>2</v>
      </c>
    </row>
    <row r="1173" spans="1:3" x14ac:dyDescent="0.45">
      <c r="A1173">
        <f>SUMIFS(fact_batting_summary!G:G, fact_batting_summary!E:E, fact_batting_summary!E1173)</f>
        <v>302</v>
      </c>
      <c r="B1173" s="9">
        <f>AVERAGEIFS(fact_batting_summary!G:G, fact_batting_summary!E:E,fact_batting_summary!E1173)</f>
        <v>11.185185185185185</v>
      </c>
      <c r="C1173">
        <v>3</v>
      </c>
    </row>
    <row r="1174" spans="1:3" x14ac:dyDescent="0.45">
      <c r="A1174">
        <f>SUMIFS(fact_batting_summary!G:G, fact_batting_summary!E:E, fact_batting_summary!E1174)</f>
        <v>1048</v>
      </c>
      <c r="B1174" s="9">
        <f>AVERAGEIFS(fact_batting_summary!G:G, fact_batting_summary!E:E,fact_batting_summary!E1174)</f>
        <v>24.952380952380953</v>
      </c>
      <c r="C1174">
        <v>4</v>
      </c>
    </row>
    <row r="1175" spans="1:3" x14ac:dyDescent="0.45">
      <c r="A1175">
        <f>SUMIFS(fact_batting_summary!G:G, fact_batting_summary!E:E, fact_batting_summary!E1175)</f>
        <v>1304</v>
      </c>
      <c r="B1175" s="9">
        <f>AVERAGEIFS(fact_batting_summary!G:G, fact_batting_summary!E:E,fact_batting_summary!E1175)</f>
        <v>28.977777777777778</v>
      </c>
      <c r="C1175">
        <v>5</v>
      </c>
    </row>
    <row r="1176" spans="1:3" x14ac:dyDescent="0.45">
      <c r="A1176">
        <f>SUMIFS(fact_batting_summary!G:G, fact_batting_summary!E:E, fact_batting_summary!E1176)</f>
        <v>354</v>
      </c>
      <c r="B1176" s="9">
        <f>AVERAGEIFS(fact_batting_summary!G:G, fact_batting_summary!E:E,fact_batting_summary!E1176)</f>
        <v>11.419354838709678</v>
      </c>
      <c r="C1176">
        <v>6</v>
      </c>
    </row>
    <row r="1177" spans="1:3" x14ac:dyDescent="0.45">
      <c r="A1177">
        <f>SUMIFS(fact_batting_summary!G:G, fact_batting_summary!E:E, fact_batting_summary!E1177)</f>
        <v>22</v>
      </c>
      <c r="B1177" s="9">
        <f>AVERAGEIFS(fact_batting_summary!G:G, fact_batting_summary!E:E,fact_batting_summary!E1177)</f>
        <v>7.333333333333333</v>
      </c>
      <c r="C1177">
        <v>7</v>
      </c>
    </row>
    <row r="1178" spans="1:3" x14ac:dyDescent="0.45">
      <c r="A1178">
        <f>SUMIFS(fact_batting_summary!G:G, fact_batting_summary!E:E, fact_batting_summary!E1178)</f>
        <v>57</v>
      </c>
      <c r="B1178" s="9">
        <f>AVERAGEIFS(fact_batting_summary!G:G, fact_batting_summary!E:E,fact_batting_summary!E1178)</f>
        <v>3.5625</v>
      </c>
      <c r="C1178">
        <v>8</v>
      </c>
    </row>
    <row r="1179" spans="1:3" x14ac:dyDescent="0.45">
      <c r="A1179">
        <f>SUMIFS(fact_batting_summary!G:G, fact_batting_summary!E:E, fact_batting_summary!E1179)</f>
        <v>199</v>
      </c>
      <c r="B1179" s="9">
        <f>AVERAGEIFS(fact_batting_summary!G:G, fact_batting_summary!E:E,fact_batting_summary!E1179)</f>
        <v>22.111111111111111</v>
      </c>
      <c r="C1179">
        <v>1</v>
      </c>
    </row>
    <row r="1180" spans="1:3" x14ac:dyDescent="0.45">
      <c r="A1180">
        <f>SUMIFS(fact_batting_summary!G:G, fact_batting_summary!E:E, fact_batting_summary!E1180)</f>
        <v>1137</v>
      </c>
      <c r="B1180" s="9">
        <f>AVERAGEIFS(fact_batting_summary!G:G, fact_batting_summary!E:E,fact_batting_summary!E1180)</f>
        <v>34.454545454545453</v>
      </c>
      <c r="C1180">
        <v>2</v>
      </c>
    </row>
    <row r="1181" spans="1:3" x14ac:dyDescent="0.45">
      <c r="A1181">
        <f>SUMIFS(fact_batting_summary!G:G, fact_batting_summary!E:E, fact_batting_summary!E1181)</f>
        <v>379</v>
      </c>
      <c r="B1181" s="9">
        <f>AVERAGEIFS(fact_batting_summary!G:G, fact_batting_summary!E:E,fact_batting_summary!E1181)</f>
        <v>22.294117647058822</v>
      </c>
      <c r="C1181">
        <v>3</v>
      </c>
    </row>
    <row r="1182" spans="1:3" x14ac:dyDescent="0.45">
      <c r="A1182">
        <f>SUMIFS(fact_batting_summary!G:G, fact_batting_summary!E:E, fact_batting_summary!E1182)</f>
        <v>722</v>
      </c>
      <c r="B1182" s="9">
        <f>AVERAGEIFS(fact_batting_summary!G:G, fact_batting_summary!E:E,fact_batting_summary!E1182)</f>
        <v>25.785714285714285</v>
      </c>
      <c r="C1182">
        <v>4</v>
      </c>
    </row>
    <row r="1183" spans="1:3" x14ac:dyDescent="0.45">
      <c r="A1183">
        <f>SUMIFS(fact_batting_summary!G:G, fact_batting_summary!E:E, fact_batting_summary!E1183)</f>
        <v>819</v>
      </c>
      <c r="B1183" s="9">
        <f>AVERAGEIFS(fact_batting_summary!G:G, fact_batting_summary!E:E,fact_batting_summary!E1183)</f>
        <v>22.135135135135137</v>
      </c>
      <c r="C1183">
        <v>1</v>
      </c>
    </row>
    <row r="1184" spans="1:3" x14ac:dyDescent="0.45">
      <c r="A1184">
        <f>SUMIFS(fact_batting_summary!G:G, fact_batting_summary!E:E, fact_batting_summary!E1184)</f>
        <v>1851</v>
      </c>
      <c r="B1184" s="9">
        <f>AVERAGEIFS(fact_batting_summary!G:G, fact_batting_summary!E:E,fact_batting_summary!E1184)</f>
        <v>37.020000000000003</v>
      </c>
      <c r="C1184">
        <v>2</v>
      </c>
    </row>
    <row r="1185" spans="1:3" x14ac:dyDescent="0.45">
      <c r="A1185">
        <f>SUMIFS(fact_batting_summary!G:G, fact_batting_summary!E:E, fact_batting_summary!E1185)</f>
        <v>157</v>
      </c>
      <c r="B1185" s="9">
        <f>AVERAGEIFS(fact_batting_summary!G:G, fact_batting_summary!E:E,fact_batting_summary!E1185)</f>
        <v>15.7</v>
      </c>
      <c r="C1185">
        <v>3</v>
      </c>
    </row>
    <row r="1186" spans="1:3" x14ac:dyDescent="0.45">
      <c r="A1186">
        <f>SUMIFS(fact_batting_summary!G:G, fact_batting_summary!E:E, fact_batting_summary!E1186)</f>
        <v>960</v>
      </c>
      <c r="B1186" s="9">
        <f>AVERAGEIFS(fact_batting_summary!G:G, fact_batting_summary!E:E,fact_batting_summary!E1186)</f>
        <v>23.414634146341463</v>
      </c>
      <c r="C1186">
        <v>4</v>
      </c>
    </row>
    <row r="1187" spans="1:3" x14ac:dyDescent="0.45">
      <c r="A1187">
        <f>SUMIFS(fact_batting_summary!G:G, fact_batting_summary!E:E, fact_batting_summary!E1187)</f>
        <v>864</v>
      </c>
      <c r="B1187" s="9">
        <f>AVERAGEIFS(fact_batting_summary!G:G, fact_batting_summary!E:E,fact_batting_summary!E1187)</f>
        <v>23.351351351351351</v>
      </c>
      <c r="C1187">
        <v>5</v>
      </c>
    </row>
    <row r="1188" spans="1:3" x14ac:dyDescent="0.45">
      <c r="A1188">
        <f>SUMIFS(fact_batting_summary!G:G, fact_batting_summary!E:E, fact_batting_summary!E1188)</f>
        <v>459</v>
      </c>
      <c r="B1188" s="9">
        <f>AVERAGEIFS(fact_batting_summary!G:G, fact_batting_summary!E:E,fact_batting_summary!E1188)</f>
        <v>13.909090909090908</v>
      </c>
      <c r="C1188">
        <v>6</v>
      </c>
    </row>
    <row r="1189" spans="1:3" x14ac:dyDescent="0.45">
      <c r="A1189">
        <f>SUMIFS(fact_batting_summary!G:G, fact_batting_summary!E:E, fact_batting_summary!E1189)</f>
        <v>948</v>
      </c>
      <c r="B1189" s="9">
        <f>AVERAGEIFS(fact_batting_summary!G:G, fact_batting_summary!E:E,fact_batting_summary!E1189)</f>
        <v>31.6</v>
      </c>
      <c r="C1189">
        <v>1</v>
      </c>
    </row>
    <row r="1190" spans="1:3" x14ac:dyDescent="0.45">
      <c r="A1190">
        <f>SUMIFS(fact_batting_summary!G:G, fact_batting_summary!E:E, fact_batting_summary!E1190)</f>
        <v>1516</v>
      </c>
      <c r="B1190" s="9">
        <f>AVERAGEIFS(fact_batting_summary!G:G, fact_batting_summary!E:E,fact_batting_summary!E1190)</f>
        <v>40.972972972972975</v>
      </c>
      <c r="C1190">
        <v>2</v>
      </c>
    </row>
    <row r="1191" spans="1:3" x14ac:dyDescent="0.45">
      <c r="A1191">
        <f>SUMIFS(fact_batting_summary!G:G, fact_batting_summary!E:E, fact_batting_summary!E1191)</f>
        <v>695</v>
      </c>
      <c r="B1191" s="9">
        <f>AVERAGEIFS(fact_batting_summary!G:G, fact_batting_summary!E:E,fact_batting_summary!E1191)</f>
        <v>18.783783783783782</v>
      </c>
      <c r="C1191">
        <v>3</v>
      </c>
    </row>
    <row r="1192" spans="1:3" x14ac:dyDescent="0.45">
      <c r="A1192">
        <f>SUMIFS(fact_batting_summary!G:G, fact_batting_summary!E:E, fact_batting_summary!E1192)</f>
        <v>7</v>
      </c>
      <c r="B1192" s="9">
        <f>AVERAGEIFS(fact_batting_summary!G:G, fact_batting_summary!E:E,fact_batting_summary!E1192)</f>
        <v>3.5</v>
      </c>
      <c r="C1192">
        <v>4</v>
      </c>
    </row>
    <row r="1193" spans="1:3" x14ac:dyDescent="0.45">
      <c r="A1193">
        <f>SUMIFS(fact_batting_summary!G:G, fact_batting_summary!E:E, fact_batting_summary!E1193)</f>
        <v>514</v>
      </c>
      <c r="B1193" s="9">
        <f>AVERAGEIFS(fact_batting_summary!G:G, fact_batting_summary!E:E,fact_batting_summary!E1193)</f>
        <v>13.526315789473685</v>
      </c>
      <c r="C1193">
        <v>5</v>
      </c>
    </row>
    <row r="1194" spans="1:3" x14ac:dyDescent="0.45">
      <c r="A1194">
        <f>SUMIFS(fact_batting_summary!G:G, fact_batting_summary!E:E, fact_batting_summary!E1194)</f>
        <v>340</v>
      </c>
      <c r="B1194" s="9">
        <f>AVERAGEIFS(fact_batting_summary!G:G, fact_batting_summary!E:E,fact_batting_summary!E1194)</f>
        <v>15.454545454545455</v>
      </c>
      <c r="C1194">
        <v>6</v>
      </c>
    </row>
    <row r="1195" spans="1:3" x14ac:dyDescent="0.45">
      <c r="A1195">
        <f>SUMIFS(fact_batting_summary!G:G, fact_batting_summary!E:E, fact_batting_summary!E1195)</f>
        <v>645</v>
      </c>
      <c r="B1195" s="9">
        <f>AVERAGEIFS(fact_batting_summary!G:G, fact_batting_summary!E:E,fact_batting_summary!E1195)</f>
        <v>21.5</v>
      </c>
      <c r="C1195">
        <v>7</v>
      </c>
    </row>
    <row r="1196" spans="1:3" x14ac:dyDescent="0.45">
      <c r="A1196">
        <f>SUMIFS(fact_batting_summary!G:G, fact_batting_summary!E:E, fact_batting_summary!E1196)</f>
        <v>155</v>
      </c>
      <c r="B1196" s="9">
        <f>AVERAGEIFS(fact_batting_summary!G:G, fact_batting_summary!E:E,fact_batting_summary!E1196)</f>
        <v>8.6111111111111107</v>
      </c>
      <c r="C1196">
        <v>8</v>
      </c>
    </row>
    <row r="1197" spans="1:3" x14ac:dyDescent="0.45">
      <c r="A1197">
        <f>SUMIFS(fact_batting_summary!G:G, fact_batting_summary!E:E, fact_batting_summary!E1197)</f>
        <v>23</v>
      </c>
      <c r="B1197" s="9">
        <f>AVERAGEIFS(fact_batting_summary!G:G, fact_batting_summary!E:E,fact_batting_summary!E1197)</f>
        <v>5.75</v>
      </c>
      <c r="C1197">
        <v>9</v>
      </c>
    </row>
    <row r="1198" spans="1:3" x14ac:dyDescent="0.45">
      <c r="A1198">
        <f>SUMIFS(fact_batting_summary!G:G, fact_batting_summary!E:E, fact_batting_summary!E1198)</f>
        <v>43</v>
      </c>
      <c r="B1198" s="9">
        <f>AVERAGEIFS(fact_batting_summary!G:G, fact_batting_summary!E:E,fact_batting_summary!E1198)</f>
        <v>5.375</v>
      </c>
      <c r="C1198">
        <v>10</v>
      </c>
    </row>
    <row r="1199" spans="1:3" x14ac:dyDescent="0.45">
      <c r="A1199">
        <f>SUMIFS(fact_batting_summary!G:G, fact_batting_summary!E:E, fact_batting_summary!E1199)</f>
        <v>27</v>
      </c>
      <c r="B1199" s="9">
        <f>AVERAGEIFS(fact_batting_summary!G:G, fact_batting_summary!E:E,fact_batting_summary!E1199)</f>
        <v>4.5</v>
      </c>
      <c r="C1199">
        <v>11</v>
      </c>
    </row>
    <row r="1200" spans="1:3" x14ac:dyDescent="0.45">
      <c r="A1200">
        <f>SUMIFS(fact_batting_summary!G:G, fact_batting_summary!E:E, fact_batting_summary!E1200)</f>
        <v>956</v>
      </c>
      <c r="B1200" s="9">
        <f>AVERAGEIFS(fact_batting_summary!G:G, fact_batting_summary!E:E,fact_batting_summary!E1200)</f>
        <v>26.555555555555557</v>
      </c>
      <c r="C1200">
        <v>1</v>
      </c>
    </row>
    <row r="1201" spans="1:3" x14ac:dyDescent="0.45">
      <c r="A1201">
        <f>SUMIFS(fact_batting_summary!G:G, fact_batting_summary!E:E, fact_batting_summary!E1201)</f>
        <v>467</v>
      </c>
      <c r="B1201" s="9">
        <f>AVERAGEIFS(fact_batting_summary!G:G, fact_batting_summary!E:E,fact_batting_summary!E1201)</f>
        <v>24.578947368421051</v>
      </c>
      <c r="C1201">
        <v>2</v>
      </c>
    </row>
    <row r="1202" spans="1:3" x14ac:dyDescent="0.45">
      <c r="A1202">
        <f>SUMIFS(fact_batting_summary!G:G, fact_batting_summary!E:E, fact_batting_summary!E1202)</f>
        <v>1157</v>
      </c>
      <c r="B1202" s="9">
        <f>AVERAGEIFS(fact_batting_summary!G:G, fact_batting_summary!E:E,fact_batting_summary!E1202)</f>
        <v>26.295454545454547</v>
      </c>
      <c r="C1202">
        <v>3</v>
      </c>
    </row>
    <row r="1203" spans="1:3" x14ac:dyDescent="0.45">
      <c r="A1203">
        <f>SUMIFS(fact_batting_summary!G:G, fact_batting_summary!E:E, fact_batting_summary!E1203)</f>
        <v>576</v>
      </c>
      <c r="B1203" s="9">
        <f>AVERAGEIFS(fact_batting_summary!G:G, fact_batting_summary!E:E,fact_batting_summary!E1203)</f>
        <v>26.181818181818183</v>
      </c>
      <c r="C1203">
        <v>4</v>
      </c>
    </row>
    <row r="1204" spans="1:3" x14ac:dyDescent="0.45">
      <c r="A1204">
        <f>SUMIFS(fact_batting_summary!G:G, fact_batting_summary!E:E, fact_batting_summary!E1204)</f>
        <v>745</v>
      </c>
      <c r="B1204" s="9">
        <f>AVERAGEIFS(fact_batting_summary!G:G, fact_batting_summary!E:E,fact_batting_summary!E1204)</f>
        <v>21.285714285714285</v>
      </c>
      <c r="C1204">
        <v>5</v>
      </c>
    </row>
    <row r="1205" spans="1:3" x14ac:dyDescent="0.45">
      <c r="A1205">
        <f>SUMIFS(fact_batting_summary!G:G, fact_batting_summary!E:E, fact_batting_summary!E1205)</f>
        <v>648</v>
      </c>
      <c r="B1205" s="9">
        <f>AVERAGEIFS(fact_batting_summary!G:G, fact_batting_summary!E:E,fact_batting_summary!E1205)</f>
        <v>30.857142857142858</v>
      </c>
      <c r="C1205">
        <v>6</v>
      </c>
    </row>
    <row r="1206" spans="1:3" x14ac:dyDescent="0.45">
      <c r="A1206">
        <f>SUMIFS(fact_batting_summary!G:G, fact_batting_summary!E:E, fact_batting_summary!E1206)</f>
        <v>23</v>
      </c>
      <c r="B1206" s="9">
        <f>AVERAGEIFS(fact_batting_summary!G:G, fact_batting_summary!E:E,fact_batting_summary!E1206)</f>
        <v>4.5999999999999996</v>
      </c>
      <c r="C1206">
        <v>7</v>
      </c>
    </row>
    <row r="1207" spans="1:3" x14ac:dyDescent="0.45">
      <c r="A1207">
        <f>SUMIFS(fact_batting_summary!G:G, fact_batting_summary!E:E, fact_batting_summary!E1207)</f>
        <v>156</v>
      </c>
      <c r="B1207" s="9">
        <f>AVERAGEIFS(fact_batting_summary!G:G, fact_batting_summary!E:E,fact_batting_summary!E1207)</f>
        <v>15.6</v>
      </c>
      <c r="C1207">
        <v>8</v>
      </c>
    </row>
    <row r="1208" spans="1:3" x14ac:dyDescent="0.45">
      <c r="A1208">
        <f>SUMIFS(fact_batting_summary!G:G, fact_batting_summary!E:E, fact_batting_summary!E1208)</f>
        <v>154</v>
      </c>
      <c r="B1208" s="9">
        <f>AVERAGEIFS(fact_batting_summary!G:G, fact_batting_summary!E:E,fact_batting_summary!E1208)</f>
        <v>5.1333333333333337</v>
      </c>
      <c r="C1208">
        <v>9</v>
      </c>
    </row>
    <row r="1209" spans="1:3" x14ac:dyDescent="0.45">
      <c r="A1209">
        <f>SUMIFS(fact_batting_summary!G:G, fact_batting_summary!E:E, fact_batting_summary!E1209)</f>
        <v>5</v>
      </c>
      <c r="B1209" s="9">
        <f>AVERAGEIFS(fact_batting_summary!G:G, fact_batting_summary!E:E,fact_batting_summary!E1209)</f>
        <v>0.83333333333333337</v>
      </c>
      <c r="C1209">
        <v>10</v>
      </c>
    </row>
    <row r="1210" spans="1:3" x14ac:dyDescent="0.45">
      <c r="A1210">
        <f>SUMIFS(fact_batting_summary!G:G, fact_batting_summary!E:E, fact_batting_summary!E1210)</f>
        <v>15</v>
      </c>
      <c r="B1210" s="9">
        <f>AVERAGEIFS(fact_batting_summary!G:G, fact_batting_summary!E:E,fact_batting_summary!E1210)</f>
        <v>1.6666666666666667</v>
      </c>
      <c r="C1210">
        <v>11</v>
      </c>
    </row>
    <row r="1211" spans="1:3" x14ac:dyDescent="0.45">
      <c r="A1211">
        <f>SUMIFS(fact_batting_summary!G:G, fact_batting_summary!E:E, fact_batting_summary!E1211)</f>
        <v>981</v>
      </c>
      <c r="B1211" s="9">
        <f>AVERAGEIFS(fact_batting_summary!G:G, fact_batting_summary!E:E,fact_batting_summary!E1211)</f>
        <v>22.813953488372093</v>
      </c>
      <c r="C1211">
        <v>1</v>
      </c>
    </row>
    <row r="1212" spans="1:3" x14ac:dyDescent="0.45">
      <c r="A1212">
        <f>SUMIFS(fact_batting_summary!G:G, fact_batting_summary!E:E, fact_batting_summary!E1212)</f>
        <v>1113</v>
      </c>
      <c r="B1212" s="9">
        <f>AVERAGEIFS(fact_batting_summary!G:G, fact_batting_summary!E:E,fact_batting_summary!E1212)</f>
        <v>28.53846153846154</v>
      </c>
      <c r="C1212">
        <v>2</v>
      </c>
    </row>
    <row r="1213" spans="1:3" x14ac:dyDescent="0.45">
      <c r="A1213">
        <f>SUMIFS(fact_batting_summary!G:G, fact_batting_summary!E:E, fact_batting_summary!E1213)</f>
        <v>740</v>
      </c>
      <c r="B1213" s="9">
        <f>AVERAGEIFS(fact_batting_summary!G:G, fact_batting_summary!E:E,fact_batting_summary!E1213)</f>
        <v>29.6</v>
      </c>
      <c r="C1213">
        <v>3</v>
      </c>
    </row>
    <row r="1214" spans="1:3" x14ac:dyDescent="0.45">
      <c r="A1214">
        <f>SUMIFS(fact_batting_summary!G:G, fact_batting_summary!E:E, fact_batting_summary!E1214)</f>
        <v>45</v>
      </c>
      <c r="B1214" s="9">
        <f>AVERAGEIFS(fact_batting_summary!G:G, fact_batting_summary!E:E,fact_batting_summary!E1214)</f>
        <v>11.25</v>
      </c>
      <c r="C1214">
        <v>4</v>
      </c>
    </row>
    <row r="1215" spans="1:3" x14ac:dyDescent="0.45">
      <c r="A1215">
        <f>SUMIFS(fact_batting_summary!G:G, fact_batting_summary!E:E, fact_batting_summary!E1215)</f>
        <v>418</v>
      </c>
      <c r="B1215" s="9">
        <f>AVERAGEIFS(fact_batting_summary!G:G, fact_batting_summary!E:E,fact_batting_summary!E1215)</f>
        <v>17.416666666666668</v>
      </c>
      <c r="C1215">
        <v>5</v>
      </c>
    </row>
    <row r="1216" spans="1:3" x14ac:dyDescent="0.45">
      <c r="A1216">
        <f>SUMIFS(fact_batting_summary!G:G, fact_batting_summary!E:E, fact_batting_summary!E1216)</f>
        <v>389</v>
      </c>
      <c r="B1216" s="9">
        <f>AVERAGEIFS(fact_batting_summary!G:G, fact_batting_summary!E:E,fact_batting_summary!E1216)</f>
        <v>16.208333333333332</v>
      </c>
      <c r="C1216">
        <v>6</v>
      </c>
    </row>
    <row r="1217" spans="1:3" x14ac:dyDescent="0.45">
      <c r="A1217">
        <f>SUMIFS(fact_batting_summary!G:G, fact_batting_summary!E:E, fact_batting_summary!E1217)</f>
        <v>44</v>
      </c>
      <c r="B1217" s="9">
        <f>AVERAGEIFS(fact_batting_summary!G:G, fact_batting_summary!E:E,fact_batting_summary!E1217)</f>
        <v>3.6666666666666665</v>
      </c>
      <c r="C1217">
        <v>7</v>
      </c>
    </row>
    <row r="1218" spans="1:3" x14ac:dyDescent="0.45">
      <c r="A1218">
        <f>SUMIFS(fact_batting_summary!G:G, fact_batting_summary!E:E, fact_batting_summary!E1218)</f>
        <v>27</v>
      </c>
      <c r="B1218" s="9">
        <f>AVERAGEIFS(fact_batting_summary!G:G, fact_batting_summary!E:E,fact_batting_summary!E1218)</f>
        <v>3.8571428571428572</v>
      </c>
      <c r="C1218">
        <v>8</v>
      </c>
    </row>
    <row r="1219" spans="1:3" x14ac:dyDescent="0.45">
      <c r="A1219">
        <f>SUMIFS(fact_batting_summary!G:G, fact_batting_summary!E:E, fact_batting_summary!E1219)</f>
        <v>9</v>
      </c>
      <c r="B1219" s="9">
        <f>AVERAGEIFS(fact_batting_summary!G:G, fact_batting_summary!E:E,fact_batting_summary!E1219)</f>
        <v>4.5</v>
      </c>
      <c r="C1219">
        <v>9</v>
      </c>
    </row>
    <row r="1220" spans="1:3" x14ac:dyDescent="0.45">
      <c r="A1220">
        <f>SUMIFS(fact_batting_summary!G:G, fact_batting_summary!E:E, fact_batting_summary!E1220)</f>
        <v>16</v>
      </c>
      <c r="B1220" s="9">
        <f>AVERAGEIFS(fact_batting_summary!G:G, fact_batting_summary!E:E,fact_batting_summary!E1220)</f>
        <v>1.2307692307692308</v>
      </c>
      <c r="C1220">
        <v>10</v>
      </c>
    </row>
    <row r="1221" spans="1:3" x14ac:dyDescent="0.45">
      <c r="A1221">
        <f>SUMIFS(fact_batting_summary!G:G, fact_batting_summary!E:E, fact_batting_summary!E1221)</f>
        <v>0</v>
      </c>
      <c r="B1221" s="9">
        <f>AVERAGEIFS(fact_batting_summary!G:G, fact_batting_summary!E:E,fact_batting_summary!E1221)</f>
        <v>0</v>
      </c>
      <c r="C1221">
        <v>11</v>
      </c>
    </row>
    <row r="1222" spans="1:3" x14ac:dyDescent="0.45">
      <c r="A1222">
        <f>SUMIFS(fact_batting_summary!G:G, fact_batting_summary!E:E, fact_batting_summary!E1222)</f>
        <v>1593</v>
      </c>
      <c r="B1222" s="9">
        <f>AVERAGEIFS(fact_batting_summary!G:G, fact_batting_summary!E:E,fact_batting_summary!E1222)</f>
        <v>35.4</v>
      </c>
      <c r="C1222">
        <v>1</v>
      </c>
    </row>
    <row r="1223" spans="1:3" x14ac:dyDescent="0.45">
      <c r="A1223">
        <f>SUMIFS(fact_batting_summary!G:G, fact_batting_summary!E:E, fact_batting_summary!E1223)</f>
        <v>924</v>
      </c>
      <c r="B1223" s="9">
        <f>AVERAGEIFS(fact_batting_summary!G:G, fact_batting_summary!E:E,fact_batting_summary!E1223)</f>
        <v>42</v>
      </c>
      <c r="C1223">
        <v>2</v>
      </c>
    </row>
    <row r="1224" spans="1:3" x14ac:dyDescent="0.45">
      <c r="A1224">
        <f>SUMIFS(fact_batting_summary!G:G, fact_batting_summary!E:E, fact_batting_summary!E1224)</f>
        <v>937</v>
      </c>
      <c r="B1224" s="9">
        <f>AVERAGEIFS(fact_batting_summary!G:G, fact_batting_summary!E:E,fact_batting_summary!E1224)</f>
        <v>27.558823529411764</v>
      </c>
      <c r="C1224">
        <v>3</v>
      </c>
    </row>
    <row r="1225" spans="1:3" x14ac:dyDescent="0.45">
      <c r="A1225">
        <f>SUMIFS(fact_batting_summary!G:G, fact_batting_summary!E:E, fact_batting_summary!E1225)</f>
        <v>689</v>
      </c>
      <c r="B1225" s="9">
        <f>AVERAGEIFS(fact_batting_summary!G:G, fact_batting_summary!E:E,fact_batting_summary!E1225)</f>
        <v>19.138888888888889</v>
      </c>
      <c r="C1225">
        <v>4</v>
      </c>
    </row>
    <row r="1226" spans="1:3" x14ac:dyDescent="0.45">
      <c r="A1226">
        <f>SUMIFS(fact_batting_summary!G:G, fact_batting_summary!E:E, fact_batting_summary!E1226)</f>
        <v>450</v>
      </c>
      <c r="B1226" s="9">
        <f>AVERAGEIFS(fact_batting_summary!G:G, fact_batting_summary!E:E,fact_batting_summary!E1226)</f>
        <v>12.5</v>
      </c>
      <c r="C1226">
        <v>5</v>
      </c>
    </row>
    <row r="1227" spans="1:3" x14ac:dyDescent="0.45">
      <c r="A1227">
        <f>SUMIFS(fact_batting_summary!G:G, fact_batting_summary!E:E, fact_batting_summary!E1227)</f>
        <v>725</v>
      </c>
      <c r="B1227" s="9">
        <f>AVERAGEIFS(fact_batting_summary!G:G, fact_batting_summary!E:E,fact_batting_summary!E1227)</f>
        <v>20.714285714285715</v>
      </c>
      <c r="C1227">
        <v>6</v>
      </c>
    </row>
    <row r="1228" spans="1:3" x14ac:dyDescent="0.45">
      <c r="A1228">
        <f>SUMIFS(fact_batting_summary!G:G, fact_batting_summary!E:E, fact_batting_summary!E1228)</f>
        <v>345</v>
      </c>
      <c r="B1228" s="9">
        <f>AVERAGEIFS(fact_batting_summary!G:G, fact_batting_summary!E:E,fact_batting_summary!E1228)</f>
        <v>23</v>
      </c>
      <c r="C1228">
        <v>7</v>
      </c>
    </row>
    <row r="1229" spans="1:3" x14ac:dyDescent="0.45">
      <c r="A1229">
        <f>SUMIFS(fact_batting_summary!G:G, fact_batting_summary!E:E, fact_batting_summary!E1229)</f>
        <v>70</v>
      </c>
      <c r="B1229" s="9">
        <f>AVERAGEIFS(fact_batting_summary!G:G, fact_batting_summary!E:E,fact_batting_summary!E1229)</f>
        <v>7.7777777777777777</v>
      </c>
      <c r="C1229">
        <v>8</v>
      </c>
    </row>
    <row r="1230" spans="1:3" x14ac:dyDescent="0.45">
      <c r="A1230">
        <f>SUMIFS(fact_batting_summary!G:G, fact_batting_summary!E:E, fact_batting_summary!E1230)</f>
        <v>1137</v>
      </c>
      <c r="B1230" s="9">
        <f>AVERAGEIFS(fact_batting_summary!G:G, fact_batting_summary!E:E,fact_batting_summary!E1230)</f>
        <v>34.454545454545453</v>
      </c>
      <c r="C1230">
        <v>1</v>
      </c>
    </row>
    <row r="1231" spans="1:3" x14ac:dyDescent="0.45">
      <c r="A1231">
        <f>SUMIFS(fact_batting_summary!G:G, fact_batting_summary!E:E, fact_batting_summary!E1231)</f>
        <v>199</v>
      </c>
      <c r="B1231" s="9">
        <f>AVERAGEIFS(fact_batting_summary!G:G, fact_batting_summary!E:E,fact_batting_summary!E1231)</f>
        <v>22.111111111111111</v>
      </c>
      <c r="C1231">
        <v>2</v>
      </c>
    </row>
    <row r="1232" spans="1:3" x14ac:dyDescent="0.45">
      <c r="A1232">
        <f>SUMIFS(fact_batting_summary!G:G, fact_batting_summary!E:E, fact_batting_summary!E1232)</f>
        <v>379</v>
      </c>
      <c r="B1232" s="9">
        <f>AVERAGEIFS(fact_batting_summary!G:G, fact_batting_summary!E:E,fact_batting_summary!E1232)</f>
        <v>22.294117647058822</v>
      </c>
      <c r="C1232">
        <v>3</v>
      </c>
    </row>
    <row r="1233" spans="1:3" x14ac:dyDescent="0.45">
      <c r="A1233">
        <f>SUMIFS(fact_batting_summary!G:G, fact_batting_summary!E:E, fact_batting_summary!E1233)</f>
        <v>722</v>
      </c>
      <c r="B1233" s="9">
        <f>AVERAGEIFS(fact_batting_summary!G:G, fact_batting_summary!E:E,fact_batting_summary!E1233)</f>
        <v>25.785714285714285</v>
      </c>
      <c r="C1233">
        <v>4</v>
      </c>
    </row>
    <row r="1234" spans="1:3" x14ac:dyDescent="0.45">
      <c r="A1234">
        <f>SUMIFS(fact_batting_summary!G:G, fact_batting_summary!E:E, fact_batting_summary!E1234)</f>
        <v>257</v>
      </c>
      <c r="B1234" s="9">
        <f>AVERAGEIFS(fact_batting_summary!G:G, fact_batting_summary!E:E,fact_batting_summary!E1234)</f>
        <v>17.133333333333333</v>
      </c>
      <c r="C1234">
        <v>5</v>
      </c>
    </row>
    <row r="1235" spans="1:3" x14ac:dyDescent="0.45">
      <c r="A1235">
        <f>SUMIFS(fact_batting_summary!G:G, fact_batting_summary!E:E, fact_batting_summary!E1235)</f>
        <v>80</v>
      </c>
      <c r="B1235" s="9">
        <f>AVERAGEIFS(fact_batting_summary!G:G, fact_batting_summary!E:E,fact_batting_summary!E1235)</f>
        <v>11.428571428571429</v>
      </c>
      <c r="C1235">
        <v>6</v>
      </c>
    </row>
    <row r="1236" spans="1:3" x14ac:dyDescent="0.45">
      <c r="A1236">
        <f>SUMIFS(fact_batting_summary!G:G, fact_batting_summary!E:E, fact_batting_summary!E1236)</f>
        <v>505</v>
      </c>
      <c r="B1236" s="9">
        <f>AVERAGEIFS(fact_batting_summary!G:G, fact_batting_summary!E:E,fact_batting_summary!E1236)</f>
        <v>17.413793103448278</v>
      </c>
      <c r="C1236">
        <v>7</v>
      </c>
    </row>
    <row r="1237" spans="1:3" x14ac:dyDescent="0.45">
      <c r="A1237">
        <f>SUMIFS(fact_batting_summary!G:G, fact_batting_summary!E:E, fact_batting_summary!E1237)</f>
        <v>238</v>
      </c>
      <c r="B1237" s="9">
        <f>AVERAGEIFS(fact_batting_summary!G:G, fact_batting_summary!E:E,fact_batting_summary!E1237)</f>
        <v>9.9166666666666661</v>
      </c>
      <c r="C1237">
        <v>8</v>
      </c>
    </row>
    <row r="1238" spans="1:3" x14ac:dyDescent="0.45">
      <c r="A1238">
        <f>SUMIFS(fact_batting_summary!G:G, fact_batting_summary!E:E, fact_batting_summary!E1238)</f>
        <v>79</v>
      </c>
      <c r="B1238" s="9">
        <f>AVERAGEIFS(fact_batting_summary!G:G, fact_batting_summary!E:E,fact_batting_summary!E1238)</f>
        <v>4.6470588235294121</v>
      </c>
      <c r="C1238">
        <v>9</v>
      </c>
    </row>
    <row r="1239" spans="1:3" x14ac:dyDescent="0.45">
      <c r="A1239">
        <f>SUMIFS(fact_batting_summary!G:G, fact_batting_summary!E:E, fact_batting_summary!E1239)</f>
        <v>38</v>
      </c>
      <c r="B1239" s="9">
        <f>AVERAGEIFS(fact_batting_summary!G:G, fact_batting_summary!E:E,fact_batting_summary!E1239)</f>
        <v>4.75</v>
      </c>
      <c r="C1239">
        <v>10</v>
      </c>
    </row>
    <row r="1240" spans="1:3" x14ac:dyDescent="0.45">
      <c r="A1240">
        <f>SUMIFS(fact_batting_summary!G:G, fact_batting_summary!E:E, fact_batting_summary!E1240)</f>
        <v>1</v>
      </c>
      <c r="B1240" s="9">
        <f>AVERAGEIFS(fact_batting_summary!G:G, fact_batting_summary!E:E,fact_batting_summary!E1240)</f>
        <v>0.33333333333333331</v>
      </c>
      <c r="C1240">
        <v>11</v>
      </c>
    </row>
    <row r="1241" spans="1:3" x14ac:dyDescent="0.45">
      <c r="A1241">
        <f>SUMIFS(fact_batting_summary!G:G, fact_batting_summary!E:E, fact_batting_summary!E1241)</f>
        <v>1385</v>
      </c>
      <c r="B1241" s="9">
        <f>AVERAGEIFS(fact_batting_summary!G:G, fact_batting_summary!E:E,fact_batting_summary!E1241)</f>
        <v>30.777777777777779</v>
      </c>
      <c r="C1241">
        <v>1</v>
      </c>
    </row>
    <row r="1242" spans="1:3" x14ac:dyDescent="0.45">
      <c r="A1242">
        <f>SUMIFS(fact_batting_summary!G:G, fact_batting_summary!E:E, fact_batting_summary!E1242)</f>
        <v>1831</v>
      </c>
      <c r="B1242" s="9">
        <f>AVERAGEIFS(fact_batting_summary!G:G, fact_batting_summary!E:E,fact_batting_summary!E1242)</f>
        <v>39.804347826086953</v>
      </c>
      <c r="C1242">
        <v>2</v>
      </c>
    </row>
    <row r="1243" spans="1:3" x14ac:dyDescent="0.45">
      <c r="A1243">
        <f>SUMIFS(fact_batting_summary!G:G, fact_batting_summary!E:E, fact_batting_summary!E1243)</f>
        <v>404</v>
      </c>
      <c r="B1243" s="9">
        <f>AVERAGEIFS(fact_batting_summary!G:G, fact_batting_summary!E:E,fact_batting_summary!E1243)</f>
        <v>36.727272727272727</v>
      </c>
      <c r="C1243">
        <v>3</v>
      </c>
    </row>
    <row r="1244" spans="1:3" x14ac:dyDescent="0.45">
      <c r="A1244">
        <f>SUMIFS(fact_batting_summary!G:G, fact_batting_summary!E:E, fact_batting_summary!E1244)</f>
        <v>1214</v>
      </c>
      <c r="B1244" s="9">
        <f>AVERAGEIFS(fact_batting_summary!G:G, fact_batting_summary!E:E,fact_batting_summary!E1244)</f>
        <v>29.609756097560975</v>
      </c>
      <c r="C1244">
        <v>4</v>
      </c>
    </row>
    <row r="1245" spans="1:3" x14ac:dyDescent="0.45">
      <c r="A1245">
        <f>SUMIFS(fact_batting_summary!G:G, fact_batting_summary!E:E, fact_batting_summary!E1245)</f>
        <v>693</v>
      </c>
      <c r="B1245" s="9">
        <f>AVERAGEIFS(fact_batting_summary!G:G, fact_batting_summary!E:E,fact_batting_summary!E1245)</f>
        <v>15.75</v>
      </c>
      <c r="C1245">
        <v>5</v>
      </c>
    </row>
    <row r="1246" spans="1:3" x14ac:dyDescent="0.45">
      <c r="A1246">
        <f>SUMIFS(fact_batting_summary!G:G, fact_batting_summary!E:E, fact_batting_summary!E1246)</f>
        <v>745</v>
      </c>
      <c r="B1246" s="9">
        <f>AVERAGEIFS(fact_batting_summary!G:G, fact_batting_summary!E:E,fact_batting_summary!E1246)</f>
        <v>24.032258064516128</v>
      </c>
      <c r="C1246">
        <v>1</v>
      </c>
    </row>
    <row r="1247" spans="1:3" x14ac:dyDescent="0.45">
      <c r="A1247">
        <f>SUMIFS(fact_batting_summary!G:G, fact_batting_summary!E:E, fact_batting_summary!E1247)</f>
        <v>416</v>
      </c>
      <c r="B1247" s="9">
        <f>AVERAGEIFS(fact_batting_summary!G:G, fact_batting_summary!E:E,fact_batting_summary!E1247)</f>
        <v>18.90909090909091</v>
      </c>
      <c r="C1247">
        <v>2</v>
      </c>
    </row>
    <row r="1248" spans="1:3" x14ac:dyDescent="0.45">
      <c r="A1248">
        <f>SUMIFS(fact_batting_summary!G:G, fact_batting_summary!E:E, fact_batting_summary!E1248)</f>
        <v>1083</v>
      </c>
      <c r="B1248" s="9">
        <f>AVERAGEIFS(fact_batting_summary!G:G, fact_batting_summary!E:E,fact_batting_summary!E1248)</f>
        <v>25.186046511627907</v>
      </c>
      <c r="C1248">
        <v>3</v>
      </c>
    </row>
    <row r="1249" spans="1:3" x14ac:dyDescent="0.45">
      <c r="A1249">
        <f>SUMIFS(fact_batting_summary!G:G, fact_batting_summary!E:E, fact_batting_summary!E1249)</f>
        <v>775</v>
      </c>
      <c r="B1249" s="9">
        <f>AVERAGEIFS(fact_batting_summary!G:G, fact_batting_summary!E:E,fact_batting_summary!E1249)</f>
        <v>25</v>
      </c>
      <c r="C1249">
        <v>4</v>
      </c>
    </row>
    <row r="1250" spans="1:3" x14ac:dyDescent="0.45">
      <c r="A1250">
        <f>SUMIFS(fact_batting_summary!G:G, fact_batting_summary!E:E, fact_batting_summary!E1250)</f>
        <v>729</v>
      </c>
      <c r="B1250" s="9">
        <f>AVERAGEIFS(fact_batting_summary!G:G, fact_batting_summary!E:E,fact_batting_summary!E1250)</f>
        <v>19.184210526315791</v>
      </c>
      <c r="C1250">
        <v>5</v>
      </c>
    </row>
    <row r="1251" spans="1:3" x14ac:dyDescent="0.45">
      <c r="A1251">
        <f>SUMIFS(fact_batting_summary!G:G, fact_batting_summary!E:E, fact_batting_summary!E1251)</f>
        <v>2</v>
      </c>
      <c r="B1251" s="9">
        <f>AVERAGEIFS(fact_batting_summary!G:G, fact_batting_summary!E:E,fact_batting_summary!E1251)</f>
        <v>1</v>
      </c>
      <c r="C1251">
        <v>6</v>
      </c>
    </row>
    <row r="1252" spans="1:3" x14ac:dyDescent="0.45">
      <c r="A1252">
        <f>SUMIFS(fact_batting_summary!G:G, fact_batting_summary!E:E, fact_batting_summary!E1252)</f>
        <v>69</v>
      </c>
      <c r="B1252" s="9">
        <f>AVERAGEIFS(fact_batting_summary!G:G, fact_batting_summary!E:E,fact_batting_summary!E1252)</f>
        <v>13.8</v>
      </c>
      <c r="C1252">
        <v>7</v>
      </c>
    </row>
    <row r="1253" spans="1:3" x14ac:dyDescent="0.45">
      <c r="A1253">
        <f>SUMIFS(fact_batting_summary!G:G, fact_batting_summary!E:E, fact_batting_summary!E1253)</f>
        <v>9</v>
      </c>
      <c r="B1253" s="9">
        <f>AVERAGEIFS(fact_batting_summary!G:G, fact_batting_summary!E:E,fact_batting_summary!E1253)</f>
        <v>2.25</v>
      </c>
      <c r="C1253">
        <v>8</v>
      </c>
    </row>
    <row r="1254" spans="1:3" x14ac:dyDescent="0.45">
      <c r="A1254">
        <f>SUMIFS(fact_batting_summary!G:G, fact_batting_summary!E:E, fact_batting_summary!E1254)</f>
        <v>100</v>
      </c>
      <c r="B1254" s="9">
        <f>AVERAGEIFS(fact_batting_summary!G:G, fact_batting_summary!E:E,fact_batting_summary!E1254)</f>
        <v>5.2631578947368425</v>
      </c>
      <c r="C1254">
        <v>9</v>
      </c>
    </row>
    <row r="1255" spans="1:3" x14ac:dyDescent="0.45">
      <c r="A1255">
        <f>SUMIFS(fact_batting_summary!G:G, fact_batting_summary!E:E, fact_batting_summary!E1255)</f>
        <v>23</v>
      </c>
      <c r="B1255" s="9">
        <f>AVERAGEIFS(fact_batting_summary!G:G, fact_batting_summary!E:E,fact_batting_summary!E1255)</f>
        <v>3.8333333333333335</v>
      </c>
      <c r="C1255">
        <v>10</v>
      </c>
    </row>
    <row r="1256" spans="1:3" x14ac:dyDescent="0.45">
      <c r="A1256">
        <f>SUMIFS(fact_batting_summary!G:G, fact_batting_summary!E:E, fact_batting_summary!E1256)</f>
        <v>3</v>
      </c>
      <c r="B1256" s="9">
        <f>AVERAGEIFS(fact_batting_summary!G:G, fact_batting_summary!E:E,fact_batting_summary!E1256)</f>
        <v>1.5</v>
      </c>
      <c r="C1256">
        <v>11</v>
      </c>
    </row>
    <row r="1257" spans="1:3" x14ac:dyDescent="0.45">
      <c r="A1257">
        <f>SUMIFS(fact_batting_summary!G:G, fact_batting_summary!E:E, fact_batting_summary!E1257)</f>
        <v>948</v>
      </c>
      <c r="B1257" s="9">
        <f>AVERAGEIFS(fact_batting_summary!G:G, fact_batting_summary!E:E,fact_batting_summary!E1257)</f>
        <v>31.6</v>
      </c>
      <c r="C1257">
        <v>1</v>
      </c>
    </row>
    <row r="1258" spans="1:3" x14ac:dyDescent="0.45">
      <c r="A1258">
        <f>SUMIFS(fact_batting_summary!G:G, fact_batting_summary!E:E, fact_batting_summary!E1258)</f>
        <v>1516</v>
      </c>
      <c r="B1258" s="9">
        <f>AVERAGEIFS(fact_batting_summary!G:G, fact_batting_summary!E:E,fact_batting_summary!E1258)</f>
        <v>40.972972972972975</v>
      </c>
      <c r="C1258">
        <v>2</v>
      </c>
    </row>
    <row r="1259" spans="1:3" x14ac:dyDescent="0.45">
      <c r="A1259">
        <f>SUMIFS(fact_batting_summary!G:G, fact_batting_summary!E:E, fact_batting_summary!E1259)</f>
        <v>695</v>
      </c>
      <c r="B1259" s="9">
        <f>AVERAGEIFS(fact_batting_summary!G:G, fact_batting_summary!E:E,fact_batting_summary!E1259)</f>
        <v>18.783783783783782</v>
      </c>
      <c r="C1259">
        <v>3</v>
      </c>
    </row>
    <row r="1260" spans="1:3" x14ac:dyDescent="0.45">
      <c r="A1260">
        <f>SUMIFS(fact_batting_summary!G:G, fact_batting_summary!E:E, fact_batting_summary!E1260)</f>
        <v>514</v>
      </c>
      <c r="B1260" s="9">
        <f>AVERAGEIFS(fact_batting_summary!G:G, fact_batting_summary!E:E,fact_batting_summary!E1260)</f>
        <v>13.526315789473685</v>
      </c>
      <c r="C1260">
        <v>4</v>
      </c>
    </row>
    <row r="1261" spans="1:3" x14ac:dyDescent="0.45">
      <c r="A1261">
        <f>SUMIFS(fact_batting_summary!G:G, fact_batting_summary!E:E, fact_batting_summary!E1261)</f>
        <v>340</v>
      </c>
      <c r="B1261" s="9">
        <f>AVERAGEIFS(fact_batting_summary!G:G, fact_batting_summary!E:E,fact_batting_summary!E1261)</f>
        <v>15.454545454545455</v>
      </c>
      <c r="C1261">
        <v>5</v>
      </c>
    </row>
    <row r="1262" spans="1:3" x14ac:dyDescent="0.45">
      <c r="A1262">
        <f>SUMIFS(fact_batting_summary!G:G, fact_batting_summary!E:E, fact_batting_summary!E1262)</f>
        <v>645</v>
      </c>
      <c r="B1262" s="9">
        <f>AVERAGEIFS(fact_batting_summary!G:G, fact_batting_summary!E:E,fact_batting_summary!E1262)</f>
        <v>21.5</v>
      </c>
      <c r="C1262">
        <v>6</v>
      </c>
    </row>
    <row r="1263" spans="1:3" x14ac:dyDescent="0.45">
      <c r="A1263">
        <f>SUMIFS(fact_batting_summary!G:G, fact_batting_summary!E:E, fact_batting_summary!E1263)</f>
        <v>155</v>
      </c>
      <c r="B1263" s="9">
        <f>AVERAGEIFS(fact_batting_summary!G:G, fact_batting_summary!E:E,fact_batting_summary!E1263)</f>
        <v>8.6111111111111107</v>
      </c>
      <c r="C1263">
        <v>7</v>
      </c>
    </row>
    <row r="1264" spans="1:3" x14ac:dyDescent="0.45">
      <c r="A1264">
        <f>SUMIFS(fact_batting_summary!G:G, fact_batting_summary!E:E, fact_batting_summary!E1264)</f>
        <v>43</v>
      </c>
      <c r="B1264" s="9">
        <f>AVERAGEIFS(fact_batting_summary!G:G, fact_batting_summary!E:E,fact_batting_summary!E1264)</f>
        <v>5.375</v>
      </c>
      <c r="C1264">
        <v>8</v>
      </c>
    </row>
    <row r="1265" spans="1:3" x14ac:dyDescent="0.45">
      <c r="A1265">
        <f>SUMIFS(fact_batting_summary!G:G, fact_batting_summary!E:E, fact_batting_summary!E1265)</f>
        <v>21</v>
      </c>
      <c r="B1265" s="9">
        <f>AVERAGEIFS(fact_batting_summary!G:G, fact_batting_summary!E:E,fact_batting_summary!E1265)</f>
        <v>7</v>
      </c>
      <c r="C1265">
        <v>1</v>
      </c>
    </row>
    <row r="1266" spans="1:3" x14ac:dyDescent="0.45">
      <c r="A1266">
        <f>SUMIFS(fact_batting_summary!G:G, fact_batting_summary!E:E, fact_batting_summary!E1266)</f>
        <v>86</v>
      </c>
      <c r="B1266" s="9">
        <f>AVERAGEIFS(fact_batting_summary!G:G, fact_batting_summary!E:E,fact_batting_summary!E1266)</f>
        <v>17.2</v>
      </c>
      <c r="C1266">
        <v>2</v>
      </c>
    </row>
    <row r="1267" spans="1:3" x14ac:dyDescent="0.45">
      <c r="A1267">
        <f>SUMIFS(fact_batting_summary!G:G, fact_batting_summary!E:E, fact_batting_summary!E1267)</f>
        <v>576</v>
      </c>
      <c r="B1267" s="9">
        <f>AVERAGEIFS(fact_batting_summary!G:G, fact_batting_summary!E:E,fact_batting_summary!E1267)</f>
        <v>26.181818181818183</v>
      </c>
      <c r="C1267">
        <v>3</v>
      </c>
    </row>
    <row r="1268" spans="1:3" x14ac:dyDescent="0.45">
      <c r="A1268">
        <f>SUMIFS(fact_batting_summary!G:G, fact_batting_summary!E:E, fact_batting_summary!E1268)</f>
        <v>1157</v>
      </c>
      <c r="B1268" s="9">
        <f>AVERAGEIFS(fact_batting_summary!G:G, fact_batting_summary!E:E,fact_batting_summary!E1268)</f>
        <v>26.295454545454547</v>
      </c>
      <c r="C1268">
        <v>4</v>
      </c>
    </row>
    <row r="1269" spans="1:3" x14ac:dyDescent="0.45">
      <c r="A1269">
        <f>SUMIFS(fact_batting_summary!G:G, fact_batting_summary!E:E, fact_batting_summary!E1269)</f>
        <v>648</v>
      </c>
      <c r="B1269" s="9">
        <f>AVERAGEIFS(fact_batting_summary!G:G, fact_batting_summary!E:E,fact_batting_summary!E1269)</f>
        <v>30.857142857142858</v>
      </c>
      <c r="C1269">
        <v>5</v>
      </c>
    </row>
    <row r="1270" spans="1:3" x14ac:dyDescent="0.45">
      <c r="A1270">
        <f>SUMIFS(fact_batting_summary!G:G, fact_batting_summary!E:E, fact_batting_summary!E1270)</f>
        <v>745</v>
      </c>
      <c r="B1270" s="9">
        <f>AVERAGEIFS(fact_batting_summary!G:G, fact_batting_summary!E:E,fact_batting_summary!E1270)</f>
        <v>21.285714285714285</v>
      </c>
      <c r="C1270">
        <v>6</v>
      </c>
    </row>
    <row r="1271" spans="1:3" x14ac:dyDescent="0.45">
      <c r="A1271">
        <f>SUMIFS(fact_batting_summary!G:G, fact_batting_summary!E:E, fact_batting_summary!E1271)</f>
        <v>154</v>
      </c>
      <c r="B1271" s="9">
        <f>AVERAGEIFS(fact_batting_summary!G:G, fact_batting_summary!E:E,fact_batting_summary!E1271)</f>
        <v>5.1333333333333337</v>
      </c>
      <c r="C1271">
        <v>7</v>
      </c>
    </row>
    <row r="1272" spans="1:3" x14ac:dyDescent="0.45">
      <c r="A1272">
        <f>SUMIFS(fact_batting_summary!G:G, fact_batting_summary!E:E, fact_batting_summary!E1272)</f>
        <v>23</v>
      </c>
      <c r="B1272" s="9">
        <f>AVERAGEIFS(fact_batting_summary!G:G, fact_batting_summary!E:E,fact_batting_summary!E1272)</f>
        <v>4.5999999999999996</v>
      </c>
      <c r="C1272">
        <v>8</v>
      </c>
    </row>
    <row r="1273" spans="1:3" x14ac:dyDescent="0.45">
      <c r="A1273">
        <f>SUMIFS(fact_batting_summary!G:G, fact_batting_summary!E:E, fact_batting_summary!E1273)</f>
        <v>28</v>
      </c>
      <c r="B1273" s="9">
        <f>AVERAGEIFS(fact_batting_summary!G:G, fact_batting_summary!E:E,fact_batting_summary!E1273)</f>
        <v>5.6</v>
      </c>
      <c r="C1273">
        <v>9</v>
      </c>
    </row>
    <row r="1274" spans="1:3" x14ac:dyDescent="0.45">
      <c r="A1274">
        <f>SUMIFS(fact_batting_summary!G:G, fact_batting_summary!E:E, fact_batting_summary!E1274)</f>
        <v>5</v>
      </c>
      <c r="B1274" s="9">
        <f>AVERAGEIFS(fact_batting_summary!G:G, fact_batting_summary!E:E,fact_batting_summary!E1274)</f>
        <v>0.83333333333333337</v>
      </c>
      <c r="C1274">
        <v>10</v>
      </c>
    </row>
    <row r="1275" spans="1:3" x14ac:dyDescent="0.45">
      <c r="A1275">
        <f>SUMIFS(fact_batting_summary!G:G, fact_batting_summary!E:E, fact_batting_summary!E1275)</f>
        <v>2</v>
      </c>
      <c r="B1275" s="9">
        <f>AVERAGEIFS(fact_batting_summary!G:G, fact_batting_summary!E:E,fact_batting_summary!E1275)</f>
        <v>0.66666666666666663</v>
      </c>
      <c r="C1275">
        <v>11</v>
      </c>
    </row>
    <row r="1276" spans="1:3" x14ac:dyDescent="0.45">
      <c r="A1276">
        <f>SUMIFS(fact_batting_summary!G:G, fact_batting_summary!E:E, fact_batting_summary!E1276)</f>
        <v>463</v>
      </c>
      <c r="B1276" s="9">
        <f>AVERAGEIFS(fact_batting_summary!G:G, fact_batting_summary!E:E,fact_batting_summary!E1276)</f>
        <v>27.235294117647058</v>
      </c>
      <c r="C1276">
        <v>1</v>
      </c>
    </row>
    <row r="1277" spans="1:3" x14ac:dyDescent="0.45">
      <c r="A1277">
        <f>SUMIFS(fact_batting_summary!G:G, fact_batting_summary!E:E, fact_batting_summary!E1277)</f>
        <v>1392</v>
      </c>
      <c r="B1277" s="9">
        <f>AVERAGEIFS(fact_batting_summary!G:G, fact_batting_summary!E:E,fact_batting_summary!E1277)</f>
        <v>34.799999999999997</v>
      </c>
      <c r="C1277">
        <v>2</v>
      </c>
    </row>
    <row r="1278" spans="1:3" x14ac:dyDescent="0.45">
      <c r="A1278">
        <f>SUMIFS(fact_batting_summary!G:G, fact_batting_summary!E:E, fact_batting_summary!E1278)</f>
        <v>277</v>
      </c>
      <c r="B1278" s="9">
        <f>AVERAGEIFS(fact_batting_summary!G:G, fact_batting_summary!E:E,fact_batting_summary!E1278)</f>
        <v>21.307692307692307</v>
      </c>
      <c r="C1278">
        <v>3</v>
      </c>
    </row>
    <row r="1279" spans="1:3" x14ac:dyDescent="0.45">
      <c r="A1279">
        <f>SUMIFS(fact_batting_summary!G:G, fact_batting_summary!E:E, fact_batting_summary!E1279)</f>
        <v>907</v>
      </c>
      <c r="B1279" s="9">
        <f>AVERAGEIFS(fact_batting_summary!G:G, fact_batting_summary!E:E,fact_batting_summary!E1279)</f>
        <v>26.676470588235293</v>
      </c>
      <c r="C1279">
        <v>4</v>
      </c>
    </row>
    <row r="1280" spans="1:3" x14ac:dyDescent="0.45">
      <c r="A1280">
        <f>SUMIFS(fact_batting_summary!G:G, fact_batting_summary!E:E, fact_batting_summary!E1280)</f>
        <v>543</v>
      </c>
      <c r="B1280" s="9">
        <f>AVERAGEIFS(fact_batting_summary!G:G, fact_batting_summary!E:E,fact_batting_summary!E1280)</f>
        <v>22.625</v>
      </c>
      <c r="C1280">
        <v>5</v>
      </c>
    </row>
    <row r="1281" spans="1:3" x14ac:dyDescent="0.45">
      <c r="A1281">
        <f>SUMIFS(fact_batting_summary!G:G, fact_batting_summary!E:E, fact_batting_summary!E1281)</f>
        <v>758</v>
      </c>
      <c r="B1281" s="9">
        <f>AVERAGEIFS(fact_batting_summary!G:G, fact_batting_summary!E:E,fact_batting_summary!E1281)</f>
        <v>27.071428571428573</v>
      </c>
      <c r="C1281">
        <v>6</v>
      </c>
    </row>
    <row r="1282" spans="1:3" x14ac:dyDescent="0.45">
      <c r="A1282">
        <f>SUMIFS(fact_batting_summary!G:G, fact_batting_summary!E:E, fact_batting_summary!E1282)</f>
        <v>57</v>
      </c>
      <c r="B1282" s="9">
        <f>AVERAGEIFS(fact_batting_summary!G:G, fact_batting_summary!E:E,fact_batting_summary!E1282)</f>
        <v>8.1428571428571423</v>
      </c>
      <c r="C1282">
        <v>7</v>
      </c>
    </row>
    <row r="1283" spans="1:3" x14ac:dyDescent="0.45">
      <c r="A1283">
        <f>SUMIFS(fact_batting_summary!G:G, fact_batting_summary!E:E, fact_batting_summary!E1283)</f>
        <v>1132</v>
      </c>
      <c r="B1283" s="9">
        <f>AVERAGEIFS(fact_batting_summary!G:G, fact_batting_summary!E:E,fact_batting_summary!E1283)</f>
        <v>33.294117647058826</v>
      </c>
      <c r="C1283">
        <v>1</v>
      </c>
    </row>
    <row r="1284" spans="1:3" x14ac:dyDescent="0.45">
      <c r="A1284">
        <f>SUMIFS(fact_batting_summary!G:G, fact_batting_summary!E:E, fact_batting_summary!E1284)</f>
        <v>1509</v>
      </c>
      <c r="B1284" s="9">
        <f>AVERAGEIFS(fact_batting_summary!G:G, fact_batting_summary!E:E,fact_batting_summary!E1284)</f>
        <v>39.710526315789473</v>
      </c>
      <c r="C1284">
        <v>2</v>
      </c>
    </row>
    <row r="1285" spans="1:3" x14ac:dyDescent="0.45">
      <c r="A1285">
        <f>SUMIFS(fact_batting_summary!G:G, fact_batting_summary!E:E, fact_batting_summary!E1285)</f>
        <v>1304</v>
      </c>
      <c r="B1285" s="9">
        <f>AVERAGEIFS(fact_batting_summary!G:G, fact_batting_summary!E:E,fact_batting_summary!E1285)</f>
        <v>28.977777777777778</v>
      </c>
      <c r="C1285">
        <v>3</v>
      </c>
    </row>
    <row r="1286" spans="1:3" x14ac:dyDescent="0.45">
      <c r="A1286">
        <f>SUMIFS(fact_batting_summary!G:G, fact_batting_summary!E:E, fact_batting_summary!E1286)</f>
        <v>1048</v>
      </c>
      <c r="B1286" s="9">
        <f>AVERAGEIFS(fact_batting_summary!G:G, fact_batting_summary!E:E,fact_batting_summary!E1286)</f>
        <v>24.952380952380953</v>
      </c>
      <c r="C1286">
        <v>4</v>
      </c>
    </row>
    <row r="1287" spans="1:3" x14ac:dyDescent="0.45">
      <c r="A1287">
        <f>SUMIFS(fact_batting_summary!G:G, fact_batting_summary!E:E, fact_batting_summary!E1287)</f>
        <v>854</v>
      </c>
      <c r="B1287" s="9">
        <f>AVERAGEIFS(fact_batting_summary!G:G, fact_batting_summary!E:E,fact_batting_summary!E1287)</f>
        <v>21.35</v>
      </c>
      <c r="C1287">
        <v>5</v>
      </c>
    </row>
    <row r="1288" spans="1:3" x14ac:dyDescent="0.45">
      <c r="A1288">
        <f>SUMIFS(fact_batting_summary!G:G, fact_batting_summary!E:E, fact_batting_summary!E1288)</f>
        <v>354</v>
      </c>
      <c r="B1288" s="9">
        <f>AVERAGEIFS(fact_batting_summary!G:G, fact_batting_summary!E:E,fact_batting_summary!E1288)</f>
        <v>11.419354838709678</v>
      </c>
      <c r="C1288">
        <v>6</v>
      </c>
    </row>
    <row r="1289" spans="1:3" x14ac:dyDescent="0.45">
      <c r="A1289">
        <f>SUMIFS(fact_batting_summary!G:G, fact_batting_summary!E:E, fact_batting_summary!E1289)</f>
        <v>1113</v>
      </c>
      <c r="B1289" s="9">
        <f>AVERAGEIFS(fact_batting_summary!G:G, fact_batting_summary!E:E,fact_batting_summary!E1289)</f>
        <v>28.53846153846154</v>
      </c>
      <c r="C1289">
        <v>1</v>
      </c>
    </row>
    <row r="1290" spans="1:3" x14ac:dyDescent="0.45">
      <c r="A1290">
        <f>SUMIFS(fact_batting_summary!G:G, fact_batting_summary!E:E, fact_batting_summary!E1290)</f>
        <v>981</v>
      </c>
      <c r="B1290" s="9">
        <f>AVERAGEIFS(fact_batting_summary!G:G, fact_batting_summary!E:E,fact_batting_summary!E1290)</f>
        <v>22.813953488372093</v>
      </c>
      <c r="C1290">
        <v>2</v>
      </c>
    </row>
    <row r="1291" spans="1:3" x14ac:dyDescent="0.45">
      <c r="A1291">
        <f>SUMIFS(fact_batting_summary!G:G, fact_batting_summary!E:E, fact_batting_summary!E1291)</f>
        <v>1225</v>
      </c>
      <c r="B1291" s="9">
        <f>AVERAGEIFS(fact_batting_summary!G:G, fact_batting_summary!E:E,fact_batting_summary!E1291)</f>
        <v>32.236842105263158</v>
      </c>
      <c r="C1291">
        <v>3</v>
      </c>
    </row>
    <row r="1292" spans="1:3" x14ac:dyDescent="0.45">
      <c r="A1292">
        <f>SUMIFS(fact_batting_summary!G:G, fact_batting_summary!E:E, fact_batting_summary!E1292)</f>
        <v>740</v>
      </c>
      <c r="B1292" s="9">
        <f>AVERAGEIFS(fact_batting_summary!G:G, fact_batting_summary!E:E,fact_batting_summary!E1292)</f>
        <v>29.6</v>
      </c>
      <c r="C1292">
        <v>4</v>
      </c>
    </row>
    <row r="1293" spans="1:3" x14ac:dyDescent="0.45">
      <c r="A1293">
        <f>SUMIFS(fact_batting_summary!G:G, fact_batting_summary!E:E, fact_batting_summary!E1293)</f>
        <v>389</v>
      </c>
      <c r="B1293" s="9">
        <f>AVERAGEIFS(fact_batting_summary!G:G, fact_batting_summary!E:E,fact_batting_summary!E1293)</f>
        <v>16.208333333333332</v>
      </c>
      <c r="C1293">
        <v>5</v>
      </c>
    </row>
    <row r="1294" spans="1:3" x14ac:dyDescent="0.45">
      <c r="A1294">
        <f>SUMIFS(fact_batting_summary!G:G, fact_batting_summary!E:E, fact_batting_summary!E1294)</f>
        <v>418</v>
      </c>
      <c r="B1294" s="9">
        <f>AVERAGEIFS(fact_batting_summary!G:G, fact_batting_summary!E:E,fact_batting_summary!E1294)</f>
        <v>17.416666666666668</v>
      </c>
      <c r="C1294">
        <v>6</v>
      </c>
    </row>
    <row r="1295" spans="1:3" x14ac:dyDescent="0.45">
      <c r="A1295">
        <f>SUMIFS(fact_batting_summary!G:G, fact_batting_summary!E:E, fact_batting_summary!E1295)</f>
        <v>44</v>
      </c>
      <c r="B1295" s="9">
        <f>AVERAGEIFS(fact_batting_summary!G:G, fact_batting_summary!E:E,fact_batting_summary!E1295)</f>
        <v>3.6666666666666665</v>
      </c>
      <c r="C1295">
        <v>7</v>
      </c>
    </row>
    <row r="1296" spans="1:3" x14ac:dyDescent="0.45">
      <c r="A1296">
        <f>SUMIFS(fact_batting_summary!G:G, fact_batting_summary!E:E, fact_batting_summary!E1296)</f>
        <v>27</v>
      </c>
      <c r="B1296" s="9">
        <f>AVERAGEIFS(fact_batting_summary!G:G, fact_batting_summary!E:E,fact_batting_summary!E1296)</f>
        <v>3.8571428571428572</v>
      </c>
      <c r="C1296">
        <v>8</v>
      </c>
    </row>
    <row r="1297" spans="1:3" x14ac:dyDescent="0.45">
      <c r="A1297">
        <f>SUMIFS(fact_batting_summary!G:G, fact_batting_summary!E:E, fact_batting_summary!E1297)</f>
        <v>819</v>
      </c>
      <c r="B1297" s="9">
        <f>AVERAGEIFS(fact_batting_summary!G:G, fact_batting_summary!E:E,fact_batting_summary!E1297)</f>
        <v>22.135135135135137</v>
      </c>
      <c r="C1297">
        <v>1</v>
      </c>
    </row>
    <row r="1298" spans="1:3" x14ac:dyDescent="0.45">
      <c r="A1298">
        <f>SUMIFS(fact_batting_summary!G:G, fact_batting_summary!E:E, fact_batting_summary!E1298)</f>
        <v>1851</v>
      </c>
      <c r="B1298" s="9">
        <f>AVERAGEIFS(fact_batting_summary!G:G, fact_batting_summary!E:E,fact_batting_summary!E1298)</f>
        <v>37.020000000000003</v>
      </c>
      <c r="C1298">
        <v>2</v>
      </c>
    </row>
    <row r="1299" spans="1:3" x14ac:dyDescent="0.45">
      <c r="A1299">
        <f>SUMIFS(fact_batting_summary!G:G, fact_batting_summary!E:E, fact_batting_summary!E1299)</f>
        <v>960</v>
      </c>
      <c r="B1299" s="9">
        <f>AVERAGEIFS(fact_batting_summary!G:G, fact_batting_summary!E:E,fact_batting_summary!E1299)</f>
        <v>23.414634146341463</v>
      </c>
      <c r="C1299">
        <v>3</v>
      </c>
    </row>
    <row r="1300" spans="1:3" x14ac:dyDescent="0.45">
      <c r="A1300">
        <f>SUMIFS(fact_batting_summary!G:G, fact_batting_summary!E:E, fact_batting_summary!E1300)</f>
        <v>507</v>
      </c>
      <c r="B1300" s="9">
        <f>AVERAGEIFS(fact_batting_summary!G:G, fact_batting_summary!E:E,fact_batting_summary!E1300)</f>
        <v>39</v>
      </c>
      <c r="C1300">
        <v>4</v>
      </c>
    </row>
    <row r="1301" spans="1:3" x14ac:dyDescent="0.45">
      <c r="A1301">
        <f>SUMIFS(fact_batting_summary!G:G, fact_batting_summary!E:E, fact_batting_summary!E1301)</f>
        <v>864</v>
      </c>
      <c r="B1301" s="9">
        <f>AVERAGEIFS(fact_batting_summary!G:G, fact_batting_summary!E:E,fact_batting_summary!E1301)</f>
        <v>23.351351351351351</v>
      </c>
      <c r="C1301">
        <v>5</v>
      </c>
    </row>
    <row r="1302" spans="1:3" x14ac:dyDescent="0.45">
      <c r="A1302">
        <f>SUMIFS(fact_batting_summary!G:G, fact_batting_summary!E:E, fact_batting_summary!E1302)</f>
        <v>459</v>
      </c>
      <c r="B1302" s="9">
        <f>AVERAGEIFS(fact_batting_summary!G:G, fact_batting_summary!E:E,fact_batting_summary!E1302)</f>
        <v>13.909090909090908</v>
      </c>
      <c r="C1302">
        <v>6</v>
      </c>
    </row>
    <row r="1303" spans="1:3" x14ac:dyDescent="0.45">
      <c r="A1303">
        <f>SUMIFS(fact_batting_summary!G:G, fact_batting_summary!E:E, fact_batting_summary!E1303)</f>
        <v>304</v>
      </c>
      <c r="B1303" s="9">
        <f>AVERAGEIFS(fact_batting_summary!G:G, fact_batting_summary!E:E,fact_batting_summary!E1303)</f>
        <v>11.692307692307692</v>
      </c>
      <c r="C1303">
        <v>7</v>
      </c>
    </row>
    <row r="1304" spans="1:3" x14ac:dyDescent="0.45">
      <c r="A1304">
        <f>SUMIFS(fact_batting_summary!G:G, fact_batting_summary!E:E, fact_batting_summary!E1304)</f>
        <v>47</v>
      </c>
      <c r="B1304" s="9">
        <f>AVERAGEIFS(fact_batting_summary!G:G, fact_batting_summary!E:E,fact_batting_summary!E1304)</f>
        <v>6.7142857142857144</v>
      </c>
      <c r="C1304">
        <v>1</v>
      </c>
    </row>
    <row r="1305" spans="1:3" x14ac:dyDescent="0.45">
      <c r="A1305">
        <f>SUMIFS(fact_batting_summary!G:G, fact_batting_summary!E:E, fact_batting_summary!E1305)</f>
        <v>1137</v>
      </c>
      <c r="B1305" s="9">
        <f>AVERAGEIFS(fact_batting_summary!G:G, fact_batting_summary!E:E,fact_batting_summary!E1305)</f>
        <v>34.454545454545453</v>
      </c>
      <c r="C1305">
        <v>2</v>
      </c>
    </row>
    <row r="1306" spans="1:3" x14ac:dyDescent="0.45">
      <c r="A1306">
        <f>SUMIFS(fact_batting_summary!G:G, fact_batting_summary!E:E, fact_batting_summary!E1306)</f>
        <v>379</v>
      </c>
      <c r="B1306" s="9">
        <f>AVERAGEIFS(fact_batting_summary!G:G, fact_batting_summary!E:E,fact_batting_summary!E1306)</f>
        <v>22.294117647058822</v>
      </c>
      <c r="C1306">
        <v>3</v>
      </c>
    </row>
    <row r="1307" spans="1:3" x14ac:dyDescent="0.45">
      <c r="A1307">
        <f>SUMIFS(fact_batting_summary!G:G, fact_batting_summary!E:E, fact_batting_summary!E1307)</f>
        <v>722</v>
      </c>
      <c r="B1307" s="9">
        <f>AVERAGEIFS(fact_batting_summary!G:G, fact_batting_summary!E:E,fact_batting_summary!E1307)</f>
        <v>25.785714285714285</v>
      </c>
      <c r="C1307">
        <v>4</v>
      </c>
    </row>
    <row r="1308" spans="1:3" x14ac:dyDescent="0.45">
      <c r="A1308">
        <f>SUMIFS(fact_batting_summary!G:G, fact_batting_summary!E:E, fact_batting_summary!E1308)</f>
        <v>257</v>
      </c>
      <c r="B1308" s="9">
        <f>AVERAGEIFS(fact_batting_summary!G:G, fact_batting_summary!E:E,fact_batting_summary!E1308)</f>
        <v>17.133333333333333</v>
      </c>
      <c r="C1308">
        <v>5</v>
      </c>
    </row>
    <row r="1309" spans="1:3" x14ac:dyDescent="0.45">
      <c r="A1309">
        <f>SUMIFS(fact_batting_summary!G:G, fact_batting_summary!E:E, fact_batting_summary!E1309)</f>
        <v>745</v>
      </c>
      <c r="B1309" s="9">
        <f>AVERAGEIFS(fact_batting_summary!G:G, fact_batting_summary!E:E,fact_batting_summary!E1309)</f>
        <v>24.032258064516128</v>
      </c>
      <c r="C1309">
        <v>1</v>
      </c>
    </row>
    <row r="1310" spans="1:3" x14ac:dyDescent="0.45">
      <c r="A1310">
        <f>SUMIFS(fact_batting_summary!G:G, fact_batting_summary!E:E, fact_batting_summary!E1310)</f>
        <v>416</v>
      </c>
      <c r="B1310" s="9">
        <f>AVERAGEIFS(fact_batting_summary!G:G, fact_batting_summary!E:E,fact_batting_summary!E1310)</f>
        <v>18.90909090909091</v>
      </c>
      <c r="C1310">
        <v>2</v>
      </c>
    </row>
    <row r="1311" spans="1:3" x14ac:dyDescent="0.45">
      <c r="A1311">
        <f>SUMIFS(fact_batting_summary!G:G, fact_batting_summary!E:E, fact_batting_summary!E1311)</f>
        <v>1083</v>
      </c>
      <c r="B1311" s="9">
        <f>AVERAGEIFS(fact_batting_summary!G:G, fact_batting_summary!E:E,fact_batting_summary!E1311)</f>
        <v>25.186046511627907</v>
      </c>
      <c r="C1311">
        <v>3</v>
      </c>
    </row>
    <row r="1312" spans="1:3" x14ac:dyDescent="0.45">
      <c r="A1312">
        <f>SUMIFS(fact_batting_summary!G:G, fact_batting_summary!E:E, fact_batting_summary!E1312)</f>
        <v>775</v>
      </c>
      <c r="B1312" s="9">
        <f>AVERAGEIFS(fact_batting_summary!G:G, fact_batting_summary!E:E,fact_batting_summary!E1312)</f>
        <v>25</v>
      </c>
      <c r="C1312">
        <v>4</v>
      </c>
    </row>
    <row r="1313" spans="1:3" x14ac:dyDescent="0.45">
      <c r="A1313">
        <f>SUMIFS(fact_batting_summary!G:G, fact_batting_summary!E:E, fact_batting_summary!E1313)</f>
        <v>729</v>
      </c>
      <c r="B1313" s="9">
        <f>AVERAGEIFS(fact_batting_summary!G:G, fact_batting_summary!E:E,fact_batting_summary!E1313)</f>
        <v>19.184210526315791</v>
      </c>
      <c r="C1313">
        <v>5</v>
      </c>
    </row>
    <row r="1314" spans="1:3" x14ac:dyDescent="0.45">
      <c r="A1314">
        <f>SUMIFS(fact_batting_summary!G:G, fact_batting_summary!E:E, fact_batting_summary!E1314)</f>
        <v>69</v>
      </c>
      <c r="B1314" s="9">
        <f>AVERAGEIFS(fact_batting_summary!G:G, fact_batting_summary!E:E,fact_batting_summary!E1314)</f>
        <v>13.8</v>
      </c>
      <c r="C1314">
        <v>6</v>
      </c>
    </row>
    <row r="1315" spans="1:3" x14ac:dyDescent="0.45">
      <c r="A1315">
        <f>SUMIFS(fact_batting_summary!G:G, fact_batting_summary!E:E, fact_batting_summary!E1315)</f>
        <v>7</v>
      </c>
      <c r="B1315" s="9">
        <f>AVERAGEIFS(fact_batting_summary!G:G, fact_batting_summary!E:E,fact_batting_summary!E1315)</f>
        <v>7</v>
      </c>
      <c r="C1315">
        <v>7</v>
      </c>
    </row>
    <row r="1316" spans="1:3" x14ac:dyDescent="0.45">
      <c r="A1316">
        <f>SUMIFS(fact_batting_summary!G:G, fact_batting_summary!E:E, fact_batting_summary!E1316)</f>
        <v>16</v>
      </c>
      <c r="B1316" s="9">
        <f>AVERAGEIFS(fact_batting_summary!G:G, fact_batting_summary!E:E,fact_batting_summary!E1316)</f>
        <v>5.333333333333333</v>
      </c>
      <c r="C1316">
        <v>8</v>
      </c>
    </row>
    <row r="1317" spans="1:3" x14ac:dyDescent="0.45">
      <c r="A1317">
        <f>SUMIFS(fact_batting_summary!G:G, fact_batting_summary!E:E, fact_batting_summary!E1317)</f>
        <v>9</v>
      </c>
      <c r="B1317" s="9">
        <f>AVERAGEIFS(fact_batting_summary!G:G, fact_batting_summary!E:E,fact_batting_summary!E1317)</f>
        <v>2.25</v>
      </c>
      <c r="C1317">
        <v>9</v>
      </c>
    </row>
    <row r="1318" spans="1:3" x14ac:dyDescent="0.45">
      <c r="A1318">
        <f>SUMIFS(fact_batting_summary!G:G, fact_batting_summary!E:E, fact_batting_summary!E1318)</f>
        <v>100</v>
      </c>
      <c r="B1318" s="9">
        <f>AVERAGEIFS(fact_batting_summary!G:G, fact_batting_summary!E:E,fact_batting_summary!E1318)</f>
        <v>5.2631578947368425</v>
      </c>
      <c r="C1318">
        <v>10</v>
      </c>
    </row>
    <row r="1319" spans="1:3" x14ac:dyDescent="0.45">
      <c r="A1319">
        <f>SUMIFS(fact_batting_summary!G:G, fact_batting_summary!E:E, fact_batting_summary!E1319)</f>
        <v>1385</v>
      </c>
      <c r="B1319" s="9">
        <f>AVERAGEIFS(fact_batting_summary!G:G, fact_batting_summary!E:E,fact_batting_summary!E1319)</f>
        <v>30.777777777777779</v>
      </c>
      <c r="C1319">
        <v>1</v>
      </c>
    </row>
    <row r="1320" spans="1:3" x14ac:dyDescent="0.45">
      <c r="A1320">
        <f>SUMIFS(fact_batting_summary!G:G, fact_batting_summary!E:E, fact_batting_summary!E1320)</f>
        <v>1831</v>
      </c>
      <c r="B1320" s="9">
        <f>AVERAGEIFS(fact_batting_summary!G:G, fact_batting_summary!E:E,fact_batting_summary!E1320)</f>
        <v>39.804347826086953</v>
      </c>
      <c r="C1320">
        <v>2</v>
      </c>
    </row>
    <row r="1321" spans="1:3" x14ac:dyDescent="0.45">
      <c r="A1321">
        <f>SUMIFS(fact_batting_summary!G:G, fact_batting_summary!E:E, fact_batting_summary!E1321)</f>
        <v>1214</v>
      </c>
      <c r="B1321" s="9">
        <f>AVERAGEIFS(fact_batting_summary!G:G, fact_batting_summary!E:E,fact_batting_summary!E1321)</f>
        <v>29.609756097560975</v>
      </c>
      <c r="C1321">
        <v>3</v>
      </c>
    </row>
    <row r="1322" spans="1:3" x14ac:dyDescent="0.45">
      <c r="A1322">
        <f>SUMIFS(fact_batting_summary!G:G, fact_batting_summary!E:E, fact_batting_summary!E1322)</f>
        <v>315</v>
      </c>
      <c r="B1322" s="9">
        <f>AVERAGEIFS(fact_batting_summary!G:G, fact_batting_summary!E:E,fact_batting_summary!E1322)</f>
        <v>16.578947368421051</v>
      </c>
      <c r="C1322">
        <v>4</v>
      </c>
    </row>
    <row r="1323" spans="1:3" x14ac:dyDescent="0.45">
      <c r="A1323">
        <f>SUMIFS(fact_batting_summary!G:G, fact_batting_summary!E:E, fact_batting_summary!E1323)</f>
        <v>404</v>
      </c>
      <c r="B1323" s="9">
        <f>AVERAGEIFS(fact_batting_summary!G:G, fact_batting_summary!E:E,fact_batting_summary!E1323)</f>
        <v>36.727272727272727</v>
      </c>
      <c r="C1323">
        <v>5</v>
      </c>
    </row>
    <row r="1324" spans="1:3" x14ac:dyDescent="0.45">
      <c r="A1324">
        <f>SUMIFS(fact_batting_summary!G:G, fact_batting_summary!E:E, fact_batting_summary!E1324)</f>
        <v>693</v>
      </c>
      <c r="B1324" s="9">
        <f>AVERAGEIFS(fact_batting_summary!G:G, fact_batting_summary!E:E,fact_batting_summary!E1324)</f>
        <v>15.75</v>
      </c>
      <c r="C1324">
        <v>6</v>
      </c>
    </row>
    <row r="1325" spans="1:3" x14ac:dyDescent="0.45">
      <c r="A1325">
        <f>SUMIFS(fact_batting_summary!G:G, fact_batting_summary!E:E, fact_batting_summary!E1325)</f>
        <v>72</v>
      </c>
      <c r="B1325" s="9">
        <f>AVERAGEIFS(fact_batting_summary!G:G, fact_batting_summary!E:E,fact_batting_summary!E1325)</f>
        <v>5.1428571428571432</v>
      </c>
      <c r="C1325">
        <v>7</v>
      </c>
    </row>
    <row r="1326" spans="1:3" x14ac:dyDescent="0.45">
      <c r="A1326">
        <f>SUMIFS(fact_batting_summary!G:G, fact_batting_summary!E:E, fact_batting_summary!E1326)</f>
        <v>320</v>
      </c>
      <c r="B1326" s="9">
        <f>AVERAGEIFS(fact_batting_summary!G:G, fact_batting_summary!E:E,fact_batting_summary!E1326)</f>
        <v>13.333333333333334</v>
      </c>
      <c r="C1326">
        <v>8</v>
      </c>
    </row>
    <row r="1327" spans="1:3" x14ac:dyDescent="0.45">
      <c r="A1327">
        <f>SUMIFS(fact_batting_summary!G:G, fact_batting_summary!E:E, fact_batting_summary!E1327)</f>
        <v>108</v>
      </c>
      <c r="B1327" s="9">
        <f>AVERAGEIFS(fact_batting_summary!G:G, fact_batting_summary!E:E,fact_batting_summary!E1327)</f>
        <v>6</v>
      </c>
      <c r="C1327">
        <v>9</v>
      </c>
    </row>
    <row r="1328" spans="1:3" x14ac:dyDescent="0.45">
      <c r="A1328">
        <f>SUMIFS(fact_batting_summary!G:G, fact_batting_summary!E:E, fact_batting_summary!E1328)</f>
        <v>51</v>
      </c>
      <c r="B1328" s="9">
        <f>AVERAGEIFS(fact_batting_summary!G:G, fact_batting_summary!E:E,fact_batting_summary!E1328)</f>
        <v>4.6363636363636367</v>
      </c>
      <c r="C1328">
        <v>10</v>
      </c>
    </row>
    <row r="1329" spans="1:3" x14ac:dyDescent="0.45">
      <c r="A1329">
        <f>SUMIFS(fact_batting_summary!G:G, fact_batting_summary!E:E, fact_batting_summary!E1329)</f>
        <v>1593</v>
      </c>
      <c r="B1329" s="9">
        <f>AVERAGEIFS(fact_batting_summary!G:G, fact_batting_summary!E:E,fact_batting_summary!E1329)</f>
        <v>35.4</v>
      </c>
      <c r="C1329">
        <v>1</v>
      </c>
    </row>
    <row r="1330" spans="1:3" x14ac:dyDescent="0.45">
      <c r="A1330">
        <f>SUMIFS(fact_batting_summary!G:G, fact_batting_summary!E:E, fact_batting_summary!E1330)</f>
        <v>924</v>
      </c>
      <c r="B1330" s="9">
        <f>AVERAGEIFS(fact_batting_summary!G:G, fact_batting_summary!E:E,fact_batting_summary!E1330)</f>
        <v>42</v>
      </c>
      <c r="C1330">
        <v>2</v>
      </c>
    </row>
    <row r="1331" spans="1:3" x14ac:dyDescent="0.45">
      <c r="A1331">
        <f>SUMIFS(fact_batting_summary!G:G, fact_batting_summary!E:E, fact_batting_summary!E1331)</f>
        <v>345</v>
      </c>
      <c r="B1331" s="9">
        <f>AVERAGEIFS(fact_batting_summary!G:G, fact_batting_summary!E:E,fact_batting_summary!E1331)</f>
        <v>23</v>
      </c>
      <c r="C1331">
        <v>3</v>
      </c>
    </row>
    <row r="1332" spans="1:3" x14ac:dyDescent="0.45">
      <c r="A1332">
        <f>SUMIFS(fact_batting_summary!G:G, fact_batting_summary!E:E, fact_batting_summary!E1332)</f>
        <v>689</v>
      </c>
      <c r="B1332" s="9">
        <f>AVERAGEIFS(fact_batting_summary!G:G, fact_batting_summary!E:E,fact_batting_summary!E1332)</f>
        <v>19.138888888888889</v>
      </c>
      <c r="C1332">
        <v>4</v>
      </c>
    </row>
    <row r="1333" spans="1:3" x14ac:dyDescent="0.45">
      <c r="A1333">
        <f>SUMIFS(fact_batting_summary!G:G, fact_batting_summary!E:E, fact_batting_summary!E1333)</f>
        <v>725</v>
      </c>
      <c r="B1333" s="9">
        <f>AVERAGEIFS(fact_batting_summary!G:G, fact_batting_summary!E:E,fact_batting_summary!E1333)</f>
        <v>20.714285714285715</v>
      </c>
      <c r="C1333">
        <v>5</v>
      </c>
    </row>
    <row r="1334" spans="1:3" x14ac:dyDescent="0.45">
      <c r="A1334">
        <f>SUMIFS(fact_batting_summary!G:G, fact_batting_summary!E:E, fact_batting_summary!E1334)</f>
        <v>533</v>
      </c>
      <c r="B1334" s="9">
        <f>AVERAGEIFS(fact_batting_summary!G:G, fact_batting_summary!E:E,fact_batting_summary!E1334)</f>
        <v>15.676470588235293</v>
      </c>
      <c r="C1334">
        <v>6</v>
      </c>
    </row>
    <row r="1335" spans="1:3" x14ac:dyDescent="0.45">
      <c r="A1335">
        <f>SUMIFS(fact_batting_summary!G:G, fact_batting_summary!E:E, fact_batting_summary!E1335)</f>
        <v>450</v>
      </c>
      <c r="B1335" s="9">
        <f>AVERAGEIFS(fact_batting_summary!G:G, fact_batting_summary!E:E,fact_batting_summary!E1335)</f>
        <v>12.5</v>
      </c>
      <c r="C1335">
        <v>7</v>
      </c>
    </row>
    <row r="1336" spans="1:3" x14ac:dyDescent="0.45">
      <c r="A1336">
        <f>SUMIFS(fact_batting_summary!G:G, fact_batting_summary!E:E, fact_batting_summary!E1336)</f>
        <v>44</v>
      </c>
      <c r="B1336" s="9">
        <f>AVERAGEIFS(fact_batting_summary!G:G, fact_batting_summary!E:E,fact_batting_summary!E1336)</f>
        <v>8.8000000000000007</v>
      </c>
      <c r="C1336">
        <v>8</v>
      </c>
    </row>
    <row r="1337" spans="1:3" x14ac:dyDescent="0.45">
      <c r="A1337">
        <f>SUMIFS(fact_batting_summary!G:G, fact_batting_summary!E:E, fact_batting_summary!E1337)</f>
        <v>7</v>
      </c>
      <c r="B1337" s="9">
        <f>AVERAGEIFS(fact_batting_summary!G:G, fact_batting_summary!E:E,fact_batting_summary!E1337)</f>
        <v>2.3333333333333335</v>
      </c>
      <c r="C1337">
        <v>9</v>
      </c>
    </row>
    <row r="1338" spans="1:3" x14ac:dyDescent="0.45">
      <c r="A1338">
        <f>SUMIFS(fact_batting_summary!G:G, fact_batting_summary!E:E, fact_batting_summary!E1338)</f>
        <v>7</v>
      </c>
      <c r="B1338" s="9">
        <f>AVERAGEIFS(fact_batting_summary!G:G, fact_batting_summary!E:E,fact_batting_summary!E1338)</f>
        <v>3.5</v>
      </c>
      <c r="C1338">
        <v>10</v>
      </c>
    </row>
    <row r="1339" spans="1:3" x14ac:dyDescent="0.45">
      <c r="A1339">
        <f>SUMIFS(fact_batting_summary!G:G, fact_batting_summary!E:E, fact_batting_summary!E1339)</f>
        <v>819</v>
      </c>
      <c r="B1339" s="9">
        <f>AVERAGEIFS(fact_batting_summary!G:G, fact_batting_summary!E:E,fact_batting_summary!E1339)</f>
        <v>22.135135135135137</v>
      </c>
      <c r="C1339">
        <v>1</v>
      </c>
    </row>
    <row r="1340" spans="1:3" x14ac:dyDescent="0.45">
      <c r="A1340">
        <f>SUMIFS(fact_batting_summary!G:G, fact_batting_summary!E:E, fact_batting_summary!E1340)</f>
        <v>1851</v>
      </c>
      <c r="B1340" s="9">
        <f>AVERAGEIFS(fact_batting_summary!G:G, fact_batting_summary!E:E,fact_batting_summary!E1340)</f>
        <v>37.020000000000003</v>
      </c>
      <c r="C1340">
        <v>2</v>
      </c>
    </row>
    <row r="1341" spans="1:3" x14ac:dyDescent="0.45">
      <c r="A1341">
        <f>SUMIFS(fact_batting_summary!G:G, fact_batting_summary!E:E, fact_batting_summary!E1341)</f>
        <v>507</v>
      </c>
      <c r="B1341" s="9">
        <f>AVERAGEIFS(fact_batting_summary!G:G, fact_batting_summary!E:E,fact_batting_summary!E1341)</f>
        <v>39</v>
      </c>
      <c r="C1341">
        <v>3</v>
      </c>
    </row>
    <row r="1342" spans="1:3" x14ac:dyDescent="0.45">
      <c r="A1342">
        <f>SUMIFS(fact_batting_summary!G:G, fact_batting_summary!E:E, fact_batting_summary!E1342)</f>
        <v>960</v>
      </c>
      <c r="B1342" s="9">
        <f>AVERAGEIFS(fact_batting_summary!G:G, fact_batting_summary!E:E,fact_batting_summary!E1342)</f>
        <v>23.414634146341463</v>
      </c>
      <c r="C1342">
        <v>4</v>
      </c>
    </row>
    <row r="1343" spans="1:3" x14ac:dyDescent="0.45">
      <c r="A1343">
        <f>SUMIFS(fact_batting_summary!G:G, fact_batting_summary!E:E, fact_batting_summary!E1343)</f>
        <v>864</v>
      </c>
      <c r="B1343" s="9">
        <f>AVERAGEIFS(fact_batting_summary!G:G, fact_batting_summary!E:E,fact_batting_summary!E1343)</f>
        <v>23.351351351351351</v>
      </c>
      <c r="C1343">
        <v>5</v>
      </c>
    </row>
    <row r="1344" spans="1:3" x14ac:dyDescent="0.45">
      <c r="A1344">
        <f>SUMIFS(fact_batting_summary!G:G, fact_batting_summary!E:E, fact_batting_summary!E1344)</f>
        <v>459</v>
      </c>
      <c r="B1344" s="9">
        <f>AVERAGEIFS(fact_batting_summary!G:G, fact_batting_summary!E:E,fact_batting_summary!E1344)</f>
        <v>13.909090909090908</v>
      </c>
      <c r="C1344">
        <v>6</v>
      </c>
    </row>
    <row r="1345" spans="1:3" x14ac:dyDescent="0.45">
      <c r="A1345">
        <f>SUMIFS(fact_batting_summary!G:G, fact_batting_summary!E:E, fact_batting_summary!E1345)</f>
        <v>304</v>
      </c>
      <c r="B1345" s="9">
        <f>AVERAGEIFS(fact_batting_summary!G:G, fact_batting_summary!E:E,fact_batting_summary!E1345)</f>
        <v>11.692307692307692</v>
      </c>
      <c r="C1345">
        <v>7</v>
      </c>
    </row>
    <row r="1346" spans="1:3" x14ac:dyDescent="0.45">
      <c r="A1346">
        <f>SUMIFS(fact_batting_summary!G:G, fact_batting_summary!E:E, fact_batting_summary!E1346)</f>
        <v>2</v>
      </c>
      <c r="B1346" s="9">
        <f>AVERAGEIFS(fact_batting_summary!G:G, fact_batting_summary!E:E,fact_batting_summary!E1346)</f>
        <v>2</v>
      </c>
      <c r="C1346">
        <v>8</v>
      </c>
    </row>
    <row r="1347" spans="1:3" x14ac:dyDescent="0.45">
      <c r="A1347">
        <f>SUMIFS(fact_batting_summary!G:G, fact_batting_summary!E:E, fact_batting_summary!E1347)</f>
        <v>23</v>
      </c>
      <c r="B1347" s="9">
        <f>AVERAGEIFS(fact_batting_summary!G:G, fact_batting_summary!E:E,fact_batting_summary!E1347)</f>
        <v>3.8333333333333335</v>
      </c>
      <c r="C1347">
        <v>9</v>
      </c>
    </row>
    <row r="1348" spans="1:3" x14ac:dyDescent="0.45">
      <c r="A1348">
        <f>SUMIFS(fact_batting_summary!G:G, fact_batting_summary!E:E, fact_batting_summary!E1348)</f>
        <v>12</v>
      </c>
      <c r="B1348" s="9">
        <f>AVERAGEIFS(fact_batting_summary!G:G, fact_batting_summary!E:E,fact_batting_summary!E1348)</f>
        <v>2.4</v>
      </c>
      <c r="C1348">
        <v>10</v>
      </c>
    </row>
    <row r="1349" spans="1:3" x14ac:dyDescent="0.45">
      <c r="A1349">
        <f>SUMIFS(fact_batting_summary!G:G, fact_batting_summary!E:E, fact_batting_summary!E1349)</f>
        <v>463</v>
      </c>
      <c r="B1349" s="9">
        <f>AVERAGEIFS(fact_batting_summary!G:G, fact_batting_summary!E:E,fact_batting_summary!E1349)</f>
        <v>27.235294117647058</v>
      </c>
      <c r="C1349">
        <v>1</v>
      </c>
    </row>
    <row r="1350" spans="1:3" x14ac:dyDescent="0.45">
      <c r="A1350">
        <f>SUMIFS(fact_batting_summary!G:G, fact_batting_summary!E:E, fact_batting_summary!E1350)</f>
        <v>1392</v>
      </c>
      <c r="B1350" s="9">
        <f>AVERAGEIFS(fact_batting_summary!G:G, fact_batting_summary!E:E,fact_batting_summary!E1350)</f>
        <v>34.799999999999997</v>
      </c>
      <c r="C1350">
        <v>2</v>
      </c>
    </row>
    <row r="1351" spans="1:3" x14ac:dyDescent="0.45">
      <c r="A1351">
        <f>SUMIFS(fact_batting_summary!G:G, fact_batting_summary!E:E, fact_batting_summary!E1351)</f>
        <v>277</v>
      </c>
      <c r="B1351" s="9">
        <f>AVERAGEIFS(fact_batting_summary!G:G, fact_batting_summary!E:E,fact_batting_summary!E1351)</f>
        <v>21.307692307692307</v>
      </c>
      <c r="C1351">
        <v>3</v>
      </c>
    </row>
    <row r="1352" spans="1:3" x14ac:dyDescent="0.45">
      <c r="A1352">
        <f>SUMIFS(fact_batting_summary!G:G, fact_batting_summary!E:E, fact_batting_summary!E1352)</f>
        <v>758</v>
      </c>
      <c r="B1352" s="9">
        <f>AVERAGEIFS(fact_batting_summary!G:G, fact_batting_summary!E:E,fact_batting_summary!E1352)</f>
        <v>27.071428571428573</v>
      </c>
      <c r="C1352">
        <v>4</v>
      </c>
    </row>
    <row r="1353" spans="1:3" x14ac:dyDescent="0.45">
      <c r="A1353">
        <f>SUMIFS(fact_batting_summary!G:G, fact_batting_summary!E:E, fact_batting_summary!E1353)</f>
        <v>1509</v>
      </c>
      <c r="B1353" s="9">
        <f>AVERAGEIFS(fact_batting_summary!G:G, fact_batting_summary!E:E,fact_batting_summary!E1353)</f>
        <v>39.710526315789473</v>
      </c>
      <c r="C1353">
        <v>1</v>
      </c>
    </row>
    <row r="1354" spans="1:3" x14ac:dyDescent="0.45">
      <c r="A1354">
        <f>SUMIFS(fact_batting_summary!G:G, fact_batting_summary!E:E, fact_batting_summary!E1354)</f>
        <v>1048</v>
      </c>
      <c r="B1354" s="9">
        <f>AVERAGEIFS(fact_batting_summary!G:G, fact_batting_summary!E:E,fact_batting_summary!E1354)</f>
        <v>24.952380952380953</v>
      </c>
      <c r="C1354">
        <v>2</v>
      </c>
    </row>
    <row r="1355" spans="1:3" x14ac:dyDescent="0.45">
      <c r="A1355">
        <f>SUMIFS(fact_batting_summary!G:G, fact_batting_summary!E:E, fact_batting_summary!E1355)</f>
        <v>1304</v>
      </c>
      <c r="B1355" s="9">
        <f>AVERAGEIFS(fact_batting_summary!G:G, fact_batting_summary!E:E,fact_batting_summary!E1355)</f>
        <v>28.977777777777778</v>
      </c>
      <c r="C1355">
        <v>3</v>
      </c>
    </row>
    <row r="1356" spans="1:3" x14ac:dyDescent="0.45">
      <c r="A1356">
        <f>SUMIFS(fact_batting_summary!G:G, fact_batting_summary!E:E, fact_batting_summary!E1356)</f>
        <v>16</v>
      </c>
      <c r="B1356" s="9">
        <f>AVERAGEIFS(fact_batting_summary!G:G, fact_batting_summary!E:E,fact_batting_summary!E1356)</f>
        <v>8</v>
      </c>
      <c r="C1356">
        <v>4</v>
      </c>
    </row>
    <row r="1357" spans="1:3" x14ac:dyDescent="0.45">
      <c r="A1357">
        <f>SUMIFS(fact_batting_summary!G:G, fact_batting_summary!E:E, fact_batting_summary!E1357)</f>
        <v>354</v>
      </c>
      <c r="B1357" s="9">
        <f>AVERAGEIFS(fact_batting_summary!G:G, fact_batting_summary!E:E,fact_batting_summary!E1357)</f>
        <v>11.419354838709678</v>
      </c>
      <c r="C1357">
        <v>5</v>
      </c>
    </row>
    <row r="1358" spans="1:3" x14ac:dyDescent="0.45">
      <c r="A1358">
        <f>SUMIFS(fact_batting_summary!G:G, fact_batting_summary!E:E, fact_batting_summary!E1358)</f>
        <v>854</v>
      </c>
      <c r="B1358" s="9">
        <f>AVERAGEIFS(fact_batting_summary!G:G, fact_batting_summary!E:E,fact_batting_summary!E1358)</f>
        <v>21.35</v>
      </c>
      <c r="C1358">
        <v>6</v>
      </c>
    </row>
    <row r="1359" spans="1:3" x14ac:dyDescent="0.45">
      <c r="A1359">
        <f>SUMIFS(fact_batting_summary!G:G, fact_batting_summary!E:E, fact_batting_summary!E1359)</f>
        <v>302</v>
      </c>
      <c r="B1359" s="9">
        <f>AVERAGEIFS(fact_batting_summary!G:G, fact_batting_summary!E:E,fact_batting_summary!E1359)</f>
        <v>11.185185185185185</v>
      </c>
      <c r="C1359">
        <v>7</v>
      </c>
    </row>
    <row r="1360" spans="1:3" x14ac:dyDescent="0.45">
      <c r="A1360">
        <f>SUMIFS(fact_batting_summary!G:G, fact_batting_summary!E:E, fact_batting_summary!E1360)</f>
        <v>21</v>
      </c>
      <c r="B1360" s="9">
        <f>AVERAGEIFS(fact_batting_summary!G:G, fact_batting_summary!E:E,fact_batting_summary!E1360)</f>
        <v>7</v>
      </c>
      <c r="C1360">
        <v>1</v>
      </c>
    </row>
    <row r="1361" spans="1:3" x14ac:dyDescent="0.45">
      <c r="A1361">
        <f>SUMIFS(fact_batting_summary!G:G, fact_batting_summary!E:E, fact_batting_summary!E1361)</f>
        <v>86</v>
      </c>
      <c r="B1361" s="9">
        <f>AVERAGEIFS(fact_batting_summary!G:G, fact_batting_summary!E:E,fact_batting_summary!E1361)</f>
        <v>17.2</v>
      </c>
      <c r="C1361">
        <v>2</v>
      </c>
    </row>
    <row r="1362" spans="1:3" x14ac:dyDescent="0.45">
      <c r="A1362">
        <f>SUMIFS(fact_batting_summary!G:G, fact_batting_summary!E:E, fact_batting_summary!E1362)</f>
        <v>576</v>
      </c>
      <c r="B1362" s="9">
        <f>AVERAGEIFS(fact_batting_summary!G:G, fact_batting_summary!E:E,fact_batting_summary!E1362)</f>
        <v>26.181818181818183</v>
      </c>
      <c r="C1362">
        <v>3</v>
      </c>
    </row>
    <row r="1363" spans="1:3" x14ac:dyDescent="0.45">
      <c r="A1363">
        <f>SUMIFS(fact_batting_summary!G:G, fact_batting_summary!E:E, fact_batting_summary!E1363)</f>
        <v>1157</v>
      </c>
      <c r="B1363" s="9">
        <f>AVERAGEIFS(fact_batting_summary!G:G, fact_batting_summary!E:E,fact_batting_summary!E1363)</f>
        <v>26.295454545454547</v>
      </c>
      <c r="C1363">
        <v>4</v>
      </c>
    </row>
    <row r="1364" spans="1:3" x14ac:dyDescent="0.45">
      <c r="A1364">
        <f>SUMIFS(fact_batting_summary!G:G, fact_batting_summary!E:E, fact_batting_summary!E1364)</f>
        <v>648</v>
      </c>
      <c r="B1364" s="9">
        <f>AVERAGEIFS(fact_batting_summary!G:G, fact_batting_summary!E:E,fact_batting_summary!E1364)</f>
        <v>30.857142857142858</v>
      </c>
      <c r="C1364">
        <v>5</v>
      </c>
    </row>
    <row r="1365" spans="1:3" x14ac:dyDescent="0.45">
      <c r="A1365">
        <f>SUMIFS(fact_batting_summary!G:G, fact_batting_summary!E:E, fact_batting_summary!E1365)</f>
        <v>1593</v>
      </c>
      <c r="B1365" s="9">
        <f>AVERAGEIFS(fact_batting_summary!G:G, fact_batting_summary!E:E,fact_batting_summary!E1365)</f>
        <v>35.4</v>
      </c>
      <c r="C1365">
        <v>1</v>
      </c>
    </row>
    <row r="1366" spans="1:3" x14ac:dyDescent="0.45">
      <c r="A1366">
        <f>SUMIFS(fact_batting_summary!G:G, fact_batting_summary!E:E, fact_batting_summary!E1366)</f>
        <v>924</v>
      </c>
      <c r="B1366" s="9">
        <f>AVERAGEIFS(fact_batting_summary!G:G, fact_batting_summary!E:E,fact_batting_summary!E1366)</f>
        <v>42</v>
      </c>
      <c r="C1366">
        <v>2</v>
      </c>
    </row>
    <row r="1367" spans="1:3" x14ac:dyDescent="0.45">
      <c r="A1367">
        <f>SUMIFS(fact_batting_summary!G:G, fact_batting_summary!E:E, fact_batting_summary!E1367)</f>
        <v>450</v>
      </c>
      <c r="B1367" s="9">
        <f>AVERAGEIFS(fact_batting_summary!G:G, fact_batting_summary!E:E,fact_batting_summary!E1367)</f>
        <v>12.5</v>
      </c>
      <c r="C1367">
        <v>3</v>
      </c>
    </row>
    <row r="1368" spans="1:3" x14ac:dyDescent="0.45">
      <c r="A1368">
        <f>SUMIFS(fact_batting_summary!G:G, fact_batting_summary!E:E, fact_batting_summary!E1368)</f>
        <v>533</v>
      </c>
      <c r="B1368" s="9">
        <f>AVERAGEIFS(fact_batting_summary!G:G, fact_batting_summary!E:E,fact_batting_summary!E1368)</f>
        <v>15.676470588235293</v>
      </c>
      <c r="C1368">
        <v>4</v>
      </c>
    </row>
    <row r="1369" spans="1:3" x14ac:dyDescent="0.45">
      <c r="A1369">
        <f>SUMIFS(fact_batting_summary!G:G, fact_batting_summary!E:E, fact_batting_summary!E1369)</f>
        <v>745</v>
      </c>
      <c r="B1369" s="9">
        <f>AVERAGEIFS(fact_batting_summary!G:G, fact_batting_summary!E:E,fact_batting_summary!E1369)</f>
        <v>24.032258064516128</v>
      </c>
      <c r="C1369">
        <v>1</v>
      </c>
    </row>
    <row r="1370" spans="1:3" x14ac:dyDescent="0.45">
      <c r="A1370">
        <f>SUMIFS(fact_batting_summary!G:G, fact_batting_summary!E:E, fact_batting_summary!E1370)</f>
        <v>416</v>
      </c>
      <c r="B1370" s="9">
        <f>AVERAGEIFS(fact_batting_summary!G:G, fact_batting_summary!E:E,fact_batting_summary!E1370)</f>
        <v>18.90909090909091</v>
      </c>
      <c r="C1370">
        <v>2</v>
      </c>
    </row>
    <row r="1371" spans="1:3" x14ac:dyDescent="0.45">
      <c r="A1371">
        <f>SUMIFS(fact_batting_summary!G:G, fact_batting_summary!E:E, fact_batting_summary!E1371)</f>
        <v>1083</v>
      </c>
      <c r="B1371" s="9">
        <f>AVERAGEIFS(fact_batting_summary!G:G, fact_batting_summary!E:E,fact_batting_summary!E1371)</f>
        <v>25.186046511627907</v>
      </c>
      <c r="C1371">
        <v>3</v>
      </c>
    </row>
    <row r="1372" spans="1:3" x14ac:dyDescent="0.45">
      <c r="A1372">
        <f>SUMIFS(fact_batting_summary!G:G, fact_batting_summary!E:E, fact_batting_summary!E1372)</f>
        <v>775</v>
      </c>
      <c r="B1372" s="9">
        <f>AVERAGEIFS(fact_batting_summary!G:G, fact_batting_summary!E:E,fact_batting_summary!E1372)</f>
        <v>25</v>
      </c>
      <c r="C1372">
        <v>4</v>
      </c>
    </row>
    <row r="1373" spans="1:3" x14ac:dyDescent="0.45">
      <c r="A1373">
        <f>SUMIFS(fact_batting_summary!G:G, fact_batting_summary!E:E, fact_batting_summary!E1373)</f>
        <v>729</v>
      </c>
      <c r="B1373" s="9">
        <f>AVERAGEIFS(fact_batting_summary!G:G, fact_batting_summary!E:E,fact_batting_summary!E1373)</f>
        <v>19.184210526315791</v>
      </c>
      <c r="C1373">
        <v>5</v>
      </c>
    </row>
    <row r="1374" spans="1:3" x14ac:dyDescent="0.45">
      <c r="A1374">
        <f>SUMIFS(fact_batting_summary!G:G, fact_batting_summary!E:E, fact_batting_summary!E1374)</f>
        <v>69</v>
      </c>
      <c r="B1374" s="9">
        <f>AVERAGEIFS(fact_batting_summary!G:G, fact_batting_summary!E:E,fact_batting_summary!E1374)</f>
        <v>13.8</v>
      </c>
      <c r="C1374">
        <v>6</v>
      </c>
    </row>
    <row r="1375" spans="1:3" x14ac:dyDescent="0.45">
      <c r="A1375">
        <f>SUMIFS(fact_batting_summary!G:G, fact_batting_summary!E:E, fact_batting_summary!E1375)</f>
        <v>192</v>
      </c>
      <c r="B1375" s="9">
        <f>AVERAGEIFS(fact_batting_summary!G:G, fact_batting_summary!E:E,fact_batting_summary!E1375)</f>
        <v>12</v>
      </c>
      <c r="C1375">
        <v>7</v>
      </c>
    </row>
    <row r="1376" spans="1:3" x14ac:dyDescent="0.45">
      <c r="A1376">
        <f>SUMIFS(fact_batting_summary!G:G, fact_batting_summary!E:E, fact_batting_summary!E1376)</f>
        <v>48</v>
      </c>
      <c r="B1376" s="9">
        <f>AVERAGEIFS(fact_batting_summary!G:G, fact_batting_summary!E:E,fact_batting_summary!E1376)</f>
        <v>4.3636363636363633</v>
      </c>
      <c r="C1376">
        <v>8</v>
      </c>
    </row>
    <row r="1377" spans="1:3" x14ac:dyDescent="0.45">
      <c r="A1377">
        <f>SUMIFS(fact_batting_summary!G:G, fact_batting_summary!E:E, fact_batting_summary!E1377)</f>
        <v>948</v>
      </c>
      <c r="B1377" s="9">
        <f>AVERAGEIFS(fact_batting_summary!G:G, fact_batting_summary!E:E,fact_batting_summary!E1377)</f>
        <v>31.6</v>
      </c>
      <c r="C1377">
        <v>1</v>
      </c>
    </row>
    <row r="1378" spans="1:3" x14ac:dyDescent="0.45">
      <c r="A1378">
        <f>SUMIFS(fact_batting_summary!G:G, fact_batting_summary!E:E, fact_batting_summary!E1378)</f>
        <v>1516</v>
      </c>
      <c r="B1378" s="9">
        <f>AVERAGEIFS(fact_batting_summary!G:G, fact_batting_summary!E:E,fact_batting_summary!E1378)</f>
        <v>40.972972972972975</v>
      </c>
      <c r="C1378">
        <v>2</v>
      </c>
    </row>
    <row r="1379" spans="1:3" x14ac:dyDescent="0.45">
      <c r="A1379">
        <f>SUMIFS(fact_batting_summary!G:G, fact_batting_summary!E:E, fact_batting_summary!E1379)</f>
        <v>695</v>
      </c>
      <c r="B1379" s="9">
        <f>AVERAGEIFS(fact_batting_summary!G:G, fact_batting_summary!E:E,fact_batting_summary!E1379)</f>
        <v>18.783783783783782</v>
      </c>
      <c r="C1379">
        <v>3</v>
      </c>
    </row>
    <row r="1380" spans="1:3" x14ac:dyDescent="0.45">
      <c r="A1380">
        <f>SUMIFS(fact_batting_summary!G:G, fact_batting_summary!E:E, fact_batting_summary!E1380)</f>
        <v>645</v>
      </c>
      <c r="B1380" s="9">
        <f>AVERAGEIFS(fact_batting_summary!G:G, fact_batting_summary!E:E,fact_batting_summary!E1380)</f>
        <v>21.5</v>
      </c>
      <c r="C1380">
        <v>4</v>
      </c>
    </row>
    <row r="1381" spans="1:3" x14ac:dyDescent="0.45">
      <c r="A1381">
        <f>SUMIFS(fact_batting_summary!G:G, fact_batting_summary!E:E, fact_batting_summary!E1381)</f>
        <v>514</v>
      </c>
      <c r="B1381" s="9">
        <f>AVERAGEIFS(fact_batting_summary!G:G, fact_batting_summary!E:E,fact_batting_summary!E1381)</f>
        <v>13.526315789473685</v>
      </c>
      <c r="C1381">
        <v>5</v>
      </c>
    </row>
    <row r="1382" spans="1:3" x14ac:dyDescent="0.45">
      <c r="A1382">
        <f>SUMIFS(fact_batting_summary!G:G, fact_batting_summary!E:E, fact_batting_summary!E1382)</f>
        <v>815</v>
      </c>
      <c r="B1382" s="9">
        <f>AVERAGEIFS(fact_batting_summary!G:G, fact_batting_summary!E:E,fact_batting_summary!E1382)</f>
        <v>25.46875</v>
      </c>
      <c r="C1382">
        <v>1</v>
      </c>
    </row>
    <row r="1383" spans="1:3" x14ac:dyDescent="0.45">
      <c r="A1383">
        <f>SUMIFS(fact_batting_summary!G:G, fact_batting_summary!E:E, fact_batting_summary!E1383)</f>
        <v>1137</v>
      </c>
      <c r="B1383" s="9">
        <f>AVERAGEIFS(fact_batting_summary!G:G, fact_batting_summary!E:E,fact_batting_summary!E1383)</f>
        <v>34.454545454545453</v>
      </c>
      <c r="C1383">
        <v>2</v>
      </c>
    </row>
    <row r="1384" spans="1:3" x14ac:dyDescent="0.45">
      <c r="A1384">
        <f>SUMIFS(fact_batting_summary!G:G, fact_batting_summary!E:E, fact_batting_summary!E1384)</f>
        <v>379</v>
      </c>
      <c r="B1384" s="9">
        <f>AVERAGEIFS(fact_batting_summary!G:G, fact_batting_summary!E:E,fact_batting_summary!E1384)</f>
        <v>22.294117647058822</v>
      </c>
      <c r="C1384">
        <v>3</v>
      </c>
    </row>
    <row r="1385" spans="1:3" x14ac:dyDescent="0.45">
      <c r="A1385">
        <f>SUMIFS(fact_batting_summary!G:G, fact_batting_summary!E:E, fact_batting_summary!E1385)</f>
        <v>722</v>
      </c>
      <c r="B1385" s="9">
        <f>AVERAGEIFS(fact_batting_summary!G:G, fact_batting_summary!E:E,fact_batting_summary!E1385)</f>
        <v>25.785714285714285</v>
      </c>
      <c r="C1385">
        <v>4</v>
      </c>
    </row>
    <row r="1386" spans="1:3" x14ac:dyDescent="0.45">
      <c r="A1386">
        <f>SUMIFS(fact_batting_summary!G:G, fact_batting_summary!E:E, fact_batting_summary!E1386)</f>
        <v>295</v>
      </c>
      <c r="B1386" s="9">
        <f>AVERAGEIFS(fact_batting_summary!G:G, fact_batting_summary!E:E,fact_batting_summary!E1386)</f>
        <v>15.526315789473685</v>
      </c>
      <c r="C1386">
        <v>5</v>
      </c>
    </row>
    <row r="1387" spans="1:3" x14ac:dyDescent="0.45">
      <c r="A1387">
        <f>SUMIFS(fact_batting_summary!G:G, fact_batting_summary!E:E, fact_batting_summary!E1387)</f>
        <v>257</v>
      </c>
      <c r="B1387" s="9">
        <f>AVERAGEIFS(fact_batting_summary!G:G, fact_batting_summary!E:E,fact_batting_summary!E1387)</f>
        <v>17.133333333333333</v>
      </c>
      <c r="C1387">
        <v>6</v>
      </c>
    </row>
    <row r="1388" spans="1:3" x14ac:dyDescent="0.45">
      <c r="A1388">
        <f>SUMIFS(fact_batting_summary!G:G, fact_batting_summary!E:E, fact_batting_summary!E1388)</f>
        <v>505</v>
      </c>
      <c r="B1388" s="9">
        <f>AVERAGEIFS(fact_batting_summary!G:G, fact_batting_summary!E:E,fact_batting_summary!E1388)</f>
        <v>17.413793103448278</v>
      </c>
      <c r="C1388">
        <v>7</v>
      </c>
    </row>
    <row r="1389" spans="1:3" x14ac:dyDescent="0.45">
      <c r="A1389">
        <f>SUMIFS(fact_batting_summary!G:G, fact_batting_summary!E:E, fact_batting_summary!E1389)</f>
        <v>238</v>
      </c>
      <c r="B1389" s="9">
        <f>AVERAGEIFS(fact_batting_summary!G:G, fact_batting_summary!E:E,fact_batting_summary!E1389)</f>
        <v>9.9166666666666661</v>
      </c>
      <c r="C1389">
        <v>8</v>
      </c>
    </row>
    <row r="1390" spans="1:3" x14ac:dyDescent="0.45">
      <c r="A1390">
        <f>SUMIFS(fact_batting_summary!G:G, fact_batting_summary!E:E, fact_batting_summary!E1390)</f>
        <v>79</v>
      </c>
      <c r="B1390" s="9">
        <f>AVERAGEIFS(fact_batting_summary!G:G, fact_batting_summary!E:E,fact_batting_summary!E1390)</f>
        <v>4.6470588235294121</v>
      </c>
      <c r="C1390">
        <v>9</v>
      </c>
    </row>
    <row r="1391" spans="1:3" x14ac:dyDescent="0.45">
      <c r="A1391">
        <f>SUMIFS(fact_batting_summary!G:G, fact_batting_summary!E:E, fact_batting_summary!E1391)</f>
        <v>1509</v>
      </c>
      <c r="B1391" s="9">
        <f>AVERAGEIFS(fact_batting_summary!G:G, fact_batting_summary!E:E,fact_batting_summary!E1391)</f>
        <v>39.710526315789473</v>
      </c>
      <c r="C1391">
        <v>1</v>
      </c>
    </row>
    <row r="1392" spans="1:3" x14ac:dyDescent="0.45">
      <c r="A1392">
        <f>SUMIFS(fact_batting_summary!G:G, fact_batting_summary!E:E, fact_batting_summary!E1392)</f>
        <v>1048</v>
      </c>
      <c r="B1392" s="9">
        <f>AVERAGEIFS(fact_batting_summary!G:G, fact_batting_summary!E:E,fact_batting_summary!E1392)</f>
        <v>24.952380952380953</v>
      </c>
      <c r="C1392">
        <v>2</v>
      </c>
    </row>
    <row r="1393" spans="1:3" x14ac:dyDescent="0.45">
      <c r="A1393">
        <f>SUMIFS(fact_batting_summary!G:G, fact_batting_summary!E:E, fact_batting_summary!E1393)</f>
        <v>1304</v>
      </c>
      <c r="B1393" s="9">
        <f>AVERAGEIFS(fact_batting_summary!G:G, fact_batting_summary!E:E,fact_batting_summary!E1393)</f>
        <v>28.977777777777778</v>
      </c>
      <c r="C1393">
        <v>3</v>
      </c>
    </row>
    <row r="1394" spans="1:3" x14ac:dyDescent="0.45">
      <c r="A1394">
        <f>SUMIFS(fact_batting_summary!G:G, fact_batting_summary!E:E, fact_batting_summary!E1394)</f>
        <v>33</v>
      </c>
      <c r="B1394" s="9">
        <f>AVERAGEIFS(fact_batting_summary!G:G, fact_batting_summary!E:E,fact_batting_summary!E1394)</f>
        <v>16.5</v>
      </c>
      <c r="C1394">
        <v>4</v>
      </c>
    </row>
    <row r="1395" spans="1:3" x14ac:dyDescent="0.45">
      <c r="A1395">
        <f>SUMIFS(fact_batting_summary!G:G, fact_batting_summary!E:E, fact_batting_summary!E1395)</f>
        <v>854</v>
      </c>
      <c r="B1395" s="9">
        <f>AVERAGEIFS(fact_batting_summary!G:G, fact_batting_summary!E:E,fact_batting_summary!E1395)</f>
        <v>21.35</v>
      </c>
      <c r="C1395">
        <v>5</v>
      </c>
    </row>
    <row r="1396" spans="1:3" x14ac:dyDescent="0.45">
      <c r="A1396">
        <f>SUMIFS(fact_batting_summary!G:G, fact_batting_summary!E:E, fact_batting_summary!E1396)</f>
        <v>354</v>
      </c>
      <c r="B1396" s="9">
        <f>AVERAGEIFS(fact_batting_summary!G:G, fact_batting_summary!E:E,fact_batting_summary!E1396)</f>
        <v>11.419354838709678</v>
      </c>
      <c r="C1396">
        <v>6</v>
      </c>
    </row>
    <row r="1397" spans="1:3" x14ac:dyDescent="0.45">
      <c r="A1397">
        <f>SUMIFS(fact_batting_summary!G:G, fact_batting_summary!E:E, fact_batting_summary!E1397)</f>
        <v>302</v>
      </c>
      <c r="B1397" s="9">
        <f>AVERAGEIFS(fact_batting_summary!G:G, fact_batting_summary!E:E,fact_batting_summary!E1397)</f>
        <v>11.185185185185185</v>
      </c>
      <c r="C1397">
        <v>7</v>
      </c>
    </row>
    <row r="1398" spans="1:3" x14ac:dyDescent="0.45">
      <c r="A1398">
        <f>SUMIFS(fact_batting_summary!G:G, fact_batting_summary!E:E, fact_batting_summary!E1398)</f>
        <v>57</v>
      </c>
      <c r="B1398" s="9">
        <f>AVERAGEIFS(fact_batting_summary!G:G, fact_batting_summary!E:E,fact_batting_summary!E1398)</f>
        <v>3.5625</v>
      </c>
      <c r="C1398">
        <v>8</v>
      </c>
    </row>
    <row r="1399" spans="1:3" x14ac:dyDescent="0.45">
      <c r="A1399">
        <f>SUMIFS(fact_batting_summary!G:G, fact_batting_summary!E:E, fact_batting_summary!E1399)</f>
        <v>981</v>
      </c>
      <c r="B1399" s="9">
        <f>AVERAGEIFS(fact_batting_summary!G:G, fact_batting_summary!E:E,fact_batting_summary!E1399)</f>
        <v>22.813953488372093</v>
      </c>
      <c r="C1399">
        <v>1</v>
      </c>
    </row>
    <row r="1400" spans="1:3" x14ac:dyDescent="0.45">
      <c r="A1400">
        <f>SUMIFS(fact_batting_summary!G:G, fact_batting_summary!E:E, fact_batting_summary!E1400)</f>
        <v>1113</v>
      </c>
      <c r="B1400" s="9">
        <f>AVERAGEIFS(fact_batting_summary!G:G, fact_batting_summary!E:E,fact_batting_summary!E1400)</f>
        <v>28.53846153846154</v>
      </c>
      <c r="C1400">
        <v>2</v>
      </c>
    </row>
    <row r="1401" spans="1:3" x14ac:dyDescent="0.45">
      <c r="A1401">
        <f>SUMIFS(fact_batting_summary!G:G, fact_batting_summary!E:E, fact_batting_summary!E1401)</f>
        <v>1225</v>
      </c>
      <c r="B1401" s="9">
        <f>AVERAGEIFS(fact_batting_summary!G:G, fact_batting_summary!E:E,fact_batting_summary!E1401)</f>
        <v>32.236842105263158</v>
      </c>
      <c r="C1401">
        <v>3</v>
      </c>
    </row>
    <row r="1402" spans="1:3" x14ac:dyDescent="0.45">
      <c r="A1402">
        <f>SUMIFS(fact_batting_summary!G:G, fact_batting_summary!E:E, fact_batting_summary!E1402)</f>
        <v>740</v>
      </c>
      <c r="B1402" s="9">
        <f>AVERAGEIFS(fact_batting_summary!G:G, fact_batting_summary!E:E,fact_batting_summary!E1402)</f>
        <v>29.6</v>
      </c>
      <c r="C1402">
        <v>4</v>
      </c>
    </row>
    <row r="1403" spans="1:3" x14ac:dyDescent="0.45">
      <c r="A1403">
        <f>SUMIFS(fact_batting_summary!G:G, fact_batting_summary!E:E, fact_batting_summary!E1403)</f>
        <v>389</v>
      </c>
      <c r="B1403" s="9">
        <f>AVERAGEIFS(fact_batting_summary!G:G, fact_batting_summary!E:E,fact_batting_summary!E1403)</f>
        <v>16.208333333333332</v>
      </c>
      <c r="C1403">
        <v>5</v>
      </c>
    </row>
    <row r="1404" spans="1:3" x14ac:dyDescent="0.45">
      <c r="A1404">
        <f>SUMIFS(fact_batting_summary!G:G, fact_batting_summary!E:E, fact_batting_summary!E1404)</f>
        <v>418</v>
      </c>
      <c r="B1404" s="9">
        <f>AVERAGEIFS(fact_batting_summary!G:G, fact_batting_summary!E:E,fact_batting_summary!E1404)</f>
        <v>17.416666666666668</v>
      </c>
      <c r="C1404">
        <v>6</v>
      </c>
    </row>
    <row r="1405" spans="1:3" x14ac:dyDescent="0.45">
      <c r="A1405">
        <f>SUMIFS(fact_batting_summary!G:G, fact_batting_summary!E:E, fact_batting_summary!E1405)</f>
        <v>44</v>
      </c>
      <c r="B1405" s="9">
        <f>AVERAGEIFS(fact_batting_summary!G:G, fact_batting_summary!E:E,fact_batting_summary!E1405)</f>
        <v>3.6666666666666665</v>
      </c>
      <c r="C1405">
        <v>7</v>
      </c>
    </row>
    <row r="1406" spans="1:3" x14ac:dyDescent="0.45">
      <c r="A1406">
        <f>SUMIFS(fact_batting_summary!G:G, fact_batting_summary!E:E, fact_batting_summary!E1406)</f>
        <v>1385</v>
      </c>
      <c r="B1406" s="9">
        <f>AVERAGEIFS(fact_batting_summary!G:G, fact_batting_summary!E:E,fact_batting_summary!E1406)</f>
        <v>30.777777777777779</v>
      </c>
      <c r="C1406">
        <v>1</v>
      </c>
    </row>
    <row r="1407" spans="1:3" x14ac:dyDescent="0.45">
      <c r="A1407">
        <f>SUMIFS(fact_batting_summary!G:G, fact_batting_summary!E:E, fact_batting_summary!E1407)</f>
        <v>1831</v>
      </c>
      <c r="B1407" s="9">
        <f>AVERAGEIFS(fact_batting_summary!G:G, fact_batting_summary!E:E,fact_batting_summary!E1407)</f>
        <v>39.804347826086953</v>
      </c>
      <c r="C1407">
        <v>2</v>
      </c>
    </row>
    <row r="1408" spans="1:3" x14ac:dyDescent="0.45">
      <c r="A1408">
        <f>SUMIFS(fact_batting_summary!G:G, fact_batting_summary!E:E, fact_batting_summary!E1408)</f>
        <v>404</v>
      </c>
      <c r="B1408" s="9">
        <f>AVERAGEIFS(fact_batting_summary!G:G, fact_batting_summary!E:E,fact_batting_summary!E1408)</f>
        <v>36.727272727272727</v>
      </c>
      <c r="C1408">
        <v>3</v>
      </c>
    </row>
    <row r="1409" spans="1:3" x14ac:dyDescent="0.45">
      <c r="A1409">
        <f>SUMIFS(fact_batting_summary!G:G, fact_batting_summary!E:E, fact_batting_summary!E1409)</f>
        <v>1214</v>
      </c>
      <c r="B1409" s="9">
        <f>AVERAGEIFS(fact_batting_summary!G:G, fact_batting_summary!E:E,fact_batting_summary!E1409)</f>
        <v>29.609756097560975</v>
      </c>
      <c r="C1409">
        <v>4</v>
      </c>
    </row>
    <row r="1410" spans="1:3" x14ac:dyDescent="0.45">
      <c r="A1410">
        <f>SUMIFS(fact_batting_summary!G:G, fact_batting_summary!E:E, fact_batting_summary!E1410)</f>
        <v>693</v>
      </c>
      <c r="B1410" s="9">
        <f>AVERAGEIFS(fact_batting_summary!G:G, fact_batting_summary!E:E,fact_batting_summary!E1410)</f>
        <v>15.75</v>
      </c>
      <c r="C1410">
        <v>5</v>
      </c>
    </row>
    <row r="1411" spans="1:3" x14ac:dyDescent="0.45">
      <c r="A1411">
        <f>SUMIFS(fact_batting_summary!G:G, fact_batting_summary!E:E, fact_batting_summary!E1411)</f>
        <v>320</v>
      </c>
      <c r="B1411" s="9">
        <f>AVERAGEIFS(fact_batting_summary!G:G, fact_batting_summary!E:E,fact_batting_summary!E1411)</f>
        <v>13.333333333333334</v>
      </c>
      <c r="C1411">
        <v>6</v>
      </c>
    </row>
    <row r="1412" spans="1:3" x14ac:dyDescent="0.45">
      <c r="A1412">
        <f>SUMIFS(fact_batting_summary!G:G, fact_batting_summary!E:E, fact_batting_summary!E1412)</f>
        <v>315</v>
      </c>
      <c r="B1412" s="9">
        <f>AVERAGEIFS(fact_batting_summary!G:G, fact_batting_summary!E:E,fact_batting_summary!E1412)</f>
        <v>16.578947368421051</v>
      </c>
      <c r="C1412">
        <v>7</v>
      </c>
    </row>
    <row r="1413" spans="1:3" x14ac:dyDescent="0.45">
      <c r="A1413">
        <f>SUMIFS(fact_batting_summary!G:G, fact_batting_summary!E:E, fact_batting_summary!E1413)</f>
        <v>819</v>
      </c>
      <c r="B1413" s="9">
        <f>AVERAGEIFS(fact_batting_summary!G:G, fact_batting_summary!E:E,fact_batting_summary!E1413)</f>
        <v>22.135135135135137</v>
      </c>
      <c r="C1413">
        <v>1</v>
      </c>
    </row>
    <row r="1414" spans="1:3" x14ac:dyDescent="0.45">
      <c r="A1414">
        <f>SUMIFS(fact_batting_summary!G:G, fact_batting_summary!E:E, fact_batting_summary!E1414)</f>
        <v>1851</v>
      </c>
      <c r="B1414" s="9">
        <f>AVERAGEIFS(fact_batting_summary!G:G, fact_batting_summary!E:E,fact_batting_summary!E1414)</f>
        <v>37.020000000000003</v>
      </c>
      <c r="C1414">
        <v>2</v>
      </c>
    </row>
    <row r="1415" spans="1:3" x14ac:dyDescent="0.45">
      <c r="A1415">
        <f>SUMIFS(fact_batting_summary!G:G, fact_batting_summary!E:E, fact_batting_summary!E1415)</f>
        <v>507</v>
      </c>
      <c r="B1415" s="9">
        <f>AVERAGEIFS(fact_batting_summary!G:G, fact_batting_summary!E:E,fact_batting_summary!E1415)</f>
        <v>39</v>
      </c>
      <c r="C1415">
        <v>3</v>
      </c>
    </row>
    <row r="1416" spans="1:3" x14ac:dyDescent="0.45">
      <c r="A1416">
        <f>SUMIFS(fact_batting_summary!G:G, fact_batting_summary!E:E, fact_batting_summary!E1416)</f>
        <v>960</v>
      </c>
      <c r="B1416" s="9">
        <f>AVERAGEIFS(fact_batting_summary!G:G, fact_batting_summary!E:E,fact_batting_summary!E1416)</f>
        <v>23.414634146341463</v>
      </c>
      <c r="C1416">
        <v>4</v>
      </c>
    </row>
    <row r="1417" spans="1:3" x14ac:dyDescent="0.45">
      <c r="A1417">
        <f>SUMIFS(fact_batting_summary!G:G, fact_batting_summary!E:E, fact_batting_summary!E1417)</f>
        <v>864</v>
      </c>
      <c r="B1417" s="9">
        <f>AVERAGEIFS(fact_batting_summary!G:G, fact_batting_summary!E:E,fact_batting_summary!E1417)</f>
        <v>23.351351351351351</v>
      </c>
      <c r="C1417">
        <v>5</v>
      </c>
    </row>
    <row r="1418" spans="1:3" x14ac:dyDescent="0.45">
      <c r="A1418">
        <f>SUMIFS(fact_batting_summary!G:G, fact_batting_summary!E:E, fact_batting_summary!E1418)</f>
        <v>459</v>
      </c>
      <c r="B1418" s="9">
        <f>AVERAGEIFS(fact_batting_summary!G:G, fact_batting_summary!E:E,fact_batting_summary!E1418)</f>
        <v>13.909090909090908</v>
      </c>
      <c r="C1418">
        <v>6</v>
      </c>
    </row>
    <row r="1419" spans="1:3" x14ac:dyDescent="0.45">
      <c r="A1419">
        <f>SUMIFS(fact_batting_summary!G:G, fact_batting_summary!E:E, fact_batting_summary!E1419)</f>
        <v>948</v>
      </c>
      <c r="B1419" s="9">
        <f>AVERAGEIFS(fact_batting_summary!G:G, fact_batting_summary!E:E,fact_batting_summary!E1419)</f>
        <v>31.6</v>
      </c>
      <c r="C1419">
        <v>1</v>
      </c>
    </row>
    <row r="1420" spans="1:3" x14ac:dyDescent="0.45">
      <c r="A1420">
        <f>SUMIFS(fact_batting_summary!G:G, fact_batting_summary!E:E, fact_batting_summary!E1420)</f>
        <v>1516</v>
      </c>
      <c r="B1420" s="9">
        <f>AVERAGEIFS(fact_batting_summary!G:G, fact_batting_summary!E:E,fact_batting_summary!E1420)</f>
        <v>40.972972972972975</v>
      </c>
      <c r="C1420">
        <v>2</v>
      </c>
    </row>
    <row r="1421" spans="1:3" x14ac:dyDescent="0.45">
      <c r="A1421">
        <f>SUMIFS(fact_batting_summary!G:G, fact_batting_summary!E:E, fact_batting_summary!E1421)</f>
        <v>695</v>
      </c>
      <c r="B1421" s="9">
        <f>AVERAGEIFS(fact_batting_summary!G:G, fact_batting_summary!E:E,fact_batting_summary!E1421)</f>
        <v>18.783783783783782</v>
      </c>
      <c r="C1421">
        <v>3</v>
      </c>
    </row>
    <row r="1422" spans="1:3" x14ac:dyDescent="0.45">
      <c r="A1422">
        <f>SUMIFS(fact_batting_summary!G:G, fact_batting_summary!E:E, fact_batting_summary!E1422)</f>
        <v>514</v>
      </c>
      <c r="B1422" s="9">
        <f>AVERAGEIFS(fact_batting_summary!G:G, fact_batting_summary!E:E,fact_batting_summary!E1422)</f>
        <v>13.526315789473685</v>
      </c>
      <c r="C1422">
        <v>4</v>
      </c>
    </row>
    <row r="1423" spans="1:3" x14ac:dyDescent="0.45">
      <c r="A1423">
        <f>SUMIFS(fact_batting_summary!G:G, fact_batting_summary!E:E, fact_batting_summary!E1423)</f>
        <v>645</v>
      </c>
      <c r="B1423" s="9">
        <f>AVERAGEIFS(fact_batting_summary!G:G, fact_batting_summary!E:E,fact_batting_summary!E1423)</f>
        <v>21.5</v>
      </c>
      <c r="C1423">
        <v>5</v>
      </c>
    </row>
    <row r="1424" spans="1:3" x14ac:dyDescent="0.45">
      <c r="A1424">
        <f>SUMIFS(fact_batting_summary!G:G, fact_batting_summary!E:E, fact_batting_summary!E1424)</f>
        <v>340</v>
      </c>
      <c r="B1424" s="9">
        <f>AVERAGEIFS(fact_batting_summary!G:G, fact_batting_summary!E:E,fact_batting_summary!E1424)</f>
        <v>15.454545454545455</v>
      </c>
      <c r="C1424">
        <v>6</v>
      </c>
    </row>
    <row r="1425" spans="1:3" x14ac:dyDescent="0.45">
      <c r="A1425">
        <f>SUMIFS(fact_batting_summary!G:G, fact_batting_summary!E:E, fact_batting_summary!E1425)</f>
        <v>155</v>
      </c>
      <c r="B1425" s="9">
        <f>AVERAGEIFS(fact_batting_summary!G:G, fact_batting_summary!E:E,fact_batting_summary!E1425)</f>
        <v>8.6111111111111107</v>
      </c>
      <c r="C1425">
        <v>7</v>
      </c>
    </row>
    <row r="1426" spans="1:3" x14ac:dyDescent="0.45">
      <c r="A1426">
        <f>SUMIFS(fact_batting_summary!G:G, fact_batting_summary!E:E, fact_batting_summary!E1426)</f>
        <v>43</v>
      </c>
      <c r="B1426" s="9">
        <f>AVERAGEIFS(fact_batting_summary!G:G, fact_batting_summary!E:E,fact_batting_summary!E1426)</f>
        <v>5.375</v>
      </c>
      <c r="C1426">
        <v>8</v>
      </c>
    </row>
    <row r="1427" spans="1:3" x14ac:dyDescent="0.45">
      <c r="A1427">
        <f>SUMIFS(fact_batting_summary!G:G, fact_batting_summary!E:E, fact_batting_summary!E1427)</f>
        <v>23</v>
      </c>
      <c r="B1427" s="9">
        <f>AVERAGEIFS(fact_batting_summary!G:G, fact_batting_summary!E:E,fact_batting_summary!E1427)</f>
        <v>5.75</v>
      </c>
      <c r="C1427">
        <v>9</v>
      </c>
    </row>
    <row r="1428" spans="1:3" x14ac:dyDescent="0.45">
      <c r="A1428">
        <f>SUMIFS(fact_batting_summary!G:G, fact_batting_summary!E:E, fact_batting_summary!E1428)</f>
        <v>27</v>
      </c>
      <c r="B1428" s="9">
        <f>AVERAGEIFS(fact_batting_summary!G:G, fact_batting_summary!E:E,fact_batting_summary!E1428)</f>
        <v>4.5</v>
      </c>
      <c r="C1428">
        <v>10</v>
      </c>
    </row>
    <row r="1429" spans="1:3" x14ac:dyDescent="0.45">
      <c r="A1429">
        <f>SUMIFS(fact_batting_summary!G:G, fact_batting_summary!E:E, fact_batting_summary!E1429)</f>
        <v>907</v>
      </c>
      <c r="B1429" s="9">
        <f>AVERAGEIFS(fact_batting_summary!G:G, fact_batting_summary!E:E,fact_batting_summary!E1429)</f>
        <v>26.676470588235293</v>
      </c>
      <c r="C1429">
        <v>1</v>
      </c>
    </row>
    <row r="1430" spans="1:3" x14ac:dyDescent="0.45">
      <c r="A1430">
        <f>SUMIFS(fact_batting_summary!G:G, fact_batting_summary!E:E, fact_batting_summary!E1430)</f>
        <v>1392</v>
      </c>
      <c r="B1430" s="9">
        <f>AVERAGEIFS(fact_batting_summary!G:G, fact_batting_summary!E:E,fact_batting_summary!E1430)</f>
        <v>34.799999999999997</v>
      </c>
      <c r="C1430">
        <v>2</v>
      </c>
    </row>
    <row r="1431" spans="1:3" x14ac:dyDescent="0.45">
      <c r="A1431">
        <f>SUMIFS(fact_batting_summary!G:G, fact_batting_summary!E:E, fact_batting_summary!E1431)</f>
        <v>463</v>
      </c>
      <c r="B1431" s="9">
        <f>AVERAGEIFS(fact_batting_summary!G:G, fact_batting_summary!E:E,fact_batting_summary!E1431)</f>
        <v>27.235294117647058</v>
      </c>
      <c r="C1431">
        <v>3</v>
      </c>
    </row>
    <row r="1432" spans="1:3" x14ac:dyDescent="0.45">
      <c r="A1432">
        <f>SUMIFS(fact_batting_summary!G:G, fact_batting_summary!E:E, fact_batting_summary!E1432)</f>
        <v>277</v>
      </c>
      <c r="B1432" s="9">
        <f>AVERAGEIFS(fact_batting_summary!G:G, fact_batting_summary!E:E,fact_batting_summary!E1432)</f>
        <v>21.307692307692307</v>
      </c>
      <c r="C1432">
        <v>4</v>
      </c>
    </row>
    <row r="1433" spans="1:3" x14ac:dyDescent="0.45">
      <c r="A1433">
        <f>SUMIFS(fact_batting_summary!G:G, fact_batting_summary!E:E, fact_batting_summary!E1433)</f>
        <v>758</v>
      </c>
      <c r="B1433" s="9">
        <f>AVERAGEIFS(fact_batting_summary!G:G, fact_batting_summary!E:E,fact_batting_summary!E1433)</f>
        <v>27.071428571428573</v>
      </c>
      <c r="C1433">
        <v>5</v>
      </c>
    </row>
    <row r="1434" spans="1:3" x14ac:dyDescent="0.45">
      <c r="A1434">
        <f>SUMIFS(fact_batting_summary!G:G, fact_batting_summary!E:E, fact_batting_summary!E1434)</f>
        <v>543</v>
      </c>
      <c r="B1434" s="9">
        <f>AVERAGEIFS(fact_batting_summary!G:G, fact_batting_summary!E:E,fact_batting_summary!E1434)</f>
        <v>22.625</v>
      </c>
      <c r="C1434">
        <v>6</v>
      </c>
    </row>
    <row r="1435" spans="1:3" x14ac:dyDescent="0.45">
      <c r="A1435">
        <f>SUMIFS(fact_batting_summary!G:G, fact_batting_summary!E:E, fact_batting_summary!E1435)</f>
        <v>57</v>
      </c>
      <c r="B1435" s="9">
        <f>AVERAGEIFS(fact_batting_summary!G:G, fact_batting_summary!E:E,fact_batting_summary!E1435)</f>
        <v>8.1428571428571423</v>
      </c>
      <c r="C1435">
        <v>7</v>
      </c>
    </row>
    <row r="1436" spans="1:3" x14ac:dyDescent="0.45">
      <c r="A1436">
        <f>SUMIFS(fact_batting_summary!G:G, fact_batting_summary!E:E, fact_batting_summary!E1436)</f>
        <v>61</v>
      </c>
      <c r="B1436" s="9">
        <f>AVERAGEIFS(fact_batting_summary!G:G, fact_batting_summary!E:E,fact_batting_summary!E1436)</f>
        <v>4.6923076923076925</v>
      </c>
      <c r="C1436">
        <v>8</v>
      </c>
    </row>
    <row r="1437" spans="1:3" x14ac:dyDescent="0.45">
      <c r="A1437">
        <f>SUMIFS(fact_batting_summary!G:G, fact_batting_summary!E:E, fact_batting_summary!E1437)</f>
        <v>91</v>
      </c>
      <c r="B1437" s="9">
        <f>AVERAGEIFS(fact_batting_summary!G:G, fact_batting_summary!E:E,fact_batting_summary!E1437)</f>
        <v>5.6875</v>
      </c>
      <c r="C1437">
        <v>9</v>
      </c>
    </row>
    <row r="1438" spans="1:3" x14ac:dyDescent="0.45">
      <c r="A1438">
        <f>SUMIFS(fact_batting_summary!G:G, fact_batting_summary!E:E, fact_batting_summary!E1438)</f>
        <v>25</v>
      </c>
      <c r="B1438" s="9">
        <f>AVERAGEIFS(fact_batting_summary!G:G, fact_batting_summary!E:E,fact_batting_summary!E1438)</f>
        <v>2.5</v>
      </c>
      <c r="C1438">
        <v>10</v>
      </c>
    </row>
    <row r="1439" spans="1:3" x14ac:dyDescent="0.45">
      <c r="A1439">
        <f>SUMIFS(fact_batting_summary!G:G, fact_batting_summary!E:E, fact_batting_summary!E1439)</f>
        <v>86</v>
      </c>
      <c r="B1439" s="9">
        <f>AVERAGEIFS(fact_batting_summary!G:G, fact_batting_summary!E:E,fact_batting_summary!E1439)</f>
        <v>17.2</v>
      </c>
      <c r="C1439">
        <v>1</v>
      </c>
    </row>
    <row r="1440" spans="1:3" x14ac:dyDescent="0.45">
      <c r="A1440">
        <f>SUMIFS(fact_batting_summary!G:G, fact_batting_summary!E:E, fact_batting_summary!E1440)</f>
        <v>956</v>
      </c>
      <c r="B1440" s="9">
        <f>AVERAGEIFS(fact_batting_summary!G:G, fact_batting_summary!E:E,fact_batting_summary!E1440)</f>
        <v>26.555555555555557</v>
      </c>
      <c r="C1440">
        <v>2</v>
      </c>
    </row>
    <row r="1441" spans="1:3" x14ac:dyDescent="0.45">
      <c r="A1441">
        <f>SUMIFS(fact_batting_summary!G:G, fact_batting_summary!E:E, fact_batting_summary!E1441)</f>
        <v>576</v>
      </c>
      <c r="B1441" s="9">
        <f>AVERAGEIFS(fact_batting_summary!G:G, fact_batting_summary!E:E,fact_batting_summary!E1441)</f>
        <v>26.181818181818183</v>
      </c>
      <c r="C1441">
        <v>3</v>
      </c>
    </row>
    <row r="1442" spans="1:3" x14ac:dyDescent="0.45">
      <c r="A1442">
        <f>SUMIFS(fact_batting_summary!G:G, fact_batting_summary!E:E, fact_batting_summary!E1442)</f>
        <v>21</v>
      </c>
      <c r="B1442" s="9">
        <f>AVERAGEIFS(fact_batting_summary!G:G, fact_batting_summary!E:E,fact_batting_summary!E1442)</f>
        <v>7</v>
      </c>
      <c r="C1442">
        <v>4</v>
      </c>
    </row>
    <row r="1443" spans="1:3" x14ac:dyDescent="0.45">
      <c r="A1443">
        <f>SUMIFS(fact_batting_summary!G:G, fact_batting_summary!E:E, fact_batting_summary!E1443)</f>
        <v>154</v>
      </c>
      <c r="B1443" s="9">
        <f>AVERAGEIFS(fact_batting_summary!G:G, fact_batting_summary!E:E,fact_batting_summary!E1443)</f>
        <v>5.1333333333333337</v>
      </c>
      <c r="C1443">
        <v>5</v>
      </c>
    </row>
    <row r="1444" spans="1:3" x14ac:dyDescent="0.45">
      <c r="A1444">
        <f>SUMIFS(fact_batting_summary!G:G, fact_batting_summary!E:E, fact_batting_summary!E1444)</f>
        <v>1157</v>
      </c>
      <c r="B1444" s="9">
        <f>AVERAGEIFS(fact_batting_summary!G:G, fact_batting_summary!E:E,fact_batting_summary!E1444)</f>
        <v>26.295454545454547</v>
      </c>
      <c r="C1444">
        <v>6</v>
      </c>
    </row>
    <row r="1445" spans="1:3" x14ac:dyDescent="0.45">
      <c r="A1445">
        <f>SUMIFS(fact_batting_summary!G:G, fact_batting_summary!E:E, fact_batting_summary!E1445)</f>
        <v>745</v>
      </c>
      <c r="B1445" s="9">
        <f>AVERAGEIFS(fact_batting_summary!G:G, fact_batting_summary!E:E,fact_batting_summary!E1445)</f>
        <v>21.285714285714285</v>
      </c>
      <c r="C1445">
        <v>7</v>
      </c>
    </row>
    <row r="1446" spans="1:3" x14ac:dyDescent="0.45">
      <c r="A1446">
        <f>SUMIFS(fact_batting_summary!G:G, fact_batting_summary!E:E, fact_batting_summary!E1446)</f>
        <v>648</v>
      </c>
      <c r="B1446" s="9">
        <f>AVERAGEIFS(fact_batting_summary!G:G, fact_batting_summary!E:E,fact_batting_summary!E1446)</f>
        <v>30.857142857142858</v>
      </c>
      <c r="C1446">
        <v>8</v>
      </c>
    </row>
    <row r="1447" spans="1:3" x14ac:dyDescent="0.45">
      <c r="A1447">
        <f>SUMIFS(fact_batting_summary!G:G, fact_batting_summary!E:E, fact_batting_summary!E1447)</f>
        <v>74</v>
      </c>
      <c r="B1447" s="9">
        <f>AVERAGEIFS(fact_batting_summary!G:G, fact_batting_summary!E:E,fact_batting_summary!E1447)</f>
        <v>6.166666666666667</v>
      </c>
      <c r="C1447">
        <v>9</v>
      </c>
    </row>
    <row r="1448" spans="1:3" x14ac:dyDescent="0.45">
      <c r="A1448">
        <f>SUMIFS(fact_batting_summary!G:G, fact_batting_summary!E:E, fact_batting_summary!E1448)</f>
        <v>5</v>
      </c>
      <c r="B1448" s="9">
        <f>AVERAGEIFS(fact_batting_summary!G:G, fact_batting_summary!E:E,fact_batting_summary!E1448)</f>
        <v>0.83333333333333337</v>
      </c>
      <c r="C1448">
        <v>10</v>
      </c>
    </row>
    <row r="1449" spans="1:3" x14ac:dyDescent="0.45">
      <c r="A1449">
        <f>SUMIFS(fact_batting_summary!G:G, fact_batting_summary!E:E, fact_batting_summary!E1449)</f>
        <v>2</v>
      </c>
      <c r="B1449" s="9">
        <f>AVERAGEIFS(fact_batting_summary!G:G, fact_batting_summary!E:E,fact_batting_summary!E1449)</f>
        <v>0.66666666666666663</v>
      </c>
      <c r="C1449">
        <v>11</v>
      </c>
    </row>
    <row r="1450" spans="1:3" x14ac:dyDescent="0.45">
      <c r="A1450">
        <f>SUMIFS(fact_batting_summary!G:G, fact_batting_summary!E:E, fact_batting_summary!E1450)</f>
        <v>815</v>
      </c>
      <c r="B1450" s="9">
        <f>AVERAGEIFS(fact_batting_summary!G:G, fact_batting_summary!E:E,fact_batting_summary!E1450)</f>
        <v>25.46875</v>
      </c>
      <c r="C1450">
        <v>1</v>
      </c>
    </row>
    <row r="1451" spans="1:3" x14ac:dyDescent="0.45">
      <c r="A1451">
        <f>SUMIFS(fact_batting_summary!G:G, fact_batting_summary!E:E, fact_batting_summary!E1451)</f>
        <v>1137</v>
      </c>
      <c r="B1451" s="9">
        <f>AVERAGEIFS(fact_batting_summary!G:G, fact_batting_summary!E:E,fact_batting_summary!E1451)</f>
        <v>34.454545454545453</v>
      </c>
      <c r="C1451">
        <v>2</v>
      </c>
    </row>
    <row r="1452" spans="1:3" x14ac:dyDescent="0.45">
      <c r="A1452">
        <f>SUMIFS(fact_batting_summary!G:G, fact_batting_summary!E:E, fact_batting_summary!E1452)</f>
        <v>379</v>
      </c>
      <c r="B1452" s="9">
        <f>AVERAGEIFS(fact_batting_summary!G:G, fact_batting_summary!E:E,fact_batting_summary!E1452)</f>
        <v>22.294117647058822</v>
      </c>
      <c r="C1452">
        <v>3</v>
      </c>
    </row>
    <row r="1453" spans="1:3" x14ac:dyDescent="0.45">
      <c r="A1453">
        <f>SUMIFS(fact_batting_summary!G:G, fact_batting_summary!E:E, fact_batting_summary!E1453)</f>
        <v>295</v>
      </c>
      <c r="B1453" s="9">
        <f>AVERAGEIFS(fact_batting_summary!G:G, fact_batting_summary!E:E,fact_batting_summary!E1453)</f>
        <v>15.526315789473685</v>
      </c>
      <c r="C1453">
        <v>4</v>
      </c>
    </row>
    <row r="1454" spans="1:3" x14ac:dyDescent="0.45">
      <c r="A1454">
        <f>SUMIFS(fact_batting_summary!G:G, fact_batting_summary!E:E, fact_batting_summary!E1454)</f>
        <v>722</v>
      </c>
      <c r="B1454" s="9">
        <f>AVERAGEIFS(fact_batting_summary!G:G, fact_batting_summary!E:E,fact_batting_summary!E1454)</f>
        <v>25.785714285714285</v>
      </c>
      <c r="C1454">
        <v>5</v>
      </c>
    </row>
    <row r="1455" spans="1:3" x14ac:dyDescent="0.45">
      <c r="A1455">
        <f>SUMIFS(fact_batting_summary!G:G, fact_batting_summary!E:E, fact_batting_summary!E1455)</f>
        <v>257</v>
      </c>
      <c r="B1455" s="9">
        <f>AVERAGEIFS(fact_batting_summary!G:G, fact_batting_summary!E:E,fact_batting_summary!E1455)</f>
        <v>17.133333333333333</v>
      </c>
      <c r="C1455">
        <v>6</v>
      </c>
    </row>
    <row r="1456" spans="1:3" x14ac:dyDescent="0.45">
      <c r="A1456">
        <f>SUMIFS(fact_batting_summary!G:G, fact_batting_summary!E:E, fact_batting_summary!E1456)</f>
        <v>505</v>
      </c>
      <c r="B1456" s="9">
        <f>AVERAGEIFS(fact_batting_summary!G:G, fact_batting_summary!E:E,fact_batting_summary!E1456)</f>
        <v>17.413793103448278</v>
      </c>
      <c r="C1456">
        <v>7</v>
      </c>
    </row>
    <row r="1457" spans="1:3" x14ac:dyDescent="0.45">
      <c r="A1457">
        <f>SUMIFS(fact_batting_summary!G:G, fact_batting_summary!E:E, fact_batting_summary!E1457)</f>
        <v>238</v>
      </c>
      <c r="B1457" s="9">
        <f>AVERAGEIFS(fact_batting_summary!G:G, fact_batting_summary!E:E,fact_batting_summary!E1457)</f>
        <v>9.9166666666666661</v>
      </c>
      <c r="C1457">
        <v>8</v>
      </c>
    </row>
    <row r="1458" spans="1:3" x14ac:dyDescent="0.45">
      <c r="A1458">
        <f>SUMIFS(fact_batting_summary!G:G, fact_batting_summary!E:E, fact_batting_summary!E1458)</f>
        <v>745</v>
      </c>
      <c r="B1458" s="9">
        <f>AVERAGEIFS(fact_batting_summary!G:G, fact_batting_summary!E:E,fact_batting_summary!E1458)</f>
        <v>24.032258064516128</v>
      </c>
      <c r="C1458">
        <v>1</v>
      </c>
    </row>
    <row r="1459" spans="1:3" x14ac:dyDescent="0.45">
      <c r="A1459">
        <f>SUMIFS(fact_batting_summary!G:G, fact_batting_summary!E:E, fact_batting_summary!E1459)</f>
        <v>416</v>
      </c>
      <c r="B1459" s="9">
        <f>AVERAGEIFS(fact_batting_summary!G:G, fact_batting_summary!E:E,fact_batting_summary!E1459)</f>
        <v>18.90909090909091</v>
      </c>
      <c r="C1459">
        <v>2</v>
      </c>
    </row>
    <row r="1460" spans="1:3" x14ac:dyDescent="0.45">
      <c r="A1460">
        <f>SUMIFS(fact_batting_summary!G:G, fact_batting_summary!E:E, fact_batting_summary!E1460)</f>
        <v>1083</v>
      </c>
      <c r="B1460" s="9">
        <f>AVERAGEIFS(fact_batting_summary!G:G, fact_batting_summary!E:E,fact_batting_summary!E1460)</f>
        <v>25.186046511627907</v>
      </c>
      <c r="C1460">
        <v>3</v>
      </c>
    </row>
    <row r="1461" spans="1:3" x14ac:dyDescent="0.45">
      <c r="A1461">
        <f>SUMIFS(fact_batting_summary!G:G, fact_batting_summary!E:E, fact_batting_summary!E1461)</f>
        <v>775</v>
      </c>
      <c r="B1461" s="9">
        <f>AVERAGEIFS(fact_batting_summary!G:G, fact_batting_summary!E:E,fact_batting_summary!E1461)</f>
        <v>25</v>
      </c>
      <c r="C1461">
        <v>4</v>
      </c>
    </row>
    <row r="1462" spans="1:3" x14ac:dyDescent="0.45">
      <c r="A1462">
        <f>SUMIFS(fact_batting_summary!G:G, fact_batting_summary!E:E, fact_batting_summary!E1462)</f>
        <v>729</v>
      </c>
      <c r="B1462" s="9">
        <f>AVERAGEIFS(fact_batting_summary!G:G, fact_batting_summary!E:E,fact_batting_summary!E1462)</f>
        <v>19.184210526315791</v>
      </c>
      <c r="C1462">
        <v>5</v>
      </c>
    </row>
    <row r="1463" spans="1:3" x14ac:dyDescent="0.45">
      <c r="A1463">
        <f>SUMIFS(fact_batting_summary!G:G, fact_batting_summary!E:E, fact_batting_summary!E1463)</f>
        <v>192</v>
      </c>
      <c r="B1463" s="9">
        <f>AVERAGEIFS(fact_batting_summary!G:G, fact_batting_summary!E:E,fact_batting_summary!E1463)</f>
        <v>12</v>
      </c>
      <c r="C1463">
        <v>6</v>
      </c>
    </row>
    <row r="1464" spans="1:3" x14ac:dyDescent="0.45">
      <c r="A1464">
        <f>SUMIFS(fact_batting_summary!G:G, fact_batting_summary!E:E, fact_batting_summary!E1464)</f>
        <v>69</v>
      </c>
      <c r="B1464" s="9">
        <f>AVERAGEIFS(fact_batting_summary!G:G, fact_batting_summary!E:E,fact_batting_summary!E1464)</f>
        <v>13.8</v>
      </c>
      <c r="C1464">
        <v>7</v>
      </c>
    </row>
    <row r="1465" spans="1:3" x14ac:dyDescent="0.45">
      <c r="A1465">
        <f>SUMIFS(fact_batting_summary!G:G, fact_batting_summary!E:E, fact_batting_summary!E1465)</f>
        <v>48</v>
      </c>
      <c r="B1465" s="9">
        <f>AVERAGEIFS(fact_batting_summary!G:G, fact_batting_summary!E:E,fact_batting_summary!E1465)</f>
        <v>4.3636363636363633</v>
      </c>
      <c r="C1465">
        <v>8</v>
      </c>
    </row>
    <row r="1466" spans="1:3" x14ac:dyDescent="0.45">
      <c r="A1466">
        <f>SUMIFS(fact_batting_summary!G:G, fact_batting_summary!E:E, fact_batting_summary!E1466)</f>
        <v>819</v>
      </c>
      <c r="B1466" s="9">
        <f>AVERAGEIFS(fact_batting_summary!G:G, fact_batting_summary!E:E,fact_batting_summary!E1466)</f>
        <v>22.135135135135137</v>
      </c>
      <c r="C1466">
        <v>1</v>
      </c>
    </row>
    <row r="1467" spans="1:3" x14ac:dyDescent="0.45">
      <c r="A1467">
        <f>SUMIFS(fact_batting_summary!G:G, fact_batting_summary!E:E, fact_batting_summary!E1467)</f>
        <v>1851</v>
      </c>
      <c r="B1467" s="9">
        <f>AVERAGEIFS(fact_batting_summary!G:G, fact_batting_summary!E:E,fact_batting_summary!E1467)</f>
        <v>37.020000000000003</v>
      </c>
      <c r="C1467">
        <v>2</v>
      </c>
    </row>
    <row r="1468" spans="1:3" x14ac:dyDescent="0.45">
      <c r="A1468">
        <f>SUMIFS(fact_batting_summary!G:G, fact_batting_summary!E:E, fact_batting_summary!E1468)</f>
        <v>960</v>
      </c>
      <c r="B1468" s="9">
        <f>AVERAGEIFS(fact_batting_summary!G:G, fact_batting_summary!E:E,fact_batting_summary!E1468)</f>
        <v>23.414634146341463</v>
      </c>
      <c r="C1468">
        <v>3</v>
      </c>
    </row>
    <row r="1469" spans="1:3" x14ac:dyDescent="0.45">
      <c r="A1469">
        <f>SUMIFS(fact_batting_summary!G:G, fact_batting_summary!E:E, fact_batting_summary!E1469)</f>
        <v>864</v>
      </c>
      <c r="B1469" s="9">
        <f>AVERAGEIFS(fact_batting_summary!G:G, fact_batting_summary!E:E,fact_batting_summary!E1469)</f>
        <v>23.351351351351351</v>
      </c>
      <c r="C1469">
        <v>4</v>
      </c>
    </row>
    <row r="1470" spans="1:3" x14ac:dyDescent="0.45">
      <c r="A1470">
        <f>SUMIFS(fact_batting_summary!G:G, fact_batting_summary!E:E, fact_batting_summary!E1470)</f>
        <v>459</v>
      </c>
      <c r="B1470" s="9">
        <f>AVERAGEIFS(fact_batting_summary!G:G, fact_batting_summary!E:E,fact_batting_summary!E1470)</f>
        <v>13.909090909090908</v>
      </c>
      <c r="C1470">
        <v>5</v>
      </c>
    </row>
    <row r="1471" spans="1:3" x14ac:dyDescent="0.45">
      <c r="A1471">
        <f>SUMIFS(fact_batting_summary!G:G, fact_batting_summary!E:E, fact_batting_summary!E1471)</f>
        <v>222</v>
      </c>
      <c r="B1471" s="9">
        <f>AVERAGEIFS(fact_batting_summary!G:G, fact_batting_summary!E:E,fact_batting_summary!E1471)</f>
        <v>17.076923076923077</v>
      </c>
      <c r="C1471">
        <v>6</v>
      </c>
    </row>
    <row r="1472" spans="1:3" x14ac:dyDescent="0.45">
      <c r="A1472">
        <f>SUMIFS(fact_batting_summary!G:G, fact_batting_summary!E:E, fact_batting_summary!E1472)</f>
        <v>304</v>
      </c>
      <c r="B1472" s="9">
        <f>AVERAGEIFS(fact_batting_summary!G:G, fact_batting_summary!E:E,fact_batting_summary!E1472)</f>
        <v>11.692307692307692</v>
      </c>
      <c r="C1472">
        <v>7</v>
      </c>
    </row>
    <row r="1473" spans="1:3" x14ac:dyDescent="0.45">
      <c r="A1473">
        <f>SUMIFS(fact_batting_summary!G:G, fact_batting_summary!E:E, fact_batting_summary!E1473)</f>
        <v>1509</v>
      </c>
      <c r="B1473" s="9">
        <f>AVERAGEIFS(fact_batting_summary!G:G, fact_batting_summary!E:E,fact_batting_summary!E1473)</f>
        <v>39.710526315789473</v>
      </c>
      <c r="C1473">
        <v>1</v>
      </c>
    </row>
    <row r="1474" spans="1:3" x14ac:dyDescent="0.45">
      <c r="A1474">
        <f>SUMIFS(fact_batting_summary!G:G, fact_batting_summary!E:E, fact_batting_summary!E1474)</f>
        <v>1048</v>
      </c>
      <c r="B1474" s="9">
        <f>AVERAGEIFS(fact_batting_summary!G:G, fact_batting_summary!E:E,fact_batting_summary!E1474)</f>
        <v>24.952380952380953</v>
      </c>
      <c r="C1474">
        <v>2</v>
      </c>
    </row>
    <row r="1475" spans="1:3" x14ac:dyDescent="0.45">
      <c r="A1475">
        <f>SUMIFS(fact_batting_summary!G:G, fact_batting_summary!E:E, fact_batting_summary!E1475)</f>
        <v>302</v>
      </c>
      <c r="B1475" s="9">
        <f>AVERAGEIFS(fact_batting_summary!G:G, fact_batting_summary!E:E,fact_batting_summary!E1475)</f>
        <v>11.185185185185185</v>
      </c>
      <c r="C1475">
        <v>3</v>
      </c>
    </row>
    <row r="1476" spans="1:3" x14ac:dyDescent="0.45">
      <c r="A1476">
        <f>SUMIFS(fact_batting_summary!G:G, fact_batting_summary!E:E, fact_batting_summary!E1476)</f>
        <v>1304</v>
      </c>
      <c r="B1476" s="9">
        <f>AVERAGEIFS(fact_batting_summary!G:G, fact_batting_summary!E:E,fact_batting_summary!E1476)</f>
        <v>28.977777777777778</v>
      </c>
      <c r="C1476">
        <v>4</v>
      </c>
    </row>
    <row r="1477" spans="1:3" x14ac:dyDescent="0.45">
      <c r="A1477">
        <f>SUMIFS(fact_batting_summary!G:G, fact_batting_summary!E:E, fact_batting_summary!E1477)</f>
        <v>33</v>
      </c>
      <c r="B1477" s="9">
        <f>AVERAGEIFS(fact_batting_summary!G:G, fact_batting_summary!E:E,fact_batting_summary!E1477)</f>
        <v>16.5</v>
      </c>
      <c r="C1477">
        <v>5</v>
      </c>
    </row>
    <row r="1478" spans="1:3" x14ac:dyDescent="0.45">
      <c r="A1478">
        <f>SUMIFS(fact_batting_summary!G:G, fact_batting_summary!E:E, fact_batting_summary!E1478)</f>
        <v>354</v>
      </c>
      <c r="B1478" s="9">
        <f>AVERAGEIFS(fact_batting_summary!G:G, fact_batting_summary!E:E,fact_batting_summary!E1478)</f>
        <v>11.419354838709678</v>
      </c>
      <c r="C1478">
        <v>6</v>
      </c>
    </row>
    <row r="1479" spans="1:3" x14ac:dyDescent="0.45">
      <c r="A1479">
        <f>SUMIFS(fact_batting_summary!G:G, fact_batting_summary!E:E, fact_batting_summary!E1479)</f>
        <v>854</v>
      </c>
      <c r="B1479" s="9">
        <f>AVERAGEIFS(fact_batting_summary!G:G, fact_batting_summary!E:E,fact_batting_summary!E1479)</f>
        <v>21.35</v>
      </c>
      <c r="C1479">
        <v>7</v>
      </c>
    </row>
    <row r="1480" spans="1:3" x14ac:dyDescent="0.45">
      <c r="A1480">
        <f>SUMIFS(fact_batting_summary!G:G, fact_batting_summary!E:E, fact_batting_summary!E1480)</f>
        <v>57</v>
      </c>
      <c r="B1480" s="9">
        <f>AVERAGEIFS(fact_batting_summary!G:G, fact_batting_summary!E:E,fact_batting_summary!E1480)</f>
        <v>3.5625</v>
      </c>
      <c r="C1480">
        <v>8</v>
      </c>
    </row>
    <row r="1481" spans="1:3" x14ac:dyDescent="0.45">
      <c r="A1481">
        <f>SUMIFS(fact_batting_summary!G:G, fact_batting_summary!E:E, fact_batting_summary!E1481)</f>
        <v>6</v>
      </c>
      <c r="B1481" s="9">
        <f>AVERAGEIFS(fact_batting_summary!G:G, fact_batting_summary!E:E,fact_batting_summary!E1481)</f>
        <v>1.2</v>
      </c>
      <c r="C1481">
        <v>9</v>
      </c>
    </row>
    <row r="1482" spans="1:3" x14ac:dyDescent="0.45">
      <c r="A1482">
        <f>SUMIFS(fact_batting_summary!G:G, fact_batting_summary!E:E, fact_batting_summary!E1482)</f>
        <v>15</v>
      </c>
      <c r="B1482" s="9">
        <f>AVERAGEIFS(fact_batting_summary!G:G, fact_batting_summary!E:E,fact_batting_summary!E1482)</f>
        <v>3.75</v>
      </c>
      <c r="C1482">
        <v>10</v>
      </c>
    </row>
    <row r="1483" spans="1:3" x14ac:dyDescent="0.45">
      <c r="A1483">
        <f>SUMIFS(fact_batting_summary!G:G, fact_batting_summary!E:E, fact_batting_summary!E1483)</f>
        <v>1385</v>
      </c>
      <c r="B1483" s="9">
        <f>AVERAGEIFS(fact_batting_summary!G:G, fact_batting_summary!E:E,fact_batting_summary!E1483)</f>
        <v>30.777777777777779</v>
      </c>
      <c r="C1483">
        <v>1</v>
      </c>
    </row>
    <row r="1484" spans="1:3" x14ac:dyDescent="0.45">
      <c r="A1484">
        <f>SUMIFS(fact_batting_summary!G:G, fact_batting_summary!E:E, fact_batting_summary!E1484)</f>
        <v>1831</v>
      </c>
      <c r="B1484" s="9">
        <f>AVERAGEIFS(fact_batting_summary!G:G, fact_batting_summary!E:E,fact_batting_summary!E1484)</f>
        <v>39.804347826086953</v>
      </c>
      <c r="C1484">
        <v>2</v>
      </c>
    </row>
    <row r="1485" spans="1:3" x14ac:dyDescent="0.45">
      <c r="A1485">
        <f>SUMIFS(fact_batting_summary!G:G, fact_batting_summary!E:E, fact_batting_summary!E1485)</f>
        <v>404</v>
      </c>
      <c r="B1485" s="9">
        <f>AVERAGEIFS(fact_batting_summary!G:G, fact_batting_summary!E:E,fact_batting_summary!E1485)</f>
        <v>36.727272727272727</v>
      </c>
      <c r="C1485">
        <v>3</v>
      </c>
    </row>
    <row r="1486" spans="1:3" x14ac:dyDescent="0.45">
      <c r="A1486">
        <f>SUMIFS(fact_batting_summary!G:G, fact_batting_summary!E:E, fact_batting_summary!E1486)</f>
        <v>1214</v>
      </c>
      <c r="B1486" s="9">
        <f>AVERAGEIFS(fact_batting_summary!G:G, fact_batting_summary!E:E,fact_batting_summary!E1486)</f>
        <v>29.609756097560975</v>
      </c>
      <c r="C1486">
        <v>4</v>
      </c>
    </row>
    <row r="1487" spans="1:3" x14ac:dyDescent="0.45">
      <c r="A1487">
        <f>SUMIFS(fact_batting_summary!G:G, fact_batting_summary!E:E, fact_batting_summary!E1487)</f>
        <v>320</v>
      </c>
      <c r="B1487" s="9">
        <f>AVERAGEIFS(fact_batting_summary!G:G, fact_batting_summary!E:E,fact_batting_summary!E1487)</f>
        <v>13.333333333333334</v>
      </c>
      <c r="C1487">
        <v>5</v>
      </c>
    </row>
    <row r="1488" spans="1:3" x14ac:dyDescent="0.45">
      <c r="A1488">
        <f>SUMIFS(fact_batting_summary!G:G, fact_batting_summary!E:E, fact_batting_summary!E1488)</f>
        <v>102</v>
      </c>
      <c r="B1488" s="9">
        <f>AVERAGEIFS(fact_batting_summary!G:G, fact_batting_summary!E:E,fact_batting_summary!E1488)</f>
        <v>11.333333333333334</v>
      </c>
      <c r="C1488">
        <v>6</v>
      </c>
    </row>
    <row r="1489" spans="1:3" x14ac:dyDescent="0.45">
      <c r="A1489">
        <f>SUMIFS(fact_batting_summary!G:G, fact_batting_summary!E:E, fact_batting_summary!E1489)</f>
        <v>693</v>
      </c>
      <c r="B1489" s="9">
        <f>AVERAGEIFS(fact_batting_summary!G:G, fact_batting_summary!E:E,fact_batting_summary!E1489)</f>
        <v>15.75</v>
      </c>
      <c r="C1489">
        <v>7</v>
      </c>
    </row>
    <row r="1490" spans="1:3" x14ac:dyDescent="0.45">
      <c r="A1490">
        <f>SUMIFS(fact_batting_summary!G:G, fact_batting_summary!E:E, fact_batting_summary!E1490)</f>
        <v>72</v>
      </c>
      <c r="B1490" s="9">
        <f>AVERAGEIFS(fact_batting_summary!G:G, fact_batting_summary!E:E,fact_batting_summary!E1490)</f>
        <v>5.1428571428571432</v>
      </c>
      <c r="C1490">
        <v>8</v>
      </c>
    </row>
    <row r="1491" spans="1:3" x14ac:dyDescent="0.45">
      <c r="A1491">
        <f>SUMIFS(fact_batting_summary!G:G, fact_batting_summary!E:E, fact_batting_summary!E1491)</f>
        <v>108</v>
      </c>
      <c r="B1491" s="9">
        <f>AVERAGEIFS(fact_batting_summary!G:G, fact_batting_summary!E:E,fact_batting_summary!E1491)</f>
        <v>6</v>
      </c>
      <c r="C1491">
        <v>9</v>
      </c>
    </row>
    <row r="1492" spans="1:3" x14ac:dyDescent="0.45">
      <c r="A1492">
        <f>SUMIFS(fact_batting_summary!G:G, fact_batting_summary!E:E, fact_batting_summary!E1492)</f>
        <v>51</v>
      </c>
      <c r="B1492" s="9">
        <f>AVERAGEIFS(fact_batting_summary!G:G, fact_batting_summary!E:E,fact_batting_summary!E1492)</f>
        <v>4.6363636363636367</v>
      </c>
      <c r="C1492">
        <v>10</v>
      </c>
    </row>
    <row r="1493" spans="1:3" x14ac:dyDescent="0.45">
      <c r="A1493">
        <f>SUMIFS(fact_batting_summary!G:G, fact_batting_summary!E:E, fact_batting_summary!E1493)</f>
        <v>19</v>
      </c>
      <c r="B1493" s="9">
        <f>AVERAGEIFS(fact_batting_summary!G:G, fact_batting_summary!E:E,fact_batting_summary!E1493)</f>
        <v>3.1666666666666665</v>
      </c>
      <c r="C1493">
        <v>11</v>
      </c>
    </row>
    <row r="1494" spans="1:3" x14ac:dyDescent="0.45">
      <c r="A1494">
        <f>SUMIFS(fact_batting_summary!G:G, fact_batting_summary!E:E, fact_batting_summary!E1494)</f>
        <v>907</v>
      </c>
      <c r="B1494" s="9">
        <f>AVERAGEIFS(fact_batting_summary!G:G, fact_batting_summary!E:E,fact_batting_summary!E1494)</f>
        <v>26.676470588235293</v>
      </c>
      <c r="C1494">
        <v>1</v>
      </c>
    </row>
    <row r="1495" spans="1:3" x14ac:dyDescent="0.45">
      <c r="A1495">
        <f>SUMIFS(fact_batting_summary!G:G, fact_batting_summary!E:E, fact_batting_summary!E1495)</f>
        <v>1392</v>
      </c>
      <c r="B1495" s="9">
        <f>AVERAGEIFS(fact_batting_summary!G:G, fact_batting_summary!E:E,fact_batting_summary!E1495)</f>
        <v>34.799999999999997</v>
      </c>
      <c r="C1495">
        <v>2</v>
      </c>
    </row>
    <row r="1496" spans="1:3" x14ac:dyDescent="0.45">
      <c r="A1496">
        <f>SUMIFS(fact_batting_summary!G:G, fact_batting_summary!E:E, fact_batting_summary!E1496)</f>
        <v>277</v>
      </c>
      <c r="B1496" s="9">
        <f>AVERAGEIFS(fact_batting_summary!G:G, fact_batting_summary!E:E,fact_batting_summary!E1496)</f>
        <v>21.307692307692307</v>
      </c>
      <c r="C1496">
        <v>3</v>
      </c>
    </row>
    <row r="1497" spans="1:3" x14ac:dyDescent="0.45">
      <c r="A1497">
        <f>SUMIFS(fact_batting_summary!G:G, fact_batting_summary!E:E, fact_batting_summary!E1497)</f>
        <v>758</v>
      </c>
      <c r="B1497" s="9">
        <f>AVERAGEIFS(fact_batting_summary!G:G, fact_batting_summary!E:E,fact_batting_summary!E1497)</f>
        <v>27.071428571428573</v>
      </c>
      <c r="C1497">
        <v>4</v>
      </c>
    </row>
    <row r="1498" spans="1:3" x14ac:dyDescent="0.45">
      <c r="A1498">
        <f>SUMIFS(fact_batting_summary!G:G, fact_batting_summary!E:E, fact_batting_summary!E1498)</f>
        <v>463</v>
      </c>
      <c r="B1498" s="9">
        <f>AVERAGEIFS(fact_batting_summary!G:G, fact_batting_summary!E:E,fact_batting_summary!E1498)</f>
        <v>27.235294117647058</v>
      </c>
      <c r="C1498">
        <v>5</v>
      </c>
    </row>
    <row r="1499" spans="1:3" x14ac:dyDescent="0.45">
      <c r="A1499">
        <f>SUMIFS(fact_batting_summary!G:G, fact_batting_summary!E:E, fact_batting_summary!E1499)</f>
        <v>1593</v>
      </c>
      <c r="B1499" s="9">
        <f>AVERAGEIFS(fact_batting_summary!G:G, fact_batting_summary!E:E,fact_batting_summary!E1499)</f>
        <v>35.4</v>
      </c>
      <c r="C1499">
        <v>1</v>
      </c>
    </row>
    <row r="1500" spans="1:3" x14ac:dyDescent="0.45">
      <c r="A1500">
        <f>SUMIFS(fact_batting_summary!G:G, fact_batting_summary!E:E, fact_batting_summary!E1500)</f>
        <v>345</v>
      </c>
      <c r="B1500" s="9">
        <f>AVERAGEIFS(fact_batting_summary!G:G, fact_batting_summary!E:E,fact_batting_summary!E1500)</f>
        <v>23</v>
      </c>
      <c r="C1500">
        <v>2</v>
      </c>
    </row>
    <row r="1501" spans="1:3" x14ac:dyDescent="0.45">
      <c r="A1501">
        <f>SUMIFS(fact_batting_summary!G:G, fact_batting_summary!E:E, fact_batting_summary!E1501)</f>
        <v>24</v>
      </c>
      <c r="B1501" s="9">
        <f>AVERAGEIFS(fact_batting_summary!G:G, fact_batting_summary!E:E,fact_batting_summary!E1501)</f>
        <v>4</v>
      </c>
      <c r="C1501">
        <v>3</v>
      </c>
    </row>
    <row r="1502" spans="1:3" x14ac:dyDescent="0.45">
      <c r="A1502">
        <f>SUMIFS(fact_batting_summary!G:G, fact_batting_summary!E:E, fact_batting_summary!E1502)</f>
        <v>937</v>
      </c>
      <c r="B1502" s="9">
        <f>AVERAGEIFS(fact_batting_summary!G:G, fact_batting_summary!E:E,fact_batting_summary!E1502)</f>
        <v>27.558823529411764</v>
      </c>
      <c r="C1502">
        <v>4</v>
      </c>
    </row>
    <row r="1503" spans="1:3" x14ac:dyDescent="0.45">
      <c r="A1503">
        <f>SUMIFS(fact_batting_summary!G:G, fact_batting_summary!E:E, fact_batting_summary!E1503)</f>
        <v>689</v>
      </c>
      <c r="B1503" s="9">
        <f>AVERAGEIFS(fact_batting_summary!G:G, fact_batting_summary!E:E,fact_batting_summary!E1503)</f>
        <v>19.138888888888889</v>
      </c>
      <c r="C1503">
        <v>5</v>
      </c>
    </row>
    <row r="1504" spans="1:3" x14ac:dyDescent="0.45">
      <c r="A1504">
        <f>SUMIFS(fact_batting_summary!G:G, fact_batting_summary!E:E, fact_batting_summary!E1504)</f>
        <v>533</v>
      </c>
      <c r="B1504" s="9">
        <f>AVERAGEIFS(fact_batting_summary!G:G, fact_batting_summary!E:E,fact_batting_summary!E1504)</f>
        <v>15.676470588235293</v>
      </c>
      <c r="C1504">
        <v>6</v>
      </c>
    </row>
    <row r="1505" spans="1:3" x14ac:dyDescent="0.45">
      <c r="A1505">
        <f>SUMIFS(fact_batting_summary!G:G, fact_batting_summary!E:E, fact_batting_summary!E1505)</f>
        <v>450</v>
      </c>
      <c r="B1505" s="9">
        <f>AVERAGEIFS(fact_batting_summary!G:G, fact_batting_summary!E:E,fact_batting_summary!E1505)</f>
        <v>12.5</v>
      </c>
      <c r="C1505">
        <v>7</v>
      </c>
    </row>
    <row r="1506" spans="1:3" x14ac:dyDescent="0.45">
      <c r="A1506">
        <f>SUMIFS(fact_batting_summary!G:G, fact_batting_summary!E:E, fact_batting_summary!E1506)</f>
        <v>44</v>
      </c>
      <c r="B1506" s="9">
        <f>AVERAGEIFS(fact_batting_summary!G:G, fact_batting_summary!E:E,fact_batting_summary!E1506)</f>
        <v>8.8000000000000007</v>
      </c>
      <c r="C1506">
        <v>8</v>
      </c>
    </row>
    <row r="1507" spans="1:3" x14ac:dyDescent="0.45">
      <c r="A1507">
        <f>SUMIFS(fact_batting_summary!G:G, fact_batting_summary!E:E, fact_batting_summary!E1507)</f>
        <v>948</v>
      </c>
      <c r="B1507" s="9">
        <f>AVERAGEIFS(fact_batting_summary!G:G, fact_batting_summary!E:E,fact_batting_summary!E1507)</f>
        <v>31.6</v>
      </c>
      <c r="C1507">
        <v>1</v>
      </c>
    </row>
    <row r="1508" spans="1:3" x14ac:dyDescent="0.45">
      <c r="A1508">
        <f>SUMIFS(fact_batting_summary!G:G, fact_batting_summary!E:E, fact_batting_summary!E1508)</f>
        <v>1516</v>
      </c>
      <c r="B1508" s="9">
        <f>AVERAGEIFS(fact_batting_summary!G:G, fact_batting_summary!E:E,fact_batting_summary!E1508)</f>
        <v>40.972972972972975</v>
      </c>
      <c r="C1508">
        <v>2</v>
      </c>
    </row>
    <row r="1509" spans="1:3" x14ac:dyDescent="0.45">
      <c r="A1509">
        <f>SUMIFS(fact_batting_summary!G:G, fact_batting_summary!E:E, fact_batting_summary!E1509)</f>
        <v>540</v>
      </c>
      <c r="B1509" s="9">
        <f>AVERAGEIFS(fact_batting_summary!G:G, fact_batting_summary!E:E,fact_batting_summary!E1509)</f>
        <v>23.478260869565219</v>
      </c>
      <c r="C1509">
        <v>3</v>
      </c>
    </row>
    <row r="1510" spans="1:3" x14ac:dyDescent="0.45">
      <c r="A1510">
        <f>SUMIFS(fact_batting_summary!G:G, fact_batting_summary!E:E, fact_batting_summary!E1510)</f>
        <v>645</v>
      </c>
      <c r="B1510" s="9">
        <f>AVERAGEIFS(fact_batting_summary!G:G, fact_batting_summary!E:E,fact_batting_summary!E1510)</f>
        <v>21.5</v>
      </c>
      <c r="C1510">
        <v>4</v>
      </c>
    </row>
    <row r="1511" spans="1:3" x14ac:dyDescent="0.45">
      <c r="A1511">
        <f>SUMIFS(fact_batting_summary!G:G, fact_batting_summary!E:E, fact_batting_summary!E1511)</f>
        <v>514</v>
      </c>
      <c r="B1511" s="9">
        <f>AVERAGEIFS(fact_batting_summary!G:G, fact_batting_summary!E:E,fact_batting_summary!E1511)</f>
        <v>13.526315789473685</v>
      </c>
      <c r="C1511">
        <v>5</v>
      </c>
    </row>
    <row r="1512" spans="1:3" x14ac:dyDescent="0.45">
      <c r="A1512">
        <f>SUMIFS(fact_batting_summary!G:G, fact_batting_summary!E:E, fact_batting_summary!E1512)</f>
        <v>695</v>
      </c>
      <c r="B1512" s="9">
        <f>AVERAGEIFS(fact_batting_summary!G:G, fact_batting_summary!E:E,fact_batting_summary!E1512)</f>
        <v>18.783783783783782</v>
      </c>
      <c r="C1512">
        <v>6</v>
      </c>
    </row>
    <row r="1513" spans="1:3" x14ac:dyDescent="0.45">
      <c r="A1513">
        <f>SUMIFS(fact_batting_summary!G:G, fact_batting_summary!E:E, fact_batting_summary!E1513)</f>
        <v>340</v>
      </c>
      <c r="B1513" s="9">
        <f>AVERAGEIFS(fact_batting_summary!G:G, fact_batting_summary!E:E,fact_batting_summary!E1513)</f>
        <v>15.454545454545455</v>
      </c>
      <c r="C1513">
        <v>7</v>
      </c>
    </row>
    <row r="1514" spans="1:3" x14ac:dyDescent="0.45">
      <c r="A1514">
        <f>SUMIFS(fact_batting_summary!G:G, fact_batting_summary!E:E, fact_batting_summary!E1514)</f>
        <v>155</v>
      </c>
      <c r="B1514" s="9">
        <f>AVERAGEIFS(fact_batting_summary!G:G, fact_batting_summary!E:E,fact_batting_summary!E1514)</f>
        <v>8.6111111111111107</v>
      </c>
      <c r="C1514">
        <v>8</v>
      </c>
    </row>
    <row r="1515" spans="1:3" x14ac:dyDescent="0.45">
      <c r="A1515">
        <f>SUMIFS(fact_batting_summary!G:G, fact_batting_summary!E:E, fact_batting_summary!E1515)</f>
        <v>1113</v>
      </c>
      <c r="B1515" s="9">
        <f>AVERAGEIFS(fact_batting_summary!G:G, fact_batting_summary!E:E,fact_batting_summary!E1515)</f>
        <v>28.53846153846154</v>
      </c>
      <c r="C1515">
        <v>1</v>
      </c>
    </row>
    <row r="1516" spans="1:3" x14ac:dyDescent="0.45">
      <c r="A1516">
        <f>SUMIFS(fact_batting_summary!G:G, fact_batting_summary!E:E, fact_batting_summary!E1516)</f>
        <v>981</v>
      </c>
      <c r="B1516" s="9">
        <f>AVERAGEIFS(fact_batting_summary!G:G, fact_batting_summary!E:E,fact_batting_summary!E1516)</f>
        <v>22.813953488372093</v>
      </c>
      <c r="C1516">
        <v>2</v>
      </c>
    </row>
    <row r="1517" spans="1:3" x14ac:dyDescent="0.45">
      <c r="A1517">
        <f>SUMIFS(fact_batting_summary!G:G, fact_batting_summary!E:E, fact_batting_summary!E1517)</f>
        <v>161</v>
      </c>
      <c r="B1517" s="9">
        <f>AVERAGEIFS(fact_batting_summary!G:G, fact_batting_summary!E:E,fact_batting_summary!E1517)</f>
        <v>23</v>
      </c>
      <c r="C1517">
        <v>3</v>
      </c>
    </row>
    <row r="1518" spans="1:3" x14ac:dyDescent="0.45">
      <c r="A1518">
        <f>SUMIFS(fact_batting_summary!G:G, fact_batting_summary!E:E, fact_batting_summary!E1518)</f>
        <v>1225</v>
      </c>
      <c r="B1518" s="9">
        <f>AVERAGEIFS(fact_batting_summary!G:G, fact_batting_summary!E:E,fact_batting_summary!E1518)</f>
        <v>32.236842105263158</v>
      </c>
      <c r="C1518">
        <v>4</v>
      </c>
    </row>
    <row r="1519" spans="1:3" x14ac:dyDescent="0.45">
      <c r="A1519">
        <f>SUMIFS(fact_batting_summary!G:G, fact_batting_summary!E:E, fact_batting_summary!E1519)</f>
        <v>740</v>
      </c>
      <c r="B1519" s="9">
        <f>AVERAGEIFS(fact_batting_summary!G:G, fact_batting_summary!E:E,fact_batting_summary!E1519)</f>
        <v>29.6</v>
      </c>
      <c r="C1519">
        <v>5</v>
      </c>
    </row>
    <row r="1520" spans="1:3" x14ac:dyDescent="0.45">
      <c r="A1520">
        <f>SUMIFS(fact_batting_summary!G:G, fact_batting_summary!E:E, fact_batting_summary!E1520)</f>
        <v>389</v>
      </c>
      <c r="B1520" s="9">
        <f>AVERAGEIFS(fact_batting_summary!G:G, fact_batting_summary!E:E,fact_batting_summary!E1520)</f>
        <v>16.208333333333332</v>
      </c>
      <c r="C1520">
        <v>6</v>
      </c>
    </row>
    <row r="1521" spans="1:3" x14ac:dyDescent="0.45">
      <c r="A1521">
        <f>SUMIFS(fact_batting_summary!G:G, fact_batting_summary!E:E, fact_batting_summary!E1521)</f>
        <v>44</v>
      </c>
      <c r="B1521" s="9">
        <f>AVERAGEIFS(fact_batting_summary!G:G, fact_batting_summary!E:E,fact_batting_summary!E1521)</f>
        <v>3.6666666666666665</v>
      </c>
      <c r="C1521">
        <v>7</v>
      </c>
    </row>
    <row r="1522" spans="1:3" x14ac:dyDescent="0.45">
      <c r="A1522">
        <f>SUMIFS(fact_batting_summary!G:G, fact_batting_summary!E:E, fact_batting_summary!E1522)</f>
        <v>109</v>
      </c>
      <c r="B1522" s="9">
        <f>AVERAGEIFS(fact_batting_summary!G:G, fact_batting_summary!E:E,fact_batting_summary!E1522)</f>
        <v>12.111111111111111</v>
      </c>
      <c r="C1522">
        <v>8</v>
      </c>
    </row>
    <row r="1523" spans="1:3" x14ac:dyDescent="0.45">
      <c r="A1523">
        <f>SUMIFS(fact_batting_summary!G:G, fact_batting_summary!E:E, fact_batting_summary!E1523)</f>
        <v>66</v>
      </c>
      <c r="B1523" s="9">
        <f>AVERAGEIFS(fact_batting_summary!G:G, fact_batting_summary!E:E,fact_batting_summary!E1523)</f>
        <v>11</v>
      </c>
      <c r="C1523">
        <v>9</v>
      </c>
    </row>
    <row r="1524" spans="1:3" x14ac:dyDescent="0.45">
      <c r="A1524">
        <f>SUMIFS(fact_batting_summary!G:G, fact_batting_summary!E:E, fact_batting_summary!E1524)</f>
        <v>16</v>
      </c>
      <c r="B1524" s="9">
        <f>AVERAGEIFS(fact_batting_summary!G:G, fact_batting_summary!E:E,fact_batting_summary!E1524)</f>
        <v>1.2307692307692308</v>
      </c>
      <c r="C1524">
        <v>10</v>
      </c>
    </row>
    <row r="1525" spans="1:3" x14ac:dyDescent="0.45">
      <c r="A1525">
        <f>SUMIFS(fact_batting_summary!G:G, fact_batting_summary!E:E, fact_batting_summary!E1525)</f>
        <v>1831</v>
      </c>
      <c r="B1525" s="9">
        <f>AVERAGEIFS(fact_batting_summary!G:G, fact_batting_summary!E:E,fact_batting_summary!E1525)</f>
        <v>39.804347826086953</v>
      </c>
      <c r="C1525">
        <v>1</v>
      </c>
    </row>
    <row r="1526" spans="1:3" x14ac:dyDescent="0.45">
      <c r="A1526">
        <f>SUMIFS(fact_batting_summary!G:G, fact_batting_summary!E:E, fact_batting_summary!E1526)</f>
        <v>220</v>
      </c>
      <c r="B1526" s="9">
        <f>AVERAGEIFS(fact_batting_summary!G:G, fact_batting_summary!E:E,fact_batting_summary!E1526)</f>
        <v>13.75</v>
      </c>
      <c r="C1526">
        <v>2</v>
      </c>
    </row>
    <row r="1527" spans="1:3" x14ac:dyDescent="0.45">
      <c r="A1527">
        <f>SUMIFS(fact_batting_summary!G:G, fact_batting_summary!E:E, fact_batting_summary!E1527)</f>
        <v>1385</v>
      </c>
      <c r="B1527" s="9">
        <f>AVERAGEIFS(fact_batting_summary!G:G, fact_batting_summary!E:E,fact_batting_summary!E1527)</f>
        <v>30.777777777777779</v>
      </c>
      <c r="C1527">
        <v>3</v>
      </c>
    </row>
    <row r="1528" spans="1:3" x14ac:dyDescent="0.45">
      <c r="A1528">
        <f>SUMIFS(fact_batting_summary!G:G, fact_batting_summary!E:E, fact_batting_summary!E1528)</f>
        <v>1214</v>
      </c>
      <c r="B1528" s="9">
        <f>AVERAGEIFS(fact_batting_summary!G:G, fact_batting_summary!E:E,fact_batting_summary!E1528)</f>
        <v>29.609756097560975</v>
      </c>
      <c r="C1528">
        <v>4</v>
      </c>
    </row>
    <row r="1529" spans="1:3" x14ac:dyDescent="0.45">
      <c r="A1529">
        <f>SUMIFS(fact_batting_summary!G:G, fact_batting_summary!E:E, fact_batting_summary!E1529)</f>
        <v>102</v>
      </c>
      <c r="B1529" s="9">
        <f>AVERAGEIFS(fact_batting_summary!G:G, fact_batting_summary!E:E,fact_batting_summary!E1529)</f>
        <v>11.333333333333334</v>
      </c>
      <c r="C1529">
        <v>5</v>
      </c>
    </row>
    <row r="1530" spans="1:3" x14ac:dyDescent="0.45">
      <c r="A1530">
        <f>SUMIFS(fact_batting_summary!G:G, fact_batting_summary!E:E, fact_batting_summary!E1530)</f>
        <v>320</v>
      </c>
      <c r="B1530" s="9">
        <f>AVERAGEIFS(fact_batting_summary!G:G, fact_batting_summary!E:E,fact_batting_summary!E1530)</f>
        <v>13.333333333333334</v>
      </c>
      <c r="C1530">
        <v>6</v>
      </c>
    </row>
    <row r="1531" spans="1:3" x14ac:dyDescent="0.45">
      <c r="A1531">
        <f>SUMIFS(fact_batting_summary!G:G, fact_batting_summary!E:E, fact_batting_summary!E1531)</f>
        <v>693</v>
      </c>
      <c r="B1531" s="9">
        <f>AVERAGEIFS(fact_batting_summary!G:G, fact_batting_summary!E:E,fact_batting_summary!E1531)</f>
        <v>15.75</v>
      </c>
      <c r="C1531">
        <v>7</v>
      </c>
    </row>
    <row r="1532" spans="1:3" x14ac:dyDescent="0.45">
      <c r="A1532">
        <f>SUMIFS(fact_batting_summary!G:G, fact_batting_summary!E:E, fact_batting_summary!E1532)</f>
        <v>108</v>
      </c>
      <c r="B1532" s="9">
        <f>AVERAGEIFS(fact_batting_summary!G:G, fact_batting_summary!E:E,fact_batting_summary!E1532)</f>
        <v>6</v>
      </c>
      <c r="C1532">
        <v>8</v>
      </c>
    </row>
    <row r="1533" spans="1:3" x14ac:dyDescent="0.45">
      <c r="A1533">
        <f>SUMIFS(fact_batting_summary!G:G, fact_batting_summary!E:E, fact_batting_summary!E1533)</f>
        <v>72</v>
      </c>
      <c r="B1533" s="9">
        <f>AVERAGEIFS(fact_batting_summary!G:G, fact_batting_summary!E:E,fact_batting_summary!E1533)</f>
        <v>5.1428571428571432</v>
      </c>
      <c r="C1533">
        <v>9</v>
      </c>
    </row>
    <row r="1534" spans="1:3" x14ac:dyDescent="0.45">
      <c r="A1534">
        <f>SUMIFS(fact_batting_summary!G:G, fact_batting_summary!E:E, fact_batting_summary!E1534)</f>
        <v>19</v>
      </c>
      <c r="B1534" s="9">
        <f>AVERAGEIFS(fact_batting_summary!G:G, fact_batting_summary!E:E,fact_batting_summary!E1534)</f>
        <v>3.1666666666666665</v>
      </c>
      <c r="C1534">
        <v>10</v>
      </c>
    </row>
    <row r="1535" spans="1:3" x14ac:dyDescent="0.45">
      <c r="A1535">
        <f>SUMIFS(fact_batting_summary!G:G, fact_batting_summary!E:E, fact_batting_summary!E1535)</f>
        <v>51</v>
      </c>
      <c r="B1535" s="9">
        <f>AVERAGEIFS(fact_batting_summary!G:G, fact_batting_summary!E:E,fact_batting_summary!E1535)</f>
        <v>4.6363636363636367</v>
      </c>
      <c r="C1535">
        <v>11</v>
      </c>
    </row>
    <row r="1536" spans="1:3" x14ac:dyDescent="0.45">
      <c r="A1536">
        <f>SUMIFS(fact_batting_summary!G:G, fact_batting_summary!E:E, fact_batting_summary!E1536)</f>
        <v>745</v>
      </c>
      <c r="B1536" s="9">
        <f>AVERAGEIFS(fact_batting_summary!G:G, fact_batting_summary!E:E,fact_batting_summary!E1536)</f>
        <v>24.032258064516128</v>
      </c>
      <c r="C1536">
        <v>1</v>
      </c>
    </row>
    <row r="1537" spans="1:3" x14ac:dyDescent="0.45">
      <c r="A1537">
        <f>SUMIFS(fact_batting_summary!G:G, fact_batting_summary!E:E, fact_batting_summary!E1537)</f>
        <v>416</v>
      </c>
      <c r="B1537" s="9">
        <f>AVERAGEIFS(fact_batting_summary!G:G, fact_batting_summary!E:E,fact_batting_summary!E1537)</f>
        <v>18.90909090909091</v>
      </c>
      <c r="C1537">
        <v>2</v>
      </c>
    </row>
    <row r="1538" spans="1:3" x14ac:dyDescent="0.45">
      <c r="A1538">
        <f>SUMIFS(fact_batting_summary!G:G, fact_batting_summary!E:E, fact_batting_summary!E1538)</f>
        <v>1083</v>
      </c>
      <c r="B1538" s="9">
        <f>AVERAGEIFS(fact_batting_summary!G:G, fact_batting_summary!E:E,fact_batting_summary!E1538)</f>
        <v>25.186046511627907</v>
      </c>
      <c r="C1538">
        <v>3</v>
      </c>
    </row>
    <row r="1539" spans="1:3" x14ac:dyDescent="0.45">
      <c r="A1539">
        <f>SUMIFS(fact_batting_summary!G:G, fact_batting_summary!E:E, fact_batting_summary!E1539)</f>
        <v>819</v>
      </c>
      <c r="B1539" s="9">
        <f>AVERAGEIFS(fact_batting_summary!G:G, fact_batting_summary!E:E,fact_batting_summary!E1539)</f>
        <v>22.135135135135137</v>
      </c>
      <c r="C1539">
        <v>1</v>
      </c>
    </row>
    <row r="1540" spans="1:3" x14ac:dyDescent="0.45">
      <c r="A1540">
        <f>SUMIFS(fact_batting_summary!G:G, fact_batting_summary!E:E, fact_batting_summary!E1540)</f>
        <v>1851</v>
      </c>
      <c r="B1540" s="9">
        <f>AVERAGEIFS(fact_batting_summary!G:G, fact_batting_summary!E:E,fact_batting_summary!E1540)</f>
        <v>37.020000000000003</v>
      </c>
      <c r="C1540">
        <v>2</v>
      </c>
    </row>
    <row r="1541" spans="1:3" x14ac:dyDescent="0.45">
      <c r="A1541">
        <f>SUMIFS(fact_batting_summary!G:G, fact_batting_summary!E:E, fact_batting_summary!E1541)</f>
        <v>960</v>
      </c>
      <c r="B1541" s="9">
        <f>AVERAGEIFS(fact_batting_summary!G:G, fact_batting_summary!E:E,fact_batting_summary!E1541)</f>
        <v>23.414634146341463</v>
      </c>
      <c r="C1541">
        <v>3</v>
      </c>
    </row>
    <row r="1542" spans="1:3" x14ac:dyDescent="0.45">
      <c r="A1542">
        <f>SUMIFS(fact_batting_summary!G:G, fact_batting_summary!E:E, fact_batting_summary!E1542)</f>
        <v>864</v>
      </c>
      <c r="B1542" s="9">
        <f>AVERAGEIFS(fact_batting_summary!G:G, fact_batting_summary!E:E,fact_batting_summary!E1542)</f>
        <v>23.351351351351351</v>
      </c>
      <c r="C1542">
        <v>4</v>
      </c>
    </row>
    <row r="1543" spans="1:3" x14ac:dyDescent="0.45">
      <c r="A1543">
        <f>SUMIFS(fact_batting_summary!G:G, fact_batting_summary!E:E, fact_batting_summary!E1543)</f>
        <v>459</v>
      </c>
      <c r="B1543" s="9">
        <f>AVERAGEIFS(fact_batting_summary!G:G, fact_batting_summary!E:E,fact_batting_summary!E1543)</f>
        <v>13.909090909090908</v>
      </c>
      <c r="C1543">
        <v>5</v>
      </c>
    </row>
    <row r="1544" spans="1:3" x14ac:dyDescent="0.45">
      <c r="A1544">
        <f>SUMIFS(fact_batting_summary!G:G, fact_batting_summary!E:E, fact_batting_summary!E1544)</f>
        <v>304</v>
      </c>
      <c r="B1544" s="9">
        <f>AVERAGEIFS(fact_batting_summary!G:G, fact_batting_summary!E:E,fact_batting_summary!E1544)</f>
        <v>11.692307692307692</v>
      </c>
      <c r="C1544">
        <v>6</v>
      </c>
    </row>
    <row r="1545" spans="1:3" x14ac:dyDescent="0.45">
      <c r="A1545">
        <f>SUMIFS(fact_batting_summary!G:G, fact_batting_summary!E:E, fact_batting_summary!E1545)</f>
        <v>222</v>
      </c>
      <c r="B1545" s="9">
        <f>AVERAGEIFS(fact_batting_summary!G:G, fact_batting_summary!E:E,fact_batting_summary!E1545)</f>
        <v>17.076923076923077</v>
      </c>
      <c r="C1545">
        <v>7</v>
      </c>
    </row>
    <row r="1546" spans="1:3" x14ac:dyDescent="0.45">
      <c r="A1546">
        <f>SUMIFS(fact_batting_summary!G:G, fact_batting_summary!E:E, fact_batting_summary!E1546)</f>
        <v>23</v>
      </c>
      <c r="B1546" s="9">
        <f>AVERAGEIFS(fact_batting_summary!G:G, fact_batting_summary!E:E,fact_batting_summary!E1546)</f>
        <v>3.8333333333333335</v>
      </c>
      <c r="C1546">
        <v>8</v>
      </c>
    </row>
    <row r="1547" spans="1:3" x14ac:dyDescent="0.45">
      <c r="A1547">
        <f>SUMIFS(fact_batting_summary!G:G, fact_batting_summary!E:E, fact_batting_summary!E1547)</f>
        <v>12</v>
      </c>
      <c r="B1547" s="9">
        <f>AVERAGEIFS(fact_batting_summary!G:G, fact_batting_summary!E:E,fact_batting_summary!E1547)</f>
        <v>2.4</v>
      </c>
      <c r="C1547">
        <v>9</v>
      </c>
    </row>
    <row r="1548" spans="1:3" x14ac:dyDescent="0.45">
      <c r="A1548">
        <f>SUMIFS(fact_batting_summary!G:G, fact_batting_summary!E:E, fact_batting_summary!E1548)</f>
        <v>0</v>
      </c>
      <c r="B1548" s="9">
        <f>AVERAGEIFS(fact_batting_summary!G:G, fact_batting_summary!E:E,fact_batting_summary!E1548)</f>
        <v>0</v>
      </c>
      <c r="C1548">
        <v>10</v>
      </c>
    </row>
    <row r="1549" spans="1:3" x14ac:dyDescent="0.45">
      <c r="A1549">
        <f>SUMIFS(fact_batting_summary!G:G, fact_batting_summary!E:E, fact_batting_summary!E1549)</f>
        <v>169</v>
      </c>
      <c r="B1549" s="9">
        <f>AVERAGEIFS(fact_batting_summary!G:G, fact_batting_summary!E:E,fact_batting_summary!E1549)</f>
        <v>21.125</v>
      </c>
      <c r="C1549">
        <v>1</v>
      </c>
    </row>
    <row r="1550" spans="1:3" x14ac:dyDescent="0.45">
      <c r="A1550">
        <f>SUMIFS(fact_batting_summary!G:G, fact_batting_summary!E:E, fact_batting_summary!E1550)</f>
        <v>154</v>
      </c>
      <c r="B1550" s="9">
        <f>AVERAGEIFS(fact_batting_summary!G:G, fact_batting_summary!E:E,fact_batting_summary!E1550)</f>
        <v>5.1333333333333337</v>
      </c>
      <c r="C1550">
        <v>2</v>
      </c>
    </row>
    <row r="1551" spans="1:3" x14ac:dyDescent="0.45">
      <c r="A1551">
        <f>SUMIFS(fact_batting_summary!G:G, fact_batting_summary!E:E, fact_batting_summary!E1551)</f>
        <v>576</v>
      </c>
      <c r="B1551" s="9">
        <f>AVERAGEIFS(fact_batting_summary!G:G, fact_batting_summary!E:E,fact_batting_summary!E1551)</f>
        <v>26.181818181818183</v>
      </c>
      <c r="C1551">
        <v>3</v>
      </c>
    </row>
    <row r="1552" spans="1:3" x14ac:dyDescent="0.45">
      <c r="A1552">
        <f>SUMIFS(fact_batting_summary!G:G, fact_batting_summary!E:E, fact_batting_summary!E1552)</f>
        <v>1157</v>
      </c>
      <c r="B1552" s="9">
        <f>AVERAGEIFS(fact_batting_summary!G:G, fact_batting_summary!E:E,fact_batting_summary!E1552)</f>
        <v>26.295454545454547</v>
      </c>
      <c r="C1552">
        <v>4</v>
      </c>
    </row>
    <row r="1553" spans="1:3" x14ac:dyDescent="0.45">
      <c r="A1553">
        <f>SUMIFS(fact_batting_summary!G:G, fact_batting_summary!E:E, fact_batting_summary!E1553)</f>
        <v>648</v>
      </c>
      <c r="B1553" s="9">
        <f>AVERAGEIFS(fact_batting_summary!G:G, fact_batting_summary!E:E,fact_batting_summary!E1553)</f>
        <v>30.857142857142858</v>
      </c>
      <c r="C1553">
        <v>5</v>
      </c>
    </row>
    <row r="1554" spans="1:3" x14ac:dyDescent="0.45">
      <c r="A1554">
        <f>SUMIFS(fact_batting_summary!G:G, fact_batting_summary!E:E, fact_batting_summary!E1554)</f>
        <v>956</v>
      </c>
      <c r="B1554" s="9">
        <f>AVERAGEIFS(fact_batting_summary!G:G, fact_batting_summary!E:E,fact_batting_summary!E1554)</f>
        <v>26.555555555555557</v>
      </c>
      <c r="C1554">
        <v>6</v>
      </c>
    </row>
    <row r="1555" spans="1:3" x14ac:dyDescent="0.45">
      <c r="A1555">
        <f>SUMIFS(fact_batting_summary!G:G, fact_batting_summary!E:E, fact_batting_summary!E1555)</f>
        <v>745</v>
      </c>
      <c r="B1555" s="9">
        <f>AVERAGEIFS(fact_batting_summary!G:G, fact_batting_summary!E:E,fact_batting_summary!E1555)</f>
        <v>21.285714285714285</v>
      </c>
      <c r="C1555">
        <v>7</v>
      </c>
    </row>
    <row r="1556" spans="1:3" x14ac:dyDescent="0.45">
      <c r="A1556">
        <f>SUMIFS(fact_batting_summary!G:G, fact_batting_summary!E:E, fact_batting_summary!E1556)</f>
        <v>28</v>
      </c>
      <c r="B1556" s="9">
        <f>AVERAGEIFS(fact_batting_summary!G:G, fact_batting_summary!E:E,fact_batting_summary!E1556)</f>
        <v>5.6</v>
      </c>
      <c r="C1556">
        <v>8</v>
      </c>
    </row>
    <row r="1557" spans="1:3" x14ac:dyDescent="0.45">
      <c r="A1557">
        <f>SUMIFS(fact_batting_summary!G:G, fact_batting_summary!E:E, fact_batting_summary!E1557)</f>
        <v>74</v>
      </c>
      <c r="B1557" s="9">
        <f>AVERAGEIFS(fact_batting_summary!G:G, fact_batting_summary!E:E,fact_batting_summary!E1557)</f>
        <v>6.166666666666667</v>
      </c>
      <c r="C1557">
        <v>9</v>
      </c>
    </row>
    <row r="1558" spans="1:3" x14ac:dyDescent="0.45">
      <c r="A1558">
        <f>SUMIFS(fact_batting_summary!G:G, fact_batting_summary!E:E, fact_batting_summary!E1558)</f>
        <v>5</v>
      </c>
      <c r="B1558" s="9">
        <f>AVERAGEIFS(fact_batting_summary!G:G, fact_batting_summary!E:E,fact_batting_summary!E1558)</f>
        <v>0.83333333333333337</v>
      </c>
      <c r="C1558">
        <v>10</v>
      </c>
    </row>
    <row r="1559" spans="1:3" x14ac:dyDescent="0.45">
      <c r="A1559">
        <f>SUMIFS(fact_batting_summary!G:G, fact_batting_summary!E:E, fact_batting_summary!E1559)</f>
        <v>1509</v>
      </c>
      <c r="B1559" s="9">
        <f>AVERAGEIFS(fact_batting_summary!G:G, fact_batting_summary!E:E,fact_batting_summary!E1559)</f>
        <v>39.710526315789473</v>
      </c>
      <c r="C1559">
        <v>1</v>
      </c>
    </row>
    <row r="1560" spans="1:3" x14ac:dyDescent="0.45">
      <c r="A1560">
        <f>SUMIFS(fact_batting_summary!G:G, fact_batting_summary!E:E, fact_batting_summary!E1560)</f>
        <v>1048</v>
      </c>
      <c r="B1560" s="9">
        <f>AVERAGEIFS(fact_batting_summary!G:G, fact_batting_summary!E:E,fact_batting_summary!E1560)</f>
        <v>24.952380952380953</v>
      </c>
      <c r="C1560">
        <v>2</v>
      </c>
    </row>
    <row r="1561" spans="1:3" x14ac:dyDescent="0.45">
      <c r="A1561">
        <f>SUMIFS(fact_batting_summary!G:G, fact_batting_summary!E:E, fact_batting_summary!E1561)</f>
        <v>1304</v>
      </c>
      <c r="B1561" s="9">
        <f>AVERAGEIFS(fact_batting_summary!G:G, fact_batting_summary!E:E,fact_batting_summary!E1561)</f>
        <v>28.977777777777778</v>
      </c>
      <c r="C1561">
        <v>3</v>
      </c>
    </row>
    <row r="1562" spans="1:3" x14ac:dyDescent="0.45">
      <c r="A1562">
        <f>SUMIFS(fact_batting_summary!G:G, fact_batting_summary!E:E, fact_batting_summary!E1562)</f>
        <v>854</v>
      </c>
      <c r="B1562" s="9">
        <f>AVERAGEIFS(fact_batting_summary!G:G, fact_batting_summary!E:E,fact_batting_summary!E1562)</f>
        <v>21.35</v>
      </c>
      <c r="C1562">
        <v>4</v>
      </c>
    </row>
    <row r="1563" spans="1:3" x14ac:dyDescent="0.45">
      <c r="A1563">
        <f>SUMIFS(fact_batting_summary!G:G, fact_batting_summary!E:E, fact_batting_summary!E1563)</f>
        <v>815</v>
      </c>
      <c r="B1563" s="9">
        <f>AVERAGEIFS(fact_batting_summary!G:G, fact_batting_summary!E:E,fact_batting_summary!E1563)</f>
        <v>25.46875</v>
      </c>
      <c r="C1563">
        <v>1</v>
      </c>
    </row>
    <row r="1564" spans="1:3" x14ac:dyDescent="0.45">
      <c r="A1564">
        <f>SUMIFS(fact_batting_summary!G:G, fact_batting_summary!E:E, fact_batting_summary!E1564)</f>
        <v>1137</v>
      </c>
      <c r="B1564" s="9">
        <f>AVERAGEIFS(fact_batting_summary!G:G, fact_batting_summary!E:E,fact_batting_summary!E1564)</f>
        <v>34.454545454545453</v>
      </c>
      <c r="C1564">
        <v>2</v>
      </c>
    </row>
    <row r="1565" spans="1:3" x14ac:dyDescent="0.45">
      <c r="A1565">
        <f>SUMIFS(fact_batting_summary!G:G, fact_batting_summary!E:E, fact_batting_summary!E1565)</f>
        <v>144</v>
      </c>
      <c r="B1565" s="9">
        <f>AVERAGEIFS(fact_batting_summary!G:G, fact_batting_summary!E:E,fact_batting_summary!E1565)</f>
        <v>13.090909090909092</v>
      </c>
      <c r="C1565">
        <v>3</v>
      </c>
    </row>
    <row r="1566" spans="1:3" x14ac:dyDescent="0.45">
      <c r="A1566">
        <f>SUMIFS(fact_batting_summary!G:G, fact_batting_summary!E:E, fact_batting_summary!E1566)</f>
        <v>722</v>
      </c>
      <c r="B1566" s="9">
        <f>AVERAGEIFS(fact_batting_summary!G:G, fact_batting_summary!E:E,fact_batting_summary!E1566)</f>
        <v>25.785714285714285</v>
      </c>
      <c r="C1566">
        <v>4</v>
      </c>
    </row>
    <row r="1567" spans="1:3" x14ac:dyDescent="0.45">
      <c r="A1567">
        <f>SUMIFS(fact_batting_summary!G:G, fact_batting_summary!E:E, fact_batting_summary!E1567)</f>
        <v>295</v>
      </c>
      <c r="B1567" s="9">
        <f>AVERAGEIFS(fact_batting_summary!G:G, fact_batting_summary!E:E,fact_batting_summary!E1567)</f>
        <v>15.526315789473685</v>
      </c>
      <c r="C1567">
        <v>5</v>
      </c>
    </row>
    <row r="1568" spans="1:3" x14ac:dyDescent="0.45">
      <c r="A1568">
        <f>SUMIFS(fact_batting_summary!G:G, fact_batting_summary!E:E, fact_batting_summary!E1568)</f>
        <v>505</v>
      </c>
      <c r="B1568" s="9">
        <f>AVERAGEIFS(fact_batting_summary!G:G, fact_batting_summary!E:E,fact_batting_summary!E1568)</f>
        <v>17.413793103448278</v>
      </c>
      <c r="C1568">
        <v>6</v>
      </c>
    </row>
    <row r="1569" spans="1:3" x14ac:dyDescent="0.45">
      <c r="A1569">
        <f>SUMIFS(fact_batting_summary!G:G, fact_batting_summary!E:E, fact_batting_summary!E1569)</f>
        <v>238</v>
      </c>
      <c r="B1569" s="9">
        <f>AVERAGEIFS(fact_batting_summary!G:G, fact_batting_summary!E:E,fact_batting_summary!E1569)</f>
        <v>9.9166666666666661</v>
      </c>
      <c r="C1569">
        <v>7</v>
      </c>
    </row>
    <row r="1570" spans="1:3" x14ac:dyDescent="0.45">
      <c r="A1570">
        <f>SUMIFS(fact_batting_summary!G:G, fact_batting_summary!E:E, fact_batting_summary!E1570)</f>
        <v>257</v>
      </c>
      <c r="B1570" s="9">
        <f>AVERAGEIFS(fact_batting_summary!G:G, fact_batting_summary!E:E,fact_batting_summary!E1570)</f>
        <v>17.133333333333333</v>
      </c>
      <c r="C1570">
        <v>8</v>
      </c>
    </row>
    <row r="1571" spans="1:3" x14ac:dyDescent="0.45">
      <c r="A1571">
        <f>SUMIFS(fact_batting_summary!G:G, fact_batting_summary!E:E, fact_batting_summary!E1571)</f>
        <v>79</v>
      </c>
      <c r="B1571" s="9">
        <f>AVERAGEIFS(fact_batting_summary!G:G, fact_batting_summary!E:E,fact_batting_summary!E1571)</f>
        <v>4.6470588235294121</v>
      </c>
      <c r="C1571">
        <v>9</v>
      </c>
    </row>
    <row r="1572" spans="1:3" x14ac:dyDescent="0.45">
      <c r="A1572">
        <f>SUMIFS(fact_batting_summary!G:G, fact_batting_summary!E:E, fact_batting_summary!E1572)</f>
        <v>981</v>
      </c>
      <c r="B1572" s="9">
        <f>AVERAGEIFS(fact_batting_summary!G:G, fact_batting_summary!E:E,fact_batting_summary!E1572)</f>
        <v>22.813953488372093</v>
      </c>
      <c r="C1572">
        <v>1</v>
      </c>
    </row>
    <row r="1573" spans="1:3" x14ac:dyDescent="0.45">
      <c r="A1573">
        <f>SUMIFS(fact_batting_summary!G:G, fact_batting_summary!E:E, fact_batting_summary!E1573)</f>
        <v>1113</v>
      </c>
      <c r="B1573" s="9">
        <f>AVERAGEIFS(fact_batting_summary!G:G, fact_batting_summary!E:E,fact_batting_summary!E1573)</f>
        <v>28.53846153846154</v>
      </c>
      <c r="C1573">
        <v>2</v>
      </c>
    </row>
    <row r="1574" spans="1:3" x14ac:dyDescent="0.45">
      <c r="A1574">
        <f>SUMIFS(fact_batting_summary!G:G, fact_batting_summary!E:E, fact_batting_summary!E1574)</f>
        <v>161</v>
      </c>
      <c r="B1574" s="9">
        <f>AVERAGEIFS(fact_batting_summary!G:G, fact_batting_summary!E:E,fact_batting_summary!E1574)</f>
        <v>23</v>
      </c>
      <c r="C1574">
        <v>3</v>
      </c>
    </row>
    <row r="1575" spans="1:3" x14ac:dyDescent="0.45">
      <c r="A1575">
        <f>SUMIFS(fact_batting_summary!G:G, fact_batting_summary!E:E, fact_batting_summary!E1575)</f>
        <v>1225</v>
      </c>
      <c r="B1575" s="9">
        <f>AVERAGEIFS(fact_batting_summary!G:G, fact_batting_summary!E:E,fact_batting_summary!E1575)</f>
        <v>32.236842105263158</v>
      </c>
      <c r="C1575">
        <v>4</v>
      </c>
    </row>
    <row r="1576" spans="1:3" x14ac:dyDescent="0.45">
      <c r="A1576">
        <f>SUMIFS(fact_batting_summary!G:G, fact_batting_summary!E:E, fact_batting_summary!E1576)</f>
        <v>740</v>
      </c>
      <c r="B1576" s="9">
        <f>AVERAGEIFS(fact_batting_summary!G:G, fact_batting_summary!E:E,fact_batting_summary!E1576)</f>
        <v>29.6</v>
      </c>
      <c r="C1576">
        <v>5</v>
      </c>
    </row>
    <row r="1577" spans="1:3" x14ac:dyDescent="0.45">
      <c r="A1577">
        <f>SUMIFS(fact_batting_summary!G:G, fact_batting_summary!E:E, fact_batting_summary!E1577)</f>
        <v>66</v>
      </c>
      <c r="B1577" s="9">
        <f>AVERAGEIFS(fact_batting_summary!G:G, fact_batting_summary!E:E,fact_batting_summary!E1577)</f>
        <v>11</v>
      </c>
      <c r="C1577">
        <v>6</v>
      </c>
    </row>
    <row r="1578" spans="1:3" x14ac:dyDescent="0.45">
      <c r="A1578">
        <f>SUMIFS(fact_batting_summary!G:G, fact_batting_summary!E:E, fact_batting_summary!E1578)</f>
        <v>389</v>
      </c>
      <c r="B1578" s="9">
        <f>AVERAGEIFS(fact_batting_summary!G:G, fact_batting_summary!E:E,fact_batting_summary!E1578)</f>
        <v>16.208333333333332</v>
      </c>
      <c r="C1578">
        <v>7</v>
      </c>
    </row>
    <row r="1579" spans="1:3" x14ac:dyDescent="0.45">
      <c r="A1579">
        <f>SUMIFS(fact_batting_summary!G:G, fact_batting_summary!E:E, fact_batting_summary!E1579)</f>
        <v>44</v>
      </c>
      <c r="B1579" s="9">
        <f>AVERAGEIFS(fact_batting_summary!G:G, fact_batting_summary!E:E,fact_batting_summary!E1579)</f>
        <v>3.6666666666666665</v>
      </c>
      <c r="C1579">
        <v>8</v>
      </c>
    </row>
    <row r="1580" spans="1:3" x14ac:dyDescent="0.45">
      <c r="A1580">
        <f>SUMIFS(fact_batting_summary!G:G, fact_batting_summary!E:E, fact_batting_summary!E1580)</f>
        <v>109</v>
      </c>
      <c r="B1580" s="9">
        <f>AVERAGEIFS(fact_batting_summary!G:G, fact_batting_summary!E:E,fact_batting_summary!E1580)</f>
        <v>12.111111111111111</v>
      </c>
      <c r="C1580">
        <v>9</v>
      </c>
    </row>
    <row r="1581" spans="1:3" x14ac:dyDescent="0.45">
      <c r="A1581">
        <f>SUMIFS(fact_batting_summary!G:G, fact_batting_summary!E:E, fact_batting_summary!E1581)</f>
        <v>1593</v>
      </c>
      <c r="B1581" s="9">
        <f>AVERAGEIFS(fact_batting_summary!G:G, fact_batting_summary!E:E,fact_batting_summary!E1581)</f>
        <v>35.4</v>
      </c>
      <c r="C1581">
        <v>1</v>
      </c>
    </row>
    <row r="1582" spans="1:3" x14ac:dyDescent="0.45">
      <c r="A1582">
        <f>SUMIFS(fact_batting_summary!G:G, fact_batting_summary!E:E, fact_batting_summary!E1582)</f>
        <v>345</v>
      </c>
      <c r="B1582" s="9">
        <f>AVERAGEIFS(fact_batting_summary!G:G, fact_batting_summary!E:E,fact_batting_summary!E1582)</f>
        <v>23</v>
      </c>
      <c r="C1582">
        <v>2</v>
      </c>
    </row>
    <row r="1583" spans="1:3" x14ac:dyDescent="0.45">
      <c r="A1583">
        <f>SUMIFS(fact_batting_summary!G:G, fact_batting_summary!E:E, fact_batting_summary!E1583)</f>
        <v>24</v>
      </c>
      <c r="B1583" s="9">
        <f>AVERAGEIFS(fact_batting_summary!G:G, fact_batting_summary!E:E,fact_batting_summary!E1583)</f>
        <v>4</v>
      </c>
      <c r="C1583">
        <v>3</v>
      </c>
    </row>
    <row r="1584" spans="1:3" x14ac:dyDescent="0.45">
      <c r="A1584">
        <f>SUMIFS(fact_batting_summary!G:G, fact_batting_summary!E:E, fact_batting_summary!E1584)</f>
        <v>689</v>
      </c>
      <c r="B1584" s="9">
        <f>AVERAGEIFS(fact_batting_summary!G:G, fact_batting_summary!E:E,fact_batting_summary!E1584)</f>
        <v>19.138888888888889</v>
      </c>
      <c r="C1584">
        <v>4</v>
      </c>
    </row>
    <row r="1585" spans="1:3" x14ac:dyDescent="0.45">
      <c r="A1585">
        <f>SUMIFS(fact_batting_summary!G:G, fact_batting_summary!E:E, fact_batting_summary!E1585)</f>
        <v>937</v>
      </c>
      <c r="B1585" s="9">
        <f>AVERAGEIFS(fact_batting_summary!G:G, fact_batting_summary!E:E,fact_batting_summary!E1585)</f>
        <v>27.558823529411764</v>
      </c>
      <c r="C1585">
        <v>5</v>
      </c>
    </row>
    <row r="1586" spans="1:3" x14ac:dyDescent="0.45">
      <c r="A1586">
        <f>SUMIFS(fact_batting_summary!G:G, fact_batting_summary!E:E, fact_batting_summary!E1586)</f>
        <v>533</v>
      </c>
      <c r="B1586" s="9">
        <f>AVERAGEIFS(fact_batting_summary!G:G, fact_batting_summary!E:E,fact_batting_summary!E1586)</f>
        <v>15.676470588235293</v>
      </c>
      <c r="C1586">
        <v>6</v>
      </c>
    </row>
    <row r="1587" spans="1:3" x14ac:dyDescent="0.45">
      <c r="A1587">
        <f>SUMIFS(fact_batting_summary!G:G, fact_batting_summary!E:E, fact_batting_summary!E1587)</f>
        <v>450</v>
      </c>
      <c r="B1587" s="9">
        <f>AVERAGEIFS(fact_batting_summary!G:G, fact_batting_summary!E:E,fact_batting_summary!E1587)</f>
        <v>12.5</v>
      </c>
      <c r="C1587">
        <v>7</v>
      </c>
    </row>
    <row r="1588" spans="1:3" x14ac:dyDescent="0.45">
      <c r="A1588">
        <f>SUMIFS(fact_batting_summary!G:G, fact_batting_summary!E:E, fact_batting_summary!E1588)</f>
        <v>44</v>
      </c>
      <c r="B1588" s="9">
        <f>AVERAGEIFS(fact_batting_summary!G:G, fact_batting_summary!E:E,fact_batting_summary!E1588)</f>
        <v>8.8000000000000007</v>
      </c>
      <c r="C1588">
        <v>8</v>
      </c>
    </row>
    <row r="1589" spans="1:3" x14ac:dyDescent="0.45">
      <c r="A1589">
        <f>SUMIFS(fact_batting_summary!G:G, fact_batting_summary!E:E, fact_batting_summary!E1589)</f>
        <v>70</v>
      </c>
      <c r="B1589" s="9">
        <f>AVERAGEIFS(fact_batting_summary!G:G, fact_batting_summary!E:E,fact_batting_summary!E1589)</f>
        <v>7.7777777777777777</v>
      </c>
      <c r="C1589">
        <v>9</v>
      </c>
    </row>
    <row r="1590" spans="1:3" x14ac:dyDescent="0.45">
      <c r="A1590">
        <f>SUMIFS(fact_batting_summary!G:G, fact_batting_summary!E:E, fact_batting_summary!E1590)</f>
        <v>907</v>
      </c>
      <c r="B1590" s="9">
        <f>AVERAGEIFS(fact_batting_summary!G:G, fact_batting_summary!E:E,fact_batting_summary!E1590)</f>
        <v>26.676470588235293</v>
      </c>
      <c r="C1590">
        <v>1</v>
      </c>
    </row>
    <row r="1591" spans="1:3" x14ac:dyDescent="0.45">
      <c r="A1591">
        <f>SUMIFS(fact_batting_summary!G:G, fact_batting_summary!E:E, fact_batting_summary!E1591)</f>
        <v>1392</v>
      </c>
      <c r="B1591" s="9">
        <f>AVERAGEIFS(fact_batting_summary!G:G, fact_batting_summary!E:E,fact_batting_summary!E1591)</f>
        <v>34.799999999999997</v>
      </c>
      <c r="C1591">
        <v>2</v>
      </c>
    </row>
    <row r="1592" spans="1:3" x14ac:dyDescent="0.45">
      <c r="A1592">
        <f>SUMIFS(fact_batting_summary!G:G, fact_batting_summary!E:E, fact_batting_summary!E1592)</f>
        <v>463</v>
      </c>
      <c r="B1592" s="9">
        <f>AVERAGEIFS(fact_batting_summary!G:G, fact_batting_summary!E:E,fact_batting_summary!E1592)</f>
        <v>27.235294117647058</v>
      </c>
      <c r="C1592">
        <v>3</v>
      </c>
    </row>
    <row r="1593" spans="1:3" x14ac:dyDescent="0.45">
      <c r="A1593">
        <f>SUMIFS(fact_batting_summary!G:G, fact_batting_summary!E:E, fact_batting_summary!E1593)</f>
        <v>758</v>
      </c>
      <c r="B1593" s="9">
        <f>AVERAGEIFS(fact_batting_summary!G:G, fact_batting_summary!E:E,fact_batting_summary!E1593)</f>
        <v>27.071428571428573</v>
      </c>
      <c r="C1593">
        <v>4</v>
      </c>
    </row>
    <row r="1594" spans="1:3" x14ac:dyDescent="0.45">
      <c r="A1594">
        <f>SUMIFS(fact_batting_summary!G:G, fact_batting_summary!E:E, fact_batting_summary!E1594)</f>
        <v>543</v>
      </c>
      <c r="B1594" s="9">
        <f>AVERAGEIFS(fact_batting_summary!G:G, fact_batting_summary!E:E,fact_batting_summary!E1594)</f>
        <v>22.625</v>
      </c>
      <c r="C1594">
        <v>5</v>
      </c>
    </row>
    <row r="1595" spans="1:3" x14ac:dyDescent="0.45">
      <c r="A1595">
        <f>SUMIFS(fact_batting_summary!G:G, fact_batting_summary!E:E, fact_batting_summary!E1595)</f>
        <v>426</v>
      </c>
      <c r="B1595" s="9">
        <f>AVERAGEIFS(fact_batting_summary!G:G, fact_batting_summary!E:E,fact_batting_summary!E1595)</f>
        <v>13.741935483870968</v>
      </c>
      <c r="C1595">
        <v>6</v>
      </c>
    </row>
    <row r="1596" spans="1:3" x14ac:dyDescent="0.45">
      <c r="A1596">
        <f>SUMIFS(fact_batting_summary!G:G, fact_batting_summary!E:E, fact_batting_summary!E1596)</f>
        <v>61</v>
      </c>
      <c r="B1596" s="9">
        <f>AVERAGEIFS(fact_batting_summary!G:G, fact_batting_summary!E:E,fact_batting_summary!E1596)</f>
        <v>4.6923076923076925</v>
      </c>
      <c r="C1596">
        <v>7</v>
      </c>
    </row>
    <row r="1597" spans="1:3" x14ac:dyDescent="0.45">
      <c r="A1597">
        <f>SUMIFS(fact_batting_summary!G:G, fact_batting_summary!E:E, fact_batting_summary!E1597)</f>
        <v>19</v>
      </c>
      <c r="B1597" s="9">
        <f>AVERAGEIFS(fact_batting_summary!G:G, fact_batting_summary!E:E,fact_batting_summary!E1597)</f>
        <v>3.8</v>
      </c>
      <c r="C1597">
        <v>8</v>
      </c>
    </row>
    <row r="1598" spans="1:3" x14ac:dyDescent="0.45">
      <c r="A1598">
        <f>SUMIFS(fact_batting_summary!G:G, fact_batting_summary!E:E, fact_batting_summary!E1598)</f>
        <v>91</v>
      </c>
      <c r="B1598" s="9">
        <f>AVERAGEIFS(fact_batting_summary!G:G, fact_batting_summary!E:E,fact_batting_summary!E1598)</f>
        <v>5.6875</v>
      </c>
      <c r="C1598">
        <v>9</v>
      </c>
    </row>
    <row r="1599" spans="1:3" x14ac:dyDescent="0.45">
      <c r="A1599">
        <f>SUMIFS(fact_batting_summary!G:G, fact_batting_summary!E:E, fact_batting_summary!E1599)</f>
        <v>25</v>
      </c>
      <c r="B1599" s="9">
        <f>AVERAGEIFS(fact_batting_summary!G:G, fact_batting_summary!E:E,fact_batting_summary!E1599)</f>
        <v>2.5</v>
      </c>
      <c r="C1599">
        <v>10</v>
      </c>
    </row>
    <row r="1600" spans="1:3" x14ac:dyDescent="0.45">
      <c r="A1600">
        <f>SUMIFS(fact_batting_summary!G:G, fact_batting_summary!E:E, fact_batting_summary!E1600)</f>
        <v>8</v>
      </c>
      <c r="B1600" s="9">
        <f>AVERAGEIFS(fact_batting_summary!G:G, fact_batting_summary!E:E,fact_batting_summary!E1600)</f>
        <v>1.3333333333333333</v>
      </c>
      <c r="C1600">
        <v>11</v>
      </c>
    </row>
    <row r="1601" spans="1:3" x14ac:dyDescent="0.45">
      <c r="A1601">
        <f>SUMIFS(fact_batting_summary!G:G, fact_batting_summary!E:E, fact_batting_summary!E1601)</f>
        <v>815</v>
      </c>
      <c r="B1601" s="9">
        <f>AVERAGEIFS(fact_batting_summary!G:G, fact_batting_summary!E:E,fact_batting_summary!E1601)</f>
        <v>25.46875</v>
      </c>
      <c r="C1601">
        <v>1</v>
      </c>
    </row>
    <row r="1602" spans="1:3" x14ac:dyDescent="0.45">
      <c r="A1602">
        <f>SUMIFS(fact_batting_summary!G:G, fact_batting_summary!E:E, fact_batting_summary!E1602)</f>
        <v>1137</v>
      </c>
      <c r="B1602" s="9">
        <f>AVERAGEIFS(fact_batting_summary!G:G, fact_batting_summary!E:E,fact_batting_summary!E1602)</f>
        <v>34.454545454545453</v>
      </c>
      <c r="C1602">
        <v>2</v>
      </c>
    </row>
    <row r="1603" spans="1:3" x14ac:dyDescent="0.45">
      <c r="A1603">
        <f>SUMIFS(fact_batting_summary!G:G, fact_batting_summary!E:E, fact_batting_summary!E1603)</f>
        <v>144</v>
      </c>
      <c r="B1603" s="9">
        <f>AVERAGEIFS(fact_batting_summary!G:G, fact_batting_summary!E:E,fact_batting_summary!E1603)</f>
        <v>13.090909090909092</v>
      </c>
      <c r="C1603">
        <v>3</v>
      </c>
    </row>
    <row r="1604" spans="1:3" x14ac:dyDescent="0.45">
      <c r="A1604">
        <f>SUMIFS(fact_batting_summary!G:G, fact_batting_summary!E:E, fact_batting_summary!E1604)</f>
        <v>220</v>
      </c>
      <c r="B1604" s="9">
        <f>AVERAGEIFS(fact_batting_summary!G:G, fact_batting_summary!E:E,fact_batting_summary!E1604)</f>
        <v>13.75</v>
      </c>
      <c r="C1604">
        <v>1</v>
      </c>
    </row>
    <row r="1605" spans="1:3" x14ac:dyDescent="0.45">
      <c r="A1605">
        <f>SUMIFS(fact_batting_summary!G:G, fact_batting_summary!E:E, fact_batting_summary!E1605)</f>
        <v>1831</v>
      </c>
      <c r="B1605" s="9">
        <f>AVERAGEIFS(fact_batting_summary!G:G, fact_batting_summary!E:E,fact_batting_summary!E1605)</f>
        <v>39.804347826086953</v>
      </c>
      <c r="C1605">
        <v>2</v>
      </c>
    </row>
    <row r="1606" spans="1:3" x14ac:dyDescent="0.45">
      <c r="A1606">
        <f>SUMIFS(fact_batting_summary!G:G, fact_batting_summary!E:E, fact_batting_summary!E1606)</f>
        <v>1385</v>
      </c>
      <c r="B1606" s="9">
        <f>AVERAGEIFS(fact_batting_summary!G:G, fact_batting_summary!E:E,fact_batting_summary!E1606)</f>
        <v>30.777777777777779</v>
      </c>
      <c r="C1606">
        <v>3</v>
      </c>
    </row>
    <row r="1607" spans="1:3" x14ac:dyDescent="0.45">
      <c r="A1607">
        <f>SUMIFS(fact_batting_summary!G:G, fact_batting_summary!E:E, fact_batting_summary!E1607)</f>
        <v>1214</v>
      </c>
      <c r="B1607" s="9">
        <f>AVERAGEIFS(fact_batting_summary!G:G, fact_batting_summary!E:E,fact_batting_summary!E1607)</f>
        <v>29.609756097560975</v>
      </c>
      <c r="C1607">
        <v>4</v>
      </c>
    </row>
    <row r="1608" spans="1:3" x14ac:dyDescent="0.45">
      <c r="A1608">
        <f>SUMIFS(fact_batting_summary!G:G, fact_batting_summary!E:E, fact_batting_summary!E1608)</f>
        <v>102</v>
      </c>
      <c r="B1608" s="9">
        <f>AVERAGEIFS(fact_batting_summary!G:G, fact_batting_summary!E:E,fact_batting_summary!E1608)</f>
        <v>11.333333333333334</v>
      </c>
      <c r="C1608">
        <v>5</v>
      </c>
    </row>
    <row r="1609" spans="1:3" x14ac:dyDescent="0.45">
      <c r="A1609">
        <f>SUMIFS(fact_batting_summary!G:G, fact_batting_summary!E:E, fact_batting_summary!E1609)</f>
        <v>320</v>
      </c>
      <c r="B1609" s="9">
        <f>AVERAGEIFS(fact_batting_summary!G:G, fact_batting_summary!E:E,fact_batting_summary!E1609)</f>
        <v>13.333333333333334</v>
      </c>
      <c r="C1609">
        <v>6</v>
      </c>
    </row>
    <row r="1610" spans="1:3" x14ac:dyDescent="0.45">
      <c r="A1610">
        <f>SUMIFS(fact_batting_summary!G:G, fact_batting_summary!E:E, fact_batting_summary!E1610)</f>
        <v>693</v>
      </c>
      <c r="B1610" s="9">
        <f>AVERAGEIFS(fact_batting_summary!G:G, fact_batting_summary!E:E,fact_batting_summary!E1610)</f>
        <v>15.75</v>
      </c>
      <c r="C1610">
        <v>7</v>
      </c>
    </row>
    <row r="1611" spans="1:3" x14ac:dyDescent="0.45">
      <c r="A1611">
        <f>SUMIFS(fact_batting_summary!G:G, fact_batting_summary!E:E, fact_batting_summary!E1611)</f>
        <v>108</v>
      </c>
      <c r="B1611" s="9">
        <f>AVERAGEIFS(fact_batting_summary!G:G, fact_batting_summary!E:E,fact_batting_summary!E1611)</f>
        <v>6</v>
      </c>
      <c r="C1611">
        <v>8</v>
      </c>
    </row>
    <row r="1612" spans="1:3" x14ac:dyDescent="0.45">
      <c r="A1612">
        <f>SUMIFS(fact_batting_summary!G:G, fact_batting_summary!E:E, fact_batting_summary!E1612)</f>
        <v>948</v>
      </c>
      <c r="B1612" s="9">
        <f>AVERAGEIFS(fact_batting_summary!G:G, fact_batting_summary!E:E,fact_batting_summary!E1612)</f>
        <v>31.6</v>
      </c>
      <c r="C1612">
        <v>1</v>
      </c>
    </row>
    <row r="1613" spans="1:3" x14ac:dyDescent="0.45">
      <c r="A1613">
        <f>SUMIFS(fact_batting_summary!G:G, fact_batting_summary!E:E, fact_batting_summary!E1613)</f>
        <v>1516</v>
      </c>
      <c r="B1613" s="9">
        <f>AVERAGEIFS(fact_batting_summary!G:G, fact_batting_summary!E:E,fact_batting_summary!E1613)</f>
        <v>40.972972972972975</v>
      </c>
      <c r="C1613">
        <v>2</v>
      </c>
    </row>
    <row r="1614" spans="1:3" x14ac:dyDescent="0.45">
      <c r="A1614">
        <f>SUMIFS(fact_batting_summary!G:G, fact_batting_summary!E:E, fact_batting_summary!E1614)</f>
        <v>540</v>
      </c>
      <c r="B1614" s="9">
        <f>AVERAGEIFS(fact_batting_summary!G:G, fact_batting_summary!E:E,fact_batting_summary!E1614)</f>
        <v>23.478260869565219</v>
      </c>
      <c r="C1614">
        <v>3</v>
      </c>
    </row>
    <row r="1615" spans="1:3" x14ac:dyDescent="0.45">
      <c r="A1615">
        <f>SUMIFS(fact_batting_summary!G:G, fact_batting_summary!E:E, fact_batting_summary!E1615)</f>
        <v>514</v>
      </c>
      <c r="B1615" s="9">
        <f>AVERAGEIFS(fact_batting_summary!G:G, fact_batting_summary!E:E,fact_batting_summary!E1615)</f>
        <v>13.526315789473685</v>
      </c>
      <c r="C1615">
        <v>4</v>
      </c>
    </row>
    <row r="1616" spans="1:3" x14ac:dyDescent="0.45">
      <c r="A1616">
        <f>SUMIFS(fact_batting_summary!G:G, fact_batting_summary!E:E, fact_batting_summary!E1616)</f>
        <v>695</v>
      </c>
      <c r="B1616" s="9">
        <f>AVERAGEIFS(fact_batting_summary!G:G, fact_batting_summary!E:E,fact_batting_summary!E1616)</f>
        <v>18.783783783783782</v>
      </c>
      <c r="C1616">
        <v>5</v>
      </c>
    </row>
    <row r="1617" spans="1:3" x14ac:dyDescent="0.45">
      <c r="A1617">
        <f>SUMIFS(fact_batting_summary!G:G, fact_batting_summary!E:E, fact_batting_summary!E1617)</f>
        <v>340</v>
      </c>
      <c r="B1617" s="9">
        <f>AVERAGEIFS(fact_batting_summary!G:G, fact_batting_summary!E:E,fact_batting_summary!E1617)</f>
        <v>15.454545454545455</v>
      </c>
      <c r="C1617">
        <v>6</v>
      </c>
    </row>
    <row r="1618" spans="1:3" x14ac:dyDescent="0.45">
      <c r="A1618">
        <f>SUMIFS(fact_batting_summary!G:G, fact_batting_summary!E:E, fact_batting_summary!E1618)</f>
        <v>645</v>
      </c>
      <c r="B1618" s="9">
        <f>AVERAGEIFS(fact_batting_summary!G:G, fact_batting_summary!E:E,fact_batting_summary!E1618)</f>
        <v>21.5</v>
      </c>
      <c r="C1618">
        <v>7</v>
      </c>
    </row>
    <row r="1619" spans="1:3" x14ac:dyDescent="0.45">
      <c r="A1619">
        <f>SUMIFS(fact_batting_summary!G:G, fact_batting_summary!E:E, fact_batting_summary!E1619)</f>
        <v>155</v>
      </c>
      <c r="B1619" s="9">
        <f>AVERAGEIFS(fact_batting_summary!G:G, fact_batting_summary!E:E,fact_batting_summary!E1619)</f>
        <v>8.6111111111111107</v>
      </c>
      <c r="C1619">
        <v>8</v>
      </c>
    </row>
    <row r="1620" spans="1:3" x14ac:dyDescent="0.45">
      <c r="A1620">
        <f>SUMIFS(fact_batting_summary!G:G, fact_batting_summary!E:E, fact_batting_summary!E1620)</f>
        <v>43</v>
      </c>
      <c r="B1620" s="9">
        <f>AVERAGEIFS(fact_batting_summary!G:G, fact_batting_summary!E:E,fact_batting_summary!E1620)</f>
        <v>5.375</v>
      </c>
      <c r="C1620">
        <v>9</v>
      </c>
    </row>
    <row r="1621" spans="1:3" x14ac:dyDescent="0.45">
      <c r="A1621">
        <f>SUMIFS(fact_batting_summary!G:G, fact_batting_summary!E:E, fact_batting_summary!E1621)</f>
        <v>21</v>
      </c>
      <c r="B1621" s="9">
        <f>AVERAGEIFS(fact_batting_summary!G:G, fact_batting_summary!E:E,fact_batting_summary!E1621)</f>
        <v>2.3333333333333335</v>
      </c>
      <c r="C1621">
        <v>10</v>
      </c>
    </row>
    <row r="1622" spans="1:3" x14ac:dyDescent="0.45">
      <c r="A1622">
        <f>SUMIFS(fact_batting_summary!G:G, fact_batting_summary!E:E, fact_batting_summary!E1622)</f>
        <v>1509</v>
      </c>
      <c r="B1622" s="9">
        <f>AVERAGEIFS(fact_batting_summary!G:G, fact_batting_summary!E:E,fact_batting_summary!E1622)</f>
        <v>39.710526315789473</v>
      </c>
      <c r="C1622">
        <v>1</v>
      </c>
    </row>
    <row r="1623" spans="1:3" x14ac:dyDescent="0.45">
      <c r="A1623">
        <f>SUMIFS(fact_batting_summary!G:G, fact_batting_summary!E:E, fact_batting_summary!E1623)</f>
        <v>1048</v>
      </c>
      <c r="B1623" s="9">
        <f>AVERAGEIFS(fact_batting_summary!G:G, fact_batting_summary!E:E,fact_batting_summary!E1623)</f>
        <v>24.952380952380953</v>
      </c>
      <c r="C1623">
        <v>2</v>
      </c>
    </row>
    <row r="1624" spans="1:3" x14ac:dyDescent="0.45">
      <c r="A1624">
        <f>SUMIFS(fact_batting_summary!G:G, fact_batting_summary!E:E, fact_batting_summary!E1624)</f>
        <v>1304</v>
      </c>
      <c r="B1624" s="9">
        <f>AVERAGEIFS(fact_batting_summary!G:G, fact_batting_summary!E:E,fact_batting_summary!E1624)</f>
        <v>28.977777777777778</v>
      </c>
      <c r="C1624">
        <v>3</v>
      </c>
    </row>
    <row r="1625" spans="1:3" x14ac:dyDescent="0.45">
      <c r="A1625">
        <f>SUMIFS(fact_batting_summary!G:G, fact_batting_summary!E:E, fact_batting_summary!E1625)</f>
        <v>854</v>
      </c>
      <c r="B1625" s="9">
        <f>AVERAGEIFS(fact_batting_summary!G:G, fact_batting_summary!E:E,fact_batting_summary!E1625)</f>
        <v>21.35</v>
      </c>
      <c r="C1625">
        <v>4</v>
      </c>
    </row>
    <row r="1626" spans="1:3" x14ac:dyDescent="0.45">
      <c r="A1626">
        <f>SUMIFS(fact_batting_summary!G:G, fact_batting_summary!E:E, fact_batting_summary!E1626)</f>
        <v>354</v>
      </c>
      <c r="B1626" s="9">
        <f>AVERAGEIFS(fact_batting_summary!G:G, fact_batting_summary!E:E,fact_batting_summary!E1626)</f>
        <v>11.419354838709678</v>
      </c>
      <c r="C1626">
        <v>5</v>
      </c>
    </row>
    <row r="1627" spans="1:3" x14ac:dyDescent="0.45">
      <c r="A1627">
        <f>SUMIFS(fact_batting_summary!G:G, fact_batting_summary!E:E, fact_batting_summary!E1627)</f>
        <v>16</v>
      </c>
      <c r="B1627" s="9">
        <f>AVERAGEIFS(fact_batting_summary!G:G, fact_batting_summary!E:E,fact_batting_summary!E1627)</f>
        <v>8</v>
      </c>
      <c r="C1627">
        <v>6</v>
      </c>
    </row>
    <row r="1628" spans="1:3" x14ac:dyDescent="0.45">
      <c r="A1628">
        <f>SUMIFS(fact_batting_summary!G:G, fact_batting_summary!E:E, fact_batting_summary!E1628)</f>
        <v>302</v>
      </c>
      <c r="B1628" s="9">
        <f>AVERAGEIFS(fact_batting_summary!G:G, fact_batting_summary!E:E,fact_batting_summary!E1628)</f>
        <v>11.185185185185185</v>
      </c>
      <c r="C1628">
        <v>7</v>
      </c>
    </row>
    <row r="1629" spans="1:3" x14ac:dyDescent="0.45">
      <c r="A1629">
        <f>SUMIFS(fact_batting_summary!G:G, fact_batting_summary!E:E, fact_batting_summary!E1629)</f>
        <v>86</v>
      </c>
      <c r="B1629" s="9">
        <f>AVERAGEIFS(fact_batting_summary!G:G, fact_batting_summary!E:E,fact_batting_summary!E1629)</f>
        <v>17.2</v>
      </c>
      <c r="C1629">
        <v>1</v>
      </c>
    </row>
    <row r="1630" spans="1:3" x14ac:dyDescent="0.45">
      <c r="A1630">
        <f>SUMIFS(fact_batting_summary!G:G, fact_batting_summary!E:E, fact_batting_summary!E1630)</f>
        <v>154</v>
      </c>
      <c r="B1630" s="9">
        <f>AVERAGEIFS(fact_batting_summary!G:G, fact_batting_summary!E:E,fact_batting_summary!E1630)</f>
        <v>5.1333333333333337</v>
      </c>
      <c r="C1630">
        <v>2</v>
      </c>
    </row>
    <row r="1631" spans="1:3" x14ac:dyDescent="0.45">
      <c r="A1631">
        <f>SUMIFS(fact_batting_summary!G:G, fact_batting_summary!E:E, fact_batting_summary!E1631)</f>
        <v>576</v>
      </c>
      <c r="B1631" s="9">
        <f>AVERAGEIFS(fact_batting_summary!G:G, fact_batting_summary!E:E,fact_batting_summary!E1631)</f>
        <v>26.181818181818183</v>
      </c>
      <c r="C1631">
        <v>3</v>
      </c>
    </row>
    <row r="1632" spans="1:3" x14ac:dyDescent="0.45">
      <c r="A1632">
        <f>SUMIFS(fact_batting_summary!G:G, fact_batting_summary!E:E, fact_batting_summary!E1632)</f>
        <v>1157</v>
      </c>
      <c r="B1632" s="9">
        <f>AVERAGEIFS(fact_batting_summary!G:G, fact_batting_summary!E:E,fact_batting_summary!E1632)</f>
        <v>26.295454545454547</v>
      </c>
      <c r="C1632">
        <v>4</v>
      </c>
    </row>
    <row r="1633" spans="1:3" x14ac:dyDescent="0.45">
      <c r="A1633">
        <f>SUMIFS(fact_batting_summary!G:G, fact_batting_summary!E:E, fact_batting_summary!E1633)</f>
        <v>745</v>
      </c>
      <c r="B1633" s="9">
        <f>AVERAGEIFS(fact_batting_summary!G:G, fact_batting_summary!E:E,fact_batting_summary!E1633)</f>
        <v>21.285714285714285</v>
      </c>
      <c r="C1633">
        <v>5</v>
      </c>
    </row>
    <row r="1634" spans="1:3" x14ac:dyDescent="0.45">
      <c r="A1634">
        <f>SUMIFS(fact_batting_summary!G:G, fact_batting_summary!E:E, fact_batting_summary!E1634)</f>
        <v>956</v>
      </c>
      <c r="B1634" s="9">
        <f>AVERAGEIFS(fact_batting_summary!G:G, fact_batting_summary!E:E,fact_batting_summary!E1634)</f>
        <v>26.555555555555557</v>
      </c>
      <c r="C1634">
        <v>6</v>
      </c>
    </row>
    <row r="1635" spans="1:3" x14ac:dyDescent="0.45">
      <c r="A1635">
        <f>SUMIFS(fact_batting_summary!G:G, fact_batting_summary!E:E, fact_batting_summary!E1635)</f>
        <v>23</v>
      </c>
      <c r="B1635" s="9">
        <f>AVERAGEIFS(fact_batting_summary!G:G, fact_batting_summary!E:E,fact_batting_summary!E1635)</f>
        <v>4.5999999999999996</v>
      </c>
      <c r="C1635">
        <v>7</v>
      </c>
    </row>
    <row r="1636" spans="1:3" x14ac:dyDescent="0.45">
      <c r="A1636">
        <f>SUMIFS(fact_batting_summary!G:G, fact_batting_summary!E:E, fact_batting_summary!E1636)</f>
        <v>28</v>
      </c>
      <c r="B1636" s="9">
        <f>AVERAGEIFS(fact_batting_summary!G:G, fact_batting_summary!E:E,fact_batting_summary!E1636)</f>
        <v>5.6</v>
      </c>
      <c r="C1636">
        <v>8</v>
      </c>
    </row>
    <row r="1637" spans="1:3" x14ac:dyDescent="0.45">
      <c r="A1637">
        <f>SUMIFS(fact_batting_summary!G:G, fact_batting_summary!E:E, fact_batting_summary!E1637)</f>
        <v>156</v>
      </c>
      <c r="B1637" s="9">
        <f>AVERAGEIFS(fact_batting_summary!G:G, fact_batting_summary!E:E,fact_batting_summary!E1637)</f>
        <v>15.6</v>
      </c>
      <c r="C1637">
        <v>9</v>
      </c>
    </row>
    <row r="1638" spans="1:3" x14ac:dyDescent="0.45">
      <c r="A1638">
        <f>SUMIFS(fact_batting_summary!G:G, fact_batting_summary!E:E, fact_batting_summary!E1638)</f>
        <v>74</v>
      </c>
      <c r="B1638" s="9">
        <f>AVERAGEIFS(fact_batting_summary!G:G, fact_batting_summary!E:E,fact_batting_summary!E1638)</f>
        <v>6.166666666666667</v>
      </c>
      <c r="C1638">
        <v>10</v>
      </c>
    </row>
    <row r="1639" spans="1:3" x14ac:dyDescent="0.45">
      <c r="A1639">
        <f>SUMIFS(fact_batting_summary!G:G, fact_batting_summary!E:E, fact_batting_summary!E1639)</f>
        <v>15</v>
      </c>
      <c r="B1639" s="9">
        <f>AVERAGEIFS(fact_batting_summary!G:G, fact_batting_summary!E:E,fact_batting_summary!E1639)</f>
        <v>1.6666666666666667</v>
      </c>
      <c r="C1639">
        <v>11</v>
      </c>
    </row>
    <row r="1640" spans="1:3" x14ac:dyDescent="0.45">
      <c r="A1640">
        <f>SUMIFS(fact_batting_summary!G:G, fact_batting_summary!E:E, fact_batting_summary!E1640)</f>
        <v>1593</v>
      </c>
      <c r="B1640" s="9">
        <f>AVERAGEIFS(fact_batting_summary!G:G, fact_batting_summary!E:E,fact_batting_summary!E1640)</f>
        <v>35.4</v>
      </c>
      <c r="C1640">
        <v>1</v>
      </c>
    </row>
    <row r="1641" spans="1:3" x14ac:dyDescent="0.45">
      <c r="A1641">
        <f>SUMIFS(fact_batting_summary!G:G, fact_batting_summary!E:E, fact_batting_summary!E1641)</f>
        <v>345</v>
      </c>
      <c r="B1641" s="9">
        <f>AVERAGEIFS(fact_batting_summary!G:G, fact_batting_summary!E:E,fact_batting_summary!E1641)</f>
        <v>23</v>
      </c>
      <c r="C1641">
        <v>2</v>
      </c>
    </row>
    <row r="1642" spans="1:3" x14ac:dyDescent="0.45">
      <c r="A1642">
        <f>SUMIFS(fact_batting_summary!G:G, fact_batting_summary!E:E, fact_batting_summary!E1642)</f>
        <v>725</v>
      </c>
      <c r="B1642" s="9">
        <f>AVERAGEIFS(fact_batting_summary!G:G, fact_batting_summary!E:E,fact_batting_summary!E1642)</f>
        <v>20.714285714285715</v>
      </c>
      <c r="C1642">
        <v>3</v>
      </c>
    </row>
    <row r="1643" spans="1:3" x14ac:dyDescent="0.45">
      <c r="A1643">
        <f>SUMIFS(fact_batting_summary!G:G, fact_batting_summary!E:E, fact_batting_summary!E1643)</f>
        <v>689</v>
      </c>
      <c r="B1643" s="9">
        <f>AVERAGEIFS(fact_batting_summary!G:G, fact_batting_summary!E:E,fact_batting_summary!E1643)</f>
        <v>19.138888888888889</v>
      </c>
      <c r="C1643">
        <v>4</v>
      </c>
    </row>
    <row r="1644" spans="1:3" x14ac:dyDescent="0.45">
      <c r="A1644">
        <f>SUMIFS(fact_batting_summary!G:G, fact_batting_summary!E:E, fact_batting_summary!E1644)</f>
        <v>937</v>
      </c>
      <c r="B1644" s="9">
        <f>AVERAGEIFS(fact_batting_summary!G:G, fact_batting_summary!E:E,fact_batting_summary!E1644)</f>
        <v>27.558823529411764</v>
      </c>
      <c r="C1644">
        <v>5</v>
      </c>
    </row>
    <row r="1645" spans="1:3" x14ac:dyDescent="0.45">
      <c r="A1645">
        <f>SUMIFS(fact_batting_summary!G:G, fact_batting_summary!E:E, fact_batting_summary!E1645)</f>
        <v>533</v>
      </c>
      <c r="B1645" s="9">
        <f>AVERAGEIFS(fact_batting_summary!G:G, fact_batting_summary!E:E,fact_batting_summary!E1645)</f>
        <v>15.676470588235293</v>
      </c>
      <c r="C1645">
        <v>6</v>
      </c>
    </row>
    <row r="1646" spans="1:3" x14ac:dyDescent="0.45">
      <c r="A1646">
        <f>SUMIFS(fact_batting_summary!G:G, fact_batting_summary!E:E, fact_batting_summary!E1646)</f>
        <v>819</v>
      </c>
      <c r="B1646" s="9">
        <f>AVERAGEIFS(fact_batting_summary!G:G, fact_batting_summary!E:E,fact_batting_summary!E1646)</f>
        <v>22.135135135135137</v>
      </c>
      <c r="C1646">
        <v>1</v>
      </c>
    </row>
    <row r="1647" spans="1:3" x14ac:dyDescent="0.45">
      <c r="A1647">
        <f>SUMIFS(fact_batting_summary!G:G, fact_batting_summary!E:E, fact_batting_summary!E1647)</f>
        <v>1851</v>
      </c>
      <c r="B1647" s="9">
        <f>AVERAGEIFS(fact_batting_summary!G:G, fact_batting_summary!E:E,fact_batting_summary!E1647)</f>
        <v>37.020000000000003</v>
      </c>
      <c r="C1647">
        <v>2</v>
      </c>
    </row>
    <row r="1648" spans="1:3" x14ac:dyDescent="0.45">
      <c r="A1648">
        <f>SUMIFS(fact_batting_summary!G:G, fact_batting_summary!E:E, fact_batting_summary!E1648)</f>
        <v>370</v>
      </c>
      <c r="B1648" s="9">
        <f>AVERAGEIFS(fact_batting_summary!G:G, fact_batting_summary!E:E,fact_batting_summary!E1648)</f>
        <v>20.555555555555557</v>
      </c>
      <c r="C1648">
        <v>3</v>
      </c>
    </row>
    <row r="1649" spans="1:3" x14ac:dyDescent="0.45">
      <c r="A1649">
        <f>SUMIFS(fact_batting_summary!G:G, fact_batting_summary!E:E, fact_batting_summary!E1649)</f>
        <v>222</v>
      </c>
      <c r="B1649" s="9">
        <f>AVERAGEIFS(fact_batting_summary!G:G, fact_batting_summary!E:E,fact_batting_summary!E1649)</f>
        <v>17.076923076923077</v>
      </c>
      <c r="C1649">
        <v>4</v>
      </c>
    </row>
    <row r="1650" spans="1:3" x14ac:dyDescent="0.45">
      <c r="A1650">
        <f>SUMIFS(fact_batting_summary!G:G, fact_batting_summary!E:E, fact_batting_summary!E1650)</f>
        <v>864</v>
      </c>
      <c r="B1650" s="9">
        <f>AVERAGEIFS(fact_batting_summary!G:G, fact_batting_summary!E:E,fact_batting_summary!E1650)</f>
        <v>23.351351351351351</v>
      </c>
      <c r="C1650">
        <v>5</v>
      </c>
    </row>
    <row r="1651" spans="1:3" x14ac:dyDescent="0.45">
      <c r="A1651">
        <f>SUMIFS(fact_batting_summary!G:G, fact_batting_summary!E:E, fact_batting_summary!E1651)</f>
        <v>459</v>
      </c>
      <c r="B1651" s="9">
        <f>AVERAGEIFS(fact_batting_summary!G:G, fact_batting_summary!E:E,fact_batting_summary!E1651)</f>
        <v>13.909090909090908</v>
      </c>
      <c r="C1651">
        <v>6</v>
      </c>
    </row>
    <row r="1652" spans="1:3" x14ac:dyDescent="0.45">
      <c r="A1652">
        <f>SUMIFS(fact_batting_summary!G:G, fact_batting_summary!E:E, fact_batting_summary!E1652)</f>
        <v>304</v>
      </c>
      <c r="B1652" s="9">
        <f>AVERAGEIFS(fact_batting_summary!G:G, fact_batting_summary!E:E,fact_batting_summary!E1652)</f>
        <v>11.692307692307692</v>
      </c>
      <c r="C1652">
        <v>7</v>
      </c>
    </row>
    <row r="1653" spans="1:3" x14ac:dyDescent="0.45">
      <c r="A1653">
        <f>SUMIFS(fact_batting_summary!G:G, fact_batting_summary!E:E, fact_batting_summary!E1653)</f>
        <v>12</v>
      </c>
      <c r="B1653" s="9">
        <f>AVERAGEIFS(fact_batting_summary!G:G, fact_batting_summary!E:E,fact_batting_summary!E1653)</f>
        <v>2.4</v>
      </c>
      <c r="C1653">
        <v>8</v>
      </c>
    </row>
    <row r="1654" spans="1:3" x14ac:dyDescent="0.45">
      <c r="A1654">
        <f>SUMIFS(fact_batting_summary!G:G, fact_batting_summary!E:E, fact_batting_summary!E1654)</f>
        <v>23</v>
      </c>
      <c r="B1654" s="9">
        <f>AVERAGEIFS(fact_batting_summary!G:G, fact_batting_summary!E:E,fact_batting_summary!E1654)</f>
        <v>3.8333333333333335</v>
      </c>
      <c r="C1654">
        <v>9</v>
      </c>
    </row>
    <row r="1655" spans="1:3" x14ac:dyDescent="0.45">
      <c r="A1655">
        <f>SUMIFS(fact_batting_summary!G:G, fact_batting_summary!E:E, fact_batting_summary!E1655)</f>
        <v>1392</v>
      </c>
      <c r="B1655" s="9">
        <f>AVERAGEIFS(fact_batting_summary!G:G, fact_batting_summary!E:E,fact_batting_summary!E1655)</f>
        <v>34.799999999999997</v>
      </c>
      <c r="C1655">
        <v>1</v>
      </c>
    </row>
    <row r="1656" spans="1:3" x14ac:dyDescent="0.45">
      <c r="A1656">
        <f>SUMIFS(fact_batting_summary!G:G, fact_batting_summary!E:E, fact_batting_summary!E1656)</f>
        <v>391</v>
      </c>
      <c r="B1656" s="9">
        <f>AVERAGEIFS(fact_batting_summary!G:G, fact_batting_summary!E:E,fact_batting_summary!E1656)</f>
        <v>23</v>
      </c>
      <c r="C1656">
        <v>2</v>
      </c>
    </row>
    <row r="1657" spans="1:3" x14ac:dyDescent="0.45">
      <c r="A1657">
        <f>SUMIFS(fact_batting_summary!G:G, fact_batting_summary!E:E, fact_batting_summary!E1657)</f>
        <v>463</v>
      </c>
      <c r="B1657" s="9">
        <f>AVERAGEIFS(fact_batting_summary!G:G, fact_batting_summary!E:E,fact_batting_summary!E1657)</f>
        <v>27.235294117647058</v>
      </c>
      <c r="C1657">
        <v>3</v>
      </c>
    </row>
    <row r="1658" spans="1:3" x14ac:dyDescent="0.45">
      <c r="A1658">
        <f>SUMIFS(fact_batting_summary!G:G, fact_batting_summary!E:E, fact_batting_summary!E1658)</f>
        <v>758</v>
      </c>
      <c r="B1658" s="9">
        <f>AVERAGEIFS(fact_batting_summary!G:G, fact_batting_summary!E:E,fact_batting_summary!E1658)</f>
        <v>27.071428571428573</v>
      </c>
      <c r="C1658">
        <v>4</v>
      </c>
    </row>
    <row r="1659" spans="1:3" x14ac:dyDescent="0.45">
      <c r="A1659">
        <f>SUMIFS(fact_batting_summary!G:G, fact_batting_summary!E:E, fact_batting_summary!E1659)</f>
        <v>543</v>
      </c>
      <c r="B1659" s="9">
        <f>AVERAGEIFS(fact_batting_summary!G:G, fact_batting_summary!E:E,fact_batting_summary!E1659)</f>
        <v>22.625</v>
      </c>
      <c r="C1659">
        <v>5</v>
      </c>
    </row>
    <row r="1660" spans="1:3" x14ac:dyDescent="0.45">
      <c r="A1660">
        <f>SUMIFS(fact_batting_summary!G:G, fact_batting_summary!E:E, fact_batting_summary!E1660)</f>
        <v>426</v>
      </c>
      <c r="B1660" s="9">
        <f>AVERAGEIFS(fact_batting_summary!G:G, fact_batting_summary!E:E,fact_batting_summary!E1660)</f>
        <v>13.741935483870968</v>
      </c>
      <c r="C1660">
        <v>6</v>
      </c>
    </row>
    <row r="1661" spans="1:3" x14ac:dyDescent="0.45">
      <c r="A1661">
        <f>SUMIFS(fact_batting_summary!G:G, fact_batting_summary!E:E, fact_batting_summary!E1661)</f>
        <v>51</v>
      </c>
      <c r="B1661" s="9">
        <f>AVERAGEIFS(fact_batting_summary!G:G, fact_batting_summary!E:E,fact_batting_summary!E1661)</f>
        <v>8.5</v>
      </c>
      <c r="C1661">
        <v>7</v>
      </c>
    </row>
    <row r="1662" spans="1:3" x14ac:dyDescent="0.45">
      <c r="A1662">
        <f>SUMIFS(fact_batting_summary!G:G, fact_batting_summary!E:E, fact_batting_summary!E1662)</f>
        <v>61</v>
      </c>
      <c r="B1662" s="9">
        <f>AVERAGEIFS(fact_batting_summary!G:G, fact_batting_summary!E:E,fact_batting_summary!E1662)</f>
        <v>4.6923076923076925</v>
      </c>
      <c r="C1662">
        <v>8</v>
      </c>
    </row>
    <row r="1663" spans="1:3" x14ac:dyDescent="0.45">
      <c r="A1663">
        <f>SUMIFS(fact_batting_summary!G:G, fact_batting_summary!E:E, fact_batting_summary!E1663)</f>
        <v>91</v>
      </c>
      <c r="B1663" s="9">
        <f>AVERAGEIFS(fact_batting_summary!G:G, fact_batting_summary!E:E,fact_batting_summary!E1663)</f>
        <v>5.6875</v>
      </c>
      <c r="C1663">
        <v>9</v>
      </c>
    </row>
    <row r="1664" spans="1:3" x14ac:dyDescent="0.45">
      <c r="A1664">
        <f>SUMIFS(fact_batting_summary!G:G, fact_batting_summary!E:E, fact_batting_summary!E1664)</f>
        <v>8</v>
      </c>
      <c r="B1664" s="9">
        <f>AVERAGEIFS(fact_batting_summary!G:G, fact_batting_summary!E:E,fact_batting_summary!E1664)</f>
        <v>1.3333333333333333</v>
      </c>
      <c r="C1664">
        <v>10</v>
      </c>
    </row>
    <row r="1665" spans="1:3" x14ac:dyDescent="0.45">
      <c r="A1665">
        <f>SUMIFS(fact_batting_summary!G:G, fact_batting_summary!E:E, fact_batting_summary!E1665)</f>
        <v>25</v>
      </c>
      <c r="B1665" s="9">
        <f>AVERAGEIFS(fact_batting_summary!G:G, fact_batting_summary!E:E,fact_batting_summary!E1665)</f>
        <v>2.5</v>
      </c>
      <c r="C1665">
        <v>11</v>
      </c>
    </row>
    <row r="1666" spans="1:3" x14ac:dyDescent="0.45">
      <c r="A1666">
        <f>SUMIFS(fact_batting_summary!G:G, fact_batting_summary!E:E, fact_batting_summary!E1666)</f>
        <v>745</v>
      </c>
      <c r="B1666" s="9">
        <f>AVERAGEIFS(fact_batting_summary!G:G, fact_batting_summary!E:E,fact_batting_summary!E1666)</f>
        <v>24.032258064516128</v>
      </c>
      <c r="C1666">
        <v>1</v>
      </c>
    </row>
    <row r="1667" spans="1:3" x14ac:dyDescent="0.45">
      <c r="A1667">
        <f>SUMIFS(fact_batting_summary!G:G, fact_batting_summary!E:E, fact_batting_summary!E1667)</f>
        <v>416</v>
      </c>
      <c r="B1667" s="9">
        <f>AVERAGEIFS(fact_batting_summary!G:G, fact_batting_summary!E:E,fact_batting_summary!E1667)</f>
        <v>18.90909090909091</v>
      </c>
      <c r="C1667">
        <v>2</v>
      </c>
    </row>
    <row r="1668" spans="1:3" x14ac:dyDescent="0.45">
      <c r="A1668">
        <f>SUMIFS(fact_batting_summary!G:G, fact_batting_summary!E:E, fact_batting_summary!E1668)</f>
        <v>1083</v>
      </c>
      <c r="B1668" s="9">
        <f>AVERAGEIFS(fact_batting_summary!G:G, fact_batting_summary!E:E,fact_batting_summary!E1668)</f>
        <v>25.186046511627907</v>
      </c>
      <c r="C1668">
        <v>3</v>
      </c>
    </row>
    <row r="1669" spans="1:3" x14ac:dyDescent="0.45">
      <c r="A1669">
        <f>SUMIFS(fact_batting_summary!G:G, fact_batting_summary!E:E, fact_batting_summary!E1669)</f>
        <v>775</v>
      </c>
      <c r="B1669" s="9">
        <f>AVERAGEIFS(fact_batting_summary!G:G, fact_batting_summary!E:E,fact_batting_summary!E1669)</f>
        <v>25</v>
      </c>
      <c r="C1669">
        <v>4</v>
      </c>
    </row>
    <row r="1670" spans="1:3" x14ac:dyDescent="0.45">
      <c r="A1670">
        <f>SUMIFS(fact_batting_summary!G:G, fact_batting_summary!E:E, fact_batting_summary!E1670)</f>
        <v>729</v>
      </c>
      <c r="B1670" s="9">
        <f>AVERAGEIFS(fact_batting_summary!G:G, fact_batting_summary!E:E,fact_batting_summary!E1670)</f>
        <v>19.184210526315791</v>
      </c>
      <c r="C1670">
        <v>5</v>
      </c>
    </row>
    <row r="1671" spans="1:3" x14ac:dyDescent="0.45">
      <c r="A1671">
        <f>SUMIFS(fact_batting_summary!G:G, fact_batting_summary!E:E, fact_batting_summary!E1671)</f>
        <v>1831</v>
      </c>
      <c r="B1671" s="9">
        <f>AVERAGEIFS(fact_batting_summary!G:G, fact_batting_summary!E:E,fact_batting_summary!E1671)</f>
        <v>39.804347826086953</v>
      </c>
      <c r="C1671">
        <v>1</v>
      </c>
    </row>
    <row r="1672" spans="1:3" x14ac:dyDescent="0.45">
      <c r="A1672">
        <f>SUMIFS(fact_batting_summary!G:G, fact_batting_summary!E:E, fact_batting_summary!E1672)</f>
        <v>220</v>
      </c>
      <c r="B1672" s="9">
        <f>AVERAGEIFS(fact_batting_summary!G:G, fact_batting_summary!E:E,fact_batting_summary!E1672)</f>
        <v>13.75</v>
      </c>
      <c r="C1672">
        <v>2</v>
      </c>
    </row>
    <row r="1673" spans="1:3" x14ac:dyDescent="0.45">
      <c r="A1673">
        <f>SUMIFS(fact_batting_summary!G:G, fact_batting_summary!E:E, fact_batting_summary!E1673)</f>
        <v>1385</v>
      </c>
      <c r="B1673" s="9">
        <f>AVERAGEIFS(fact_batting_summary!G:G, fact_batting_summary!E:E,fact_batting_summary!E1673)</f>
        <v>30.777777777777779</v>
      </c>
      <c r="C1673">
        <v>3</v>
      </c>
    </row>
    <row r="1674" spans="1:3" x14ac:dyDescent="0.45">
      <c r="A1674">
        <f>SUMIFS(fact_batting_summary!G:G, fact_batting_summary!E:E, fact_batting_summary!E1674)</f>
        <v>1214</v>
      </c>
      <c r="B1674" s="9">
        <f>AVERAGEIFS(fact_batting_summary!G:G, fact_batting_summary!E:E,fact_batting_summary!E1674)</f>
        <v>29.609756097560975</v>
      </c>
      <c r="C1674">
        <v>4</v>
      </c>
    </row>
    <row r="1675" spans="1:3" x14ac:dyDescent="0.45">
      <c r="A1675">
        <f>SUMIFS(fact_batting_summary!G:G, fact_batting_summary!E:E, fact_batting_summary!E1675)</f>
        <v>102</v>
      </c>
      <c r="B1675" s="9">
        <f>AVERAGEIFS(fact_batting_summary!G:G, fact_batting_summary!E:E,fact_batting_summary!E1675)</f>
        <v>11.333333333333334</v>
      </c>
      <c r="C1675">
        <v>5</v>
      </c>
    </row>
    <row r="1676" spans="1:3" x14ac:dyDescent="0.45">
      <c r="A1676">
        <f>SUMIFS(fact_batting_summary!G:G, fact_batting_summary!E:E, fact_batting_summary!E1676)</f>
        <v>320</v>
      </c>
      <c r="B1676" s="9">
        <f>AVERAGEIFS(fact_batting_summary!G:G, fact_batting_summary!E:E,fact_batting_summary!E1676)</f>
        <v>13.333333333333334</v>
      </c>
      <c r="C1676">
        <v>6</v>
      </c>
    </row>
    <row r="1677" spans="1:3" x14ac:dyDescent="0.45">
      <c r="A1677">
        <f>SUMIFS(fact_batting_summary!G:G, fact_batting_summary!E:E, fact_batting_summary!E1677)</f>
        <v>693</v>
      </c>
      <c r="B1677" s="9">
        <f>AVERAGEIFS(fact_batting_summary!G:G, fact_batting_summary!E:E,fact_batting_summary!E1677)</f>
        <v>15.75</v>
      </c>
      <c r="C1677">
        <v>7</v>
      </c>
    </row>
    <row r="1678" spans="1:3" x14ac:dyDescent="0.45">
      <c r="A1678">
        <f>SUMIFS(fact_batting_summary!G:G, fact_batting_summary!E:E, fact_batting_summary!E1678)</f>
        <v>815</v>
      </c>
      <c r="B1678" s="9">
        <f>AVERAGEIFS(fact_batting_summary!G:G, fact_batting_summary!E:E,fact_batting_summary!E1678)</f>
        <v>25.46875</v>
      </c>
      <c r="C1678">
        <v>1</v>
      </c>
    </row>
    <row r="1679" spans="1:3" x14ac:dyDescent="0.45">
      <c r="A1679">
        <f>SUMIFS(fact_batting_summary!G:G, fact_batting_summary!E:E, fact_batting_summary!E1679)</f>
        <v>1137</v>
      </c>
      <c r="B1679" s="9">
        <f>AVERAGEIFS(fact_batting_summary!G:G, fact_batting_summary!E:E,fact_batting_summary!E1679)</f>
        <v>34.454545454545453</v>
      </c>
      <c r="C1679">
        <v>2</v>
      </c>
    </row>
    <row r="1680" spans="1:3" x14ac:dyDescent="0.45">
      <c r="A1680">
        <f>SUMIFS(fact_batting_summary!G:G, fact_batting_summary!E:E, fact_batting_summary!E1680)</f>
        <v>379</v>
      </c>
      <c r="B1680" s="9">
        <f>AVERAGEIFS(fact_batting_summary!G:G, fact_batting_summary!E:E,fact_batting_summary!E1680)</f>
        <v>22.294117647058822</v>
      </c>
      <c r="C1680">
        <v>3</v>
      </c>
    </row>
    <row r="1681" spans="1:3" x14ac:dyDescent="0.45">
      <c r="A1681">
        <f>SUMIFS(fact_batting_summary!G:G, fact_batting_summary!E:E, fact_batting_summary!E1681)</f>
        <v>722</v>
      </c>
      <c r="B1681" s="9">
        <f>AVERAGEIFS(fact_batting_summary!G:G, fact_batting_summary!E:E,fact_batting_summary!E1681)</f>
        <v>25.785714285714285</v>
      </c>
      <c r="C1681">
        <v>4</v>
      </c>
    </row>
    <row r="1682" spans="1:3" x14ac:dyDescent="0.45">
      <c r="A1682">
        <f>SUMIFS(fact_batting_summary!G:G, fact_batting_summary!E:E, fact_batting_summary!E1682)</f>
        <v>257</v>
      </c>
      <c r="B1682" s="9">
        <f>AVERAGEIFS(fact_batting_summary!G:G, fact_batting_summary!E:E,fact_batting_summary!E1682)</f>
        <v>17.133333333333333</v>
      </c>
      <c r="C1682">
        <v>5</v>
      </c>
    </row>
    <row r="1683" spans="1:3" x14ac:dyDescent="0.45">
      <c r="A1683">
        <f>SUMIFS(fact_batting_summary!G:G, fact_batting_summary!E:E, fact_batting_summary!E1683)</f>
        <v>295</v>
      </c>
      <c r="B1683" s="9">
        <f>AVERAGEIFS(fact_batting_summary!G:G, fact_batting_summary!E:E,fact_batting_summary!E1683)</f>
        <v>15.526315789473685</v>
      </c>
      <c r="C1683">
        <v>6</v>
      </c>
    </row>
    <row r="1684" spans="1:3" x14ac:dyDescent="0.45">
      <c r="A1684">
        <f>SUMIFS(fact_batting_summary!G:G, fact_batting_summary!E:E, fact_batting_summary!E1684)</f>
        <v>238</v>
      </c>
      <c r="B1684" s="9">
        <f>AVERAGEIFS(fact_batting_summary!G:G, fact_batting_summary!E:E,fact_batting_summary!E1684)</f>
        <v>9.9166666666666661</v>
      </c>
      <c r="C1684">
        <v>7</v>
      </c>
    </row>
    <row r="1685" spans="1:3" x14ac:dyDescent="0.45">
      <c r="A1685">
        <f>SUMIFS(fact_batting_summary!G:G, fact_batting_summary!E:E, fact_batting_summary!E1685)</f>
        <v>505</v>
      </c>
      <c r="B1685" s="9">
        <f>AVERAGEIFS(fact_batting_summary!G:G, fact_batting_summary!E:E,fact_batting_summary!E1685)</f>
        <v>17.413793103448278</v>
      </c>
      <c r="C1685">
        <v>8</v>
      </c>
    </row>
    <row r="1686" spans="1:3" x14ac:dyDescent="0.45">
      <c r="A1686">
        <f>SUMIFS(fact_batting_summary!G:G, fact_batting_summary!E:E, fact_batting_summary!E1686)</f>
        <v>79</v>
      </c>
      <c r="B1686" s="9">
        <f>AVERAGEIFS(fact_batting_summary!G:G, fact_batting_summary!E:E,fact_batting_summary!E1686)</f>
        <v>4.6470588235294121</v>
      </c>
      <c r="C1686">
        <v>9</v>
      </c>
    </row>
    <row r="1687" spans="1:3" x14ac:dyDescent="0.45">
      <c r="A1687">
        <f>SUMIFS(fact_batting_summary!G:G, fact_batting_summary!E:E, fact_batting_summary!E1687)</f>
        <v>1516</v>
      </c>
      <c r="B1687" s="9">
        <f>AVERAGEIFS(fact_batting_summary!G:G, fact_batting_summary!E:E,fact_batting_summary!E1687)</f>
        <v>40.972972972972975</v>
      </c>
      <c r="C1687">
        <v>1</v>
      </c>
    </row>
    <row r="1688" spans="1:3" x14ac:dyDescent="0.45">
      <c r="A1688">
        <f>SUMIFS(fact_batting_summary!G:G, fact_batting_summary!E:E, fact_batting_summary!E1688)</f>
        <v>948</v>
      </c>
      <c r="B1688" s="9">
        <f>AVERAGEIFS(fact_batting_summary!G:G, fact_batting_summary!E:E,fact_batting_summary!E1688)</f>
        <v>31.6</v>
      </c>
      <c r="C1688">
        <v>2</v>
      </c>
    </row>
    <row r="1689" spans="1:3" x14ac:dyDescent="0.45">
      <c r="A1689">
        <f>SUMIFS(fact_batting_summary!G:G, fact_batting_summary!E:E, fact_batting_summary!E1689)</f>
        <v>540</v>
      </c>
      <c r="B1689" s="9">
        <f>AVERAGEIFS(fact_batting_summary!G:G, fact_batting_summary!E:E,fact_batting_summary!E1689)</f>
        <v>23.478260869565219</v>
      </c>
      <c r="C1689">
        <v>3</v>
      </c>
    </row>
    <row r="1690" spans="1:3" x14ac:dyDescent="0.45">
      <c r="A1690">
        <f>SUMIFS(fact_batting_summary!G:G, fact_batting_summary!E:E, fact_batting_summary!E1690)</f>
        <v>645</v>
      </c>
      <c r="B1690" s="9">
        <f>AVERAGEIFS(fact_batting_summary!G:G, fact_batting_summary!E:E,fact_batting_summary!E1690)</f>
        <v>21.5</v>
      </c>
      <c r="C1690">
        <v>4</v>
      </c>
    </row>
    <row r="1691" spans="1:3" x14ac:dyDescent="0.45">
      <c r="A1691">
        <f>SUMIFS(fact_batting_summary!G:G, fact_batting_summary!E:E, fact_batting_summary!E1691)</f>
        <v>695</v>
      </c>
      <c r="B1691" s="9">
        <f>AVERAGEIFS(fact_batting_summary!G:G, fact_batting_summary!E:E,fact_batting_summary!E1691)</f>
        <v>18.783783783783782</v>
      </c>
      <c r="C1691">
        <v>5</v>
      </c>
    </row>
    <row r="1692" spans="1:3" x14ac:dyDescent="0.45">
      <c r="A1692">
        <f>SUMIFS(fact_batting_summary!G:G, fact_batting_summary!E:E, fact_batting_summary!E1692)</f>
        <v>514</v>
      </c>
      <c r="B1692" s="9">
        <f>AVERAGEIFS(fact_batting_summary!G:G, fact_batting_summary!E:E,fact_batting_summary!E1692)</f>
        <v>13.526315789473685</v>
      </c>
      <c r="C1692">
        <v>6</v>
      </c>
    </row>
    <row r="1693" spans="1:3" x14ac:dyDescent="0.45">
      <c r="A1693">
        <f>SUMIFS(fact_batting_summary!G:G, fact_batting_summary!E:E, fact_batting_summary!E1693)</f>
        <v>1113</v>
      </c>
      <c r="B1693" s="9">
        <f>AVERAGEIFS(fact_batting_summary!G:G, fact_batting_summary!E:E,fact_batting_summary!E1693)</f>
        <v>28.53846153846154</v>
      </c>
      <c r="C1693">
        <v>1</v>
      </c>
    </row>
    <row r="1694" spans="1:3" x14ac:dyDescent="0.45">
      <c r="A1694">
        <f>SUMIFS(fact_batting_summary!G:G, fact_batting_summary!E:E, fact_batting_summary!E1694)</f>
        <v>981</v>
      </c>
      <c r="B1694" s="9">
        <f>AVERAGEIFS(fact_batting_summary!G:G, fact_batting_summary!E:E,fact_batting_summary!E1694)</f>
        <v>22.813953488372093</v>
      </c>
      <c r="C1694">
        <v>2</v>
      </c>
    </row>
    <row r="1695" spans="1:3" x14ac:dyDescent="0.45">
      <c r="A1695">
        <f>SUMIFS(fact_batting_summary!G:G, fact_batting_summary!E:E, fact_batting_summary!E1695)</f>
        <v>161</v>
      </c>
      <c r="B1695" s="9">
        <f>AVERAGEIFS(fact_batting_summary!G:G, fact_batting_summary!E:E,fact_batting_summary!E1695)</f>
        <v>23</v>
      </c>
      <c r="C1695">
        <v>3</v>
      </c>
    </row>
    <row r="1696" spans="1:3" x14ac:dyDescent="0.45">
      <c r="A1696">
        <f>SUMIFS(fact_batting_summary!G:G, fact_batting_summary!E:E, fact_batting_summary!E1696)</f>
        <v>1225</v>
      </c>
      <c r="B1696" s="9">
        <f>AVERAGEIFS(fact_batting_summary!G:G, fact_batting_summary!E:E,fact_batting_summary!E1696)</f>
        <v>32.236842105263158</v>
      </c>
      <c r="C1696">
        <v>4</v>
      </c>
    </row>
    <row r="1697" spans="1:3" x14ac:dyDescent="0.45">
      <c r="A1697">
        <f>SUMIFS(fact_batting_summary!G:G, fact_batting_summary!E:E, fact_batting_summary!E1697)</f>
        <v>740</v>
      </c>
      <c r="B1697" s="9">
        <f>AVERAGEIFS(fact_batting_summary!G:G, fact_batting_summary!E:E,fact_batting_summary!E1697)</f>
        <v>29.6</v>
      </c>
      <c r="C1697">
        <v>5</v>
      </c>
    </row>
    <row r="1698" spans="1:3" x14ac:dyDescent="0.45">
      <c r="A1698">
        <f>SUMIFS(fact_batting_summary!G:G, fact_batting_summary!E:E, fact_batting_summary!E1698)</f>
        <v>389</v>
      </c>
      <c r="B1698" s="9">
        <f>AVERAGEIFS(fact_batting_summary!G:G, fact_batting_summary!E:E,fact_batting_summary!E1698)</f>
        <v>16.208333333333332</v>
      </c>
      <c r="C1698">
        <v>6</v>
      </c>
    </row>
    <row r="1699" spans="1:3" x14ac:dyDescent="0.45">
      <c r="A1699">
        <f>SUMIFS(fact_batting_summary!G:G, fact_batting_summary!E:E, fact_batting_summary!E1699)</f>
        <v>14</v>
      </c>
      <c r="B1699" s="9">
        <f>AVERAGEIFS(fact_batting_summary!G:G, fact_batting_summary!E:E,fact_batting_summary!E1699)</f>
        <v>3.5</v>
      </c>
      <c r="C1699">
        <v>7</v>
      </c>
    </row>
    <row r="1700" spans="1:3" x14ac:dyDescent="0.45">
      <c r="A1700">
        <f>SUMIFS(fact_batting_summary!G:G, fact_batting_summary!E:E, fact_batting_summary!E1700)</f>
        <v>109</v>
      </c>
      <c r="B1700" s="9">
        <f>AVERAGEIFS(fact_batting_summary!G:G, fact_batting_summary!E:E,fact_batting_summary!E1700)</f>
        <v>12.111111111111111</v>
      </c>
      <c r="C1700">
        <v>8</v>
      </c>
    </row>
    <row r="1701" spans="1:3" x14ac:dyDescent="0.45">
      <c r="A1701">
        <f>SUMIFS(fact_batting_summary!G:G, fact_batting_summary!E:E, fact_batting_summary!E1701)</f>
        <v>27</v>
      </c>
      <c r="B1701" s="9">
        <f>AVERAGEIFS(fact_batting_summary!G:G, fact_batting_summary!E:E,fact_batting_summary!E1701)</f>
        <v>3.8571428571428572</v>
      </c>
      <c r="C1701">
        <v>9</v>
      </c>
    </row>
    <row r="1702" spans="1:3" x14ac:dyDescent="0.45">
      <c r="A1702">
        <f>SUMIFS(fact_batting_summary!G:G, fact_batting_summary!E:E, fact_batting_summary!E1702)</f>
        <v>16</v>
      </c>
      <c r="B1702" s="9">
        <f>AVERAGEIFS(fact_batting_summary!G:G, fact_batting_summary!E:E,fact_batting_summary!E1702)</f>
        <v>1.2307692307692308</v>
      </c>
      <c r="C1702">
        <v>10</v>
      </c>
    </row>
    <row r="1703" spans="1:3" x14ac:dyDescent="0.45">
      <c r="A1703">
        <f>SUMIFS(fact_batting_summary!G:G, fact_batting_summary!E:E, fact_batting_summary!E1703)</f>
        <v>0</v>
      </c>
      <c r="B1703" s="9">
        <f>AVERAGEIFS(fact_batting_summary!G:G, fact_batting_summary!E:E,fact_batting_summary!E1703)</f>
        <v>0</v>
      </c>
      <c r="C1703">
        <v>11</v>
      </c>
    </row>
    <row r="1704" spans="1:3" x14ac:dyDescent="0.45">
      <c r="A1704">
        <f>SUMIFS(fact_batting_summary!G:G, fact_batting_summary!E:E, fact_batting_summary!E1704)</f>
        <v>956</v>
      </c>
      <c r="B1704" s="9">
        <f>AVERAGEIFS(fact_batting_summary!G:G, fact_batting_summary!E:E,fact_batting_summary!E1704)</f>
        <v>26.555555555555557</v>
      </c>
      <c r="C1704">
        <v>1</v>
      </c>
    </row>
    <row r="1705" spans="1:3" x14ac:dyDescent="0.45">
      <c r="A1705">
        <f>SUMIFS(fact_batting_summary!G:G, fact_batting_summary!E:E, fact_batting_summary!E1705)</f>
        <v>86</v>
      </c>
      <c r="B1705" s="9">
        <f>AVERAGEIFS(fact_batting_summary!G:G, fact_batting_summary!E:E,fact_batting_summary!E1705)</f>
        <v>17.2</v>
      </c>
      <c r="C1705">
        <v>2</v>
      </c>
    </row>
    <row r="1706" spans="1:3" x14ac:dyDescent="0.45">
      <c r="A1706">
        <f>SUMIFS(fact_batting_summary!G:G, fact_batting_summary!E:E, fact_batting_summary!E1706)</f>
        <v>576</v>
      </c>
      <c r="B1706" s="9">
        <f>AVERAGEIFS(fact_batting_summary!G:G, fact_batting_summary!E:E,fact_batting_summary!E1706)</f>
        <v>26.181818181818183</v>
      </c>
      <c r="C1706">
        <v>3</v>
      </c>
    </row>
    <row r="1707" spans="1:3" x14ac:dyDescent="0.45">
      <c r="A1707">
        <f>SUMIFS(fact_batting_summary!G:G, fact_batting_summary!E:E, fact_batting_summary!E1707)</f>
        <v>154</v>
      </c>
      <c r="B1707" s="9">
        <f>AVERAGEIFS(fact_batting_summary!G:G, fact_batting_summary!E:E,fact_batting_summary!E1707)</f>
        <v>5.1333333333333337</v>
      </c>
      <c r="C1707">
        <v>4</v>
      </c>
    </row>
    <row r="1708" spans="1:3" x14ac:dyDescent="0.45">
      <c r="A1708">
        <f>SUMIFS(fact_batting_summary!G:G, fact_batting_summary!E:E, fact_batting_summary!E1708)</f>
        <v>1157</v>
      </c>
      <c r="B1708" s="9">
        <f>AVERAGEIFS(fact_batting_summary!G:G, fact_batting_summary!E:E,fact_batting_summary!E1708)</f>
        <v>26.295454545454547</v>
      </c>
      <c r="C1708">
        <v>5</v>
      </c>
    </row>
    <row r="1709" spans="1:3" x14ac:dyDescent="0.45">
      <c r="A1709">
        <f>SUMIFS(fact_batting_summary!G:G, fact_batting_summary!E:E, fact_batting_summary!E1709)</f>
        <v>23</v>
      </c>
      <c r="B1709" s="9">
        <f>AVERAGEIFS(fact_batting_summary!G:G, fact_batting_summary!E:E,fact_batting_summary!E1709)</f>
        <v>4.5999999999999996</v>
      </c>
      <c r="C1709">
        <v>6</v>
      </c>
    </row>
    <row r="1710" spans="1:3" x14ac:dyDescent="0.45">
      <c r="A1710">
        <f>SUMIFS(fact_batting_summary!G:G, fact_batting_summary!E:E, fact_batting_summary!E1710)</f>
        <v>745</v>
      </c>
      <c r="B1710" s="9">
        <f>AVERAGEIFS(fact_batting_summary!G:G, fact_batting_summary!E:E,fact_batting_summary!E1710)</f>
        <v>21.285714285714285</v>
      </c>
      <c r="C1710">
        <v>7</v>
      </c>
    </row>
    <row r="1711" spans="1:3" x14ac:dyDescent="0.45">
      <c r="A1711">
        <f>SUMIFS(fact_batting_summary!G:G, fact_batting_summary!E:E, fact_batting_summary!E1711)</f>
        <v>156</v>
      </c>
      <c r="B1711" s="9">
        <f>AVERAGEIFS(fact_batting_summary!G:G, fact_batting_summary!E:E,fact_batting_summary!E1711)</f>
        <v>15.6</v>
      </c>
      <c r="C1711">
        <v>8</v>
      </c>
    </row>
    <row r="1712" spans="1:3" x14ac:dyDescent="0.45">
      <c r="A1712">
        <f>SUMIFS(fact_batting_summary!G:G, fact_batting_summary!E:E, fact_batting_summary!E1712)</f>
        <v>115</v>
      </c>
      <c r="B1712" s="9">
        <f>AVERAGEIFS(fact_batting_summary!G:G, fact_batting_summary!E:E,fact_batting_summary!E1712)</f>
        <v>11.5</v>
      </c>
      <c r="C1712">
        <v>9</v>
      </c>
    </row>
    <row r="1713" spans="1:3" x14ac:dyDescent="0.45">
      <c r="A1713">
        <f>SUMIFS(fact_batting_summary!G:G, fact_batting_summary!E:E, fact_batting_summary!E1713)</f>
        <v>74</v>
      </c>
      <c r="B1713" s="9">
        <f>AVERAGEIFS(fact_batting_summary!G:G, fact_batting_summary!E:E,fact_batting_summary!E1713)</f>
        <v>6.166666666666667</v>
      </c>
      <c r="C1713">
        <v>10</v>
      </c>
    </row>
    <row r="1714" spans="1:3" x14ac:dyDescent="0.45">
      <c r="A1714">
        <f>SUMIFS(fact_batting_summary!G:G, fact_batting_summary!E:E, fact_batting_summary!E1714)</f>
        <v>745</v>
      </c>
      <c r="B1714" s="9">
        <f>AVERAGEIFS(fact_batting_summary!G:G, fact_batting_summary!E:E,fact_batting_summary!E1714)</f>
        <v>24.032258064516128</v>
      </c>
      <c r="C1714">
        <v>1</v>
      </c>
    </row>
    <row r="1715" spans="1:3" x14ac:dyDescent="0.45">
      <c r="A1715">
        <f>SUMIFS(fact_batting_summary!G:G, fact_batting_summary!E:E, fact_batting_summary!E1715)</f>
        <v>416</v>
      </c>
      <c r="B1715" s="9">
        <f>AVERAGEIFS(fact_batting_summary!G:G, fact_batting_summary!E:E,fact_batting_summary!E1715)</f>
        <v>18.90909090909091</v>
      </c>
      <c r="C1715">
        <v>2</v>
      </c>
    </row>
    <row r="1716" spans="1:3" x14ac:dyDescent="0.45">
      <c r="A1716">
        <f>SUMIFS(fact_batting_summary!G:G, fact_batting_summary!E:E, fact_batting_summary!E1716)</f>
        <v>1083</v>
      </c>
      <c r="B1716" s="9">
        <f>AVERAGEIFS(fact_batting_summary!G:G, fact_batting_summary!E:E,fact_batting_summary!E1716)</f>
        <v>25.186046511627907</v>
      </c>
      <c r="C1716">
        <v>3</v>
      </c>
    </row>
    <row r="1717" spans="1:3" x14ac:dyDescent="0.45">
      <c r="A1717">
        <f>SUMIFS(fact_batting_summary!G:G, fact_batting_summary!E:E, fact_batting_summary!E1717)</f>
        <v>775</v>
      </c>
      <c r="B1717" s="9">
        <f>AVERAGEIFS(fact_batting_summary!G:G, fact_batting_summary!E:E,fact_batting_summary!E1717)</f>
        <v>25</v>
      </c>
      <c r="C1717">
        <v>4</v>
      </c>
    </row>
    <row r="1718" spans="1:3" x14ac:dyDescent="0.45">
      <c r="A1718">
        <f>SUMIFS(fact_batting_summary!G:G, fact_batting_summary!E:E, fact_batting_summary!E1718)</f>
        <v>729</v>
      </c>
      <c r="B1718" s="9">
        <f>AVERAGEIFS(fact_batting_summary!G:G, fact_batting_summary!E:E,fact_batting_summary!E1718)</f>
        <v>19.184210526315791</v>
      </c>
      <c r="C1718">
        <v>5</v>
      </c>
    </row>
    <row r="1719" spans="1:3" x14ac:dyDescent="0.45">
      <c r="A1719">
        <f>SUMIFS(fact_batting_summary!G:G, fact_batting_summary!E:E, fact_batting_summary!E1719)</f>
        <v>157</v>
      </c>
      <c r="B1719" s="9">
        <f>AVERAGEIFS(fact_batting_summary!G:G, fact_batting_summary!E:E,fact_batting_summary!E1719)</f>
        <v>15.7</v>
      </c>
      <c r="C1719">
        <v>1</v>
      </c>
    </row>
    <row r="1720" spans="1:3" x14ac:dyDescent="0.45">
      <c r="A1720">
        <f>SUMIFS(fact_batting_summary!G:G, fact_batting_summary!E:E, fact_batting_summary!E1720)</f>
        <v>1851</v>
      </c>
      <c r="B1720" s="9">
        <f>AVERAGEIFS(fact_batting_summary!G:G, fact_batting_summary!E:E,fact_batting_summary!E1720)</f>
        <v>37.020000000000003</v>
      </c>
      <c r="C1720">
        <v>2</v>
      </c>
    </row>
    <row r="1721" spans="1:3" x14ac:dyDescent="0.45">
      <c r="A1721">
        <f>SUMIFS(fact_batting_summary!G:G, fact_batting_summary!E:E, fact_batting_summary!E1721)</f>
        <v>370</v>
      </c>
      <c r="B1721" s="9">
        <f>AVERAGEIFS(fact_batting_summary!G:G, fact_batting_summary!E:E,fact_batting_summary!E1721)</f>
        <v>20.555555555555557</v>
      </c>
      <c r="C1721">
        <v>3</v>
      </c>
    </row>
    <row r="1722" spans="1:3" x14ac:dyDescent="0.45">
      <c r="A1722">
        <f>SUMIFS(fact_batting_summary!G:G, fact_batting_summary!E:E, fact_batting_summary!E1722)</f>
        <v>960</v>
      </c>
      <c r="B1722" s="9">
        <f>AVERAGEIFS(fact_batting_summary!G:G, fact_batting_summary!E:E,fact_batting_summary!E1722)</f>
        <v>23.414634146341463</v>
      </c>
      <c r="C1722">
        <v>4</v>
      </c>
    </row>
    <row r="1723" spans="1:3" x14ac:dyDescent="0.45">
      <c r="A1723">
        <f>SUMIFS(fact_batting_summary!G:G, fact_batting_summary!E:E, fact_batting_summary!E1723)</f>
        <v>222</v>
      </c>
      <c r="B1723" s="9">
        <f>AVERAGEIFS(fact_batting_summary!G:G, fact_batting_summary!E:E,fact_batting_summary!E1723)</f>
        <v>17.076923076923077</v>
      </c>
      <c r="C1723">
        <v>5</v>
      </c>
    </row>
    <row r="1724" spans="1:3" x14ac:dyDescent="0.45">
      <c r="A1724">
        <f>SUMIFS(fact_batting_summary!G:G, fact_batting_summary!E:E, fact_batting_summary!E1724)</f>
        <v>864</v>
      </c>
      <c r="B1724" s="9">
        <f>AVERAGEIFS(fact_batting_summary!G:G, fact_batting_summary!E:E,fact_batting_summary!E1724)</f>
        <v>23.351351351351351</v>
      </c>
      <c r="C1724">
        <v>6</v>
      </c>
    </row>
    <row r="1725" spans="1:3" x14ac:dyDescent="0.45">
      <c r="A1725">
        <f>SUMIFS(fact_batting_summary!G:G, fact_batting_summary!E:E, fact_batting_summary!E1725)</f>
        <v>1509</v>
      </c>
      <c r="B1725" s="9">
        <f>AVERAGEIFS(fact_batting_summary!G:G, fact_batting_summary!E:E,fact_batting_summary!E1725)</f>
        <v>39.710526315789473</v>
      </c>
      <c r="C1725">
        <v>1</v>
      </c>
    </row>
    <row r="1726" spans="1:3" x14ac:dyDescent="0.45">
      <c r="A1726">
        <f>SUMIFS(fact_batting_summary!G:G, fact_batting_summary!E:E, fact_batting_summary!E1726)</f>
        <v>1048</v>
      </c>
      <c r="B1726" s="9">
        <f>AVERAGEIFS(fact_batting_summary!G:G, fact_batting_summary!E:E,fact_batting_summary!E1726)</f>
        <v>24.952380952380953</v>
      </c>
      <c r="C1726">
        <v>2</v>
      </c>
    </row>
    <row r="1727" spans="1:3" x14ac:dyDescent="0.45">
      <c r="A1727">
        <f>SUMIFS(fact_batting_summary!G:G, fact_batting_summary!E:E, fact_batting_summary!E1727)</f>
        <v>302</v>
      </c>
      <c r="B1727" s="9">
        <f>AVERAGEIFS(fact_batting_summary!G:G, fact_batting_summary!E:E,fact_batting_summary!E1727)</f>
        <v>11.185185185185185</v>
      </c>
      <c r="C1727">
        <v>3</v>
      </c>
    </row>
    <row r="1728" spans="1:3" x14ac:dyDescent="0.45">
      <c r="A1728">
        <f>SUMIFS(fact_batting_summary!G:G, fact_batting_summary!E:E, fact_batting_summary!E1728)</f>
        <v>1304</v>
      </c>
      <c r="B1728" s="9">
        <f>AVERAGEIFS(fact_batting_summary!G:G, fact_batting_summary!E:E,fact_batting_summary!E1728)</f>
        <v>28.977777777777778</v>
      </c>
      <c r="C1728">
        <v>4</v>
      </c>
    </row>
    <row r="1729" spans="1:3" x14ac:dyDescent="0.45">
      <c r="A1729">
        <f>SUMIFS(fact_batting_summary!G:G, fact_batting_summary!E:E, fact_batting_summary!E1729)</f>
        <v>22</v>
      </c>
      <c r="B1729" s="9">
        <f>AVERAGEIFS(fact_batting_summary!G:G, fact_batting_summary!E:E,fact_batting_summary!E1729)</f>
        <v>7.333333333333333</v>
      </c>
      <c r="C1729">
        <v>5</v>
      </c>
    </row>
    <row r="1730" spans="1:3" x14ac:dyDescent="0.45">
      <c r="A1730">
        <f>SUMIFS(fact_batting_summary!G:G, fact_batting_summary!E:E, fact_batting_summary!E1730)</f>
        <v>854</v>
      </c>
      <c r="B1730" s="9">
        <f>AVERAGEIFS(fact_batting_summary!G:G, fact_batting_summary!E:E,fact_batting_summary!E1730)</f>
        <v>21.35</v>
      </c>
      <c r="C1730">
        <v>6</v>
      </c>
    </row>
    <row r="1731" spans="1:3" x14ac:dyDescent="0.45">
      <c r="A1731">
        <f>SUMIFS(fact_batting_summary!G:G, fact_batting_summary!E:E, fact_batting_summary!E1731)</f>
        <v>354</v>
      </c>
      <c r="B1731" s="9">
        <f>AVERAGEIFS(fact_batting_summary!G:G, fact_batting_summary!E:E,fact_batting_summary!E1731)</f>
        <v>11.419354838709678</v>
      </c>
      <c r="C1731">
        <v>7</v>
      </c>
    </row>
    <row r="1732" spans="1:3" x14ac:dyDescent="0.45">
      <c r="A1732">
        <f>SUMIFS(fact_batting_summary!G:G, fact_batting_summary!E:E, fact_batting_summary!E1732)</f>
        <v>31</v>
      </c>
      <c r="B1732" s="9">
        <f>AVERAGEIFS(fact_batting_summary!G:G, fact_batting_summary!E:E,fact_batting_summary!E1732)</f>
        <v>7.75</v>
      </c>
      <c r="C1732">
        <v>8</v>
      </c>
    </row>
    <row r="1733" spans="1:3" x14ac:dyDescent="0.45">
      <c r="A1733">
        <f>SUMIFS(fact_batting_summary!G:G, fact_batting_summary!E:E, fact_batting_summary!E1733)</f>
        <v>6</v>
      </c>
      <c r="B1733" s="9">
        <f>AVERAGEIFS(fact_batting_summary!G:G, fact_batting_summary!E:E,fact_batting_summary!E1733)</f>
        <v>1.2</v>
      </c>
      <c r="C1733">
        <v>9</v>
      </c>
    </row>
    <row r="1734" spans="1:3" x14ac:dyDescent="0.45">
      <c r="A1734">
        <f>SUMIFS(fact_batting_summary!G:G, fact_batting_summary!E:E, fact_batting_summary!E1734)</f>
        <v>15</v>
      </c>
      <c r="B1734" s="9">
        <f>AVERAGEIFS(fact_batting_summary!G:G, fact_batting_summary!E:E,fact_batting_summary!E1734)</f>
        <v>3.75</v>
      </c>
      <c r="C1734">
        <v>10</v>
      </c>
    </row>
    <row r="1735" spans="1:3" x14ac:dyDescent="0.45">
      <c r="A1735">
        <f>SUMIFS(fact_batting_summary!G:G, fact_batting_summary!E:E, fact_batting_summary!E1735)</f>
        <v>0</v>
      </c>
      <c r="B1735" s="9">
        <f>AVERAGEIFS(fact_batting_summary!G:G, fact_batting_summary!E:E,fact_batting_summary!E1735)</f>
        <v>0</v>
      </c>
      <c r="C1735">
        <v>11</v>
      </c>
    </row>
    <row r="1736" spans="1:3" x14ac:dyDescent="0.45">
      <c r="A1736">
        <f>SUMIFS(fact_batting_summary!G:G, fact_batting_summary!E:E, fact_batting_summary!E1736)</f>
        <v>907</v>
      </c>
      <c r="B1736" s="9">
        <f>AVERAGEIFS(fact_batting_summary!G:G, fact_batting_summary!E:E,fact_batting_summary!E1736)</f>
        <v>26.676470588235293</v>
      </c>
      <c r="C1736">
        <v>1</v>
      </c>
    </row>
    <row r="1737" spans="1:3" x14ac:dyDescent="0.45">
      <c r="A1737">
        <f>SUMIFS(fact_batting_summary!G:G, fact_batting_summary!E:E, fact_batting_summary!E1737)</f>
        <v>1392</v>
      </c>
      <c r="B1737" s="9">
        <f>AVERAGEIFS(fact_batting_summary!G:G, fact_batting_summary!E:E,fact_batting_summary!E1737)</f>
        <v>34.799999999999997</v>
      </c>
      <c r="C1737">
        <v>2</v>
      </c>
    </row>
    <row r="1738" spans="1:3" x14ac:dyDescent="0.45">
      <c r="A1738">
        <f>SUMIFS(fact_batting_summary!G:G, fact_batting_summary!E:E, fact_batting_summary!E1738)</f>
        <v>463</v>
      </c>
      <c r="B1738" s="9">
        <f>AVERAGEIFS(fact_batting_summary!G:G, fact_batting_summary!E:E,fact_batting_summary!E1738)</f>
        <v>27.235294117647058</v>
      </c>
      <c r="C1738">
        <v>3</v>
      </c>
    </row>
    <row r="1739" spans="1:3" x14ac:dyDescent="0.45">
      <c r="A1739">
        <f>SUMIFS(fact_batting_summary!G:G, fact_batting_summary!E:E, fact_batting_summary!E1739)</f>
        <v>758</v>
      </c>
      <c r="B1739" s="9">
        <f>AVERAGEIFS(fact_batting_summary!G:G, fact_batting_summary!E:E,fact_batting_summary!E1739)</f>
        <v>27.071428571428573</v>
      </c>
      <c r="C1739">
        <v>4</v>
      </c>
    </row>
    <row r="1740" spans="1:3" x14ac:dyDescent="0.45">
      <c r="A1740">
        <f>SUMIFS(fact_batting_summary!G:G, fact_batting_summary!E:E, fact_batting_summary!E1740)</f>
        <v>543</v>
      </c>
      <c r="B1740" s="9">
        <f>AVERAGEIFS(fact_batting_summary!G:G, fact_batting_summary!E:E,fact_batting_summary!E1740)</f>
        <v>22.625</v>
      </c>
      <c r="C1740">
        <v>5</v>
      </c>
    </row>
    <row r="1741" spans="1:3" x14ac:dyDescent="0.45">
      <c r="A1741">
        <f>SUMIFS(fact_batting_summary!G:G, fact_batting_summary!E:E, fact_batting_summary!E1741)</f>
        <v>426</v>
      </c>
      <c r="B1741" s="9">
        <f>AVERAGEIFS(fact_batting_summary!G:G, fact_batting_summary!E:E,fact_batting_summary!E1741)</f>
        <v>13.741935483870968</v>
      </c>
      <c r="C1741">
        <v>6</v>
      </c>
    </row>
    <row r="1742" spans="1:3" x14ac:dyDescent="0.45">
      <c r="A1742">
        <f>SUMIFS(fact_batting_summary!G:G, fact_batting_summary!E:E, fact_batting_summary!E1742)</f>
        <v>51</v>
      </c>
      <c r="B1742" s="9">
        <f>AVERAGEIFS(fact_batting_summary!G:G, fact_batting_summary!E:E,fact_batting_summary!E1742)</f>
        <v>8.5</v>
      </c>
      <c r="C1742">
        <v>7</v>
      </c>
    </row>
    <row r="1743" spans="1:3" x14ac:dyDescent="0.45">
      <c r="A1743">
        <f>SUMIFS(fact_batting_summary!G:G, fact_batting_summary!E:E, fact_batting_summary!E1743)</f>
        <v>981</v>
      </c>
      <c r="B1743" s="9">
        <f>AVERAGEIFS(fact_batting_summary!G:G, fact_batting_summary!E:E,fact_batting_summary!E1743)</f>
        <v>22.813953488372093</v>
      </c>
      <c r="C1743">
        <v>1</v>
      </c>
    </row>
    <row r="1744" spans="1:3" x14ac:dyDescent="0.45">
      <c r="A1744">
        <f>SUMIFS(fact_batting_summary!G:G, fact_batting_summary!E:E, fact_batting_summary!E1744)</f>
        <v>1113</v>
      </c>
      <c r="B1744" s="9">
        <f>AVERAGEIFS(fact_batting_summary!G:G, fact_batting_summary!E:E,fact_batting_summary!E1744)</f>
        <v>28.53846153846154</v>
      </c>
      <c r="C1744">
        <v>2</v>
      </c>
    </row>
    <row r="1745" spans="1:3" x14ac:dyDescent="0.45">
      <c r="A1745">
        <f>SUMIFS(fact_batting_summary!G:G, fact_batting_summary!E:E, fact_batting_summary!E1745)</f>
        <v>161</v>
      </c>
      <c r="B1745" s="9">
        <f>AVERAGEIFS(fact_batting_summary!G:G, fact_batting_summary!E:E,fact_batting_summary!E1745)</f>
        <v>23</v>
      </c>
      <c r="C1745">
        <v>3</v>
      </c>
    </row>
    <row r="1746" spans="1:3" x14ac:dyDescent="0.45">
      <c r="A1746">
        <f>SUMIFS(fact_batting_summary!G:G, fact_batting_summary!E:E, fact_batting_summary!E1746)</f>
        <v>740</v>
      </c>
      <c r="B1746" s="9">
        <f>AVERAGEIFS(fact_batting_summary!G:G, fact_batting_summary!E:E,fact_batting_summary!E1746)</f>
        <v>29.6</v>
      </c>
      <c r="C1746">
        <v>4</v>
      </c>
    </row>
    <row r="1747" spans="1:3" x14ac:dyDescent="0.45">
      <c r="A1747">
        <f>SUMIFS(fact_batting_summary!G:G, fact_batting_summary!E:E, fact_batting_summary!E1747)</f>
        <v>1225</v>
      </c>
      <c r="B1747" s="9">
        <f>AVERAGEIFS(fact_batting_summary!G:G, fact_batting_summary!E:E,fact_batting_summary!E1747)</f>
        <v>32.236842105263158</v>
      </c>
      <c r="C1747">
        <v>5</v>
      </c>
    </row>
    <row r="1748" spans="1:3" x14ac:dyDescent="0.45">
      <c r="A1748">
        <f>SUMIFS(fact_batting_summary!G:G, fact_batting_summary!E:E, fact_batting_summary!E1748)</f>
        <v>389</v>
      </c>
      <c r="B1748" s="9">
        <f>AVERAGEIFS(fact_batting_summary!G:G, fact_batting_summary!E:E,fact_batting_summary!E1748)</f>
        <v>16.208333333333332</v>
      </c>
      <c r="C1748">
        <v>6</v>
      </c>
    </row>
    <row r="1749" spans="1:3" x14ac:dyDescent="0.45">
      <c r="A1749">
        <f>SUMIFS(fact_batting_summary!G:G, fact_batting_summary!E:E, fact_batting_summary!E1749)</f>
        <v>109</v>
      </c>
      <c r="B1749" s="9">
        <f>AVERAGEIFS(fact_batting_summary!G:G, fact_batting_summary!E:E,fact_batting_summary!E1749)</f>
        <v>12.111111111111111</v>
      </c>
      <c r="C1749">
        <v>7</v>
      </c>
    </row>
    <row r="1750" spans="1:3" x14ac:dyDescent="0.45">
      <c r="A1750">
        <f>SUMIFS(fact_batting_summary!G:G, fact_batting_summary!E:E, fact_batting_summary!E1750)</f>
        <v>27</v>
      </c>
      <c r="B1750" s="9">
        <f>AVERAGEIFS(fact_batting_summary!G:G, fact_batting_summary!E:E,fact_batting_summary!E1750)</f>
        <v>3.8571428571428572</v>
      </c>
      <c r="C1750">
        <v>8</v>
      </c>
    </row>
    <row r="1751" spans="1:3" x14ac:dyDescent="0.45">
      <c r="A1751">
        <f>SUMIFS(fact_batting_summary!G:G, fact_batting_summary!E:E, fact_batting_summary!E1751)</f>
        <v>16</v>
      </c>
      <c r="B1751" s="9">
        <f>AVERAGEIFS(fact_batting_summary!G:G, fact_batting_summary!E:E,fact_batting_summary!E1751)</f>
        <v>1.2307692307692308</v>
      </c>
      <c r="C1751">
        <v>9</v>
      </c>
    </row>
    <row r="1752" spans="1:3" x14ac:dyDescent="0.45">
      <c r="A1752">
        <f>SUMIFS(fact_batting_summary!G:G, fact_batting_summary!E:E, fact_batting_summary!E1752)</f>
        <v>0</v>
      </c>
      <c r="B1752" s="9">
        <f>AVERAGEIFS(fact_batting_summary!G:G, fact_batting_summary!E:E,fact_batting_summary!E1752)</f>
        <v>0</v>
      </c>
      <c r="C1752">
        <v>10</v>
      </c>
    </row>
    <row r="1753" spans="1:3" x14ac:dyDescent="0.45">
      <c r="A1753">
        <f>SUMIFS(fact_batting_summary!G:G, fact_batting_summary!E:E, fact_batting_summary!E1753)</f>
        <v>1593</v>
      </c>
      <c r="B1753" s="9">
        <f>AVERAGEIFS(fact_batting_summary!G:G, fact_batting_summary!E:E,fact_batting_summary!E1753)</f>
        <v>35.4</v>
      </c>
      <c r="C1753">
        <v>1</v>
      </c>
    </row>
    <row r="1754" spans="1:3" x14ac:dyDescent="0.45">
      <c r="A1754">
        <f>SUMIFS(fact_batting_summary!G:G, fact_batting_summary!E:E, fact_batting_summary!E1754)</f>
        <v>345</v>
      </c>
      <c r="B1754" s="9">
        <f>AVERAGEIFS(fact_batting_summary!G:G, fact_batting_summary!E:E,fact_batting_summary!E1754)</f>
        <v>23</v>
      </c>
      <c r="C1754">
        <v>2</v>
      </c>
    </row>
    <row r="1755" spans="1:3" x14ac:dyDescent="0.45">
      <c r="A1755">
        <f>SUMIFS(fact_batting_summary!G:G, fact_batting_summary!E:E, fact_batting_summary!E1755)</f>
        <v>725</v>
      </c>
      <c r="B1755" s="9">
        <f>AVERAGEIFS(fact_batting_summary!G:G, fact_batting_summary!E:E,fact_batting_summary!E1755)</f>
        <v>20.714285714285715</v>
      </c>
      <c r="C1755">
        <v>3</v>
      </c>
    </row>
    <row r="1756" spans="1:3" x14ac:dyDescent="0.45">
      <c r="A1756">
        <f>SUMIFS(fact_batting_summary!G:G, fact_batting_summary!E:E, fact_batting_summary!E1756)</f>
        <v>937</v>
      </c>
      <c r="B1756" s="9">
        <f>AVERAGEIFS(fact_batting_summary!G:G, fact_batting_summary!E:E,fact_batting_summary!E1756)</f>
        <v>27.558823529411764</v>
      </c>
      <c r="C1756">
        <v>4</v>
      </c>
    </row>
    <row r="1757" spans="1:3" x14ac:dyDescent="0.45">
      <c r="A1757">
        <f>SUMIFS(fact_batting_summary!G:G, fact_batting_summary!E:E, fact_batting_summary!E1757)</f>
        <v>533</v>
      </c>
      <c r="B1757" s="9">
        <f>AVERAGEIFS(fact_batting_summary!G:G, fact_batting_summary!E:E,fact_batting_summary!E1757)</f>
        <v>15.676470588235293</v>
      </c>
      <c r="C1757">
        <v>5</v>
      </c>
    </row>
    <row r="1758" spans="1:3" x14ac:dyDescent="0.45">
      <c r="A1758">
        <f>SUMIFS(fact_batting_summary!G:G, fact_batting_summary!E:E, fact_batting_summary!E1758)</f>
        <v>450</v>
      </c>
      <c r="B1758" s="9">
        <f>AVERAGEIFS(fact_batting_summary!G:G, fact_batting_summary!E:E,fact_batting_summary!E1758)</f>
        <v>12.5</v>
      </c>
      <c r="C1758">
        <v>6</v>
      </c>
    </row>
    <row r="1759" spans="1:3" x14ac:dyDescent="0.45">
      <c r="A1759">
        <f>SUMIFS(fact_batting_summary!G:G, fact_batting_summary!E:E, fact_batting_summary!E1759)</f>
        <v>1831</v>
      </c>
      <c r="B1759" s="9">
        <f>AVERAGEIFS(fact_batting_summary!G:G, fact_batting_summary!E:E,fact_batting_summary!E1759)</f>
        <v>39.804347826086953</v>
      </c>
      <c r="C1759">
        <v>1</v>
      </c>
    </row>
    <row r="1760" spans="1:3" x14ac:dyDescent="0.45">
      <c r="A1760">
        <f>SUMIFS(fact_batting_summary!G:G, fact_batting_summary!E:E, fact_batting_summary!E1760)</f>
        <v>220</v>
      </c>
      <c r="B1760" s="9">
        <f>AVERAGEIFS(fact_batting_summary!G:G, fact_batting_summary!E:E,fact_batting_summary!E1760)</f>
        <v>13.75</v>
      </c>
      <c r="C1760">
        <v>2</v>
      </c>
    </row>
    <row r="1761" spans="1:3" x14ac:dyDescent="0.45">
      <c r="A1761">
        <f>SUMIFS(fact_batting_summary!G:G, fact_batting_summary!E:E, fact_batting_summary!E1761)</f>
        <v>1385</v>
      </c>
      <c r="B1761" s="9">
        <f>AVERAGEIFS(fact_batting_summary!G:G, fact_batting_summary!E:E,fact_batting_summary!E1761)</f>
        <v>30.777777777777779</v>
      </c>
      <c r="C1761">
        <v>3</v>
      </c>
    </row>
    <row r="1762" spans="1:3" x14ac:dyDescent="0.45">
      <c r="A1762">
        <f>SUMIFS(fact_batting_summary!G:G, fact_batting_summary!E:E, fact_batting_summary!E1762)</f>
        <v>1214</v>
      </c>
      <c r="B1762" s="9">
        <f>AVERAGEIFS(fact_batting_summary!G:G, fact_batting_summary!E:E,fact_batting_summary!E1762)</f>
        <v>29.609756097560975</v>
      </c>
      <c r="C1762">
        <v>4</v>
      </c>
    </row>
    <row r="1763" spans="1:3" x14ac:dyDescent="0.45">
      <c r="A1763">
        <f>SUMIFS(fact_batting_summary!G:G, fact_batting_summary!E:E, fact_batting_summary!E1763)</f>
        <v>320</v>
      </c>
      <c r="B1763" s="9">
        <f>AVERAGEIFS(fact_batting_summary!G:G, fact_batting_summary!E:E,fact_batting_summary!E1763)</f>
        <v>13.333333333333334</v>
      </c>
      <c r="C1763">
        <v>5</v>
      </c>
    </row>
    <row r="1764" spans="1:3" x14ac:dyDescent="0.45">
      <c r="A1764">
        <f>SUMIFS(fact_batting_summary!G:G, fact_batting_summary!E:E, fact_batting_summary!E1764)</f>
        <v>102</v>
      </c>
      <c r="B1764" s="9">
        <f>AVERAGEIFS(fact_batting_summary!G:G, fact_batting_summary!E:E,fact_batting_summary!E1764)</f>
        <v>11.333333333333334</v>
      </c>
      <c r="C1764">
        <v>6</v>
      </c>
    </row>
    <row r="1765" spans="1:3" x14ac:dyDescent="0.45">
      <c r="A1765">
        <f>SUMIFS(fact_batting_summary!G:G, fact_batting_summary!E:E, fact_batting_summary!E1765)</f>
        <v>693</v>
      </c>
      <c r="B1765" s="9">
        <f>AVERAGEIFS(fact_batting_summary!G:G, fact_batting_summary!E:E,fact_batting_summary!E1765)</f>
        <v>15.75</v>
      </c>
      <c r="C1765">
        <v>7</v>
      </c>
    </row>
    <row r="1766" spans="1:3" x14ac:dyDescent="0.45">
      <c r="A1766">
        <f>SUMIFS(fact_batting_summary!G:G, fact_batting_summary!E:E, fact_batting_summary!E1766)</f>
        <v>72</v>
      </c>
      <c r="B1766" s="9">
        <f>AVERAGEIFS(fact_batting_summary!G:G, fact_batting_summary!E:E,fact_batting_summary!E1766)</f>
        <v>5.1428571428571432</v>
      </c>
      <c r="C1766">
        <v>8</v>
      </c>
    </row>
    <row r="1767" spans="1:3" x14ac:dyDescent="0.45">
      <c r="A1767">
        <f>SUMIFS(fact_batting_summary!G:G, fact_batting_summary!E:E, fact_batting_summary!E1767)</f>
        <v>17</v>
      </c>
      <c r="B1767" s="9">
        <f>AVERAGEIFS(fact_batting_summary!G:G, fact_batting_summary!E:E,fact_batting_summary!E1767)</f>
        <v>8.5</v>
      </c>
      <c r="C1767">
        <v>9</v>
      </c>
    </row>
    <row r="1768" spans="1:3" x14ac:dyDescent="0.45">
      <c r="A1768">
        <f>SUMIFS(fact_batting_summary!G:G, fact_batting_summary!E:E, fact_batting_summary!E1768)</f>
        <v>51</v>
      </c>
      <c r="B1768" s="9">
        <f>AVERAGEIFS(fact_batting_summary!G:G, fact_batting_summary!E:E,fact_batting_summary!E1768)</f>
        <v>4.6363636363636367</v>
      </c>
      <c r="C1768">
        <v>10</v>
      </c>
    </row>
    <row r="1769" spans="1:3" x14ac:dyDescent="0.45">
      <c r="A1769">
        <f>SUMIFS(fact_batting_summary!G:G, fact_batting_summary!E:E, fact_batting_summary!E1769)</f>
        <v>19</v>
      </c>
      <c r="B1769" s="9">
        <f>AVERAGEIFS(fact_batting_summary!G:G, fact_batting_summary!E:E,fact_batting_summary!E1769)</f>
        <v>3.1666666666666665</v>
      </c>
      <c r="C1769">
        <v>11</v>
      </c>
    </row>
    <row r="1770" spans="1:3" x14ac:dyDescent="0.45">
      <c r="A1770">
        <f>SUMIFS(fact_batting_summary!G:G, fact_batting_summary!E:E, fact_batting_summary!E1770)</f>
        <v>157</v>
      </c>
      <c r="B1770" s="9">
        <f>AVERAGEIFS(fact_batting_summary!G:G, fact_batting_summary!E:E,fact_batting_summary!E1770)</f>
        <v>15.7</v>
      </c>
      <c r="C1770">
        <v>1</v>
      </c>
    </row>
    <row r="1771" spans="1:3" x14ac:dyDescent="0.45">
      <c r="A1771">
        <f>SUMIFS(fact_batting_summary!G:G, fact_batting_summary!E:E, fact_batting_summary!E1771)</f>
        <v>1851</v>
      </c>
      <c r="B1771" s="9">
        <f>AVERAGEIFS(fact_batting_summary!G:G, fact_batting_summary!E:E,fact_batting_summary!E1771)</f>
        <v>37.020000000000003</v>
      </c>
      <c r="C1771">
        <v>2</v>
      </c>
    </row>
    <row r="1772" spans="1:3" x14ac:dyDescent="0.45">
      <c r="A1772">
        <f>SUMIFS(fact_batting_summary!G:G, fact_batting_summary!E:E, fact_batting_summary!E1772)</f>
        <v>507</v>
      </c>
      <c r="B1772" s="9">
        <f>AVERAGEIFS(fact_batting_summary!G:G, fact_batting_summary!E:E,fact_batting_summary!E1772)</f>
        <v>39</v>
      </c>
      <c r="C1772">
        <v>3</v>
      </c>
    </row>
    <row r="1773" spans="1:3" x14ac:dyDescent="0.45">
      <c r="A1773">
        <f>SUMIFS(fact_batting_summary!G:G, fact_batting_summary!E:E, fact_batting_summary!E1773)</f>
        <v>960</v>
      </c>
      <c r="B1773" s="9">
        <f>AVERAGEIFS(fact_batting_summary!G:G, fact_batting_summary!E:E,fact_batting_summary!E1773)</f>
        <v>23.414634146341463</v>
      </c>
      <c r="C1773">
        <v>4</v>
      </c>
    </row>
    <row r="1774" spans="1:3" x14ac:dyDescent="0.45">
      <c r="A1774">
        <f>SUMIFS(fact_batting_summary!G:G, fact_batting_summary!E:E, fact_batting_summary!E1774)</f>
        <v>864</v>
      </c>
      <c r="B1774" s="9">
        <f>AVERAGEIFS(fact_batting_summary!G:G, fact_batting_summary!E:E,fact_batting_summary!E1774)</f>
        <v>23.351351351351351</v>
      </c>
      <c r="C1774">
        <v>5</v>
      </c>
    </row>
    <row r="1775" spans="1:3" x14ac:dyDescent="0.45">
      <c r="A1775">
        <f>SUMIFS(fact_batting_summary!G:G, fact_batting_summary!E:E, fact_batting_summary!E1775)</f>
        <v>222</v>
      </c>
      <c r="B1775" s="9">
        <f>AVERAGEIFS(fact_batting_summary!G:G, fact_batting_summary!E:E,fact_batting_summary!E1775)</f>
        <v>17.076923076923077</v>
      </c>
      <c r="C1775">
        <v>6</v>
      </c>
    </row>
    <row r="1776" spans="1:3" x14ac:dyDescent="0.45">
      <c r="A1776">
        <f>SUMIFS(fact_batting_summary!G:G, fact_batting_summary!E:E, fact_batting_summary!E1776)</f>
        <v>459</v>
      </c>
      <c r="B1776" s="9">
        <f>AVERAGEIFS(fact_batting_summary!G:G, fact_batting_summary!E:E,fact_batting_summary!E1776)</f>
        <v>13.909090909090908</v>
      </c>
      <c r="C1776">
        <v>7</v>
      </c>
    </row>
    <row r="1777" spans="1:3" x14ac:dyDescent="0.45">
      <c r="A1777">
        <f>SUMIFS(fact_batting_summary!G:G, fact_batting_summary!E:E, fact_batting_summary!E1777)</f>
        <v>304</v>
      </c>
      <c r="B1777" s="9">
        <f>AVERAGEIFS(fact_batting_summary!G:G, fact_batting_summary!E:E,fact_batting_summary!E1777)</f>
        <v>11.692307692307692</v>
      </c>
      <c r="C1777">
        <v>8</v>
      </c>
    </row>
    <row r="1778" spans="1:3" x14ac:dyDescent="0.45">
      <c r="A1778">
        <f>SUMIFS(fact_batting_summary!G:G, fact_batting_summary!E:E, fact_batting_summary!E1778)</f>
        <v>745</v>
      </c>
      <c r="B1778" s="9">
        <f>AVERAGEIFS(fact_batting_summary!G:G, fact_batting_summary!E:E,fact_batting_summary!E1778)</f>
        <v>24.032258064516128</v>
      </c>
      <c r="C1778">
        <v>1</v>
      </c>
    </row>
    <row r="1779" spans="1:3" x14ac:dyDescent="0.45">
      <c r="A1779">
        <f>SUMIFS(fact_batting_summary!G:G, fact_batting_summary!E:E, fact_batting_summary!E1779)</f>
        <v>416</v>
      </c>
      <c r="B1779" s="9">
        <f>AVERAGEIFS(fact_batting_summary!G:G, fact_batting_summary!E:E,fact_batting_summary!E1779)</f>
        <v>18.90909090909091</v>
      </c>
      <c r="C1779">
        <v>2</v>
      </c>
    </row>
    <row r="1780" spans="1:3" x14ac:dyDescent="0.45">
      <c r="A1780">
        <f>SUMIFS(fact_batting_summary!G:G, fact_batting_summary!E:E, fact_batting_summary!E1780)</f>
        <v>1083</v>
      </c>
      <c r="B1780" s="9">
        <f>AVERAGEIFS(fact_batting_summary!G:G, fact_batting_summary!E:E,fact_batting_summary!E1780)</f>
        <v>25.186046511627907</v>
      </c>
      <c r="C1780">
        <v>3</v>
      </c>
    </row>
    <row r="1781" spans="1:3" x14ac:dyDescent="0.45">
      <c r="A1781">
        <f>SUMIFS(fact_batting_summary!G:G, fact_batting_summary!E:E, fact_batting_summary!E1781)</f>
        <v>729</v>
      </c>
      <c r="B1781" s="9">
        <f>AVERAGEIFS(fact_batting_summary!G:G, fact_batting_summary!E:E,fact_batting_summary!E1781)</f>
        <v>19.184210526315791</v>
      </c>
      <c r="C1781">
        <v>4</v>
      </c>
    </row>
    <row r="1782" spans="1:3" x14ac:dyDescent="0.45">
      <c r="A1782">
        <f>SUMIFS(fact_batting_summary!G:G, fact_batting_summary!E:E, fact_batting_summary!E1782)</f>
        <v>775</v>
      </c>
      <c r="B1782" s="9">
        <f>AVERAGEIFS(fact_batting_summary!G:G, fact_batting_summary!E:E,fact_batting_summary!E1782)</f>
        <v>25</v>
      </c>
      <c r="C1782">
        <v>5</v>
      </c>
    </row>
    <row r="1783" spans="1:3" x14ac:dyDescent="0.45">
      <c r="A1783">
        <f>SUMIFS(fact_batting_summary!G:G, fact_batting_summary!E:E, fact_batting_summary!E1783)</f>
        <v>1509</v>
      </c>
      <c r="B1783" s="9">
        <f>AVERAGEIFS(fact_batting_summary!G:G, fact_batting_summary!E:E,fact_batting_summary!E1783)</f>
        <v>39.710526315789473</v>
      </c>
      <c r="C1783">
        <v>1</v>
      </c>
    </row>
    <row r="1784" spans="1:3" x14ac:dyDescent="0.45">
      <c r="A1784">
        <f>SUMIFS(fact_batting_summary!G:G, fact_batting_summary!E:E, fact_batting_summary!E1784)</f>
        <v>1048</v>
      </c>
      <c r="B1784" s="9">
        <f>AVERAGEIFS(fact_batting_summary!G:G, fact_batting_summary!E:E,fact_batting_summary!E1784)</f>
        <v>24.952380952380953</v>
      </c>
      <c r="C1784">
        <v>2</v>
      </c>
    </row>
    <row r="1785" spans="1:3" x14ac:dyDescent="0.45">
      <c r="A1785">
        <f>SUMIFS(fact_batting_summary!G:G, fact_batting_summary!E:E, fact_batting_summary!E1785)</f>
        <v>1304</v>
      </c>
      <c r="B1785" s="9">
        <f>AVERAGEIFS(fact_batting_summary!G:G, fact_batting_summary!E:E,fact_batting_summary!E1785)</f>
        <v>28.977777777777778</v>
      </c>
      <c r="C1785">
        <v>3</v>
      </c>
    </row>
    <row r="1786" spans="1:3" x14ac:dyDescent="0.45">
      <c r="A1786">
        <f>SUMIFS(fact_batting_summary!G:G, fact_batting_summary!E:E, fact_batting_summary!E1786)</f>
        <v>22</v>
      </c>
      <c r="B1786" s="9">
        <f>AVERAGEIFS(fact_batting_summary!G:G, fact_batting_summary!E:E,fact_batting_summary!E1786)</f>
        <v>7.333333333333333</v>
      </c>
      <c r="C1786">
        <v>4</v>
      </c>
    </row>
    <row r="1787" spans="1:3" x14ac:dyDescent="0.45">
      <c r="A1787">
        <f>SUMIFS(fact_batting_summary!G:G, fact_batting_summary!E:E, fact_batting_summary!E1787)</f>
        <v>854</v>
      </c>
      <c r="B1787" s="9">
        <f>AVERAGEIFS(fact_batting_summary!G:G, fact_batting_summary!E:E,fact_batting_summary!E1787)</f>
        <v>21.35</v>
      </c>
      <c r="C1787">
        <v>5</v>
      </c>
    </row>
    <row r="1788" spans="1:3" x14ac:dyDescent="0.45">
      <c r="A1788">
        <f>SUMIFS(fact_batting_summary!G:G, fact_batting_summary!E:E, fact_batting_summary!E1788)</f>
        <v>302</v>
      </c>
      <c r="B1788" s="9">
        <f>AVERAGEIFS(fact_batting_summary!G:G, fact_batting_summary!E:E,fact_batting_summary!E1788)</f>
        <v>11.185185185185185</v>
      </c>
      <c r="C1788">
        <v>6</v>
      </c>
    </row>
    <row r="1789" spans="1:3" x14ac:dyDescent="0.45">
      <c r="A1789">
        <f>SUMIFS(fact_batting_summary!G:G, fact_batting_summary!E:E, fact_batting_summary!E1789)</f>
        <v>354</v>
      </c>
      <c r="B1789" s="9">
        <f>AVERAGEIFS(fact_batting_summary!G:G, fact_batting_summary!E:E,fact_batting_summary!E1789)</f>
        <v>11.419354838709678</v>
      </c>
      <c r="C1789">
        <v>7</v>
      </c>
    </row>
    <row r="1790" spans="1:3" x14ac:dyDescent="0.45">
      <c r="A1790">
        <f>SUMIFS(fact_batting_summary!G:G, fact_batting_summary!E:E, fact_batting_summary!E1790)</f>
        <v>57</v>
      </c>
      <c r="B1790" s="9">
        <f>AVERAGEIFS(fact_batting_summary!G:G, fact_batting_summary!E:E,fact_batting_summary!E1790)</f>
        <v>3.5625</v>
      </c>
      <c r="C1790">
        <v>8</v>
      </c>
    </row>
    <row r="1791" spans="1:3" x14ac:dyDescent="0.45">
      <c r="A1791">
        <f>SUMIFS(fact_batting_summary!G:G, fact_batting_summary!E:E, fact_batting_summary!E1791)</f>
        <v>1516</v>
      </c>
      <c r="B1791" s="9">
        <f>AVERAGEIFS(fact_batting_summary!G:G, fact_batting_summary!E:E,fact_batting_summary!E1791)</f>
        <v>40.972972972972975</v>
      </c>
      <c r="C1791">
        <v>1</v>
      </c>
    </row>
    <row r="1792" spans="1:3" x14ac:dyDescent="0.45">
      <c r="A1792">
        <f>SUMIFS(fact_batting_summary!G:G, fact_batting_summary!E:E, fact_batting_summary!E1792)</f>
        <v>948</v>
      </c>
      <c r="B1792" s="9">
        <f>AVERAGEIFS(fact_batting_summary!G:G, fact_batting_summary!E:E,fact_batting_summary!E1792)</f>
        <v>31.6</v>
      </c>
      <c r="C1792">
        <v>2</v>
      </c>
    </row>
    <row r="1793" spans="1:3" x14ac:dyDescent="0.45">
      <c r="A1793">
        <f>SUMIFS(fact_batting_summary!G:G, fact_batting_summary!E:E, fact_batting_summary!E1793)</f>
        <v>60</v>
      </c>
      <c r="B1793" s="9">
        <f>AVERAGEIFS(fact_batting_summary!G:G, fact_batting_summary!E:E,fact_batting_summary!E1793)</f>
        <v>8.5714285714285712</v>
      </c>
      <c r="C1793">
        <v>3</v>
      </c>
    </row>
    <row r="1794" spans="1:3" x14ac:dyDescent="0.45">
      <c r="A1794">
        <f>SUMIFS(fact_batting_summary!G:G, fact_batting_summary!E:E, fact_batting_summary!E1794)</f>
        <v>155</v>
      </c>
      <c r="B1794" s="9">
        <f>AVERAGEIFS(fact_batting_summary!G:G, fact_batting_summary!E:E,fact_batting_summary!E1794)</f>
        <v>8.6111111111111107</v>
      </c>
      <c r="C1794">
        <v>4</v>
      </c>
    </row>
    <row r="1795" spans="1:3" x14ac:dyDescent="0.45">
      <c r="A1795">
        <f>SUMIFS(fact_batting_summary!G:G, fact_batting_summary!E:E, fact_batting_summary!E1795)</f>
        <v>695</v>
      </c>
      <c r="B1795" s="9">
        <f>AVERAGEIFS(fact_batting_summary!G:G, fact_batting_summary!E:E,fact_batting_summary!E1795)</f>
        <v>18.783783783783782</v>
      </c>
      <c r="C1795">
        <v>5</v>
      </c>
    </row>
    <row r="1796" spans="1:3" x14ac:dyDescent="0.45">
      <c r="A1796">
        <f>SUMIFS(fact_batting_summary!G:G, fact_batting_summary!E:E, fact_batting_summary!E1796)</f>
        <v>340</v>
      </c>
      <c r="B1796" s="9">
        <f>AVERAGEIFS(fact_batting_summary!G:G, fact_batting_summary!E:E,fact_batting_summary!E1796)</f>
        <v>15.454545454545455</v>
      </c>
      <c r="C1796">
        <v>6</v>
      </c>
    </row>
    <row r="1797" spans="1:3" x14ac:dyDescent="0.45">
      <c r="A1797">
        <f>SUMIFS(fact_batting_summary!G:G, fact_batting_summary!E:E, fact_batting_summary!E1797)</f>
        <v>514</v>
      </c>
      <c r="B1797" s="9">
        <f>AVERAGEIFS(fact_batting_summary!G:G, fact_batting_summary!E:E,fact_batting_summary!E1797)</f>
        <v>13.526315789473685</v>
      </c>
      <c r="C1797">
        <v>7</v>
      </c>
    </row>
    <row r="1798" spans="1:3" x14ac:dyDescent="0.45">
      <c r="A1798">
        <f>SUMIFS(fact_batting_summary!G:G, fact_batting_summary!E:E, fact_batting_summary!E1798)</f>
        <v>645</v>
      </c>
      <c r="B1798" s="9">
        <f>AVERAGEIFS(fact_batting_summary!G:G, fact_batting_summary!E:E,fact_batting_summary!E1798)</f>
        <v>21.5</v>
      </c>
      <c r="C1798">
        <v>8</v>
      </c>
    </row>
    <row r="1799" spans="1:3" x14ac:dyDescent="0.45">
      <c r="A1799">
        <f>SUMIFS(fact_batting_summary!G:G, fact_batting_summary!E:E, fact_batting_summary!E1799)</f>
        <v>43</v>
      </c>
      <c r="B1799" s="9">
        <f>AVERAGEIFS(fact_batting_summary!G:G, fact_batting_summary!E:E,fact_batting_summary!E1799)</f>
        <v>5.375</v>
      </c>
      <c r="C1799">
        <v>9</v>
      </c>
    </row>
    <row r="1800" spans="1:3" x14ac:dyDescent="0.45">
      <c r="A1800">
        <f>SUMIFS(fact_batting_summary!G:G, fact_batting_summary!E:E, fact_batting_summary!E1800)</f>
        <v>27</v>
      </c>
      <c r="B1800" s="9">
        <f>AVERAGEIFS(fact_batting_summary!G:G, fact_batting_summary!E:E,fact_batting_summary!E1800)</f>
        <v>4.5</v>
      </c>
      <c r="C1800">
        <v>10</v>
      </c>
    </row>
    <row r="1801" spans="1:3" x14ac:dyDescent="0.45">
      <c r="A1801">
        <f>SUMIFS(fact_batting_summary!G:G, fact_batting_summary!E:E, fact_batting_summary!E1801)</f>
        <v>815</v>
      </c>
      <c r="B1801" s="9">
        <f>AVERAGEIFS(fact_batting_summary!G:G, fact_batting_summary!E:E,fact_batting_summary!E1801)</f>
        <v>25.46875</v>
      </c>
      <c r="C1801">
        <v>1</v>
      </c>
    </row>
    <row r="1802" spans="1:3" x14ac:dyDescent="0.45">
      <c r="A1802">
        <f>SUMIFS(fact_batting_summary!G:G, fact_batting_summary!E:E, fact_batting_summary!E1802)</f>
        <v>1137</v>
      </c>
      <c r="B1802" s="9">
        <f>AVERAGEIFS(fact_batting_summary!G:G, fact_batting_summary!E:E,fact_batting_summary!E1802)</f>
        <v>34.454545454545453</v>
      </c>
      <c r="C1802">
        <v>2</v>
      </c>
    </row>
    <row r="1803" spans="1:3" x14ac:dyDescent="0.45">
      <c r="A1803">
        <f>SUMIFS(fact_batting_summary!G:G, fact_batting_summary!E:E, fact_batting_summary!E1803)</f>
        <v>722</v>
      </c>
      <c r="B1803" s="9">
        <f>AVERAGEIFS(fact_batting_summary!G:G, fact_batting_summary!E:E,fact_batting_summary!E1803)</f>
        <v>25.785714285714285</v>
      </c>
      <c r="C1803">
        <v>3</v>
      </c>
    </row>
    <row r="1804" spans="1:3" x14ac:dyDescent="0.45">
      <c r="A1804">
        <f>SUMIFS(fact_batting_summary!G:G, fact_batting_summary!E:E, fact_batting_summary!E1804)</f>
        <v>295</v>
      </c>
      <c r="B1804" s="9">
        <f>AVERAGEIFS(fact_batting_summary!G:G, fact_batting_summary!E:E,fact_batting_summary!E1804)</f>
        <v>15.526315789473685</v>
      </c>
      <c r="C1804">
        <v>4</v>
      </c>
    </row>
    <row r="1805" spans="1:3" x14ac:dyDescent="0.45">
      <c r="A1805">
        <f>SUMIFS(fact_batting_summary!G:G, fact_batting_summary!E:E, fact_batting_summary!E1805)</f>
        <v>257</v>
      </c>
      <c r="B1805" s="9">
        <f>AVERAGEIFS(fact_batting_summary!G:G, fact_batting_summary!E:E,fact_batting_summary!E1805)</f>
        <v>17.133333333333333</v>
      </c>
      <c r="C1805">
        <v>5</v>
      </c>
    </row>
    <row r="1806" spans="1:3" x14ac:dyDescent="0.45">
      <c r="A1806">
        <f>SUMIFS(fact_batting_summary!G:G, fact_batting_summary!E:E, fact_batting_summary!E1806)</f>
        <v>505</v>
      </c>
      <c r="B1806" s="9">
        <f>AVERAGEIFS(fact_batting_summary!G:G, fact_batting_summary!E:E,fact_batting_summary!E1806)</f>
        <v>17.413793103448278</v>
      </c>
      <c r="C1806">
        <v>6</v>
      </c>
    </row>
    <row r="1807" spans="1:3" x14ac:dyDescent="0.45">
      <c r="A1807">
        <f>SUMIFS(fact_batting_summary!G:G, fact_batting_summary!E:E, fact_batting_summary!E1807)</f>
        <v>238</v>
      </c>
      <c r="B1807" s="9">
        <f>AVERAGEIFS(fact_batting_summary!G:G, fact_batting_summary!E:E,fact_batting_summary!E1807)</f>
        <v>9.9166666666666661</v>
      </c>
      <c r="C1807">
        <v>7</v>
      </c>
    </row>
    <row r="1808" spans="1:3" x14ac:dyDescent="0.45">
      <c r="A1808">
        <f>SUMIFS(fact_batting_summary!G:G, fact_batting_summary!E:E, fact_batting_summary!E1808)</f>
        <v>467</v>
      </c>
      <c r="B1808" s="9">
        <f>AVERAGEIFS(fact_batting_summary!G:G, fact_batting_summary!E:E,fact_batting_summary!E1808)</f>
        <v>24.578947368421051</v>
      </c>
      <c r="C1808">
        <v>1</v>
      </c>
    </row>
    <row r="1809" spans="1:3" x14ac:dyDescent="0.45">
      <c r="A1809">
        <f>SUMIFS(fact_batting_summary!G:G, fact_batting_summary!E:E, fact_batting_summary!E1809)</f>
        <v>956</v>
      </c>
      <c r="B1809" s="9">
        <f>AVERAGEIFS(fact_batting_summary!G:G, fact_batting_summary!E:E,fact_batting_summary!E1809)</f>
        <v>26.555555555555557</v>
      </c>
      <c r="C1809">
        <v>2</v>
      </c>
    </row>
    <row r="1810" spans="1:3" x14ac:dyDescent="0.45">
      <c r="A1810">
        <f>SUMIFS(fact_batting_summary!G:G, fact_batting_summary!E:E, fact_batting_summary!E1810)</f>
        <v>576</v>
      </c>
      <c r="B1810" s="9">
        <f>AVERAGEIFS(fact_batting_summary!G:G, fact_batting_summary!E:E,fact_batting_summary!E1810)</f>
        <v>26.181818181818183</v>
      </c>
      <c r="C1810">
        <v>3</v>
      </c>
    </row>
    <row r="1811" spans="1:3" x14ac:dyDescent="0.45">
      <c r="A1811">
        <f>SUMIFS(fact_batting_summary!G:G, fact_batting_summary!E:E, fact_batting_summary!E1811)</f>
        <v>1157</v>
      </c>
      <c r="B1811" s="9">
        <f>AVERAGEIFS(fact_batting_summary!G:G, fact_batting_summary!E:E,fact_batting_summary!E1811)</f>
        <v>26.295454545454547</v>
      </c>
      <c r="C1811">
        <v>4</v>
      </c>
    </row>
    <row r="1812" spans="1:3" x14ac:dyDescent="0.45">
      <c r="A1812">
        <f>SUMIFS(fact_batting_summary!G:G, fact_batting_summary!E:E, fact_batting_summary!E1812)</f>
        <v>745</v>
      </c>
      <c r="B1812" s="9">
        <f>AVERAGEIFS(fact_batting_summary!G:G, fact_batting_summary!E:E,fact_batting_summary!E1812)</f>
        <v>21.285714285714285</v>
      </c>
      <c r="C1812">
        <v>5</v>
      </c>
    </row>
    <row r="1813" spans="1:3" x14ac:dyDescent="0.45">
      <c r="A1813">
        <f>SUMIFS(fact_batting_summary!G:G, fact_batting_summary!E:E, fact_batting_summary!E1813)</f>
        <v>169</v>
      </c>
      <c r="B1813" s="9">
        <f>AVERAGEIFS(fact_batting_summary!G:G, fact_batting_summary!E:E,fact_batting_summary!E1813)</f>
        <v>21.125</v>
      </c>
      <c r="C1813">
        <v>6</v>
      </c>
    </row>
    <row r="1814" spans="1:3" x14ac:dyDescent="0.45">
      <c r="A1814">
        <f>SUMIFS(fact_batting_summary!G:G, fact_batting_summary!E:E, fact_batting_summary!E1814)</f>
        <v>156</v>
      </c>
      <c r="B1814" s="9">
        <f>AVERAGEIFS(fact_batting_summary!G:G, fact_batting_summary!E:E,fact_batting_summary!E1814)</f>
        <v>15.6</v>
      </c>
      <c r="C1814">
        <v>7</v>
      </c>
    </row>
    <row r="1815" spans="1:3" x14ac:dyDescent="0.45">
      <c r="A1815">
        <f>SUMIFS(fact_batting_summary!G:G, fact_batting_summary!E:E, fact_batting_summary!E1815)</f>
        <v>154</v>
      </c>
      <c r="B1815" s="9">
        <f>AVERAGEIFS(fact_batting_summary!G:G, fact_batting_summary!E:E,fact_batting_summary!E1815)</f>
        <v>5.1333333333333337</v>
      </c>
      <c r="C1815">
        <v>8</v>
      </c>
    </row>
    <row r="1816" spans="1:3" x14ac:dyDescent="0.45">
      <c r="A1816">
        <f>SUMIFS(fact_batting_summary!G:G, fact_batting_summary!E:E, fact_batting_summary!E1816)</f>
        <v>74</v>
      </c>
      <c r="B1816" s="9">
        <f>AVERAGEIFS(fact_batting_summary!G:G, fact_batting_summary!E:E,fact_batting_summary!E1816)</f>
        <v>6.166666666666667</v>
      </c>
      <c r="C1816">
        <v>9</v>
      </c>
    </row>
    <row r="1817" spans="1:3" x14ac:dyDescent="0.45">
      <c r="A1817">
        <f>SUMIFS(fact_batting_summary!G:G, fact_batting_summary!E:E, fact_batting_summary!E1817)</f>
        <v>7</v>
      </c>
      <c r="B1817" s="9">
        <f>AVERAGEIFS(fact_batting_summary!G:G, fact_batting_summary!E:E,fact_batting_summary!E1817)</f>
        <v>7</v>
      </c>
      <c r="C1817">
        <v>10</v>
      </c>
    </row>
    <row r="1818" spans="1:3" x14ac:dyDescent="0.45">
      <c r="A1818">
        <f>SUMIFS(fact_batting_summary!G:G, fact_batting_summary!E:E, fact_batting_summary!E1818)</f>
        <v>15</v>
      </c>
      <c r="B1818" s="9">
        <f>AVERAGEIFS(fact_batting_summary!G:G, fact_batting_summary!E:E,fact_batting_summary!E1818)</f>
        <v>1.6666666666666667</v>
      </c>
      <c r="C1818">
        <v>11</v>
      </c>
    </row>
    <row r="1819" spans="1:3" x14ac:dyDescent="0.45">
      <c r="A1819">
        <f>SUMIFS(fact_batting_summary!G:G, fact_batting_summary!E:E, fact_batting_summary!E1819)</f>
        <v>1113</v>
      </c>
      <c r="B1819" s="9">
        <f>AVERAGEIFS(fact_batting_summary!G:G, fact_batting_summary!E:E,fact_batting_summary!E1819)</f>
        <v>28.53846153846154</v>
      </c>
      <c r="C1819">
        <v>1</v>
      </c>
    </row>
    <row r="1820" spans="1:3" x14ac:dyDescent="0.45">
      <c r="A1820">
        <f>SUMIFS(fact_batting_summary!G:G, fact_batting_summary!E:E, fact_batting_summary!E1820)</f>
        <v>981</v>
      </c>
      <c r="B1820" s="9">
        <f>AVERAGEIFS(fact_batting_summary!G:G, fact_batting_summary!E:E,fact_batting_summary!E1820)</f>
        <v>22.813953488372093</v>
      </c>
      <c r="C1820">
        <v>2</v>
      </c>
    </row>
    <row r="1821" spans="1:3" x14ac:dyDescent="0.45">
      <c r="A1821">
        <f>SUMIFS(fact_batting_summary!G:G, fact_batting_summary!E:E, fact_batting_summary!E1821)</f>
        <v>161</v>
      </c>
      <c r="B1821" s="9">
        <f>AVERAGEIFS(fact_batting_summary!G:G, fact_batting_summary!E:E,fact_batting_summary!E1821)</f>
        <v>23</v>
      </c>
      <c r="C1821">
        <v>3</v>
      </c>
    </row>
    <row r="1822" spans="1:3" x14ac:dyDescent="0.45">
      <c r="A1822">
        <f>SUMIFS(fact_batting_summary!G:G, fact_batting_summary!E:E, fact_batting_summary!E1822)</f>
        <v>1225</v>
      </c>
      <c r="B1822" s="9">
        <f>AVERAGEIFS(fact_batting_summary!G:G, fact_batting_summary!E:E,fact_batting_summary!E1822)</f>
        <v>32.236842105263158</v>
      </c>
      <c r="C1822">
        <v>4</v>
      </c>
    </row>
    <row r="1823" spans="1:3" x14ac:dyDescent="0.45">
      <c r="A1823">
        <f>SUMIFS(fact_batting_summary!G:G, fact_batting_summary!E:E, fact_batting_summary!E1823)</f>
        <v>740</v>
      </c>
      <c r="B1823" s="9">
        <f>AVERAGEIFS(fact_batting_summary!G:G, fact_batting_summary!E:E,fact_batting_summary!E1823)</f>
        <v>29.6</v>
      </c>
      <c r="C1823">
        <v>5</v>
      </c>
    </row>
    <row r="1824" spans="1:3" x14ac:dyDescent="0.45">
      <c r="A1824">
        <f>SUMIFS(fact_batting_summary!G:G, fact_batting_summary!E:E, fact_batting_summary!E1824)</f>
        <v>389</v>
      </c>
      <c r="B1824" s="9">
        <f>AVERAGEIFS(fact_batting_summary!G:G, fact_batting_summary!E:E,fact_batting_summary!E1824)</f>
        <v>16.208333333333332</v>
      </c>
      <c r="C1824">
        <v>6</v>
      </c>
    </row>
    <row r="1825" spans="1:3" x14ac:dyDescent="0.45">
      <c r="A1825">
        <f>SUMIFS(fact_batting_summary!G:G, fact_batting_summary!E:E, fact_batting_summary!E1825)</f>
        <v>45</v>
      </c>
      <c r="B1825" s="9">
        <f>AVERAGEIFS(fact_batting_summary!G:G, fact_batting_summary!E:E,fact_batting_summary!E1825)</f>
        <v>11.25</v>
      </c>
      <c r="C1825">
        <v>7</v>
      </c>
    </row>
    <row r="1826" spans="1:3" x14ac:dyDescent="0.45">
      <c r="A1826">
        <f>SUMIFS(fact_batting_summary!G:G, fact_batting_summary!E:E, fact_batting_summary!E1826)</f>
        <v>109</v>
      </c>
      <c r="B1826" s="9">
        <f>AVERAGEIFS(fact_batting_summary!G:G, fact_batting_summary!E:E,fact_batting_summary!E1826)</f>
        <v>12.111111111111111</v>
      </c>
      <c r="C1826">
        <v>8</v>
      </c>
    </row>
    <row r="1827" spans="1:3" x14ac:dyDescent="0.45">
      <c r="A1827">
        <f>SUMIFS(fact_batting_summary!G:G, fact_batting_summary!E:E, fact_batting_summary!E1827)</f>
        <v>1831</v>
      </c>
      <c r="B1827" s="9">
        <f>AVERAGEIFS(fact_batting_summary!G:G, fact_batting_summary!E:E,fact_batting_summary!E1827)</f>
        <v>39.804347826086953</v>
      </c>
      <c r="C1827">
        <v>1</v>
      </c>
    </row>
    <row r="1828" spans="1:3" x14ac:dyDescent="0.45">
      <c r="A1828">
        <f>SUMIFS(fact_batting_summary!G:G, fact_batting_summary!E:E, fact_batting_summary!E1828)</f>
        <v>220</v>
      </c>
      <c r="B1828" s="9">
        <f>AVERAGEIFS(fact_batting_summary!G:G, fact_batting_summary!E:E,fact_batting_summary!E1828)</f>
        <v>13.75</v>
      </c>
      <c r="C1828">
        <v>2</v>
      </c>
    </row>
    <row r="1829" spans="1:3" x14ac:dyDescent="0.45">
      <c r="A1829">
        <f>SUMIFS(fact_batting_summary!G:G, fact_batting_summary!E:E, fact_batting_summary!E1829)</f>
        <v>1385</v>
      </c>
      <c r="B1829" s="9">
        <f>AVERAGEIFS(fact_batting_summary!G:G, fact_batting_summary!E:E,fact_batting_summary!E1829)</f>
        <v>30.777777777777779</v>
      </c>
      <c r="C1829">
        <v>3</v>
      </c>
    </row>
    <row r="1830" spans="1:3" x14ac:dyDescent="0.45">
      <c r="A1830">
        <f>SUMIFS(fact_batting_summary!G:G, fact_batting_summary!E:E, fact_batting_summary!E1830)</f>
        <v>693</v>
      </c>
      <c r="B1830" s="9">
        <f>AVERAGEIFS(fact_batting_summary!G:G, fact_batting_summary!E:E,fact_batting_summary!E1830)</f>
        <v>15.75</v>
      </c>
      <c r="C1830">
        <v>4</v>
      </c>
    </row>
    <row r="1831" spans="1:3" x14ac:dyDescent="0.45">
      <c r="A1831">
        <f>SUMIFS(fact_batting_summary!G:G, fact_batting_summary!E:E, fact_batting_summary!E1831)</f>
        <v>1214</v>
      </c>
      <c r="B1831" s="9">
        <f>AVERAGEIFS(fact_batting_summary!G:G, fact_batting_summary!E:E,fact_batting_summary!E1831)</f>
        <v>29.609756097560975</v>
      </c>
      <c r="C1831">
        <v>5</v>
      </c>
    </row>
    <row r="1832" spans="1:3" x14ac:dyDescent="0.45">
      <c r="A1832">
        <f>SUMIFS(fact_batting_summary!G:G, fact_batting_summary!E:E, fact_batting_summary!E1832)</f>
        <v>345</v>
      </c>
      <c r="B1832" s="9">
        <f>AVERAGEIFS(fact_batting_summary!G:G, fact_batting_summary!E:E,fact_batting_summary!E1832)</f>
        <v>23</v>
      </c>
      <c r="C1832">
        <v>1</v>
      </c>
    </row>
    <row r="1833" spans="1:3" x14ac:dyDescent="0.45">
      <c r="A1833">
        <f>SUMIFS(fact_batting_summary!G:G, fact_batting_summary!E:E, fact_batting_summary!E1833)</f>
        <v>1593</v>
      </c>
      <c r="B1833" s="9">
        <f>AVERAGEIFS(fact_batting_summary!G:G, fact_batting_summary!E:E,fact_batting_summary!E1833)</f>
        <v>35.4</v>
      </c>
      <c r="C1833">
        <v>2</v>
      </c>
    </row>
    <row r="1834" spans="1:3" x14ac:dyDescent="0.45">
      <c r="A1834">
        <f>SUMIFS(fact_batting_summary!G:G, fact_batting_summary!E:E, fact_batting_summary!E1834)</f>
        <v>725</v>
      </c>
      <c r="B1834" s="9">
        <f>AVERAGEIFS(fact_batting_summary!G:G, fact_batting_summary!E:E,fact_batting_summary!E1834)</f>
        <v>20.714285714285715</v>
      </c>
      <c r="C1834">
        <v>3</v>
      </c>
    </row>
    <row r="1835" spans="1:3" x14ac:dyDescent="0.45">
      <c r="A1835">
        <f>SUMIFS(fact_batting_summary!G:G, fact_batting_summary!E:E, fact_batting_summary!E1835)</f>
        <v>689</v>
      </c>
      <c r="B1835" s="9">
        <f>AVERAGEIFS(fact_batting_summary!G:G, fact_batting_summary!E:E,fact_batting_summary!E1835)</f>
        <v>19.138888888888889</v>
      </c>
      <c r="C1835">
        <v>4</v>
      </c>
    </row>
    <row r="1836" spans="1:3" x14ac:dyDescent="0.45">
      <c r="A1836">
        <f>SUMIFS(fact_batting_summary!G:G, fact_batting_summary!E:E, fact_batting_summary!E1836)</f>
        <v>937</v>
      </c>
      <c r="B1836" s="9">
        <f>AVERAGEIFS(fact_batting_summary!G:G, fact_batting_summary!E:E,fact_batting_summary!E1836)</f>
        <v>27.558823529411764</v>
      </c>
      <c r="C1836">
        <v>5</v>
      </c>
    </row>
    <row r="1837" spans="1:3" x14ac:dyDescent="0.45">
      <c r="A1837">
        <f>SUMIFS(fact_batting_summary!G:G, fact_batting_summary!E:E, fact_batting_summary!E1837)</f>
        <v>533</v>
      </c>
      <c r="B1837" s="9">
        <f>AVERAGEIFS(fact_batting_summary!G:G, fact_batting_summary!E:E,fact_batting_summary!E1837)</f>
        <v>15.676470588235293</v>
      </c>
      <c r="C1837">
        <v>6</v>
      </c>
    </row>
    <row r="1838" spans="1:3" x14ac:dyDescent="0.45">
      <c r="A1838">
        <f>SUMIFS(fact_batting_summary!G:G, fact_batting_summary!E:E, fact_batting_summary!E1838)</f>
        <v>450</v>
      </c>
      <c r="B1838" s="9">
        <f>AVERAGEIFS(fact_batting_summary!G:G, fact_batting_summary!E:E,fact_batting_summary!E1838)</f>
        <v>12.5</v>
      </c>
      <c r="C1838">
        <v>7</v>
      </c>
    </row>
    <row r="1839" spans="1:3" x14ac:dyDescent="0.45">
      <c r="A1839">
        <f>SUMIFS(fact_batting_summary!G:G, fact_batting_summary!E:E, fact_batting_summary!E1839)</f>
        <v>70</v>
      </c>
      <c r="B1839" s="9">
        <f>AVERAGEIFS(fact_batting_summary!G:G, fact_batting_summary!E:E,fact_batting_summary!E1839)</f>
        <v>7.7777777777777777</v>
      </c>
      <c r="C1839">
        <v>8</v>
      </c>
    </row>
    <row r="1840" spans="1:3" x14ac:dyDescent="0.45">
      <c r="A1840">
        <f>SUMIFS(fact_batting_summary!G:G, fact_batting_summary!E:E, fact_batting_summary!E1840)</f>
        <v>49</v>
      </c>
      <c r="B1840" s="9">
        <f>AVERAGEIFS(fact_batting_summary!G:G, fact_batting_summary!E:E,fact_batting_summary!E1840)</f>
        <v>8.1666666666666661</v>
      </c>
      <c r="C1840">
        <v>9</v>
      </c>
    </row>
    <row r="1841" spans="1:3" x14ac:dyDescent="0.45">
      <c r="A1841">
        <f>SUMIFS(fact_batting_summary!G:G, fact_batting_summary!E:E, fact_batting_summary!E1841)</f>
        <v>745</v>
      </c>
      <c r="B1841" s="9">
        <f>AVERAGEIFS(fact_batting_summary!G:G, fact_batting_summary!E:E,fact_batting_summary!E1841)</f>
        <v>24.032258064516128</v>
      </c>
      <c r="C1841">
        <v>1</v>
      </c>
    </row>
    <row r="1842" spans="1:3" x14ac:dyDescent="0.45">
      <c r="A1842">
        <f>SUMIFS(fact_batting_summary!G:G, fact_batting_summary!E:E, fact_batting_summary!E1842)</f>
        <v>416</v>
      </c>
      <c r="B1842" s="9">
        <f>AVERAGEIFS(fact_batting_summary!G:G, fact_batting_summary!E:E,fact_batting_summary!E1842)</f>
        <v>18.90909090909091</v>
      </c>
      <c r="C1842">
        <v>2</v>
      </c>
    </row>
    <row r="1843" spans="1:3" x14ac:dyDescent="0.45">
      <c r="A1843">
        <f>SUMIFS(fact_batting_summary!G:G, fact_batting_summary!E:E, fact_batting_summary!E1843)</f>
        <v>1083</v>
      </c>
      <c r="B1843" s="9">
        <f>AVERAGEIFS(fact_batting_summary!G:G, fact_batting_summary!E:E,fact_batting_summary!E1843)</f>
        <v>25.186046511627907</v>
      </c>
      <c r="C1843">
        <v>3</v>
      </c>
    </row>
    <row r="1844" spans="1:3" x14ac:dyDescent="0.45">
      <c r="A1844">
        <f>SUMIFS(fact_batting_summary!G:G, fact_batting_summary!E:E, fact_batting_summary!E1844)</f>
        <v>729</v>
      </c>
      <c r="B1844" s="9">
        <f>AVERAGEIFS(fact_batting_summary!G:G, fact_batting_summary!E:E,fact_batting_summary!E1844)</f>
        <v>19.184210526315791</v>
      </c>
      <c r="C1844">
        <v>4</v>
      </c>
    </row>
    <row r="1845" spans="1:3" x14ac:dyDescent="0.45">
      <c r="A1845">
        <f>SUMIFS(fact_batting_summary!G:G, fact_batting_summary!E:E, fact_batting_summary!E1845)</f>
        <v>907</v>
      </c>
      <c r="B1845" s="9">
        <f>AVERAGEIFS(fact_batting_summary!G:G, fact_batting_summary!E:E,fact_batting_summary!E1845)</f>
        <v>26.676470588235293</v>
      </c>
      <c r="C1845">
        <v>1</v>
      </c>
    </row>
    <row r="1846" spans="1:3" x14ac:dyDescent="0.45">
      <c r="A1846">
        <f>SUMIFS(fact_batting_summary!G:G, fact_batting_summary!E:E, fact_batting_summary!E1846)</f>
        <v>1392</v>
      </c>
      <c r="B1846" s="9">
        <f>AVERAGEIFS(fact_batting_summary!G:G, fact_batting_summary!E:E,fact_batting_summary!E1846)</f>
        <v>34.799999999999997</v>
      </c>
      <c r="C1846">
        <v>2</v>
      </c>
    </row>
    <row r="1847" spans="1:3" x14ac:dyDescent="0.45">
      <c r="A1847">
        <f>SUMIFS(fact_batting_summary!G:G, fact_batting_summary!E:E, fact_batting_summary!E1847)</f>
        <v>463</v>
      </c>
      <c r="B1847" s="9">
        <f>AVERAGEIFS(fact_batting_summary!G:G, fact_batting_summary!E:E,fact_batting_summary!E1847)</f>
        <v>27.235294117647058</v>
      </c>
      <c r="C1847">
        <v>3</v>
      </c>
    </row>
    <row r="1848" spans="1:3" x14ac:dyDescent="0.45">
      <c r="A1848">
        <f>SUMIFS(fact_batting_summary!G:G, fact_batting_summary!E:E, fact_batting_summary!E1848)</f>
        <v>758</v>
      </c>
      <c r="B1848" s="9">
        <f>AVERAGEIFS(fact_batting_summary!G:G, fact_batting_summary!E:E,fact_batting_summary!E1848)</f>
        <v>27.071428571428573</v>
      </c>
      <c r="C1848">
        <v>4</v>
      </c>
    </row>
    <row r="1849" spans="1:3" x14ac:dyDescent="0.45">
      <c r="A1849">
        <f>SUMIFS(fact_batting_summary!G:G, fact_batting_summary!E:E, fact_batting_summary!E1849)</f>
        <v>543</v>
      </c>
      <c r="B1849" s="9">
        <f>AVERAGEIFS(fact_batting_summary!G:G, fact_batting_summary!E:E,fact_batting_summary!E1849)</f>
        <v>22.625</v>
      </c>
      <c r="C1849">
        <v>5</v>
      </c>
    </row>
    <row r="1850" spans="1:3" x14ac:dyDescent="0.45">
      <c r="A1850">
        <f>SUMIFS(fact_batting_summary!G:G, fact_batting_summary!E:E, fact_batting_summary!E1850)</f>
        <v>51</v>
      </c>
      <c r="B1850" s="9">
        <f>AVERAGEIFS(fact_batting_summary!G:G, fact_batting_summary!E:E,fact_batting_summary!E1850)</f>
        <v>8.5</v>
      </c>
      <c r="C1850">
        <v>6</v>
      </c>
    </row>
    <row r="1851" spans="1:3" x14ac:dyDescent="0.45">
      <c r="A1851">
        <f>SUMIFS(fact_batting_summary!G:G, fact_batting_summary!E:E, fact_batting_summary!E1851)</f>
        <v>426</v>
      </c>
      <c r="B1851" s="9">
        <f>AVERAGEIFS(fact_batting_summary!G:G, fact_batting_summary!E:E,fact_batting_summary!E1851)</f>
        <v>13.741935483870968</v>
      </c>
      <c r="C1851">
        <v>7</v>
      </c>
    </row>
    <row r="1852" spans="1:3" x14ac:dyDescent="0.45">
      <c r="A1852">
        <f>SUMIFS(fact_batting_summary!G:G, fact_batting_summary!E:E, fact_batting_summary!E1852)</f>
        <v>61</v>
      </c>
      <c r="B1852" s="9">
        <f>AVERAGEIFS(fact_batting_summary!G:G, fact_batting_summary!E:E,fact_batting_summary!E1852)</f>
        <v>4.6923076923076925</v>
      </c>
      <c r="C1852">
        <v>8</v>
      </c>
    </row>
    <row r="1853" spans="1:3" x14ac:dyDescent="0.45">
      <c r="A1853">
        <f>SUMIFS(fact_batting_summary!G:G, fact_batting_summary!E:E, fact_batting_summary!E1853)</f>
        <v>91</v>
      </c>
      <c r="B1853" s="9">
        <f>AVERAGEIFS(fact_batting_summary!G:G, fact_batting_summary!E:E,fact_batting_summary!E1853)</f>
        <v>5.6875</v>
      </c>
      <c r="C1853">
        <v>9</v>
      </c>
    </row>
    <row r="1854" spans="1:3" x14ac:dyDescent="0.45">
      <c r="A1854">
        <f>SUMIFS(fact_batting_summary!G:G, fact_batting_summary!E:E, fact_batting_summary!E1854)</f>
        <v>8</v>
      </c>
      <c r="B1854" s="9">
        <f>AVERAGEIFS(fact_batting_summary!G:G, fact_batting_summary!E:E,fact_batting_summary!E1854)</f>
        <v>1.3333333333333333</v>
      </c>
      <c r="C1854">
        <v>10</v>
      </c>
    </row>
    <row r="1855" spans="1:3" x14ac:dyDescent="0.45">
      <c r="A1855">
        <f>SUMIFS(fact_batting_summary!G:G, fact_batting_summary!E:E, fact_batting_summary!E1855)</f>
        <v>25</v>
      </c>
      <c r="B1855" s="9">
        <f>AVERAGEIFS(fact_batting_summary!G:G, fact_batting_summary!E:E,fact_batting_summary!E1855)</f>
        <v>2.5</v>
      </c>
      <c r="C1855">
        <v>11</v>
      </c>
    </row>
    <row r="1856" spans="1:3" x14ac:dyDescent="0.45">
      <c r="A1856">
        <f>SUMIFS(fact_batting_summary!G:G, fact_batting_summary!E:E, fact_batting_summary!E1856)</f>
        <v>157</v>
      </c>
      <c r="B1856" s="9">
        <f>AVERAGEIFS(fact_batting_summary!G:G, fact_batting_summary!E:E,fact_batting_summary!E1856)</f>
        <v>15.7</v>
      </c>
      <c r="C1856">
        <v>1</v>
      </c>
    </row>
    <row r="1857" spans="1:3" x14ac:dyDescent="0.45">
      <c r="A1857">
        <f>SUMIFS(fact_batting_summary!G:G, fact_batting_summary!E:E, fact_batting_summary!E1857)</f>
        <v>1851</v>
      </c>
      <c r="B1857" s="9">
        <f>AVERAGEIFS(fact_batting_summary!G:G, fact_batting_summary!E:E,fact_batting_summary!E1857)</f>
        <v>37.020000000000003</v>
      </c>
      <c r="C1857">
        <v>2</v>
      </c>
    </row>
    <row r="1858" spans="1:3" x14ac:dyDescent="0.45">
      <c r="A1858">
        <f>SUMIFS(fact_batting_summary!G:G, fact_batting_summary!E:E, fact_batting_summary!E1858)</f>
        <v>507</v>
      </c>
      <c r="B1858" s="9">
        <f>AVERAGEIFS(fact_batting_summary!G:G, fact_batting_summary!E:E,fact_batting_summary!E1858)</f>
        <v>39</v>
      </c>
      <c r="C1858">
        <v>3</v>
      </c>
    </row>
    <row r="1859" spans="1:3" x14ac:dyDescent="0.45">
      <c r="A1859">
        <f>SUMIFS(fact_batting_summary!G:G, fact_batting_summary!E:E, fact_batting_summary!E1859)</f>
        <v>960</v>
      </c>
      <c r="B1859" s="9">
        <f>AVERAGEIFS(fact_batting_summary!G:G, fact_batting_summary!E:E,fact_batting_summary!E1859)</f>
        <v>23.414634146341463</v>
      </c>
      <c r="C1859">
        <v>4</v>
      </c>
    </row>
    <row r="1860" spans="1:3" x14ac:dyDescent="0.45">
      <c r="A1860">
        <f>SUMIFS(fact_batting_summary!G:G, fact_batting_summary!E:E, fact_batting_summary!E1860)</f>
        <v>864</v>
      </c>
      <c r="B1860" s="9">
        <f>AVERAGEIFS(fact_batting_summary!G:G, fact_batting_summary!E:E,fact_batting_summary!E1860)</f>
        <v>23.351351351351351</v>
      </c>
      <c r="C1860">
        <v>5</v>
      </c>
    </row>
    <row r="1861" spans="1:3" x14ac:dyDescent="0.45">
      <c r="A1861">
        <f>SUMIFS(fact_batting_summary!G:G, fact_batting_summary!E:E, fact_batting_summary!E1861)</f>
        <v>459</v>
      </c>
      <c r="B1861" s="9">
        <f>AVERAGEIFS(fact_batting_summary!G:G, fact_batting_summary!E:E,fact_batting_summary!E1861)</f>
        <v>13.909090909090908</v>
      </c>
      <c r="C1861">
        <v>6</v>
      </c>
    </row>
    <row r="1862" spans="1:3" x14ac:dyDescent="0.45">
      <c r="A1862">
        <f>SUMIFS(fact_batting_summary!G:G, fact_batting_summary!E:E, fact_batting_summary!E1862)</f>
        <v>815</v>
      </c>
      <c r="B1862" s="9">
        <f>AVERAGEIFS(fact_batting_summary!G:G, fact_batting_summary!E:E,fact_batting_summary!E1862)</f>
        <v>25.46875</v>
      </c>
      <c r="C1862">
        <v>1</v>
      </c>
    </row>
    <row r="1863" spans="1:3" x14ac:dyDescent="0.45">
      <c r="A1863">
        <f>SUMIFS(fact_batting_summary!G:G, fact_batting_summary!E:E, fact_batting_summary!E1863)</f>
        <v>1137</v>
      </c>
      <c r="B1863" s="9">
        <f>AVERAGEIFS(fact_batting_summary!G:G, fact_batting_summary!E:E,fact_batting_summary!E1863)</f>
        <v>34.454545454545453</v>
      </c>
      <c r="C1863">
        <v>2</v>
      </c>
    </row>
    <row r="1864" spans="1:3" x14ac:dyDescent="0.45">
      <c r="A1864">
        <f>SUMIFS(fact_batting_summary!G:G, fact_batting_summary!E:E, fact_batting_summary!E1864)</f>
        <v>257</v>
      </c>
      <c r="B1864" s="9">
        <f>AVERAGEIFS(fact_batting_summary!G:G, fact_batting_summary!E:E,fact_batting_summary!E1864)</f>
        <v>17.133333333333333</v>
      </c>
      <c r="C1864">
        <v>3</v>
      </c>
    </row>
    <row r="1865" spans="1:3" x14ac:dyDescent="0.45">
      <c r="A1865">
        <f>SUMIFS(fact_batting_summary!G:G, fact_batting_summary!E:E, fact_batting_summary!E1865)</f>
        <v>722</v>
      </c>
      <c r="B1865" s="9">
        <f>AVERAGEIFS(fact_batting_summary!G:G, fact_batting_summary!E:E,fact_batting_summary!E1865)</f>
        <v>25.785714285714285</v>
      </c>
      <c r="C1865">
        <v>4</v>
      </c>
    </row>
    <row r="1866" spans="1:3" x14ac:dyDescent="0.45">
      <c r="A1866">
        <f>SUMIFS(fact_batting_summary!G:G, fact_batting_summary!E:E, fact_batting_summary!E1866)</f>
        <v>144</v>
      </c>
      <c r="B1866" s="9">
        <f>AVERAGEIFS(fact_batting_summary!G:G, fact_batting_summary!E:E,fact_batting_summary!E1866)</f>
        <v>13.090909090909092</v>
      </c>
      <c r="C1866">
        <v>5</v>
      </c>
    </row>
    <row r="1867" spans="1:3" x14ac:dyDescent="0.45">
      <c r="A1867">
        <f>SUMIFS(fact_batting_summary!G:G, fact_batting_summary!E:E, fact_batting_summary!E1867)</f>
        <v>1516</v>
      </c>
      <c r="B1867" s="9">
        <f>AVERAGEIFS(fact_batting_summary!G:G, fact_batting_summary!E:E,fact_batting_summary!E1867)</f>
        <v>40.972972972972975</v>
      </c>
      <c r="C1867">
        <v>1</v>
      </c>
    </row>
    <row r="1868" spans="1:3" x14ac:dyDescent="0.45">
      <c r="A1868">
        <f>SUMIFS(fact_batting_summary!G:G, fact_batting_summary!E:E, fact_batting_summary!E1868)</f>
        <v>948</v>
      </c>
      <c r="B1868" s="9">
        <f>AVERAGEIFS(fact_batting_summary!G:G, fact_batting_summary!E:E,fact_batting_summary!E1868)</f>
        <v>31.6</v>
      </c>
      <c r="C1868">
        <v>2</v>
      </c>
    </row>
    <row r="1869" spans="1:3" x14ac:dyDescent="0.45">
      <c r="A1869">
        <f>SUMIFS(fact_batting_summary!G:G, fact_batting_summary!E:E, fact_batting_summary!E1869)</f>
        <v>224</v>
      </c>
      <c r="B1869" s="9">
        <f>AVERAGEIFS(fact_batting_summary!G:G, fact_batting_summary!E:E,fact_batting_summary!E1869)</f>
        <v>22.4</v>
      </c>
      <c r="C1869">
        <v>3</v>
      </c>
    </row>
    <row r="1870" spans="1:3" x14ac:dyDescent="0.45">
      <c r="A1870">
        <f>SUMIFS(fact_batting_summary!G:G, fact_batting_summary!E:E, fact_batting_summary!E1870)</f>
        <v>695</v>
      </c>
      <c r="B1870" s="9">
        <f>AVERAGEIFS(fact_batting_summary!G:G, fact_batting_summary!E:E,fact_batting_summary!E1870)</f>
        <v>18.783783783783782</v>
      </c>
      <c r="C1870">
        <v>4</v>
      </c>
    </row>
    <row r="1871" spans="1:3" x14ac:dyDescent="0.45">
      <c r="A1871">
        <f>SUMIFS(fact_batting_summary!G:G, fact_batting_summary!E:E, fact_batting_summary!E1871)</f>
        <v>514</v>
      </c>
      <c r="B1871" s="9">
        <f>AVERAGEIFS(fact_batting_summary!G:G, fact_batting_summary!E:E,fact_batting_summary!E1871)</f>
        <v>13.526315789473685</v>
      </c>
      <c r="C1871">
        <v>5</v>
      </c>
    </row>
    <row r="1872" spans="1:3" x14ac:dyDescent="0.45">
      <c r="A1872">
        <f>SUMIFS(fact_batting_summary!G:G, fact_batting_summary!E:E, fact_batting_summary!E1872)</f>
        <v>340</v>
      </c>
      <c r="B1872" s="9">
        <f>AVERAGEIFS(fact_batting_summary!G:G, fact_batting_summary!E:E,fact_batting_summary!E1872)</f>
        <v>15.454545454545455</v>
      </c>
      <c r="C1872">
        <v>6</v>
      </c>
    </row>
    <row r="1873" spans="1:3" x14ac:dyDescent="0.45">
      <c r="A1873">
        <f>SUMIFS(fact_batting_summary!G:G, fact_batting_summary!E:E, fact_batting_summary!E1873)</f>
        <v>981</v>
      </c>
      <c r="B1873" s="9">
        <f>AVERAGEIFS(fact_batting_summary!G:G, fact_batting_summary!E:E,fact_batting_summary!E1873)</f>
        <v>22.813953488372093</v>
      </c>
      <c r="C1873">
        <v>1</v>
      </c>
    </row>
    <row r="1874" spans="1:3" x14ac:dyDescent="0.45">
      <c r="A1874">
        <f>SUMIFS(fact_batting_summary!G:G, fact_batting_summary!E:E, fact_batting_summary!E1874)</f>
        <v>1113</v>
      </c>
      <c r="B1874" s="9">
        <f>AVERAGEIFS(fact_batting_summary!G:G, fact_batting_summary!E:E,fact_batting_summary!E1874)</f>
        <v>28.53846153846154</v>
      </c>
      <c r="C1874">
        <v>2</v>
      </c>
    </row>
    <row r="1875" spans="1:3" x14ac:dyDescent="0.45">
      <c r="A1875">
        <f>SUMIFS(fact_batting_summary!G:G, fact_batting_summary!E:E, fact_batting_summary!E1875)</f>
        <v>161</v>
      </c>
      <c r="B1875" s="9">
        <f>AVERAGEIFS(fact_batting_summary!G:G, fact_batting_summary!E:E,fact_batting_summary!E1875)</f>
        <v>23</v>
      </c>
      <c r="C1875">
        <v>3</v>
      </c>
    </row>
    <row r="1876" spans="1:3" x14ac:dyDescent="0.45">
      <c r="A1876">
        <f>SUMIFS(fact_batting_summary!G:G, fact_batting_summary!E:E, fact_batting_summary!E1876)</f>
        <v>1225</v>
      </c>
      <c r="B1876" s="9">
        <f>AVERAGEIFS(fact_batting_summary!G:G, fact_batting_summary!E:E,fact_batting_summary!E1876)</f>
        <v>32.236842105263158</v>
      </c>
      <c r="C1876">
        <v>4</v>
      </c>
    </row>
    <row r="1877" spans="1:3" x14ac:dyDescent="0.45">
      <c r="A1877">
        <f>SUMIFS(fact_batting_summary!G:G, fact_batting_summary!E:E, fact_batting_summary!E1877)</f>
        <v>740</v>
      </c>
      <c r="B1877" s="9">
        <f>AVERAGEIFS(fact_batting_summary!G:G, fact_batting_summary!E:E,fact_batting_summary!E1877)</f>
        <v>29.6</v>
      </c>
      <c r="C1877">
        <v>5</v>
      </c>
    </row>
    <row r="1878" spans="1:3" x14ac:dyDescent="0.45">
      <c r="A1878">
        <f>SUMIFS(fact_batting_summary!G:G, fact_batting_summary!E:E, fact_batting_summary!E1878)</f>
        <v>389</v>
      </c>
      <c r="B1878" s="9">
        <f>AVERAGEIFS(fact_batting_summary!G:G, fact_batting_summary!E:E,fact_batting_summary!E1878)</f>
        <v>16.208333333333332</v>
      </c>
      <c r="C1878">
        <v>6</v>
      </c>
    </row>
    <row r="1879" spans="1:3" x14ac:dyDescent="0.45">
      <c r="A1879">
        <f>SUMIFS(fact_batting_summary!G:G, fact_batting_summary!E:E, fact_batting_summary!E1879)</f>
        <v>467</v>
      </c>
      <c r="B1879" s="9">
        <f>AVERAGEIFS(fact_batting_summary!G:G, fact_batting_summary!E:E,fact_batting_summary!E1879)</f>
        <v>24.578947368421051</v>
      </c>
      <c r="C1879">
        <v>1</v>
      </c>
    </row>
    <row r="1880" spans="1:3" x14ac:dyDescent="0.45">
      <c r="A1880">
        <f>SUMIFS(fact_batting_summary!G:G, fact_batting_summary!E:E, fact_batting_summary!E1880)</f>
        <v>956</v>
      </c>
      <c r="B1880" s="9">
        <f>AVERAGEIFS(fact_batting_summary!G:G, fact_batting_summary!E:E,fact_batting_summary!E1880)</f>
        <v>26.555555555555557</v>
      </c>
      <c r="C1880">
        <v>2</v>
      </c>
    </row>
    <row r="1881" spans="1:3" x14ac:dyDescent="0.45">
      <c r="A1881">
        <f>SUMIFS(fact_batting_summary!G:G, fact_batting_summary!E:E, fact_batting_summary!E1881)</f>
        <v>576</v>
      </c>
      <c r="B1881" s="9">
        <f>AVERAGEIFS(fact_batting_summary!G:G, fact_batting_summary!E:E,fact_batting_summary!E1881)</f>
        <v>26.181818181818183</v>
      </c>
      <c r="C1881">
        <v>3</v>
      </c>
    </row>
    <row r="1882" spans="1:3" x14ac:dyDescent="0.45">
      <c r="A1882">
        <f>SUMIFS(fact_batting_summary!G:G, fact_batting_summary!E:E, fact_batting_summary!E1882)</f>
        <v>169</v>
      </c>
      <c r="B1882" s="9">
        <f>AVERAGEIFS(fact_batting_summary!G:G, fact_batting_summary!E:E,fact_batting_summary!E1882)</f>
        <v>21.125</v>
      </c>
      <c r="C1882">
        <v>4</v>
      </c>
    </row>
    <row r="1883" spans="1:3" x14ac:dyDescent="0.45">
      <c r="A1883">
        <f>SUMIFS(fact_batting_summary!G:G, fact_batting_summary!E:E, fact_batting_summary!E1883)</f>
        <v>1157</v>
      </c>
      <c r="B1883" s="9">
        <f>AVERAGEIFS(fact_batting_summary!G:G, fact_batting_summary!E:E,fact_batting_summary!E1883)</f>
        <v>26.295454545454547</v>
      </c>
      <c r="C1883">
        <v>5</v>
      </c>
    </row>
    <row r="1884" spans="1:3" x14ac:dyDescent="0.45">
      <c r="A1884">
        <f>SUMIFS(fact_batting_summary!G:G, fact_batting_summary!E:E, fact_batting_summary!E1884)</f>
        <v>745</v>
      </c>
      <c r="B1884" s="9">
        <f>AVERAGEIFS(fact_batting_summary!G:G, fact_batting_summary!E:E,fact_batting_summary!E1884)</f>
        <v>21.285714285714285</v>
      </c>
      <c r="C1884">
        <v>6</v>
      </c>
    </row>
    <row r="1885" spans="1:3" x14ac:dyDescent="0.45">
      <c r="A1885">
        <f>SUMIFS(fact_batting_summary!G:G, fact_batting_summary!E:E, fact_batting_summary!E1885)</f>
        <v>156</v>
      </c>
      <c r="B1885" s="9">
        <f>AVERAGEIFS(fact_batting_summary!G:G, fact_batting_summary!E:E,fact_batting_summary!E1885)</f>
        <v>15.6</v>
      </c>
      <c r="C1885">
        <v>7</v>
      </c>
    </row>
    <row r="1886" spans="1:3" x14ac:dyDescent="0.45">
      <c r="A1886">
        <f>SUMIFS(fact_batting_summary!G:G, fact_batting_summary!E:E, fact_batting_summary!E1886)</f>
        <v>1509</v>
      </c>
      <c r="B1886" s="9">
        <f>AVERAGEIFS(fact_batting_summary!G:G, fact_batting_summary!E:E,fact_batting_summary!E1886)</f>
        <v>39.710526315789473</v>
      </c>
      <c r="C1886">
        <v>1</v>
      </c>
    </row>
    <row r="1887" spans="1:3" x14ac:dyDescent="0.45">
      <c r="A1887">
        <f>SUMIFS(fact_batting_summary!G:G, fact_batting_summary!E:E, fact_batting_summary!E1887)</f>
        <v>1132</v>
      </c>
      <c r="B1887" s="9">
        <f>AVERAGEIFS(fact_batting_summary!G:G, fact_batting_summary!E:E,fact_batting_summary!E1887)</f>
        <v>33.294117647058826</v>
      </c>
      <c r="C1887">
        <v>2</v>
      </c>
    </row>
    <row r="1888" spans="1:3" x14ac:dyDescent="0.45">
      <c r="A1888">
        <f>SUMIFS(fact_batting_summary!G:G, fact_batting_summary!E:E, fact_batting_summary!E1888)</f>
        <v>1048</v>
      </c>
      <c r="B1888" s="9">
        <f>AVERAGEIFS(fact_batting_summary!G:G, fact_batting_summary!E:E,fact_batting_summary!E1888)</f>
        <v>24.952380952380953</v>
      </c>
      <c r="C1888">
        <v>3</v>
      </c>
    </row>
    <row r="1889" spans="1:3" x14ac:dyDescent="0.45">
      <c r="A1889">
        <f>SUMIFS(fact_batting_summary!G:G, fact_batting_summary!E:E, fact_batting_summary!E1889)</f>
        <v>1304</v>
      </c>
      <c r="B1889" s="9">
        <f>AVERAGEIFS(fact_batting_summary!G:G, fact_batting_summary!E:E,fact_batting_summary!E1889)</f>
        <v>28.977777777777778</v>
      </c>
      <c r="C1889">
        <v>4</v>
      </c>
    </row>
    <row r="1890" spans="1:3" x14ac:dyDescent="0.45">
      <c r="A1890">
        <f>SUMIFS(fact_batting_summary!G:G, fact_batting_summary!E:E, fact_batting_summary!E1890)</f>
        <v>854</v>
      </c>
      <c r="B1890" s="9">
        <f>AVERAGEIFS(fact_batting_summary!G:G, fact_batting_summary!E:E,fact_batting_summary!E1890)</f>
        <v>21.35</v>
      </c>
      <c r="C1890">
        <v>5</v>
      </c>
    </row>
    <row r="1891" spans="1:3" x14ac:dyDescent="0.45">
      <c r="A1891">
        <f>SUMIFS(fact_batting_summary!G:G, fact_batting_summary!E:E, fact_batting_summary!E1891)</f>
        <v>1831</v>
      </c>
      <c r="B1891" s="9">
        <f>AVERAGEIFS(fact_batting_summary!G:G, fact_batting_summary!E:E,fact_batting_summary!E1891)</f>
        <v>39.804347826086953</v>
      </c>
      <c r="C1891">
        <v>1</v>
      </c>
    </row>
    <row r="1892" spans="1:3" x14ac:dyDescent="0.45">
      <c r="A1892">
        <f>SUMIFS(fact_batting_summary!G:G, fact_batting_summary!E:E, fact_batting_summary!E1892)</f>
        <v>220</v>
      </c>
      <c r="B1892" s="9">
        <f>AVERAGEIFS(fact_batting_summary!G:G, fact_batting_summary!E:E,fact_batting_summary!E1892)</f>
        <v>13.75</v>
      </c>
      <c r="C1892">
        <v>2</v>
      </c>
    </row>
    <row r="1893" spans="1:3" x14ac:dyDescent="0.45">
      <c r="A1893">
        <f>SUMIFS(fact_batting_summary!G:G, fact_batting_summary!E:E, fact_batting_summary!E1893)</f>
        <v>1385</v>
      </c>
      <c r="B1893" s="9">
        <f>AVERAGEIFS(fact_batting_summary!G:G, fact_batting_summary!E:E,fact_batting_summary!E1893)</f>
        <v>30.777777777777779</v>
      </c>
      <c r="C1893">
        <v>3</v>
      </c>
    </row>
    <row r="1894" spans="1:3" x14ac:dyDescent="0.45">
      <c r="A1894">
        <f>SUMIFS(fact_batting_summary!G:G, fact_batting_summary!E:E, fact_batting_summary!E1894)</f>
        <v>53</v>
      </c>
      <c r="B1894" s="9">
        <f>AVERAGEIFS(fact_batting_summary!G:G, fact_batting_summary!E:E,fact_batting_summary!E1894)</f>
        <v>10.6</v>
      </c>
      <c r="C1894">
        <v>4</v>
      </c>
    </row>
    <row r="1895" spans="1:3" x14ac:dyDescent="0.45">
      <c r="A1895">
        <f>SUMIFS(fact_batting_summary!G:G, fact_batting_summary!E:E, fact_batting_summary!E1895)</f>
        <v>33</v>
      </c>
      <c r="B1895" s="9">
        <f>AVERAGEIFS(fact_batting_summary!G:G, fact_batting_summary!E:E,fact_batting_summary!E1895)</f>
        <v>16.5</v>
      </c>
      <c r="C1895">
        <v>5</v>
      </c>
    </row>
    <row r="1896" spans="1:3" x14ac:dyDescent="0.45">
      <c r="A1896">
        <f>SUMIFS(fact_batting_summary!G:G, fact_batting_summary!E:E, fact_batting_summary!E1896)</f>
        <v>320</v>
      </c>
      <c r="B1896" s="9">
        <f>AVERAGEIFS(fact_batting_summary!G:G, fact_batting_summary!E:E,fact_batting_summary!E1896)</f>
        <v>13.333333333333334</v>
      </c>
      <c r="C1896">
        <v>6</v>
      </c>
    </row>
    <row r="1897" spans="1:3" x14ac:dyDescent="0.45">
      <c r="A1897">
        <f>SUMIFS(fact_batting_summary!G:G, fact_batting_summary!E:E, fact_batting_summary!E1897)</f>
        <v>693</v>
      </c>
      <c r="B1897" s="9">
        <f>AVERAGEIFS(fact_batting_summary!G:G, fact_batting_summary!E:E,fact_batting_summary!E1897)</f>
        <v>15.75</v>
      </c>
      <c r="C1897">
        <v>7</v>
      </c>
    </row>
    <row r="1898" spans="1:3" x14ac:dyDescent="0.45">
      <c r="A1898">
        <f>SUMIFS(fact_batting_summary!G:G, fact_batting_summary!E:E, fact_batting_summary!E1898)</f>
        <v>108</v>
      </c>
      <c r="B1898" s="9">
        <f>AVERAGEIFS(fact_batting_summary!G:G, fact_batting_summary!E:E,fact_batting_summary!E1898)</f>
        <v>6</v>
      </c>
      <c r="C1898">
        <v>8</v>
      </c>
    </row>
    <row r="1899" spans="1:3" x14ac:dyDescent="0.45">
      <c r="A1899">
        <f>SUMIFS(fact_batting_summary!G:G, fact_batting_summary!E:E, fact_batting_summary!E1899)</f>
        <v>1516</v>
      </c>
      <c r="B1899" s="9">
        <f>AVERAGEIFS(fact_batting_summary!G:G, fact_batting_summary!E:E,fact_batting_summary!E1899)</f>
        <v>40.972972972972975</v>
      </c>
      <c r="C1899">
        <v>1</v>
      </c>
    </row>
    <row r="1900" spans="1:3" x14ac:dyDescent="0.45">
      <c r="A1900">
        <f>SUMIFS(fact_batting_summary!G:G, fact_batting_summary!E:E, fact_batting_summary!E1900)</f>
        <v>948</v>
      </c>
      <c r="B1900" s="9">
        <f>AVERAGEIFS(fact_batting_summary!G:G, fact_batting_summary!E:E,fact_batting_summary!E1900)</f>
        <v>31.6</v>
      </c>
      <c r="C1900">
        <v>2</v>
      </c>
    </row>
    <row r="1901" spans="1:3" x14ac:dyDescent="0.45">
      <c r="A1901">
        <f>SUMIFS(fact_batting_summary!G:G, fact_batting_summary!E:E, fact_batting_summary!E1901)</f>
        <v>224</v>
      </c>
      <c r="B1901" s="9">
        <f>AVERAGEIFS(fact_batting_summary!G:G, fact_batting_summary!E:E,fact_batting_summary!E1901)</f>
        <v>22.4</v>
      </c>
      <c r="C1901">
        <v>3</v>
      </c>
    </row>
    <row r="1902" spans="1:3" x14ac:dyDescent="0.45">
      <c r="A1902">
        <f>SUMIFS(fact_batting_summary!G:G, fact_batting_summary!E:E, fact_batting_summary!E1902)</f>
        <v>540</v>
      </c>
      <c r="B1902" s="9">
        <f>AVERAGEIFS(fact_batting_summary!G:G, fact_batting_summary!E:E,fact_batting_summary!E1902)</f>
        <v>23.478260869565219</v>
      </c>
      <c r="C1902">
        <v>4</v>
      </c>
    </row>
    <row r="1903" spans="1:3" x14ac:dyDescent="0.45">
      <c r="A1903">
        <f>SUMIFS(fact_batting_summary!G:G, fact_batting_summary!E:E, fact_batting_summary!E1903)</f>
        <v>695</v>
      </c>
      <c r="B1903" s="9">
        <f>AVERAGEIFS(fact_batting_summary!G:G, fact_batting_summary!E:E,fact_batting_summary!E1903)</f>
        <v>18.783783783783782</v>
      </c>
      <c r="C1903">
        <v>5</v>
      </c>
    </row>
    <row r="1904" spans="1:3" x14ac:dyDescent="0.45">
      <c r="A1904">
        <f>SUMIFS(fact_batting_summary!G:G, fact_batting_summary!E:E, fact_batting_summary!E1904)</f>
        <v>340</v>
      </c>
      <c r="B1904" s="9">
        <f>AVERAGEIFS(fact_batting_summary!G:G, fact_batting_summary!E:E,fact_batting_summary!E1904)</f>
        <v>15.454545454545455</v>
      </c>
      <c r="C1904">
        <v>6</v>
      </c>
    </row>
    <row r="1905" spans="1:3" x14ac:dyDescent="0.45">
      <c r="A1905">
        <f>SUMIFS(fact_batting_summary!G:G, fact_batting_summary!E:E, fact_batting_summary!E1905)</f>
        <v>514</v>
      </c>
      <c r="B1905" s="9">
        <f>AVERAGEIFS(fact_batting_summary!G:G, fact_batting_summary!E:E,fact_batting_summary!E1905)</f>
        <v>13.526315789473685</v>
      </c>
      <c r="C1905">
        <v>7</v>
      </c>
    </row>
    <row r="1906" spans="1:3" x14ac:dyDescent="0.45">
      <c r="A1906">
        <f>SUMIFS(fact_batting_summary!G:G, fact_batting_summary!E:E, fact_batting_summary!E1906)</f>
        <v>155</v>
      </c>
      <c r="B1906" s="9">
        <f>AVERAGEIFS(fact_batting_summary!G:G, fact_batting_summary!E:E,fact_batting_summary!E1906)</f>
        <v>8.6111111111111107</v>
      </c>
      <c r="C1906">
        <v>8</v>
      </c>
    </row>
    <row r="1907" spans="1:3" x14ac:dyDescent="0.45">
      <c r="A1907">
        <f>SUMIFS(fact_batting_summary!G:G, fact_batting_summary!E:E, fact_batting_summary!E1907)</f>
        <v>745</v>
      </c>
      <c r="B1907" s="9">
        <f>AVERAGEIFS(fact_batting_summary!G:G, fact_batting_summary!E:E,fact_batting_summary!E1907)</f>
        <v>24.032258064516128</v>
      </c>
      <c r="C1907">
        <v>1</v>
      </c>
    </row>
    <row r="1908" spans="1:3" x14ac:dyDescent="0.45">
      <c r="A1908">
        <f>SUMIFS(fact_batting_summary!G:G, fact_batting_summary!E:E, fact_batting_summary!E1908)</f>
        <v>416</v>
      </c>
      <c r="B1908" s="9">
        <f>AVERAGEIFS(fact_batting_summary!G:G, fact_batting_summary!E:E,fact_batting_summary!E1908)</f>
        <v>18.90909090909091</v>
      </c>
      <c r="C1908">
        <v>2</v>
      </c>
    </row>
    <row r="1909" spans="1:3" x14ac:dyDescent="0.45">
      <c r="A1909">
        <f>SUMIFS(fact_batting_summary!G:G, fact_batting_summary!E:E, fact_batting_summary!E1909)</f>
        <v>1083</v>
      </c>
      <c r="B1909" s="9">
        <f>AVERAGEIFS(fact_batting_summary!G:G, fact_batting_summary!E:E,fact_batting_summary!E1909)</f>
        <v>25.186046511627907</v>
      </c>
      <c r="C1909">
        <v>3</v>
      </c>
    </row>
    <row r="1910" spans="1:3" x14ac:dyDescent="0.45">
      <c r="A1910">
        <f>SUMIFS(fact_batting_summary!G:G, fact_batting_summary!E:E, fact_batting_summary!E1910)</f>
        <v>775</v>
      </c>
      <c r="B1910" s="9">
        <f>AVERAGEIFS(fact_batting_summary!G:G, fact_batting_summary!E:E,fact_batting_summary!E1910)</f>
        <v>25</v>
      </c>
      <c r="C1910">
        <v>4</v>
      </c>
    </row>
    <row r="1911" spans="1:3" x14ac:dyDescent="0.45">
      <c r="A1911">
        <f>SUMIFS(fact_batting_summary!G:G, fact_batting_summary!E:E, fact_batting_summary!E1911)</f>
        <v>729</v>
      </c>
      <c r="B1911" s="9">
        <f>AVERAGEIFS(fact_batting_summary!G:G, fact_batting_summary!E:E,fact_batting_summary!E1911)</f>
        <v>19.184210526315791</v>
      </c>
      <c r="C1911">
        <v>5</v>
      </c>
    </row>
    <row r="1912" spans="1:3" x14ac:dyDescent="0.45">
      <c r="A1912">
        <f>SUMIFS(fact_batting_summary!G:G, fact_batting_summary!E:E, fact_batting_summary!E1912)</f>
        <v>192</v>
      </c>
      <c r="B1912" s="9">
        <f>AVERAGEIFS(fact_batting_summary!G:G, fact_batting_summary!E:E,fact_batting_summary!E1912)</f>
        <v>12</v>
      </c>
      <c r="C1912">
        <v>6</v>
      </c>
    </row>
    <row r="1913" spans="1:3" x14ac:dyDescent="0.45">
      <c r="A1913">
        <f>SUMIFS(fact_batting_summary!G:G, fact_batting_summary!E:E, fact_batting_summary!E1913)</f>
        <v>284</v>
      </c>
      <c r="B1913" s="9">
        <f>AVERAGEIFS(fact_batting_summary!G:G, fact_batting_summary!E:E,fact_batting_summary!E1913)</f>
        <v>14.2</v>
      </c>
      <c r="C1913">
        <v>7</v>
      </c>
    </row>
    <row r="1914" spans="1:3" x14ac:dyDescent="0.45">
      <c r="A1914">
        <f>SUMIFS(fact_batting_summary!G:G, fact_batting_summary!E:E, fact_batting_summary!E1914)</f>
        <v>58</v>
      </c>
      <c r="B1914" s="9">
        <f>AVERAGEIFS(fact_batting_summary!G:G, fact_batting_summary!E:E,fact_batting_summary!E1914)</f>
        <v>14.5</v>
      </c>
      <c r="C1914">
        <v>8</v>
      </c>
    </row>
    <row r="1915" spans="1:3" x14ac:dyDescent="0.45">
      <c r="A1915">
        <f>SUMIFS(fact_batting_summary!G:G, fact_batting_summary!E:E, fact_batting_summary!E1915)</f>
        <v>100</v>
      </c>
      <c r="B1915" s="9">
        <f>AVERAGEIFS(fact_batting_summary!G:G, fact_batting_summary!E:E,fact_batting_summary!E1915)</f>
        <v>5.2631578947368425</v>
      </c>
      <c r="C1915">
        <v>9</v>
      </c>
    </row>
    <row r="1916" spans="1:3" x14ac:dyDescent="0.45">
      <c r="A1916">
        <f>SUMIFS(fact_batting_summary!G:G, fact_batting_summary!E:E, fact_batting_summary!E1916)</f>
        <v>23</v>
      </c>
      <c r="B1916" s="9">
        <f>AVERAGEIFS(fact_batting_summary!G:G, fact_batting_summary!E:E,fact_batting_summary!E1916)</f>
        <v>3.8333333333333335</v>
      </c>
      <c r="C1916">
        <v>10</v>
      </c>
    </row>
    <row r="1917" spans="1:3" x14ac:dyDescent="0.45">
      <c r="A1917">
        <f>SUMIFS(fact_batting_summary!G:G, fact_batting_summary!E:E, fact_batting_summary!E1917)</f>
        <v>907</v>
      </c>
      <c r="B1917" s="9">
        <f>AVERAGEIFS(fact_batting_summary!G:G, fact_batting_summary!E:E,fact_batting_summary!E1917)</f>
        <v>26.676470588235293</v>
      </c>
      <c r="C1917">
        <v>1</v>
      </c>
    </row>
    <row r="1918" spans="1:3" x14ac:dyDescent="0.45">
      <c r="A1918">
        <f>SUMIFS(fact_batting_summary!G:G, fact_batting_summary!E:E, fact_batting_summary!E1918)</f>
        <v>1392</v>
      </c>
      <c r="B1918" s="9">
        <f>AVERAGEIFS(fact_batting_summary!G:G, fact_batting_summary!E:E,fact_batting_summary!E1918)</f>
        <v>34.799999999999997</v>
      </c>
      <c r="C1918">
        <v>2</v>
      </c>
    </row>
    <row r="1919" spans="1:3" x14ac:dyDescent="0.45">
      <c r="A1919">
        <f>SUMIFS(fact_batting_summary!G:G, fact_batting_summary!E:E, fact_batting_summary!E1919)</f>
        <v>277</v>
      </c>
      <c r="B1919" s="9">
        <f>AVERAGEIFS(fact_batting_summary!G:G, fact_batting_summary!E:E,fact_batting_summary!E1919)</f>
        <v>21.307692307692307</v>
      </c>
      <c r="C1919">
        <v>3</v>
      </c>
    </row>
    <row r="1920" spans="1:3" x14ac:dyDescent="0.45">
      <c r="A1920">
        <f>SUMIFS(fact_batting_summary!G:G, fact_batting_summary!E:E, fact_batting_summary!E1920)</f>
        <v>758</v>
      </c>
      <c r="B1920" s="9">
        <f>AVERAGEIFS(fact_batting_summary!G:G, fact_batting_summary!E:E,fact_batting_summary!E1920)</f>
        <v>27.071428571428573</v>
      </c>
      <c r="C1920">
        <v>4</v>
      </c>
    </row>
    <row r="1921" spans="1:3" x14ac:dyDescent="0.45">
      <c r="A1921">
        <f>SUMIFS(fact_batting_summary!G:G, fact_batting_summary!E:E, fact_batting_summary!E1921)</f>
        <v>543</v>
      </c>
      <c r="B1921" s="9">
        <f>AVERAGEIFS(fact_batting_summary!G:G, fact_batting_summary!E:E,fact_batting_summary!E1921)</f>
        <v>22.625</v>
      </c>
      <c r="C1921">
        <v>5</v>
      </c>
    </row>
    <row r="1922" spans="1:3" x14ac:dyDescent="0.45">
      <c r="A1922">
        <f>SUMIFS(fact_batting_summary!G:G, fact_batting_summary!E:E, fact_batting_summary!E1922)</f>
        <v>426</v>
      </c>
      <c r="B1922" s="9">
        <f>AVERAGEIFS(fact_batting_summary!G:G, fact_batting_summary!E:E,fact_batting_summary!E1922)</f>
        <v>13.741935483870968</v>
      </c>
      <c r="C1922">
        <v>6</v>
      </c>
    </row>
    <row r="1923" spans="1:3" x14ac:dyDescent="0.45">
      <c r="A1923">
        <f>SUMIFS(fact_batting_summary!G:G, fact_batting_summary!E:E, fact_batting_summary!E1923)</f>
        <v>51</v>
      </c>
      <c r="B1923" s="9">
        <f>AVERAGEIFS(fact_batting_summary!G:G, fact_batting_summary!E:E,fact_batting_summary!E1923)</f>
        <v>8.5</v>
      </c>
      <c r="C1923">
        <v>7</v>
      </c>
    </row>
    <row r="1924" spans="1:3" x14ac:dyDescent="0.45">
      <c r="A1924">
        <f>SUMIFS(fact_batting_summary!G:G, fact_batting_summary!E:E, fact_batting_summary!E1924)</f>
        <v>61</v>
      </c>
      <c r="B1924" s="9">
        <f>AVERAGEIFS(fact_batting_summary!G:G, fact_batting_summary!E:E,fact_batting_summary!E1924)</f>
        <v>4.6923076923076925</v>
      </c>
      <c r="C1924">
        <v>8</v>
      </c>
    </row>
    <row r="1925" spans="1:3" x14ac:dyDescent="0.45">
      <c r="A1925">
        <f>SUMIFS(fact_batting_summary!G:G, fact_batting_summary!E:E, fact_batting_summary!E1925)</f>
        <v>91</v>
      </c>
      <c r="B1925" s="9">
        <f>AVERAGEIFS(fact_batting_summary!G:G, fact_batting_summary!E:E,fact_batting_summary!E1925)</f>
        <v>5.6875</v>
      </c>
      <c r="C1925">
        <v>9</v>
      </c>
    </row>
    <row r="1926" spans="1:3" x14ac:dyDescent="0.45">
      <c r="A1926">
        <f>SUMIFS(fact_batting_summary!G:G, fact_batting_summary!E:E, fact_batting_summary!E1926)</f>
        <v>8</v>
      </c>
      <c r="B1926" s="9">
        <f>AVERAGEIFS(fact_batting_summary!G:G, fact_batting_summary!E:E,fact_batting_summary!E1926)</f>
        <v>1.3333333333333333</v>
      </c>
      <c r="C1926">
        <v>10</v>
      </c>
    </row>
    <row r="1927" spans="1:3" x14ac:dyDescent="0.45">
      <c r="A1927">
        <f>SUMIFS(fact_batting_summary!G:G, fact_batting_summary!E:E, fact_batting_summary!E1927)</f>
        <v>345</v>
      </c>
      <c r="B1927" s="9">
        <f>AVERAGEIFS(fact_batting_summary!G:G, fact_batting_summary!E:E,fact_batting_summary!E1927)</f>
        <v>23</v>
      </c>
      <c r="C1927">
        <v>1</v>
      </c>
    </row>
    <row r="1928" spans="1:3" x14ac:dyDescent="0.45">
      <c r="A1928">
        <f>SUMIFS(fact_batting_summary!G:G, fact_batting_summary!E:E, fact_batting_summary!E1928)</f>
        <v>1593</v>
      </c>
      <c r="B1928" s="9">
        <f>AVERAGEIFS(fact_batting_summary!G:G, fact_batting_summary!E:E,fact_batting_summary!E1928)</f>
        <v>35.4</v>
      </c>
      <c r="C1928">
        <v>2</v>
      </c>
    </row>
    <row r="1929" spans="1:3" x14ac:dyDescent="0.45">
      <c r="A1929">
        <f>SUMIFS(fact_batting_summary!G:G, fact_batting_summary!E:E, fact_batting_summary!E1929)</f>
        <v>725</v>
      </c>
      <c r="B1929" s="9">
        <f>AVERAGEIFS(fact_batting_summary!G:G, fact_batting_summary!E:E,fact_batting_summary!E1929)</f>
        <v>20.714285714285715</v>
      </c>
      <c r="C1929">
        <v>3</v>
      </c>
    </row>
    <row r="1930" spans="1:3" x14ac:dyDescent="0.45">
      <c r="A1930">
        <f>SUMIFS(fact_batting_summary!G:G, fact_batting_summary!E:E, fact_batting_summary!E1930)</f>
        <v>689</v>
      </c>
      <c r="B1930" s="9">
        <f>AVERAGEIFS(fact_batting_summary!G:G, fact_batting_summary!E:E,fact_batting_summary!E1930)</f>
        <v>19.138888888888889</v>
      </c>
      <c r="C1930">
        <v>4</v>
      </c>
    </row>
    <row r="1931" spans="1:3" x14ac:dyDescent="0.45">
      <c r="A1931">
        <f>SUMIFS(fact_batting_summary!G:G, fact_batting_summary!E:E, fact_batting_summary!E1931)</f>
        <v>533</v>
      </c>
      <c r="B1931" s="9">
        <f>AVERAGEIFS(fact_batting_summary!G:G, fact_batting_summary!E:E,fact_batting_summary!E1931)</f>
        <v>15.676470588235293</v>
      </c>
      <c r="C1931">
        <v>5</v>
      </c>
    </row>
    <row r="1932" spans="1:3" x14ac:dyDescent="0.45">
      <c r="A1932">
        <f>SUMIFS(fact_batting_summary!G:G, fact_batting_summary!E:E, fact_batting_summary!E1932)</f>
        <v>937</v>
      </c>
      <c r="B1932" s="9">
        <f>AVERAGEIFS(fact_batting_summary!G:G, fact_batting_summary!E:E,fact_batting_summary!E1932)</f>
        <v>27.558823529411764</v>
      </c>
      <c r="C1932">
        <v>6</v>
      </c>
    </row>
    <row r="1933" spans="1:3" x14ac:dyDescent="0.45">
      <c r="A1933">
        <f>SUMIFS(fact_batting_summary!G:G, fact_batting_summary!E:E, fact_batting_summary!E1933)</f>
        <v>450</v>
      </c>
      <c r="B1933" s="9">
        <f>AVERAGEIFS(fact_batting_summary!G:G, fact_batting_summary!E:E,fact_batting_summary!E1933)</f>
        <v>12.5</v>
      </c>
      <c r="C1933">
        <v>7</v>
      </c>
    </row>
    <row r="1934" spans="1:3" x14ac:dyDescent="0.45">
      <c r="A1934">
        <f>SUMIFS(fact_batting_summary!G:G, fact_batting_summary!E:E, fact_batting_summary!E1934)</f>
        <v>70</v>
      </c>
      <c r="B1934" s="9">
        <f>AVERAGEIFS(fact_batting_summary!G:G, fact_batting_summary!E:E,fact_batting_summary!E1934)</f>
        <v>7.7777777777777777</v>
      </c>
      <c r="C1934">
        <v>8</v>
      </c>
    </row>
    <row r="1935" spans="1:3" x14ac:dyDescent="0.45">
      <c r="A1935">
        <f>SUMIFS(fact_batting_summary!G:G, fact_batting_summary!E:E, fact_batting_summary!E1935)</f>
        <v>44</v>
      </c>
      <c r="B1935" s="9">
        <f>AVERAGEIFS(fact_batting_summary!G:G, fact_batting_summary!E:E,fact_batting_summary!E1935)</f>
        <v>8.8000000000000007</v>
      </c>
      <c r="C1935">
        <v>9</v>
      </c>
    </row>
    <row r="1936" spans="1:3" x14ac:dyDescent="0.45">
      <c r="A1936">
        <f>SUMIFS(fact_batting_summary!G:G, fact_batting_summary!E:E, fact_batting_summary!E1936)</f>
        <v>49</v>
      </c>
      <c r="B1936" s="9">
        <f>AVERAGEIFS(fact_batting_summary!G:G, fact_batting_summary!E:E,fact_batting_summary!E1936)</f>
        <v>8.1666666666666661</v>
      </c>
      <c r="C1936">
        <v>10</v>
      </c>
    </row>
    <row r="1937" spans="1:3" x14ac:dyDescent="0.45">
      <c r="A1937">
        <f>SUMIFS(fact_batting_summary!G:G, fact_batting_summary!E:E, fact_batting_summary!E1937)</f>
        <v>6</v>
      </c>
      <c r="B1937" s="9">
        <f>AVERAGEIFS(fact_batting_summary!G:G, fact_batting_summary!E:E,fact_batting_summary!E1937)</f>
        <v>3</v>
      </c>
      <c r="C1937">
        <v>11</v>
      </c>
    </row>
    <row r="1938" spans="1:3" x14ac:dyDescent="0.45">
      <c r="A1938">
        <f>SUMIFS(fact_batting_summary!G:G, fact_batting_summary!E:E, fact_batting_summary!E1938)</f>
        <v>157</v>
      </c>
      <c r="B1938" s="9">
        <f>AVERAGEIFS(fact_batting_summary!G:G, fact_batting_summary!E:E,fact_batting_summary!E1938)</f>
        <v>15.7</v>
      </c>
      <c r="C1938">
        <v>1</v>
      </c>
    </row>
    <row r="1939" spans="1:3" x14ac:dyDescent="0.45">
      <c r="A1939">
        <f>SUMIFS(fact_batting_summary!G:G, fact_batting_summary!E:E, fact_batting_summary!E1939)</f>
        <v>1851</v>
      </c>
      <c r="B1939" s="9">
        <f>AVERAGEIFS(fact_batting_summary!G:G, fact_batting_summary!E:E,fact_batting_summary!E1939)</f>
        <v>37.020000000000003</v>
      </c>
      <c r="C1939">
        <v>2</v>
      </c>
    </row>
    <row r="1940" spans="1:3" x14ac:dyDescent="0.45">
      <c r="A1940">
        <f>SUMIFS(fact_batting_summary!G:G, fact_batting_summary!E:E, fact_batting_summary!E1940)</f>
        <v>370</v>
      </c>
      <c r="B1940" s="9">
        <f>AVERAGEIFS(fact_batting_summary!G:G, fact_batting_summary!E:E,fact_batting_summary!E1940)</f>
        <v>20.555555555555557</v>
      </c>
      <c r="C1940">
        <v>3</v>
      </c>
    </row>
    <row r="1941" spans="1:3" x14ac:dyDescent="0.45">
      <c r="A1941">
        <f>SUMIFS(fact_batting_summary!G:G, fact_batting_summary!E:E, fact_batting_summary!E1941)</f>
        <v>960</v>
      </c>
      <c r="B1941" s="9">
        <f>AVERAGEIFS(fact_batting_summary!G:G, fact_batting_summary!E:E,fact_batting_summary!E1941)</f>
        <v>23.414634146341463</v>
      </c>
      <c r="C1941">
        <v>4</v>
      </c>
    </row>
    <row r="1942" spans="1:3" x14ac:dyDescent="0.45">
      <c r="A1942">
        <f>SUMIFS(fact_batting_summary!G:G, fact_batting_summary!E:E, fact_batting_summary!E1942)</f>
        <v>864</v>
      </c>
      <c r="B1942" s="9">
        <f>AVERAGEIFS(fact_batting_summary!G:G, fact_batting_summary!E:E,fact_batting_summary!E1942)</f>
        <v>23.351351351351351</v>
      </c>
      <c r="C1942">
        <v>5</v>
      </c>
    </row>
    <row r="1943" spans="1:3" x14ac:dyDescent="0.45">
      <c r="A1943">
        <f>SUMIFS(fact_batting_summary!G:G, fact_batting_summary!E:E, fact_batting_summary!E1943)</f>
        <v>459</v>
      </c>
      <c r="B1943" s="9">
        <f>AVERAGEIFS(fact_batting_summary!G:G, fact_batting_summary!E:E,fact_batting_summary!E1943)</f>
        <v>13.909090909090908</v>
      </c>
      <c r="C1943">
        <v>6</v>
      </c>
    </row>
    <row r="1944" spans="1:3" x14ac:dyDescent="0.45">
      <c r="A1944">
        <f>SUMIFS(fact_batting_summary!G:G, fact_batting_summary!E:E, fact_batting_summary!E1944)</f>
        <v>222</v>
      </c>
      <c r="B1944" s="9">
        <f>AVERAGEIFS(fact_batting_summary!G:G, fact_batting_summary!E:E,fact_batting_summary!E1944)</f>
        <v>17.076923076923077</v>
      </c>
      <c r="C1944">
        <v>7</v>
      </c>
    </row>
    <row r="1945" spans="1:3" x14ac:dyDescent="0.45">
      <c r="A1945">
        <f>SUMIFS(fact_batting_summary!G:G, fact_batting_summary!E:E, fact_batting_summary!E1945)</f>
        <v>304</v>
      </c>
      <c r="B1945" s="9">
        <f>AVERAGEIFS(fact_batting_summary!G:G, fact_batting_summary!E:E,fact_batting_summary!E1945)</f>
        <v>11.692307692307692</v>
      </c>
      <c r="C1945">
        <v>8</v>
      </c>
    </row>
    <row r="1946" spans="1:3" x14ac:dyDescent="0.45">
      <c r="A1946">
        <f>SUMIFS(fact_batting_summary!G:G, fact_batting_summary!E:E, fact_batting_summary!E1946)</f>
        <v>815</v>
      </c>
      <c r="B1946" s="9">
        <f>AVERAGEIFS(fact_batting_summary!G:G, fact_batting_summary!E:E,fact_batting_summary!E1946)</f>
        <v>25.46875</v>
      </c>
      <c r="C1946">
        <v>1</v>
      </c>
    </row>
    <row r="1947" spans="1:3" x14ac:dyDescent="0.45">
      <c r="A1947">
        <f>SUMIFS(fact_batting_summary!G:G, fact_batting_summary!E:E, fact_batting_summary!E1947)</f>
        <v>26</v>
      </c>
      <c r="B1947" s="9">
        <f>AVERAGEIFS(fact_batting_summary!G:G, fact_batting_summary!E:E,fact_batting_summary!E1947)</f>
        <v>8.6666666666666661</v>
      </c>
      <c r="C1947">
        <v>2</v>
      </c>
    </row>
    <row r="1948" spans="1:3" x14ac:dyDescent="0.45">
      <c r="A1948">
        <f>SUMIFS(fact_batting_summary!G:G, fact_batting_summary!E:E, fact_batting_summary!E1948)</f>
        <v>47</v>
      </c>
      <c r="B1948" s="9">
        <f>AVERAGEIFS(fact_batting_summary!G:G, fact_batting_summary!E:E,fact_batting_summary!E1948)</f>
        <v>6.7142857142857144</v>
      </c>
      <c r="C1948">
        <v>3</v>
      </c>
    </row>
    <row r="1949" spans="1:3" x14ac:dyDescent="0.45">
      <c r="A1949">
        <f>SUMIFS(fact_batting_summary!G:G, fact_batting_summary!E:E, fact_batting_summary!E1949)</f>
        <v>722</v>
      </c>
      <c r="B1949" s="9">
        <f>AVERAGEIFS(fact_batting_summary!G:G, fact_batting_summary!E:E,fact_batting_summary!E1949)</f>
        <v>25.785714285714285</v>
      </c>
      <c r="C1949">
        <v>4</v>
      </c>
    </row>
    <row r="1950" spans="1:3" x14ac:dyDescent="0.45">
      <c r="A1950">
        <f>SUMIFS(fact_batting_summary!G:G, fact_batting_summary!E:E, fact_batting_summary!E1950)</f>
        <v>295</v>
      </c>
      <c r="B1950" s="9">
        <f>AVERAGEIFS(fact_batting_summary!G:G, fact_batting_summary!E:E,fact_batting_summary!E1950)</f>
        <v>15.526315789473685</v>
      </c>
      <c r="C1950">
        <v>5</v>
      </c>
    </row>
    <row r="1951" spans="1:3" x14ac:dyDescent="0.45">
      <c r="A1951">
        <f>SUMIFS(fact_batting_summary!G:G, fact_batting_summary!E:E, fact_batting_summary!E1951)</f>
        <v>257</v>
      </c>
      <c r="B1951" s="9">
        <f>AVERAGEIFS(fact_batting_summary!G:G, fact_batting_summary!E:E,fact_batting_summary!E1951)</f>
        <v>17.133333333333333</v>
      </c>
      <c r="C1951">
        <v>6</v>
      </c>
    </row>
    <row r="1952" spans="1:3" x14ac:dyDescent="0.45">
      <c r="A1952">
        <f>SUMIFS(fact_batting_summary!G:G, fact_batting_summary!E:E, fact_batting_summary!E1952)</f>
        <v>505</v>
      </c>
      <c r="B1952" s="9">
        <f>AVERAGEIFS(fact_batting_summary!G:G, fact_batting_summary!E:E,fact_batting_summary!E1952)</f>
        <v>17.413793103448278</v>
      </c>
      <c r="C1952">
        <v>7</v>
      </c>
    </row>
    <row r="1953" spans="1:3" x14ac:dyDescent="0.45">
      <c r="A1953">
        <f>SUMIFS(fact_batting_summary!G:G, fact_batting_summary!E:E, fact_batting_summary!E1953)</f>
        <v>238</v>
      </c>
      <c r="B1953" s="9">
        <f>AVERAGEIFS(fact_batting_summary!G:G, fact_batting_summary!E:E,fact_batting_summary!E1953)</f>
        <v>9.9166666666666661</v>
      </c>
      <c r="C1953">
        <v>8</v>
      </c>
    </row>
    <row r="1954" spans="1:3" x14ac:dyDescent="0.45">
      <c r="A1954">
        <f>SUMIFS(fact_batting_summary!G:G, fact_batting_summary!E:E, fact_batting_summary!E1954)</f>
        <v>79</v>
      </c>
      <c r="B1954" s="9">
        <f>AVERAGEIFS(fact_batting_summary!G:G, fact_batting_summary!E:E,fact_batting_summary!E1954)</f>
        <v>4.6470588235294121</v>
      </c>
      <c r="C1954">
        <v>9</v>
      </c>
    </row>
    <row r="1955" spans="1:3" x14ac:dyDescent="0.45">
      <c r="A1955">
        <f>SUMIFS(fact_batting_summary!G:G, fact_batting_summary!E:E, fact_batting_summary!E1955)</f>
        <v>1</v>
      </c>
      <c r="B1955" s="9">
        <f>AVERAGEIFS(fact_batting_summary!G:G, fact_batting_summary!E:E,fact_batting_summary!E1955)</f>
        <v>0.33333333333333331</v>
      </c>
      <c r="C1955">
        <v>10</v>
      </c>
    </row>
    <row r="1956" spans="1:3" x14ac:dyDescent="0.45">
      <c r="A1956">
        <f>SUMIFS(fact_batting_summary!G:G, fact_batting_summary!E:E, fact_batting_summary!E1956)</f>
        <v>12</v>
      </c>
      <c r="B1956" s="9">
        <f>AVERAGEIFS(fact_batting_summary!G:G, fact_batting_summary!E:E,fact_batting_summary!E1956)</f>
        <v>1.7142857142857142</v>
      </c>
      <c r="C1956">
        <v>11</v>
      </c>
    </row>
    <row r="1957" spans="1:3" x14ac:dyDescent="0.45">
      <c r="A1957">
        <f>SUMIFS(fact_batting_summary!G:G, fact_batting_summary!E:E, fact_batting_summary!E1957)</f>
        <v>1509</v>
      </c>
      <c r="B1957" s="9">
        <f>AVERAGEIFS(fact_batting_summary!G:G, fact_batting_summary!E:E,fact_batting_summary!E1957)</f>
        <v>39.710526315789473</v>
      </c>
      <c r="C1957">
        <v>1</v>
      </c>
    </row>
    <row r="1958" spans="1:3" x14ac:dyDescent="0.45">
      <c r="A1958">
        <f>SUMIFS(fact_batting_summary!G:G, fact_batting_summary!E:E, fact_batting_summary!E1958)</f>
        <v>1132</v>
      </c>
      <c r="B1958" s="9">
        <f>AVERAGEIFS(fact_batting_summary!G:G, fact_batting_summary!E:E,fact_batting_summary!E1958)</f>
        <v>33.294117647058826</v>
      </c>
      <c r="C1958">
        <v>2</v>
      </c>
    </row>
    <row r="1959" spans="1:3" x14ac:dyDescent="0.45">
      <c r="A1959">
        <f>SUMIFS(fact_batting_summary!G:G, fact_batting_summary!E:E, fact_batting_summary!E1959)</f>
        <v>1048</v>
      </c>
      <c r="B1959" s="9">
        <f>AVERAGEIFS(fact_batting_summary!G:G, fact_batting_summary!E:E,fact_batting_summary!E1959)</f>
        <v>24.952380952380953</v>
      </c>
      <c r="C1959">
        <v>3</v>
      </c>
    </row>
    <row r="1960" spans="1:3" x14ac:dyDescent="0.45">
      <c r="A1960">
        <f>SUMIFS(fact_batting_summary!G:G, fact_batting_summary!E:E, fact_batting_summary!E1960)</f>
        <v>1304</v>
      </c>
      <c r="B1960" s="9">
        <f>AVERAGEIFS(fact_batting_summary!G:G, fact_batting_summary!E:E,fact_batting_summary!E1960)</f>
        <v>28.977777777777778</v>
      </c>
      <c r="C1960">
        <v>4</v>
      </c>
    </row>
    <row r="1961" spans="1:3" x14ac:dyDescent="0.45">
      <c r="A1961">
        <f>SUMIFS(fact_batting_summary!G:G, fact_batting_summary!E:E, fact_batting_summary!E1961)</f>
        <v>854</v>
      </c>
      <c r="B1961" s="9">
        <f>AVERAGEIFS(fact_batting_summary!G:G, fact_batting_summary!E:E,fact_batting_summary!E1961)</f>
        <v>21.35</v>
      </c>
      <c r="C1961">
        <v>5</v>
      </c>
    </row>
    <row r="1962" spans="1:3" x14ac:dyDescent="0.45">
      <c r="A1962">
        <f>SUMIFS(fact_batting_summary!G:G, fact_batting_summary!E:E, fact_batting_summary!E1962)</f>
        <v>354</v>
      </c>
      <c r="B1962" s="9">
        <f>AVERAGEIFS(fact_batting_summary!G:G, fact_batting_summary!E:E,fact_batting_summary!E1962)</f>
        <v>11.419354838709678</v>
      </c>
      <c r="C1962">
        <v>6</v>
      </c>
    </row>
    <row r="1963" spans="1:3" x14ac:dyDescent="0.45">
      <c r="A1963">
        <f>SUMIFS(fact_batting_summary!G:G, fact_batting_summary!E:E, fact_batting_summary!E1963)</f>
        <v>302</v>
      </c>
      <c r="B1963" s="9">
        <f>AVERAGEIFS(fact_batting_summary!G:G, fact_batting_summary!E:E,fact_batting_summary!E1963)</f>
        <v>11.185185185185185</v>
      </c>
      <c r="C1963">
        <v>7</v>
      </c>
    </row>
    <row r="1964" spans="1:3" x14ac:dyDescent="0.45">
      <c r="A1964">
        <f>SUMIFS(fact_batting_summary!G:G, fact_batting_summary!E:E, fact_batting_summary!E1964)</f>
        <v>4</v>
      </c>
      <c r="B1964" s="9">
        <f>AVERAGEIFS(fact_batting_summary!G:G, fact_batting_summary!E:E,fact_batting_summary!E1964)</f>
        <v>2</v>
      </c>
      <c r="C1964">
        <v>8</v>
      </c>
    </row>
    <row r="1965" spans="1:3" x14ac:dyDescent="0.45">
      <c r="A1965">
        <f>SUMIFS(fact_batting_summary!G:G, fact_batting_summary!E:E, fact_batting_summary!E1965)</f>
        <v>57</v>
      </c>
      <c r="B1965" s="9">
        <f>AVERAGEIFS(fact_batting_summary!G:G, fact_batting_summary!E:E,fact_batting_summary!E1965)</f>
        <v>3.5625</v>
      </c>
      <c r="C1965">
        <v>9</v>
      </c>
    </row>
    <row r="1966" spans="1:3" x14ac:dyDescent="0.45">
      <c r="A1966">
        <f>SUMIFS(fact_batting_summary!G:G, fact_batting_summary!E:E, fact_batting_summary!E1966)</f>
        <v>1113</v>
      </c>
      <c r="B1966" s="9">
        <f>AVERAGEIFS(fact_batting_summary!G:G, fact_batting_summary!E:E,fact_batting_summary!E1966)</f>
        <v>28.53846153846154</v>
      </c>
      <c r="C1966">
        <v>1</v>
      </c>
    </row>
    <row r="1967" spans="1:3" x14ac:dyDescent="0.45">
      <c r="A1967">
        <f>SUMIFS(fact_batting_summary!G:G, fact_batting_summary!E:E, fact_batting_summary!E1967)</f>
        <v>981</v>
      </c>
      <c r="B1967" s="9">
        <f>AVERAGEIFS(fact_batting_summary!G:G, fact_batting_summary!E:E,fact_batting_summary!E1967)</f>
        <v>22.813953488372093</v>
      </c>
      <c r="C1967">
        <v>2</v>
      </c>
    </row>
    <row r="1968" spans="1:3" x14ac:dyDescent="0.45">
      <c r="A1968">
        <f>SUMIFS(fact_batting_summary!G:G, fact_batting_summary!E:E, fact_batting_summary!E1968)</f>
        <v>134</v>
      </c>
      <c r="B1968" s="9">
        <f>AVERAGEIFS(fact_batting_summary!G:G, fact_batting_summary!E:E,fact_batting_summary!E1968)</f>
        <v>19.142857142857142</v>
      </c>
      <c r="C1968">
        <v>3</v>
      </c>
    </row>
    <row r="1969" spans="1:3" x14ac:dyDescent="0.45">
      <c r="A1969">
        <f>SUMIFS(fact_batting_summary!G:G, fact_batting_summary!E:E, fact_batting_summary!E1969)</f>
        <v>740</v>
      </c>
      <c r="B1969" s="9">
        <f>AVERAGEIFS(fact_batting_summary!G:G, fact_batting_summary!E:E,fact_batting_summary!E1969)</f>
        <v>29.6</v>
      </c>
      <c r="C1969">
        <v>4</v>
      </c>
    </row>
    <row r="1970" spans="1:3" x14ac:dyDescent="0.45">
      <c r="A1970">
        <f>SUMIFS(fact_batting_summary!G:G, fact_batting_summary!E:E, fact_batting_summary!E1970)</f>
        <v>389</v>
      </c>
      <c r="B1970" s="9">
        <f>AVERAGEIFS(fact_batting_summary!G:G, fact_batting_summary!E:E,fact_batting_summary!E1970)</f>
        <v>16.208333333333332</v>
      </c>
      <c r="C1970">
        <v>5</v>
      </c>
    </row>
    <row r="1971" spans="1:3" x14ac:dyDescent="0.45">
      <c r="A1971">
        <f>SUMIFS(fact_batting_summary!G:G, fact_batting_summary!E:E, fact_batting_summary!E1971)</f>
        <v>418</v>
      </c>
      <c r="B1971" s="9">
        <f>AVERAGEIFS(fact_batting_summary!G:G, fact_batting_summary!E:E,fact_batting_summary!E1971)</f>
        <v>17.416666666666668</v>
      </c>
      <c r="C1971">
        <v>6</v>
      </c>
    </row>
    <row r="1972" spans="1:3" x14ac:dyDescent="0.45">
      <c r="A1972">
        <f>SUMIFS(fact_batting_summary!G:G, fact_batting_summary!E:E, fact_batting_summary!E1972)</f>
        <v>44</v>
      </c>
      <c r="B1972" s="9">
        <f>AVERAGEIFS(fact_batting_summary!G:G, fact_batting_summary!E:E,fact_batting_summary!E1972)</f>
        <v>3.6666666666666665</v>
      </c>
      <c r="C1972">
        <v>7</v>
      </c>
    </row>
    <row r="1973" spans="1:3" x14ac:dyDescent="0.45">
      <c r="A1973">
        <f>SUMIFS(fact_batting_summary!G:G, fact_batting_summary!E:E, fact_batting_summary!E1973)</f>
        <v>27</v>
      </c>
      <c r="B1973" s="9">
        <f>AVERAGEIFS(fact_batting_summary!G:G, fact_batting_summary!E:E,fact_batting_summary!E1973)</f>
        <v>3.8571428571428572</v>
      </c>
      <c r="C1973">
        <v>8</v>
      </c>
    </row>
    <row r="1974" spans="1:3" x14ac:dyDescent="0.45">
      <c r="A1974">
        <f>SUMIFS(fact_batting_summary!G:G, fact_batting_summary!E:E, fact_batting_summary!E1974)</f>
        <v>16</v>
      </c>
      <c r="B1974" s="9">
        <f>AVERAGEIFS(fact_batting_summary!G:G, fact_batting_summary!E:E,fact_batting_summary!E1974)</f>
        <v>1.2307692307692308</v>
      </c>
      <c r="C1974">
        <v>9</v>
      </c>
    </row>
    <row r="1975" spans="1:3" x14ac:dyDescent="0.45">
      <c r="A1975">
        <f>SUMIFS(fact_batting_summary!G:G, fact_batting_summary!E:E, fact_batting_summary!E1975)</f>
        <v>907</v>
      </c>
      <c r="B1975" s="9">
        <f>AVERAGEIFS(fact_batting_summary!G:G, fact_batting_summary!E:E,fact_batting_summary!E1975)</f>
        <v>26.676470588235293</v>
      </c>
      <c r="C1975">
        <v>1</v>
      </c>
    </row>
    <row r="1976" spans="1:3" x14ac:dyDescent="0.45">
      <c r="A1976">
        <f>SUMIFS(fact_batting_summary!G:G, fact_batting_summary!E:E, fact_batting_summary!E1976)</f>
        <v>1392</v>
      </c>
      <c r="B1976" s="9">
        <f>AVERAGEIFS(fact_batting_summary!G:G, fact_batting_summary!E:E,fact_batting_summary!E1976)</f>
        <v>34.799999999999997</v>
      </c>
      <c r="C1976">
        <v>2</v>
      </c>
    </row>
    <row r="1977" spans="1:3" x14ac:dyDescent="0.45">
      <c r="A1977">
        <f>SUMIFS(fact_batting_summary!G:G, fact_batting_summary!E:E, fact_batting_summary!E1977)</f>
        <v>277</v>
      </c>
      <c r="B1977" s="9">
        <f>AVERAGEIFS(fact_batting_summary!G:G, fact_batting_summary!E:E,fact_batting_summary!E1977)</f>
        <v>21.307692307692307</v>
      </c>
      <c r="C1977">
        <v>3</v>
      </c>
    </row>
    <row r="1978" spans="1:3" x14ac:dyDescent="0.45">
      <c r="A1978">
        <f>SUMIFS(fact_batting_summary!G:G, fact_batting_summary!E:E, fact_batting_summary!E1978)</f>
        <v>758</v>
      </c>
      <c r="B1978" s="9">
        <f>AVERAGEIFS(fact_batting_summary!G:G, fact_batting_summary!E:E,fact_batting_summary!E1978)</f>
        <v>27.071428571428573</v>
      </c>
      <c r="C1978">
        <v>4</v>
      </c>
    </row>
    <row r="1979" spans="1:3" x14ac:dyDescent="0.45">
      <c r="A1979">
        <f>SUMIFS(fact_batting_summary!G:G, fact_batting_summary!E:E, fact_batting_summary!E1979)</f>
        <v>11</v>
      </c>
      <c r="B1979" s="9">
        <f>AVERAGEIFS(fact_batting_summary!G:G, fact_batting_summary!E:E,fact_batting_summary!E1979)</f>
        <v>5.5</v>
      </c>
      <c r="C1979">
        <v>5</v>
      </c>
    </row>
    <row r="1980" spans="1:3" x14ac:dyDescent="0.45">
      <c r="A1980">
        <f>SUMIFS(fact_batting_summary!G:G, fact_batting_summary!E:E, fact_batting_summary!E1980)</f>
        <v>426</v>
      </c>
      <c r="B1980" s="9">
        <f>AVERAGEIFS(fact_batting_summary!G:G, fact_batting_summary!E:E,fact_batting_summary!E1980)</f>
        <v>13.741935483870968</v>
      </c>
      <c r="C1980">
        <v>6</v>
      </c>
    </row>
    <row r="1981" spans="1:3" x14ac:dyDescent="0.45">
      <c r="A1981">
        <f>SUMIFS(fact_batting_summary!G:G, fact_batting_summary!E:E, fact_batting_summary!E1981)</f>
        <v>138</v>
      </c>
      <c r="B1981" s="9">
        <f>AVERAGEIFS(fact_batting_summary!G:G, fact_batting_summary!E:E,fact_batting_summary!E1981)</f>
        <v>8.625</v>
      </c>
      <c r="C1981">
        <v>7</v>
      </c>
    </row>
    <row r="1982" spans="1:3" x14ac:dyDescent="0.45">
      <c r="A1982">
        <f>SUMIFS(fact_batting_summary!G:G, fact_batting_summary!E:E, fact_batting_summary!E1982)</f>
        <v>51</v>
      </c>
      <c r="B1982" s="9">
        <f>AVERAGEIFS(fact_batting_summary!G:G, fact_batting_summary!E:E,fact_batting_summary!E1982)</f>
        <v>8.5</v>
      </c>
      <c r="C1982">
        <v>8</v>
      </c>
    </row>
    <row r="1983" spans="1:3" x14ac:dyDescent="0.45">
      <c r="A1983">
        <f>SUMIFS(fact_batting_summary!G:G, fact_batting_summary!E:E, fact_batting_summary!E1983)</f>
        <v>91</v>
      </c>
      <c r="B1983" s="9">
        <f>AVERAGEIFS(fact_batting_summary!G:G, fact_batting_summary!E:E,fact_batting_summary!E1983)</f>
        <v>5.6875</v>
      </c>
      <c r="C1983">
        <v>9</v>
      </c>
    </row>
    <row r="1984" spans="1:3" x14ac:dyDescent="0.45">
      <c r="A1984">
        <f>SUMIFS(fact_batting_summary!G:G, fact_batting_summary!E:E, fact_batting_summary!E1984)</f>
        <v>61</v>
      </c>
      <c r="B1984" s="9">
        <f>AVERAGEIFS(fact_batting_summary!G:G, fact_batting_summary!E:E,fact_batting_summary!E1984)</f>
        <v>4.6923076923076925</v>
      </c>
      <c r="C1984">
        <v>10</v>
      </c>
    </row>
    <row r="1985" spans="1:3" x14ac:dyDescent="0.45">
      <c r="A1985">
        <f>SUMIFS(fact_batting_summary!G:G, fact_batting_summary!E:E, fact_batting_summary!E1985)</f>
        <v>25</v>
      </c>
      <c r="B1985" s="9">
        <f>AVERAGEIFS(fact_batting_summary!G:G, fact_batting_summary!E:E,fact_batting_summary!E1985)</f>
        <v>2.5</v>
      </c>
      <c r="C1985">
        <v>11</v>
      </c>
    </row>
    <row r="1986" spans="1:3" x14ac:dyDescent="0.45">
      <c r="A1986">
        <f>SUMIFS(fact_batting_summary!G:G, fact_batting_summary!E:E, fact_batting_summary!E1986)</f>
        <v>467</v>
      </c>
      <c r="B1986" s="9">
        <f>AVERAGEIFS(fact_batting_summary!G:G, fact_batting_summary!E:E,fact_batting_summary!E1986)</f>
        <v>24.578947368421051</v>
      </c>
      <c r="C1986">
        <v>1</v>
      </c>
    </row>
    <row r="1987" spans="1:3" x14ac:dyDescent="0.45">
      <c r="A1987">
        <f>SUMIFS(fact_batting_summary!G:G, fact_batting_summary!E:E, fact_batting_summary!E1987)</f>
        <v>956</v>
      </c>
      <c r="B1987" s="9">
        <f>AVERAGEIFS(fact_batting_summary!G:G, fact_batting_summary!E:E,fact_batting_summary!E1987)</f>
        <v>26.555555555555557</v>
      </c>
      <c r="C1987">
        <v>2</v>
      </c>
    </row>
    <row r="1988" spans="1:3" x14ac:dyDescent="0.45">
      <c r="A1988">
        <f>SUMIFS(fact_batting_summary!G:G, fact_batting_summary!E:E, fact_batting_summary!E1988)</f>
        <v>576</v>
      </c>
      <c r="B1988" s="9">
        <f>AVERAGEIFS(fact_batting_summary!G:G, fact_batting_summary!E:E,fact_batting_summary!E1988)</f>
        <v>26.181818181818183</v>
      </c>
      <c r="C1988">
        <v>3</v>
      </c>
    </row>
    <row r="1989" spans="1:3" x14ac:dyDescent="0.45">
      <c r="A1989">
        <f>SUMIFS(fact_batting_summary!G:G, fact_batting_summary!E:E, fact_batting_summary!E1989)</f>
        <v>169</v>
      </c>
      <c r="B1989" s="9">
        <f>AVERAGEIFS(fact_batting_summary!G:G, fact_batting_summary!E:E,fact_batting_summary!E1989)</f>
        <v>21.125</v>
      </c>
      <c r="C1989">
        <v>4</v>
      </c>
    </row>
    <row r="1990" spans="1:3" x14ac:dyDescent="0.45">
      <c r="A1990">
        <f>SUMIFS(fact_batting_summary!G:G, fact_batting_summary!E:E, fact_batting_summary!E1990)</f>
        <v>1157</v>
      </c>
      <c r="B1990" s="9">
        <f>AVERAGEIFS(fact_batting_summary!G:G, fact_batting_summary!E:E,fact_batting_summary!E1990)</f>
        <v>26.295454545454547</v>
      </c>
      <c r="C1990">
        <v>5</v>
      </c>
    </row>
    <row r="1991" spans="1:3" x14ac:dyDescent="0.45">
      <c r="A1991">
        <f>SUMIFS(fact_batting_summary!G:G, fact_batting_summary!E:E, fact_batting_summary!E1991)</f>
        <v>745</v>
      </c>
      <c r="B1991" s="9">
        <f>AVERAGEIFS(fact_batting_summary!G:G, fact_batting_summary!E:E,fact_batting_summary!E1991)</f>
        <v>21.285714285714285</v>
      </c>
      <c r="C1991">
        <v>6</v>
      </c>
    </row>
    <row r="1992" spans="1:3" x14ac:dyDescent="0.45">
      <c r="A1992">
        <f>SUMIFS(fact_batting_summary!G:G, fact_batting_summary!E:E, fact_batting_summary!E1992)</f>
        <v>345</v>
      </c>
      <c r="B1992" s="9">
        <f>AVERAGEIFS(fact_batting_summary!G:G, fact_batting_summary!E:E,fact_batting_summary!E1992)</f>
        <v>23</v>
      </c>
      <c r="C1992">
        <v>1</v>
      </c>
    </row>
    <row r="1993" spans="1:3" x14ac:dyDescent="0.45">
      <c r="A1993">
        <f>SUMIFS(fact_batting_summary!G:G, fact_batting_summary!E:E, fact_batting_summary!E1993)</f>
        <v>1593</v>
      </c>
      <c r="B1993" s="9">
        <f>AVERAGEIFS(fact_batting_summary!G:G, fact_batting_summary!E:E,fact_batting_summary!E1993)</f>
        <v>35.4</v>
      </c>
      <c r="C1993">
        <v>2</v>
      </c>
    </row>
    <row r="1994" spans="1:3" x14ac:dyDescent="0.45">
      <c r="A1994">
        <f>SUMIFS(fact_batting_summary!G:G, fact_batting_summary!E:E, fact_batting_summary!E1994)</f>
        <v>725</v>
      </c>
      <c r="B1994" s="9">
        <f>AVERAGEIFS(fact_batting_summary!G:G, fact_batting_summary!E:E,fact_batting_summary!E1994)</f>
        <v>20.714285714285715</v>
      </c>
      <c r="C1994">
        <v>3</v>
      </c>
    </row>
    <row r="1995" spans="1:3" x14ac:dyDescent="0.45">
      <c r="A1995">
        <f>SUMIFS(fact_batting_summary!G:G, fact_batting_summary!E:E, fact_batting_summary!E1995)</f>
        <v>937</v>
      </c>
      <c r="B1995" s="9">
        <f>AVERAGEIFS(fact_batting_summary!G:G, fact_batting_summary!E:E,fact_batting_summary!E1995)</f>
        <v>27.558823529411764</v>
      </c>
      <c r="C1995">
        <v>4</v>
      </c>
    </row>
    <row r="1996" spans="1:3" x14ac:dyDescent="0.45">
      <c r="A1996">
        <f>SUMIFS(fact_batting_summary!G:G, fact_batting_summary!E:E, fact_batting_summary!E1996)</f>
        <v>689</v>
      </c>
      <c r="B1996" s="9">
        <f>AVERAGEIFS(fact_batting_summary!G:G, fact_batting_summary!E:E,fact_batting_summary!E1996)</f>
        <v>19.138888888888889</v>
      </c>
      <c r="C1996">
        <v>5</v>
      </c>
    </row>
    <row r="1997" spans="1:3" x14ac:dyDescent="0.45">
      <c r="A1997">
        <f>SUMIFS(fact_batting_summary!G:G, fact_batting_summary!E:E, fact_batting_summary!E1997)</f>
        <v>533</v>
      </c>
      <c r="B1997" s="9">
        <f>AVERAGEIFS(fact_batting_summary!G:G, fact_batting_summary!E:E,fact_batting_summary!E1997)</f>
        <v>15.676470588235293</v>
      </c>
      <c r="C1997">
        <v>6</v>
      </c>
    </row>
    <row r="1998" spans="1:3" x14ac:dyDescent="0.45">
      <c r="A1998">
        <f>SUMIFS(fact_batting_summary!G:G, fact_batting_summary!E:E, fact_batting_summary!E1998)</f>
        <v>450</v>
      </c>
      <c r="B1998" s="9">
        <f>AVERAGEIFS(fact_batting_summary!G:G, fact_batting_summary!E:E,fact_batting_summary!E1998)</f>
        <v>12.5</v>
      </c>
      <c r="C1998">
        <v>7</v>
      </c>
    </row>
    <row r="1999" spans="1:3" x14ac:dyDescent="0.45">
      <c r="A1999">
        <f>SUMIFS(fact_batting_summary!G:G, fact_batting_summary!E:E, fact_batting_summary!E1999)</f>
        <v>44</v>
      </c>
      <c r="B1999" s="9">
        <f>AVERAGEIFS(fact_batting_summary!G:G, fact_batting_summary!E:E,fact_batting_summary!E1999)</f>
        <v>8.8000000000000007</v>
      </c>
      <c r="C1999">
        <v>8</v>
      </c>
    </row>
    <row r="2000" spans="1:3" x14ac:dyDescent="0.45">
      <c r="A2000">
        <f>SUMIFS(fact_batting_summary!G:G, fact_batting_summary!E:E, fact_batting_summary!E2000)</f>
        <v>70</v>
      </c>
      <c r="B2000" s="9">
        <f>AVERAGEIFS(fact_batting_summary!G:G, fact_batting_summary!E:E,fact_batting_summary!E2000)</f>
        <v>7.7777777777777777</v>
      </c>
      <c r="C2000">
        <v>9</v>
      </c>
    </row>
    <row r="2001" spans="1:3" x14ac:dyDescent="0.45">
      <c r="A2001">
        <f>SUMIFS(fact_batting_summary!G:G, fact_batting_summary!E:E, fact_batting_summary!E2001)</f>
        <v>1516</v>
      </c>
      <c r="B2001" s="9">
        <f>AVERAGEIFS(fact_batting_summary!G:G, fact_batting_summary!E:E,fact_batting_summary!E2001)</f>
        <v>40.972972972972975</v>
      </c>
      <c r="C2001">
        <v>1</v>
      </c>
    </row>
    <row r="2002" spans="1:3" x14ac:dyDescent="0.45">
      <c r="A2002">
        <f>SUMIFS(fact_batting_summary!G:G, fact_batting_summary!E:E, fact_batting_summary!E2002)</f>
        <v>948</v>
      </c>
      <c r="B2002" s="9">
        <f>AVERAGEIFS(fact_batting_summary!G:G, fact_batting_summary!E:E,fact_batting_summary!E2002)</f>
        <v>31.6</v>
      </c>
      <c r="C2002">
        <v>2</v>
      </c>
    </row>
    <row r="2003" spans="1:3" x14ac:dyDescent="0.45">
      <c r="A2003">
        <f>SUMIFS(fact_batting_summary!G:G, fact_batting_summary!E:E, fact_batting_summary!E2003)</f>
        <v>540</v>
      </c>
      <c r="B2003" s="9">
        <f>AVERAGEIFS(fact_batting_summary!G:G, fact_batting_summary!E:E,fact_batting_summary!E2003)</f>
        <v>23.478260869565219</v>
      </c>
      <c r="C2003">
        <v>3</v>
      </c>
    </row>
    <row r="2004" spans="1:3" x14ac:dyDescent="0.45">
      <c r="A2004">
        <f>SUMIFS(fact_batting_summary!G:G, fact_batting_summary!E:E, fact_batting_summary!E2004)</f>
        <v>224</v>
      </c>
      <c r="B2004" s="9">
        <f>AVERAGEIFS(fact_batting_summary!G:G, fact_batting_summary!E:E,fact_batting_summary!E2004)</f>
        <v>22.4</v>
      </c>
      <c r="C2004">
        <v>4</v>
      </c>
    </row>
    <row r="2005" spans="1:3" x14ac:dyDescent="0.45">
      <c r="A2005">
        <f>SUMIFS(fact_batting_summary!G:G, fact_batting_summary!E:E, fact_batting_summary!E2005)</f>
        <v>695</v>
      </c>
      <c r="B2005" s="9">
        <f>AVERAGEIFS(fact_batting_summary!G:G, fact_batting_summary!E:E,fact_batting_summary!E2005)</f>
        <v>18.783783783783782</v>
      </c>
      <c r="C2005">
        <v>5</v>
      </c>
    </row>
    <row r="2006" spans="1:3" x14ac:dyDescent="0.45">
      <c r="A2006">
        <f>SUMIFS(fact_batting_summary!G:G, fact_batting_summary!E:E, fact_batting_summary!E2006)</f>
        <v>340</v>
      </c>
      <c r="B2006" s="9">
        <f>AVERAGEIFS(fact_batting_summary!G:G, fact_batting_summary!E:E,fact_batting_summary!E2006)</f>
        <v>15.454545454545455</v>
      </c>
      <c r="C2006">
        <v>6</v>
      </c>
    </row>
    <row r="2007" spans="1:3" x14ac:dyDescent="0.45">
      <c r="A2007">
        <f>SUMIFS(fact_batting_summary!G:G, fact_batting_summary!E:E, fact_batting_summary!E2007)</f>
        <v>467</v>
      </c>
      <c r="B2007" s="9">
        <f>AVERAGEIFS(fact_batting_summary!G:G, fact_batting_summary!E:E,fact_batting_summary!E2007)</f>
        <v>24.578947368421051</v>
      </c>
      <c r="C2007">
        <v>1</v>
      </c>
    </row>
    <row r="2008" spans="1:3" x14ac:dyDescent="0.45">
      <c r="A2008">
        <f>SUMIFS(fact_batting_summary!G:G, fact_batting_summary!E:E, fact_batting_summary!E2008)</f>
        <v>956</v>
      </c>
      <c r="B2008" s="9">
        <f>AVERAGEIFS(fact_batting_summary!G:G, fact_batting_summary!E:E,fact_batting_summary!E2008)</f>
        <v>26.555555555555557</v>
      </c>
      <c r="C2008">
        <v>2</v>
      </c>
    </row>
    <row r="2009" spans="1:3" x14ac:dyDescent="0.45">
      <c r="A2009">
        <f>SUMIFS(fact_batting_summary!G:G, fact_batting_summary!E:E, fact_batting_summary!E2009)</f>
        <v>576</v>
      </c>
      <c r="B2009" s="9">
        <f>AVERAGEIFS(fact_batting_summary!G:G, fact_batting_summary!E:E,fact_batting_summary!E2009)</f>
        <v>26.181818181818183</v>
      </c>
      <c r="C2009">
        <v>3</v>
      </c>
    </row>
    <row r="2010" spans="1:3" x14ac:dyDescent="0.45">
      <c r="A2010">
        <f>SUMIFS(fact_batting_summary!G:G, fact_batting_summary!E:E, fact_batting_summary!E2010)</f>
        <v>1157</v>
      </c>
      <c r="B2010" s="9">
        <f>AVERAGEIFS(fact_batting_summary!G:G, fact_batting_summary!E:E,fact_batting_summary!E2010)</f>
        <v>26.295454545454547</v>
      </c>
      <c r="C2010">
        <v>4</v>
      </c>
    </row>
    <row r="2011" spans="1:3" x14ac:dyDescent="0.45">
      <c r="A2011">
        <f>SUMIFS(fact_batting_summary!G:G, fact_batting_summary!E:E, fact_batting_summary!E2011)</f>
        <v>154</v>
      </c>
      <c r="B2011" s="9">
        <f>AVERAGEIFS(fact_batting_summary!G:G, fact_batting_summary!E:E,fact_batting_summary!E2011)</f>
        <v>5.1333333333333337</v>
      </c>
      <c r="C2011">
        <v>5</v>
      </c>
    </row>
    <row r="2012" spans="1:3" x14ac:dyDescent="0.45">
      <c r="A2012">
        <f>SUMIFS(fact_batting_summary!G:G, fact_batting_summary!E:E, fact_batting_summary!E2012)</f>
        <v>169</v>
      </c>
      <c r="B2012" s="9">
        <f>AVERAGEIFS(fact_batting_summary!G:G, fact_batting_summary!E:E,fact_batting_summary!E2012)</f>
        <v>21.125</v>
      </c>
      <c r="C2012">
        <v>6</v>
      </c>
    </row>
    <row r="2013" spans="1:3" x14ac:dyDescent="0.45">
      <c r="A2013">
        <f>SUMIFS(fact_batting_summary!G:G, fact_batting_summary!E:E, fact_batting_summary!E2013)</f>
        <v>23</v>
      </c>
      <c r="B2013" s="9">
        <f>AVERAGEIFS(fact_batting_summary!G:G, fact_batting_summary!E:E,fact_batting_summary!E2013)</f>
        <v>4.5999999999999996</v>
      </c>
      <c r="C2013">
        <v>7</v>
      </c>
    </row>
    <row r="2014" spans="1:3" x14ac:dyDescent="0.45">
      <c r="A2014">
        <f>SUMIFS(fact_batting_summary!G:G, fact_batting_summary!E:E, fact_batting_summary!E2014)</f>
        <v>745</v>
      </c>
      <c r="B2014" s="9">
        <f>AVERAGEIFS(fact_batting_summary!G:G, fact_batting_summary!E:E,fact_batting_summary!E2014)</f>
        <v>21.285714285714285</v>
      </c>
      <c r="C2014">
        <v>8</v>
      </c>
    </row>
    <row r="2015" spans="1:3" x14ac:dyDescent="0.45">
      <c r="A2015">
        <f>SUMIFS(fact_batting_summary!G:G, fact_batting_summary!E:E, fact_batting_summary!E2015)</f>
        <v>5</v>
      </c>
      <c r="B2015" s="9">
        <f>AVERAGEIFS(fact_batting_summary!G:G, fact_batting_summary!E:E,fact_batting_summary!E2015)</f>
        <v>0.83333333333333337</v>
      </c>
      <c r="C2015">
        <v>9</v>
      </c>
    </row>
    <row r="2016" spans="1:3" x14ac:dyDescent="0.45">
      <c r="A2016">
        <f>SUMIFS(fact_batting_summary!G:G, fact_batting_summary!E:E, fact_batting_summary!E2016)</f>
        <v>74</v>
      </c>
      <c r="B2016" s="9">
        <f>AVERAGEIFS(fact_batting_summary!G:G, fact_batting_summary!E:E,fact_batting_summary!E2016)</f>
        <v>6.166666666666667</v>
      </c>
      <c r="C2016">
        <v>10</v>
      </c>
    </row>
    <row r="2017" spans="1:3" x14ac:dyDescent="0.45">
      <c r="A2017">
        <f>SUMIFS(fact_batting_summary!G:G, fact_batting_summary!E:E, fact_batting_summary!E2017)</f>
        <v>15</v>
      </c>
      <c r="B2017" s="9">
        <f>AVERAGEIFS(fact_batting_summary!G:G, fact_batting_summary!E:E,fact_batting_summary!E2017)</f>
        <v>1.6666666666666667</v>
      </c>
      <c r="C2017">
        <v>11</v>
      </c>
    </row>
    <row r="2018" spans="1:3" x14ac:dyDescent="0.45">
      <c r="A2018">
        <f>SUMIFS(fact_batting_summary!G:G, fact_batting_summary!E:E, fact_batting_summary!E2018)</f>
        <v>1831</v>
      </c>
      <c r="B2018" s="9">
        <f>AVERAGEIFS(fact_batting_summary!G:G, fact_batting_summary!E:E,fact_batting_summary!E2018)</f>
        <v>39.804347826086953</v>
      </c>
      <c r="C2018">
        <v>1</v>
      </c>
    </row>
    <row r="2019" spans="1:3" x14ac:dyDescent="0.45">
      <c r="A2019">
        <f>SUMIFS(fact_batting_summary!G:G, fact_batting_summary!E:E, fact_batting_summary!E2019)</f>
        <v>220</v>
      </c>
      <c r="B2019" s="9">
        <f>AVERAGEIFS(fact_batting_summary!G:G, fact_batting_summary!E:E,fact_batting_summary!E2019)</f>
        <v>13.75</v>
      </c>
      <c r="C2019">
        <v>2</v>
      </c>
    </row>
    <row r="2020" spans="1:3" x14ac:dyDescent="0.45">
      <c r="A2020">
        <f>SUMIFS(fact_batting_summary!G:G, fact_batting_summary!E:E, fact_batting_summary!E2020)</f>
        <v>1385</v>
      </c>
      <c r="B2020" s="9">
        <f>AVERAGEIFS(fact_batting_summary!G:G, fact_batting_summary!E:E,fact_batting_summary!E2020)</f>
        <v>30.777777777777779</v>
      </c>
      <c r="C2020">
        <v>3</v>
      </c>
    </row>
    <row r="2021" spans="1:3" x14ac:dyDescent="0.45">
      <c r="A2021">
        <f>SUMIFS(fact_batting_summary!G:G, fact_batting_summary!E:E, fact_batting_summary!E2021)</f>
        <v>53</v>
      </c>
      <c r="B2021" s="9">
        <f>AVERAGEIFS(fact_batting_summary!G:G, fact_batting_summary!E:E,fact_batting_summary!E2021)</f>
        <v>10.6</v>
      </c>
      <c r="C2021">
        <v>4</v>
      </c>
    </row>
    <row r="2022" spans="1:3" x14ac:dyDescent="0.45">
      <c r="A2022">
        <f>SUMIFS(fact_batting_summary!G:G, fact_batting_summary!E:E, fact_batting_summary!E2022)</f>
        <v>33</v>
      </c>
      <c r="B2022" s="9">
        <f>AVERAGEIFS(fact_batting_summary!G:G, fact_batting_summary!E:E,fact_batting_summary!E2022)</f>
        <v>16.5</v>
      </c>
      <c r="C2022">
        <v>5</v>
      </c>
    </row>
    <row r="2023" spans="1:3" x14ac:dyDescent="0.45">
      <c r="A2023">
        <f>SUMIFS(fact_batting_summary!G:G, fact_batting_summary!E:E, fact_batting_summary!E2023)</f>
        <v>320</v>
      </c>
      <c r="B2023" s="9">
        <f>AVERAGEIFS(fact_batting_summary!G:G, fact_batting_summary!E:E,fact_batting_summary!E2023)</f>
        <v>13.333333333333334</v>
      </c>
      <c r="C2023">
        <v>6</v>
      </c>
    </row>
    <row r="2024" spans="1:3" x14ac:dyDescent="0.45">
      <c r="A2024">
        <f>SUMIFS(fact_batting_summary!G:G, fact_batting_summary!E:E, fact_batting_summary!E2024)</f>
        <v>693</v>
      </c>
      <c r="B2024" s="9">
        <f>AVERAGEIFS(fact_batting_summary!G:G, fact_batting_summary!E:E,fact_batting_summary!E2024)</f>
        <v>15.75</v>
      </c>
      <c r="C2024">
        <v>7</v>
      </c>
    </row>
    <row r="2025" spans="1:3" x14ac:dyDescent="0.45">
      <c r="A2025">
        <f>SUMIFS(fact_batting_summary!G:G, fact_batting_summary!E:E, fact_batting_summary!E2025)</f>
        <v>72</v>
      </c>
      <c r="B2025" s="9">
        <f>AVERAGEIFS(fact_batting_summary!G:G, fact_batting_summary!E:E,fact_batting_summary!E2025)</f>
        <v>5.1428571428571432</v>
      </c>
      <c r="C2025">
        <v>8</v>
      </c>
    </row>
    <row r="2026" spans="1:3" x14ac:dyDescent="0.45">
      <c r="A2026">
        <f>SUMIFS(fact_batting_summary!G:G, fact_batting_summary!E:E, fact_batting_summary!E2026)</f>
        <v>108</v>
      </c>
      <c r="B2026" s="9">
        <f>AVERAGEIFS(fact_batting_summary!G:G, fact_batting_summary!E:E,fact_batting_summary!E2026)</f>
        <v>6</v>
      </c>
      <c r="C2026">
        <v>9</v>
      </c>
    </row>
    <row r="2027" spans="1:3" x14ac:dyDescent="0.45">
      <c r="A2027">
        <f>SUMIFS(fact_batting_summary!G:G, fact_batting_summary!E:E, fact_batting_summary!E2027)</f>
        <v>1509</v>
      </c>
      <c r="B2027" s="9">
        <f>AVERAGEIFS(fact_batting_summary!G:G, fact_batting_summary!E:E,fact_batting_summary!E2027)</f>
        <v>39.710526315789473</v>
      </c>
      <c r="C2027">
        <v>1</v>
      </c>
    </row>
    <row r="2028" spans="1:3" x14ac:dyDescent="0.45">
      <c r="A2028">
        <f>SUMIFS(fact_batting_summary!G:G, fact_batting_summary!E:E, fact_batting_summary!E2028)</f>
        <v>1132</v>
      </c>
      <c r="B2028" s="9">
        <f>AVERAGEIFS(fact_batting_summary!G:G, fact_batting_summary!E:E,fact_batting_summary!E2028)</f>
        <v>33.294117647058826</v>
      </c>
      <c r="C2028">
        <v>2</v>
      </c>
    </row>
    <row r="2029" spans="1:3" x14ac:dyDescent="0.45">
      <c r="A2029">
        <f>SUMIFS(fact_batting_summary!G:G, fact_batting_summary!E:E, fact_batting_summary!E2029)</f>
        <v>1304</v>
      </c>
      <c r="B2029" s="9">
        <f>AVERAGEIFS(fact_batting_summary!G:G, fact_batting_summary!E:E,fact_batting_summary!E2029)</f>
        <v>28.977777777777778</v>
      </c>
      <c r="C2029">
        <v>3</v>
      </c>
    </row>
    <row r="2030" spans="1:3" x14ac:dyDescent="0.45">
      <c r="A2030">
        <f>SUMIFS(fact_batting_summary!G:G, fact_batting_summary!E:E, fact_batting_summary!E2030)</f>
        <v>1048</v>
      </c>
      <c r="B2030" s="9">
        <f>AVERAGEIFS(fact_batting_summary!G:G, fact_batting_summary!E:E,fact_batting_summary!E2030)</f>
        <v>24.952380952380953</v>
      </c>
      <c r="C2030">
        <v>4</v>
      </c>
    </row>
    <row r="2031" spans="1:3" x14ac:dyDescent="0.45">
      <c r="A2031">
        <f>SUMIFS(fact_batting_summary!G:G, fact_batting_summary!E:E, fact_batting_summary!E2031)</f>
        <v>854</v>
      </c>
      <c r="B2031" s="9">
        <f>AVERAGEIFS(fact_batting_summary!G:G, fact_batting_summary!E:E,fact_batting_summary!E2031)</f>
        <v>21.35</v>
      </c>
      <c r="C2031">
        <v>5</v>
      </c>
    </row>
    <row r="2032" spans="1:3" x14ac:dyDescent="0.45">
      <c r="A2032">
        <f>SUMIFS(fact_batting_summary!G:G, fact_batting_summary!E:E, fact_batting_summary!E2032)</f>
        <v>354</v>
      </c>
      <c r="B2032" s="9">
        <f>AVERAGEIFS(fact_batting_summary!G:G, fact_batting_summary!E:E,fact_batting_summary!E2032)</f>
        <v>11.419354838709678</v>
      </c>
      <c r="C2032">
        <v>6</v>
      </c>
    </row>
    <row r="2033" spans="1:3" x14ac:dyDescent="0.45">
      <c r="A2033">
        <f>SUMIFS(fact_batting_summary!G:G, fact_batting_summary!E:E, fact_batting_summary!E2033)</f>
        <v>5</v>
      </c>
      <c r="B2033" s="9">
        <f>AVERAGEIFS(fact_batting_summary!G:G, fact_batting_summary!E:E,fact_batting_summary!E2033)</f>
        <v>1.6666666666666667</v>
      </c>
      <c r="C2033">
        <v>7</v>
      </c>
    </row>
    <row r="2034" spans="1:3" x14ac:dyDescent="0.45">
      <c r="A2034">
        <f>SUMIFS(fact_batting_summary!G:G, fact_batting_summary!E:E, fact_batting_summary!E2034)</f>
        <v>416</v>
      </c>
      <c r="B2034" s="9">
        <f>AVERAGEIFS(fact_batting_summary!G:G, fact_batting_summary!E:E,fact_batting_summary!E2034)</f>
        <v>18.90909090909091</v>
      </c>
      <c r="C2034">
        <v>1</v>
      </c>
    </row>
    <row r="2035" spans="1:3" x14ac:dyDescent="0.45">
      <c r="A2035">
        <f>SUMIFS(fact_batting_summary!G:G, fact_batting_summary!E:E, fact_batting_summary!E2035)</f>
        <v>745</v>
      </c>
      <c r="B2035" s="9">
        <f>AVERAGEIFS(fact_batting_summary!G:G, fact_batting_summary!E:E,fact_batting_summary!E2035)</f>
        <v>24.032258064516128</v>
      </c>
      <c r="C2035">
        <v>2</v>
      </c>
    </row>
    <row r="2036" spans="1:3" x14ac:dyDescent="0.45">
      <c r="A2036">
        <f>SUMIFS(fact_batting_summary!G:G, fact_batting_summary!E:E, fact_batting_summary!E2036)</f>
        <v>1083</v>
      </c>
      <c r="B2036" s="9">
        <f>AVERAGEIFS(fact_batting_summary!G:G, fact_batting_summary!E:E,fact_batting_summary!E2036)</f>
        <v>25.186046511627907</v>
      </c>
      <c r="C2036">
        <v>3</v>
      </c>
    </row>
    <row r="2037" spans="1:3" x14ac:dyDescent="0.45">
      <c r="A2037">
        <f>SUMIFS(fact_batting_summary!G:G, fact_batting_summary!E:E, fact_batting_summary!E2037)</f>
        <v>729</v>
      </c>
      <c r="B2037" s="9">
        <f>AVERAGEIFS(fact_batting_summary!G:G, fact_batting_summary!E:E,fact_batting_summary!E2037)</f>
        <v>19.184210526315791</v>
      </c>
      <c r="C2037">
        <v>4</v>
      </c>
    </row>
    <row r="2038" spans="1:3" x14ac:dyDescent="0.45">
      <c r="A2038">
        <f>SUMIFS(fact_batting_summary!G:G, fact_batting_summary!E:E, fact_batting_summary!E2038)</f>
        <v>775</v>
      </c>
      <c r="B2038" s="9">
        <f>AVERAGEIFS(fact_batting_summary!G:G, fact_batting_summary!E:E,fact_batting_summary!E2038)</f>
        <v>25</v>
      </c>
      <c r="C2038">
        <v>5</v>
      </c>
    </row>
    <row r="2039" spans="1:3" x14ac:dyDescent="0.45">
      <c r="A2039">
        <f>SUMIFS(fact_batting_summary!G:G, fact_batting_summary!E:E, fact_batting_summary!E2039)</f>
        <v>284</v>
      </c>
      <c r="B2039" s="9">
        <f>AVERAGEIFS(fact_batting_summary!G:G, fact_batting_summary!E:E,fact_batting_summary!E2039)</f>
        <v>14.2</v>
      </c>
      <c r="C2039">
        <v>6</v>
      </c>
    </row>
    <row r="2040" spans="1:3" x14ac:dyDescent="0.45">
      <c r="A2040">
        <f>SUMIFS(fact_batting_summary!G:G, fact_batting_summary!E:E, fact_batting_summary!E2040)</f>
        <v>58</v>
      </c>
      <c r="B2040" s="9">
        <f>AVERAGEIFS(fact_batting_summary!G:G, fact_batting_summary!E:E,fact_batting_summary!E2040)</f>
        <v>14.5</v>
      </c>
      <c r="C2040">
        <v>7</v>
      </c>
    </row>
    <row r="2041" spans="1:3" x14ac:dyDescent="0.45">
      <c r="A2041">
        <f>SUMIFS(fact_batting_summary!G:G, fact_batting_summary!E:E, fact_batting_summary!E2041)</f>
        <v>192</v>
      </c>
      <c r="B2041" s="9">
        <f>AVERAGEIFS(fact_batting_summary!G:G, fact_batting_summary!E:E,fact_batting_summary!E2041)</f>
        <v>12</v>
      </c>
      <c r="C2041">
        <v>8</v>
      </c>
    </row>
    <row r="2042" spans="1:3" x14ac:dyDescent="0.45">
      <c r="A2042">
        <f>SUMIFS(fact_batting_summary!G:G, fact_batting_summary!E:E, fact_batting_summary!E2042)</f>
        <v>100</v>
      </c>
      <c r="B2042" s="9">
        <f>AVERAGEIFS(fact_batting_summary!G:G, fact_batting_summary!E:E,fact_batting_summary!E2042)</f>
        <v>5.2631578947368425</v>
      </c>
      <c r="C2042">
        <v>9</v>
      </c>
    </row>
    <row r="2043" spans="1:3" x14ac:dyDescent="0.45">
      <c r="A2043">
        <f>SUMIFS(fact_batting_summary!G:G, fact_batting_summary!E:E, fact_batting_summary!E2043)</f>
        <v>1516</v>
      </c>
      <c r="B2043" s="9">
        <f>AVERAGEIFS(fact_batting_summary!G:G, fact_batting_summary!E:E,fact_batting_summary!E2043)</f>
        <v>40.972972972972975</v>
      </c>
      <c r="C2043">
        <v>1</v>
      </c>
    </row>
    <row r="2044" spans="1:3" x14ac:dyDescent="0.45">
      <c r="A2044">
        <f>SUMIFS(fact_batting_summary!G:G, fact_batting_summary!E:E, fact_batting_summary!E2044)</f>
        <v>948</v>
      </c>
      <c r="B2044" s="9">
        <f>AVERAGEIFS(fact_batting_summary!G:G, fact_batting_summary!E:E,fact_batting_summary!E2044)</f>
        <v>31.6</v>
      </c>
      <c r="C2044">
        <v>2</v>
      </c>
    </row>
    <row r="2045" spans="1:3" x14ac:dyDescent="0.45">
      <c r="A2045">
        <f>SUMIFS(fact_batting_summary!G:G, fact_batting_summary!E:E, fact_batting_summary!E2045)</f>
        <v>224</v>
      </c>
      <c r="B2045" s="9">
        <f>AVERAGEIFS(fact_batting_summary!G:G, fact_batting_summary!E:E,fact_batting_summary!E2045)</f>
        <v>22.4</v>
      </c>
      <c r="C2045">
        <v>3</v>
      </c>
    </row>
    <row r="2046" spans="1:3" x14ac:dyDescent="0.45">
      <c r="A2046">
        <f>SUMIFS(fact_batting_summary!G:G, fact_batting_summary!E:E, fact_batting_summary!E2046)</f>
        <v>540</v>
      </c>
      <c r="B2046" s="9">
        <f>AVERAGEIFS(fact_batting_summary!G:G, fact_batting_summary!E:E,fact_batting_summary!E2046)</f>
        <v>23.478260869565219</v>
      </c>
      <c r="C2046">
        <v>4</v>
      </c>
    </row>
    <row r="2047" spans="1:3" x14ac:dyDescent="0.45">
      <c r="A2047">
        <f>SUMIFS(fact_batting_summary!G:G, fact_batting_summary!E:E, fact_batting_summary!E2047)</f>
        <v>695</v>
      </c>
      <c r="B2047" s="9">
        <f>AVERAGEIFS(fact_batting_summary!G:G, fact_batting_summary!E:E,fact_batting_summary!E2047)</f>
        <v>18.783783783783782</v>
      </c>
      <c r="C2047">
        <v>5</v>
      </c>
    </row>
    <row r="2048" spans="1:3" x14ac:dyDescent="0.45">
      <c r="A2048">
        <f>SUMIFS(fact_batting_summary!G:G, fact_batting_summary!E:E, fact_batting_summary!E2048)</f>
        <v>340</v>
      </c>
      <c r="B2048" s="9">
        <f>AVERAGEIFS(fact_batting_summary!G:G, fact_batting_summary!E:E,fact_batting_summary!E2048)</f>
        <v>15.454545454545455</v>
      </c>
      <c r="C2048">
        <v>6</v>
      </c>
    </row>
    <row r="2049" spans="1:3" x14ac:dyDescent="0.45">
      <c r="A2049">
        <f>SUMIFS(fact_batting_summary!G:G, fact_batting_summary!E:E, fact_batting_summary!E2049)</f>
        <v>514</v>
      </c>
      <c r="B2049" s="9">
        <f>AVERAGEIFS(fact_batting_summary!G:G, fact_batting_summary!E:E,fact_batting_summary!E2049)</f>
        <v>13.526315789473685</v>
      </c>
      <c r="C2049">
        <v>7</v>
      </c>
    </row>
    <row r="2050" spans="1:3" x14ac:dyDescent="0.45">
      <c r="A2050">
        <f>SUMIFS(fact_batting_summary!G:G, fact_batting_summary!E:E, fact_batting_summary!E2050)</f>
        <v>43</v>
      </c>
      <c r="B2050" s="9">
        <f>AVERAGEIFS(fact_batting_summary!G:G, fact_batting_summary!E:E,fact_batting_summary!E2050)</f>
        <v>5.375</v>
      </c>
      <c r="C2050">
        <v>8</v>
      </c>
    </row>
    <row r="2051" spans="1:3" x14ac:dyDescent="0.45">
      <c r="A2051">
        <f>SUMIFS(fact_batting_summary!G:G, fact_batting_summary!E:E, fact_batting_summary!E2051)</f>
        <v>1851</v>
      </c>
      <c r="B2051" s="9">
        <f>AVERAGEIFS(fact_batting_summary!G:G, fact_batting_summary!E:E,fact_batting_summary!E2051)</f>
        <v>37.020000000000003</v>
      </c>
      <c r="C2051">
        <v>1</v>
      </c>
    </row>
    <row r="2052" spans="1:3" x14ac:dyDescent="0.45">
      <c r="A2052">
        <f>SUMIFS(fact_batting_summary!G:G, fact_batting_summary!E:E, fact_batting_summary!E2052)</f>
        <v>157</v>
      </c>
      <c r="B2052" s="9">
        <f>AVERAGEIFS(fact_batting_summary!G:G, fact_batting_summary!E:E,fact_batting_summary!E2052)</f>
        <v>15.7</v>
      </c>
      <c r="C2052">
        <v>2</v>
      </c>
    </row>
    <row r="2053" spans="1:3" x14ac:dyDescent="0.45">
      <c r="A2053">
        <f>SUMIFS(fact_batting_summary!G:G, fact_batting_summary!E:E, fact_batting_summary!E2053)</f>
        <v>370</v>
      </c>
      <c r="B2053" s="9">
        <f>AVERAGEIFS(fact_batting_summary!G:G, fact_batting_summary!E:E,fact_batting_summary!E2053)</f>
        <v>20.555555555555557</v>
      </c>
      <c r="C2053">
        <v>3</v>
      </c>
    </row>
    <row r="2054" spans="1:3" x14ac:dyDescent="0.45">
      <c r="A2054">
        <f>SUMIFS(fact_batting_summary!G:G, fact_batting_summary!E:E, fact_batting_summary!E2054)</f>
        <v>960</v>
      </c>
      <c r="B2054" s="9">
        <f>AVERAGEIFS(fact_batting_summary!G:G, fact_batting_summary!E:E,fact_batting_summary!E2054)</f>
        <v>23.414634146341463</v>
      </c>
      <c r="C2054">
        <v>4</v>
      </c>
    </row>
    <row r="2055" spans="1:3" x14ac:dyDescent="0.45">
      <c r="A2055">
        <f>SUMIFS(fact_batting_summary!G:G, fact_batting_summary!E:E, fact_batting_summary!E2055)</f>
        <v>864</v>
      </c>
      <c r="B2055" s="9">
        <f>AVERAGEIFS(fact_batting_summary!G:G, fact_batting_summary!E:E,fact_batting_summary!E2055)</f>
        <v>23.351351351351351</v>
      </c>
      <c r="C2055">
        <v>5</v>
      </c>
    </row>
    <row r="2056" spans="1:3" x14ac:dyDescent="0.45">
      <c r="A2056">
        <f>SUMIFS(fact_batting_summary!G:G, fact_batting_summary!E:E, fact_batting_summary!E2056)</f>
        <v>459</v>
      </c>
      <c r="B2056" s="9">
        <f>AVERAGEIFS(fact_batting_summary!G:G, fact_batting_summary!E:E,fact_batting_summary!E2056)</f>
        <v>13.909090909090908</v>
      </c>
      <c r="C2056">
        <v>6</v>
      </c>
    </row>
    <row r="2057" spans="1:3" x14ac:dyDescent="0.45">
      <c r="A2057">
        <f>SUMIFS(fact_batting_summary!G:G, fact_batting_summary!E:E, fact_batting_summary!E2057)</f>
        <v>222</v>
      </c>
      <c r="B2057" s="9">
        <f>AVERAGEIFS(fact_batting_summary!G:G, fact_batting_summary!E:E,fact_batting_summary!E2057)</f>
        <v>17.076923076923077</v>
      </c>
      <c r="C2057">
        <v>7</v>
      </c>
    </row>
    <row r="2058" spans="1:3" x14ac:dyDescent="0.45">
      <c r="A2058">
        <f>SUMIFS(fact_batting_summary!G:G, fact_batting_summary!E:E, fact_batting_summary!E2058)</f>
        <v>1831</v>
      </c>
      <c r="B2058" s="9">
        <f>AVERAGEIFS(fact_batting_summary!G:G, fact_batting_summary!E:E,fact_batting_summary!E2058)</f>
        <v>39.804347826086953</v>
      </c>
      <c r="C2058">
        <v>1</v>
      </c>
    </row>
    <row r="2059" spans="1:3" x14ac:dyDescent="0.45">
      <c r="A2059">
        <f>SUMIFS(fact_batting_summary!G:G, fact_batting_summary!E:E, fact_batting_summary!E2059)</f>
        <v>220</v>
      </c>
      <c r="B2059" s="9">
        <f>AVERAGEIFS(fact_batting_summary!G:G, fact_batting_summary!E:E,fact_batting_summary!E2059)</f>
        <v>13.75</v>
      </c>
      <c r="C2059">
        <v>2</v>
      </c>
    </row>
    <row r="2060" spans="1:3" x14ac:dyDescent="0.45">
      <c r="A2060">
        <f>SUMIFS(fact_batting_summary!G:G, fact_batting_summary!E:E, fact_batting_summary!E2060)</f>
        <v>1385</v>
      </c>
      <c r="B2060" s="9">
        <f>AVERAGEIFS(fact_batting_summary!G:G, fact_batting_summary!E:E,fact_batting_summary!E2060)</f>
        <v>30.777777777777779</v>
      </c>
      <c r="C2060">
        <v>3</v>
      </c>
    </row>
    <row r="2061" spans="1:3" x14ac:dyDescent="0.45">
      <c r="A2061">
        <f>SUMIFS(fact_batting_summary!G:G, fact_batting_summary!E:E, fact_batting_summary!E2061)</f>
        <v>693</v>
      </c>
      <c r="B2061" s="9">
        <f>AVERAGEIFS(fact_batting_summary!G:G, fact_batting_summary!E:E,fact_batting_summary!E2061)</f>
        <v>15.75</v>
      </c>
      <c r="C2061">
        <v>4</v>
      </c>
    </row>
    <row r="2062" spans="1:3" x14ac:dyDescent="0.45">
      <c r="A2062">
        <f>SUMIFS(fact_batting_summary!G:G, fact_batting_summary!E:E, fact_batting_summary!E2062)</f>
        <v>907</v>
      </c>
      <c r="B2062" s="9">
        <f>AVERAGEIFS(fact_batting_summary!G:G, fact_batting_summary!E:E,fact_batting_summary!E2062)</f>
        <v>26.676470588235293</v>
      </c>
      <c r="C2062">
        <v>1</v>
      </c>
    </row>
    <row r="2063" spans="1:3" x14ac:dyDescent="0.45">
      <c r="A2063">
        <f>SUMIFS(fact_batting_summary!G:G, fact_batting_summary!E:E, fact_batting_summary!E2063)</f>
        <v>1392</v>
      </c>
      <c r="B2063" s="9">
        <f>AVERAGEIFS(fact_batting_summary!G:G, fact_batting_summary!E:E,fact_batting_summary!E2063)</f>
        <v>34.799999999999997</v>
      </c>
      <c r="C2063">
        <v>2</v>
      </c>
    </row>
    <row r="2064" spans="1:3" x14ac:dyDescent="0.45">
      <c r="A2064">
        <f>SUMIFS(fact_batting_summary!G:G, fact_batting_summary!E:E, fact_batting_summary!E2064)</f>
        <v>277</v>
      </c>
      <c r="B2064" s="9">
        <f>AVERAGEIFS(fact_batting_summary!G:G, fact_batting_summary!E:E,fact_batting_summary!E2064)</f>
        <v>21.307692307692307</v>
      </c>
      <c r="C2064">
        <v>3</v>
      </c>
    </row>
    <row r="2065" spans="1:3" x14ac:dyDescent="0.45">
      <c r="A2065">
        <f>SUMIFS(fact_batting_summary!G:G, fact_batting_summary!E:E, fact_batting_summary!E2065)</f>
        <v>758</v>
      </c>
      <c r="B2065" s="9">
        <f>AVERAGEIFS(fact_batting_summary!G:G, fact_batting_summary!E:E,fact_batting_summary!E2065)</f>
        <v>27.071428571428573</v>
      </c>
      <c r="C2065">
        <v>4</v>
      </c>
    </row>
    <row r="2066" spans="1:3" x14ac:dyDescent="0.45">
      <c r="A2066">
        <f>SUMIFS(fact_batting_summary!G:G, fact_batting_summary!E:E, fact_batting_summary!E2066)</f>
        <v>11</v>
      </c>
      <c r="B2066" s="9">
        <f>AVERAGEIFS(fact_batting_summary!G:G, fact_batting_summary!E:E,fact_batting_summary!E2066)</f>
        <v>5.5</v>
      </c>
      <c r="C2066">
        <v>5</v>
      </c>
    </row>
    <row r="2067" spans="1:3" x14ac:dyDescent="0.45">
      <c r="A2067">
        <f>SUMIFS(fact_batting_summary!G:G, fact_batting_summary!E:E, fact_batting_summary!E2067)</f>
        <v>426</v>
      </c>
      <c r="B2067" s="9">
        <f>AVERAGEIFS(fact_batting_summary!G:G, fact_batting_summary!E:E,fact_batting_summary!E2067)</f>
        <v>13.741935483870968</v>
      </c>
      <c r="C2067">
        <v>6</v>
      </c>
    </row>
    <row r="2068" spans="1:3" x14ac:dyDescent="0.45">
      <c r="A2068">
        <f>SUMIFS(fact_batting_summary!G:G, fact_batting_summary!E:E, fact_batting_summary!E2068)</f>
        <v>51</v>
      </c>
      <c r="B2068" s="9">
        <f>AVERAGEIFS(fact_batting_summary!G:G, fact_batting_summary!E:E,fact_batting_summary!E2068)</f>
        <v>8.5</v>
      </c>
      <c r="C2068">
        <v>7</v>
      </c>
    </row>
    <row r="2069" spans="1:3" x14ac:dyDescent="0.45">
      <c r="A2069">
        <f>SUMIFS(fact_batting_summary!G:G, fact_batting_summary!E:E, fact_batting_summary!E2069)</f>
        <v>981</v>
      </c>
      <c r="B2069" s="9">
        <f>AVERAGEIFS(fact_batting_summary!G:G, fact_batting_summary!E:E,fact_batting_summary!E2069)</f>
        <v>22.813953488372093</v>
      </c>
      <c r="C2069">
        <v>1</v>
      </c>
    </row>
    <row r="2070" spans="1:3" x14ac:dyDescent="0.45">
      <c r="A2070">
        <f>SUMIFS(fact_batting_summary!G:G, fact_batting_summary!E:E, fact_batting_summary!E2070)</f>
        <v>1113</v>
      </c>
      <c r="B2070" s="9">
        <f>AVERAGEIFS(fact_batting_summary!G:G, fact_batting_summary!E:E,fact_batting_summary!E2070)</f>
        <v>28.53846153846154</v>
      </c>
      <c r="C2070">
        <v>2</v>
      </c>
    </row>
    <row r="2071" spans="1:3" x14ac:dyDescent="0.45">
      <c r="A2071">
        <f>SUMIFS(fact_batting_summary!G:G, fact_batting_summary!E:E, fact_batting_summary!E2071)</f>
        <v>134</v>
      </c>
      <c r="B2071" s="9">
        <f>AVERAGEIFS(fact_batting_summary!G:G, fact_batting_summary!E:E,fact_batting_summary!E2071)</f>
        <v>19.142857142857142</v>
      </c>
      <c r="C2071">
        <v>3</v>
      </c>
    </row>
    <row r="2072" spans="1:3" x14ac:dyDescent="0.45">
      <c r="A2072">
        <f>SUMIFS(fact_batting_summary!G:G, fact_batting_summary!E:E, fact_batting_summary!E2072)</f>
        <v>740</v>
      </c>
      <c r="B2072" s="9">
        <f>AVERAGEIFS(fact_batting_summary!G:G, fact_batting_summary!E:E,fact_batting_summary!E2072)</f>
        <v>29.6</v>
      </c>
      <c r="C2072">
        <v>4</v>
      </c>
    </row>
    <row r="2073" spans="1:3" x14ac:dyDescent="0.45">
      <c r="A2073">
        <f>SUMIFS(fact_batting_summary!G:G, fact_batting_summary!E:E, fact_batting_summary!E2073)</f>
        <v>389</v>
      </c>
      <c r="B2073" s="9">
        <f>AVERAGEIFS(fact_batting_summary!G:G, fact_batting_summary!E:E,fact_batting_summary!E2073)</f>
        <v>16.208333333333332</v>
      </c>
      <c r="C2073">
        <v>5</v>
      </c>
    </row>
    <row r="2074" spans="1:3" x14ac:dyDescent="0.45">
      <c r="A2074">
        <f>SUMIFS(fact_batting_summary!G:G, fact_batting_summary!E:E, fact_batting_summary!E2074)</f>
        <v>418</v>
      </c>
      <c r="B2074" s="9">
        <f>AVERAGEIFS(fact_batting_summary!G:G, fact_batting_summary!E:E,fact_batting_summary!E2074)</f>
        <v>17.416666666666668</v>
      </c>
      <c r="C2074">
        <v>6</v>
      </c>
    </row>
    <row r="2075" spans="1:3" x14ac:dyDescent="0.45">
      <c r="A2075">
        <f>SUMIFS(fact_batting_summary!G:G, fact_batting_summary!E:E, fact_batting_summary!E2075)</f>
        <v>44</v>
      </c>
      <c r="B2075" s="9">
        <f>AVERAGEIFS(fact_batting_summary!G:G, fact_batting_summary!E:E,fact_batting_summary!E2075)</f>
        <v>3.6666666666666665</v>
      </c>
      <c r="C2075">
        <v>7</v>
      </c>
    </row>
    <row r="2076" spans="1:3" x14ac:dyDescent="0.45">
      <c r="A2076">
        <f>SUMIFS(fact_batting_summary!G:G, fact_batting_summary!E:E, fact_batting_summary!E2076)</f>
        <v>815</v>
      </c>
      <c r="B2076" s="9">
        <f>AVERAGEIFS(fact_batting_summary!G:G, fact_batting_summary!E:E,fact_batting_summary!E2076)</f>
        <v>25.46875</v>
      </c>
      <c r="C2076">
        <v>1</v>
      </c>
    </row>
    <row r="2077" spans="1:3" x14ac:dyDescent="0.45">
      <c r="A2077">
        <f>SUMIFS(fact_batting_summary!G:G, fact_batting_summary!E:E, fact_batting_summary!E2077)</f>
        <v>26</v>
      </c>
      <c r="B2077" s="9">
        <f>AVERAGEIFS(fact_batting_summary!G:G, fact_batting_summary!E:E,fact_batting_summary!E2077)</f>
        <v>8.6666666666666661</v>
      </c>
      <c r="C2077">
        <v>2</v>
      </c>
    </row>
    <row r="2078" spans="1:3" x14ac:dyDescent="0.45">
      <c r="A2078">
        <f>SUMIFS(fact_batting_summary!G:G, fact_batting_summary!E:E, fact_batting_summary!E2078)</f>
        <v>47</v>
      </c>
      <c r="B2078" s="9">
        <f>AVERAGEIFS(fact_batting_summary!G:G, fact_batting_summary!E:E,fact_batting_summary!E2078)</f>
        <v>6.7142857142857144</v>
      </c>
      <c r="C2078">
        <v>3</v>
      </c>
    </row>
    <row r="2079" spans="1:3" x14ac:dyDescent="0.45">
      <c r="A2079">
        <f>SUMIFS(fact_batting_summary!G:G, fact_batting_summary!E:E, fact_batting_summary!E2079)</f>
        <v>722</v>
      </c>
      <c r="B2079" s="9">
        <f>AVERAGEIFS(fact_batting_summary!G:G, fact_batting_summary!E:E,fact_batting_summary!E2079)</f>
        <v>25.785714285714285</v>
      </c>
      <c r="C2079">
        <v>4</v>
      </c>
    </row>
    <row r="2080" spans="1:3" x14ac:dyDescent="0.45">
      <c r="A2080">
        <f>SUMIFS(fact_batting_summary!G:G, fact_batting_summary!E:E, fact_batting_summary!E2080)</f>
        <v>295</v>
      </c>
      <c r="B2080" s="9">
        <f>AVERAGEIFS(fact_batting_summary!G:G, fact_batting_summary!E:E,fact_batting_summary!E2080)</f>
        <v>15.526315789473685</v>
      </c>
      <c r="C2080">
        <v>5</v>
      </c>
    </row>
    <row r="2081" spans="1:3" x14ac:dyDescent="0.45">
      <c r="A2081">
        <f>SUMIFS(fact_batting_summary!G:G, fact_batting_summary!E:E, fact_batting_summary!E2081)</f>
        <v>257</v>
      </c>
      <c r="B2081" s="9">
        <f>AVERAGEIFS(fact_batting_summary!G:G, fact_batting_summary!E:E,fact_batting_summary!E2081)</f>
        <v>17.133333333333333</v>
      </c>
      <c r="C2081">
        <v>6</v>
      </c>
    </row>
    <row r="2082" spans="1:3" x14ac:dyDescent="0.45">
      <c r="A2082">
        <f>SUMIFS(fact_batting_summary!G:G, fact_batting_summary!E:E, fact_batting_summary!E2082)</f>
        <v>238</v>
      </c>
      <c r="B2082" s="9">
        <f>AVERAGEIFS(fact_batting_summary!G:G, fact_batting_summary!E:E,fact_batting_summary!E2082)</f>
        <v>9.9166666666666661</v>
      </c>
      <c r="C2082">
        <v>7</v>
      </c>
    </row>
    <row r="2083" spans="1:3" x14ac:dyDescent="0.45">
      <c r="A2083">
        <f>SUMIFS(fact_batting_summary!G:G, fact_batting_summary!E:E, fact_batting_summary!E2083)</f>
        <v>505</v>
      </c>
      <c r="B2083" s="9">
        <f>AVERAGEIFS(fact_batting_summary!G:G, fact_batting_summary!E:E,fact_batting_summary!E2083)</f>
        <v>17.413793103448278</v>
      </c>
      <c r="C2083">
        <v>8</v>
      </c>
    </row>
    <row r="2084" spans="1:3" x14ac:dyDescent="0.45">
      <c r="A2084">
        <f>SUMIFS(fact_batting_summary!G:G, fact_batting_summary!E:E, fact_batting_summary!E2084)</f>
        <v>1593</v>
      </c>
      <c r="B2084" s="9">
        <f>AVERAGEIFS(fact_batting_summary!G:G, fact_batting_summary!E:E,fact_batting_summary!E2084)</f>
        <v>35.4</v>
      </c>
      <c r="C2084">
        <v>1</v>
      </c>
    </row>
    <row r="2085" spans="1:3" x14ac:dyDescent="0.45">
      <c r="A2085">
        <f>SUMIFS(fact_batting_summary!G:G, fact_batting_summary!E:E, fact_batting_summary!E2085)</f>
        <v>924</v>
      </c>
      <c r="B2085" s="9">
        <f>AVERAGEIFS(fact_batting_summary!G:G, fact_batting_summary!E:E,fact_batting_summary!E2085)</f>
        <v>42</v>
      </c>
      <c r="C2085">
        <v>2</v>
      </c>
    </row>
    <row r="2086" spans="1:3" x14ac:dyDescent="0.45">
      <c r="A2086">
        <f>SUMIFS(fact_batting_summary!G:G, fact_batting_summary!E:E, fact_batting_summary!E2086)</f>
        <v>345</v>
      </c>
      <c r="B2086" s="9">
        <f>AVERAGEIFS(fact_batting_summary!G:G, fact_batting_summary!E:E,fact_batting_summary!E2086)</f>
        <v>23</v>
      </c>
      <c r="C2086">
        <v>3</v>
      </c>
    </row>
    <row r="2087" spans="1:3" x14ac:dyDescent="0.45">
      <c r="A2087">
        <f>SUMIFS(fact_batting_summary!G:G, fact_batting_summary!E:E, fact_batting_summary!E2087)</f>
        <v>689</v>
      </c>
      <c r="B2087" s="9">
        <f>AVERAGEIFS(fact_batting_summary!G:G, fact_batting_summary!E:E,fact_batting_summary!E2087)</f>
        <v>19.138888888888889</v>
      </c>
      <c r="C2087">
        <v>4</v>
      </c>
    </row>
    <row r="2088" spans="1:3" x14ac:dyDescent="0.45">
      <c r="A2088">
        <f>SUMIFS(fact_batting_summary!G:G, fact_batting_summary!E:E, fact_batting_summary!E2088)</f>
        <v>533</v>
      </c>
      <c r="B2088" s="9">
        <f>AVERAGEIFS(fact_batting_summary!G:G, fact_batting_summary!E:E,fact_batting_summary!E2088)</f>
        <v>15.676470588235293</v>
      </c>
      <c r="C2088">
        <v>5</v>
      </c>
    </row>
    <row r="2089" spans="1:3" x14ac:dyDescent="0.45">
      <c r="A2089">
        <f>SUMIFS(fact_batting_summary!G:G, fact_batting_summary!E:E, fact_batting_summary!E2089)</f>
        <v>937</v>
      </c>
      <c r="B2089" s="9">
        <f>AVERAGEIFS(fact_batting_summary!G:G, fact_batting_summary!E:E,fact_batting_summary!E2089)</f>
        <v>27.558823529411764</v>
      </c>
      <c r="C2089">
        <v>6</v>
      </c>
    </row>
    <row r="2090" spans="1:3" x14ac:dyDescent="0.45">
      <c r="A2090">
        <f>SUMIFS(fact_batting_summary!G:G, fact_batting_summary!E:E, fact_batting_summary!E2090)</f>
        <v>450</v>
      </c>
      <c r="B2090" s="9">
        <f>AVERAGEIFS(fact_batting_summary!G:G, fact_batting_summary!E:E,fact_batting_summary!E2090)</f>
        <v>12.5</v>
      </c>
      <c r="C2090">
        <v>7</v>
      </c>
    </row>
    <row r="2091" spans="1:3" x14ac:dyDescent="0.45">
      <c r="A2091">
        <f>SUMIFS(fact_batting_summary!G:G, fact_batting_summary!E:E, fact_batting_summary!E2091)</f>
        <v>467</v>
      </c>
      <c r="B2091" s="9">
        <f>AVERAGEIFS(fact_batting_summary!G:G, fact_batting_summary!E:E,fact_batting_summary!E2091)</f>
        <v>24.578947368421051</v>
      </c>
      <c r="C2091">
        <v>1</v>
      </c>
    </row>
    <row r="2092" spans="1:3" x14ac:dyDescent="0.45">
      <c r="A2092">
        <f>SUMIFS(fact_batting_summary!G:G, fact_batting_summary!E:E, fact_batting_summary!E2092)</f>
        <v>956</v>
      </c>
      <c r="B2092" s="9">
        <f>AVERAGEIFS(fact_batting_summary!G:G, fact_batting_summary!E:E,fact_batting_summary!E2092)</f>
        <v>26.555555555555557</v>
      </c>
      <c r="C2092">
        <v>2</v>
      </c>
    </row>
    <row r="2093" spans="1:3" x14ac:dyDescent="0.45">
      <c r="A2093">
        <f>SUMIFS(fact_batting_summary!G:G, fact_batting_summary!E:E, fact_batting_summary!E2093)</f>
        <v>1157</v>
      </c>
      <c r="B2093" s="9">
        <f>AVERAGEIFS(fact_batting_summary!G:G, fact_batting_summary!E:E,fact_batting_summary!E2093)</f>
        <v>26.295454545454547</v>
      </c>
      <c r="C2093">
        <v>3</v>
      </c>
    </row>
    <row r="2094" spans="1:3" x14ac:dyDescent="0.45">
      <c r="A2094">
        <f>SUMIFS(fact_batting_summary!G:G, fact_batting_summary!E:E, fact_batting_summary!E2094)</f>
        <v>576</v>
      </c>
      <c r="B2094" s="9">
        <f>AVERAGEIFS(fact_batting_summary!G:G, fact_batting_summary!E:E,fact_batting_summary!E2094)</f>
        <v>26.181818181818183</v>
      </c>
      <c r="C2094">
        <v>4</v>
      </c>
    </row>
    <row r="2095" spans="1:3" x14ac:dyDescent="0.45">
      <c r="A2095">
        <f>SUMIFS(fact_batting_summary!G:G, fact_batting_summary!E:E, fact_batting_summary!E2095)</f>
        <v>169</v>
      </c>
      <c r="B2095" s="9">
        <f>AVERAGEIFS(fact_batting_summary!G:G, fact_batting_summary!E:E,fact_batting_summary!E2095)</f>
        <v>21.125</v>
      </c>
      <c r="C2095">
        <v>5</v>
      </c>
    </row>
    <row r="2096" spans="1:3" x14ac:dyDescent="0.45">
      <c r="A2096">
        <f>SUMIFS(fact_batting_summary!G:G, fact_batting_summary!E:E, fact_batting_summary!E2096)</f>
        <v>23</v>
      </c>
      <c r="B2096" s="9">
        <f>AVERAGEIFS(fact_batting_summary!G:G, fact_batting_summary!E:E,fact_batting_summary!E2096)</f>
        <v>4.5999999999999996</v>
      </c>
      <c r="C2096">
        <v>6</v>
      </c>
    </row>
    <row r="2097" spans="1:3" x14ac:dyDescent="0.45">
      <c r="A2097">
        <f>SUMIFS(fact_batting_summary!G:G, fact_batting_summary!E:E, fact_batting_summary!E2097)</f>
        <v>819</v>
      </c>
      <c r="B2097" s="9">
        <f>AVERAGEIFS(fact_batting_summary!G:G, fact_batting_summary!E:E,fact_batting_summary!E2097)</f>
        <v>22.135135135135137</v>
      </c>
      <c r="C2097">
        <v>1</v>
      </c>
    </row>
    <row r="2098" spans="1:3" x14ac:dyDescent="0.45">
      <c r="A2098">
        <f>SUMIFS(fact_batting_summary!G:G, fact_batting_summary!E:E, fact_batting_summary!E2098)</f>
        <v>1851</v>
      </c>
      <c r="B2098" s="9">
        <f>AVERAGEIFS(fact_batting_summary!G:G, fact_batting_summary!E:E,fact_batting_summary!E2098)</f>
        <v>37.020000000000003</v>
      </c>
      <c r="C2098">
        <v>2</v>
      </c>
    </row>
    <row r="2099" spans="1:3" x14ac:dyDescent="0.45">
      <c r="A2099">
        <f>SUMIFS(fact_batting_summary!G:G, fact_batting_summary!E:E, fact_batting_summary!E2099)</f>
        <v>507</v>
      </c>
      <c r="B2099" s="9">
        <f>AVERAGEIFS(fact_batting_summary!G:G, fact_batting_summary!E:E,fact_batting_summary!E2099)</f>
        <v>39</v>
      </c>
      <c r="C2099">
        <v>3</v>
      </c>
    </row>
    <row r="2100" spans="1:3" x14ac:dyDescent="0.45">
      <c r="A2100">
        <f>SUMIFS(fact_batting_summary!G:G, fact_batting_summary!E:E, fact_batting_summary!E2100)</f>
        <v>960</v>
      </c>
      <c r="B2100" s="9">
        <f>AVERAGEIFS(fact_batting_summary!G:G, fact_batting_summary!E:E,fact_batting_summary!E2100)</f>
        <v>23.414634146341463</v>
      </c>
      <c r="C2100">
        <v>4</v>
      </c>
    </row>
    <row r="2101" spans="1:3" x14ac:dyDescent="0.45">
      <c r="A2101">
        <f>SUMIFS(fact_batting_summary!G:G, fact_batting_summary!E:E, fact_batting_summary!E2101)</f>
        <v>304</v>
      </c>
      <c r="B2101" s="9">
        <f>AVERAGEIFS(fact_batting_summary!G:G, fact_batting_summary!E:E,fact_batting_summary!E2101)</f>
        <v>11.692307692307692</v>
      </c>
      <c r="C2101">
        <v>5</v>
      </c>
    </row>
    <row r="2102" spans="1:3" x14ac:dyDescent="0.45">
      <c r="A2102">
        <f>SUMIFS(fact_batting_summary!G:G, fact_batting_summary!E:E, fact_batting_summary!E2102)</f>
        <v>1593</v>
      </c>
      <c r="B2102" s="9">
        <f>AVERAGEIFS(fact_batting_summary!G:G, fact_batting_summary!E:E,fact_batting_summary!E2102)</f>
        <v>35.4</v>
      </c>
      <c r="C2102">
        <v>1</v>
      </c>
    </row>
    <row r="2103" spans="1:3" x14ac:dyDescent="0.45">
      <c r="A2103">
        <f>SUMIFS(fact_batting_summary!G:G, fact_batting_summary!E:E, fact_batting_summary!E2103)</f>
        <v>924</v>
      </c>
      <c r="B2103" s="9">
        <f>AVERAGEIFS(fact_batting_summary!G:G, fact_batting_summary!E:E,fact_batting_summary!E2103)</f>
        <v>42</v>
      </c>
      <c r="C2103">
        <v>2</v>
      </c>
    </row>
    <row r="2104" spans="1:3" x14ac:dyDescent="0.45">
      <c r="A2104">
        <f>SUMIFS(fact_batting_summary!G:G, fact_batting_summary!E:E, fact_batting_summary!E2104)</f>
        <v>937</v>
      </c>
      <c r="B2104" s="9">
        <f>AVERAGEIFS(fact_batting_summary!G:G, fact_batting_summary!E:E,fact_batting_summary!E2104)</f>
        <v>27.558823529411764</v>
      </c>
      <c r="C2104">
        <v>3</v>
      </c>
    </row>
    <row r="2105" spans="1:3" x14ac:dyDescent="0.45">
      <c r="A2105">
        <f>SUMIFS(fact_batting_summary!G:G, fact_batting_summary!E:E, fact_batting_summary!E2105)</f>
        <v>467</v>
      </c>
      <c r="B2105" s="9">
        <f>AVERAGEIFS(fact_batting_summary!G:G, fact_batting_summary!E:E,fact_batting_summary!E2105)</f>
        <v>24.578947368421051</v>
      </c>
      <c r="C2105">
        <v>4</v>
      </c>
    </row>
    <row r="2106" spans="1:3" x14ac:dyDescent="0.45">
      <c r="A2106">
        <f>SUMIFS(fact_batting_summary!G:G, fact_batting_summary!E:E, fact_batting_summary!E2106)</f>
        <v>689</v>
      </c>
      <c r="B2106" s="9">
        <f>AVERAGEIFS(fact_batting_summary!G:G, fact_batting_summary!E:E,fact_batting_summary!E2106)</f>
        <v>19.138888888888889</v>
      </c>
      <c r="C2106">
        <v>5</v>
      </c>
    </row>
    <row r="2107" spans="1:3" x14ac:dyDescent="0.45">
      <c r="A2107">
        <f>SUMIFS(fact_batting_summary!G:G, fact_batting_summary!E:E, fact_batting_summary!E2107)</f>
        <v>450</v>
      </c>
      <c r="B2107" s="9">
        <f>AVERAGEIFS(fact_batting_summary!G:G, fact_batting_summary!E:E,fact_batting_summary!E2107)</f>
        <v>12.5</v>
      </c>
      <c r="C2107">
        <v>6</v>
      </c>
    </row>
    <row r="2108" spans="1:3" x14ac:dyDescent="0.45">
      <c r="A2108">
        <f>SUMIFS(fact_batting_summary!G:G, fact_batting_summary!E:E, fact_batting_summary!E2108)</f>
        <v>533</v>
      </c>
      <c r="B2108" s="9">
        <f>AVERAGEIFS(fact_batting_summary!G:G, fact_batting_summary!E:E,fact_batting_summary!E2108)</f>
        <v>15.676470588235293</v>
      </c>
      <c r="C2108">
        <v>7</v>
      </c>
    </row>
    <row r="2109" spans="1:3" x14ac:dyDescent="0.45">
      <c r="A2109">
        <f>SUMIFS(fact_batting_summary!G:G, fact_batting_summary!E:E, fact_batting_summary!E2109)</f>
        <v>819</v>
      </c>
      <c r="B2109" s="9">
        <f>AVERAGEIFS(fact_batting_summary!G:G, fact_batting_summary!E:E,fact_batting_summary!E2109)</f>
        <v>22.135135135135137</v>
      </c>
      <c r="C2109">
        <v>1</v>
      </c>
    </row>
    <row r="2110" spans="1:3" x14ac:dyDescent="0.45">
      <c r="A2110">
        <f>SUMIFS(fact_batting_summary!G:G, fact_batting_summary!E:E, fact_batting_summary!E2110)</f>
        <v>1851</v>
      </c>
      <c r="B2110" s="9">
        <f>AVERAGEIFS(fact_batting_summary!G:G, fact_batting_summary!E:E,fact_batting_summary!E2110)</f>
        <v>37.020000000000003</v>
      </c>
      <c r="C2110">
        <v>2</v>
      </c>
    </row>
    <row r="2111" spans="1:3" x14ac:dyDescent="0.45">
      <c r="A2111">
        <f>SUMIFS(fact_batting_summary!G:G, fact_batting_summary!E:E, fact_batting_summary!E2111)</f>
        <v>507</v>
      </c>
      <c r="B2111" s="9">
        <f>AVERAGEIFS(fact_batting_summary!G:G, fact_batting_summary!E:E,fact_batting_summary!E2111)</f>
        <v>39</v>
      </c>
      <c r="C2111">
        <v>3</v>
      </c>
    </row>
    <row r="2112" spans="1:3" x14ac:dyDescent="0.45">
      <c r="A2112">
        <f>SUMIFS(fact_batting_summary!G:G, fact_batting_summary!E:E, fact_batting_summary!E2112)</f>
        <v>960</v>
      </c>
      <c r="B2112" s="9">
        <f>AVERAGEIFS(fact_batting_summary!G:G, fact_batting_summary!E:E,fact_batting_summary!E2112)</f>
        <v>23.414634146341463</v>
      </c>
      <c r="C2112">
        <v>4</v>
      </c>
    </row>
    <row r="2113" spans="1:3" x14ac:dyDescent="0.45">
      <c r="A2113">
        <f>SUMIFS(fact_batting_summary!G:G, fact_batting_summary!E:E, fact_batting_summary!E2113)</f>
        <v>304</v>
      </c>
      <c r="B2113" s="9">
        <f>AVERAGEIFS(fact_batting_summary!G:G, fact_batting_summary!E:E,fact_batting_summary!E2113)</f>
        <v>11.692307692307692</v>
      </c>
      <c r="C2113">
        <v>5</v>
      </c>
    </row>
    <row r="2114" spans="1:3" x14ac:dyDescent="0.45">
      <c r="A2114">
        <f>SUMIFS(fact_batting_summary!G:G, fact_batting_summary!E:E, fact_batting_summary!E2114)</f>
        <v>981</v>
      </c>
      <c r="B2114" s="9">
        <f>AVERAGEIFS(fact_batting_summary!G:G, fact_batting_summary!E:E,fact_batting_summary!E2114)</f>
        <v>22.813953488372093</v>
      </c>
      <c r="C2114">
        <v>1</v>
      </c>
    </row>
    <row r="2115" spans="1:3" x14ac:dyDescent="0.45">
      <c r="A2115">
        <f>SUMIFS(fact_batting_summary!G:G, fact_batting_summary!E:E, fact_batting_summary!E2115)</f>
        <v>241</v>
      </c>
      <c r="B2115" s="9">
        <f>AVERAGEIFS(fact_batting_summary!G:G, fact_batting_summary!E:E,fact_batting_summary!E2115)</f>
        <v>24.1</v>
      </c>
      <c r="C2115">
        <v>2</v>
      </c>
    </row>
    <row r="2116" spans="1:3" x14ac:dyDescent="0.45">
      <c r="A2116">
        <f>SUMIFS(fact_batting_summary!G:G, fact_batting_summary!E:E, fact_batting_summary!E2116)</f>
        <v>452</v>
      </c>
      <c r="B2116" s="9">
        <f>AVERAGEIFS(fact_batting_summary!G:G, fact_batting_summary!E:E,fact_batting_summary!E2116)</f>
        <v>28.25</v>
      </c>
      <c r="C2116">
        <v>3</v>
      </c>
    </row>
    <row r="2117" spans="1:3" x14ac:dyDescent="0.45">
      <c r="A2117">
        <f>SUMIFS(fact_batting_summary!G:G, fact_batting_summary!E:E, fact_batting_summary!E2117)</f>
        <v>1225</v>
      </c>
      <c r="B2117" s="9">
        <f>AVERAGEIFS(fact_batting_summary!G:G, fact_batting_summary!E:E,fact_batting_summary!E2117)</f>
        <v>32.236842105263158</v>
      </c>
      <c r="C2117">
        <v>4</v>
      </c>
    </row>
    <row r="2118" spans="1:3" x14ac:dyDescent="0.45">
      <c r="A2118">
        <f>SUMIFS(fact_batting_summary!G:G, fact_batting_summary!E:E, fact_batting_summary!E2118)</f>
        <v>740</v>
      </c>
      <c r="B2118" s="9">
        <f>AVERAGEIFS(fact_batting_summary!G:G, fact_batting_summary!E:E,fact_batting_summary!E2118)</f>
        <v>29.6</v>
      </c>
      <c r="C2118">
        <v>5</v>
      </c>
    </row>
    <row r="2119" spans="1:3" x14ac:dyDescent="0.45">
      <c r="A2119">
        <f>SUMIFS(fact_batting_summary!G:G, fact_batting_summary!E:E, fact_batting_summary!E2119)</f>
        <v>37</v>
      </c>
      <c r="B2119" s="9">
        <f>AVERAGEIFS(fact_batting_summary!G:G, fact_batting_summary!E:E,fact_batting_summary!E2119)</f>
        <v>12.333333333333334</v>
      </c>
      <c r="C2119">
        <v>6</v>
      </c>
    </row>
    <row r="2120" spans="1:3" x14ac:dyDescent="0.45">
      <c r="A2120">
        <f>SUMIFS(fact_batting_summary!G:G, fact_batting_summary!E:E, fact_batting_summary!E2120)</f>
        <v>418</v>
      </c>
      <c r="B2120" s="9">
        <f>AVERAGEIFS(fact_batting_summary!G:G, fact_batting_summary!E:E,fact_batting_summary!E2120)</f>
        <v>17.416666666666668</v>
      </c>
      <c r="C2120">
        <v>7</v>
      </c>
    </row>
    <row r="2121" spans="1:3" x14ac:dyDescent="0.45">
      <c r="A2121">
        <f>SUMIFS(fact_batting_summary!G:G, fact_batting_summary!E:E, fact_batting_summary!E2121)</f>
        <v>49</v>
      </c>
      <c r="B2121" s="9">
        <f>AVERAGEIFS(fact_batting_summary!G:G, fact_batting_summary!E:E,fact_batting_summary!E2121)</f>
        <v>8.1666666666666661</v>
      </c>
      <c r="C2121">
        <v>8</v>
      </c>
    </row>
    <row r="2122" spans="1:3" x14ac:dyDescent="0.45">
      <c r="A2122">
        <f>SUMIFS(fact_batting_summary!G:G, fact_batting_summary!E:E, fact_batting_summary!E2122)</f>
        <v>25</v>
      </c>
      <c r="B2122" s="9">
        <f>AVERAGEIFS(fact_batting_summary!G:G, fact_batting_summary!E:E,fact_batting_summary!E2122)</f>
        <v>5</v>
      </c>
      <c r="C2122">
        <v>9</v>
      </c>
    </row>
    <row r="2123" spans="1:3" x14ac:dyDescent="0.45">
      <c r="A2123">
        <f>SUMIFS(fact_batting_summary!G:G, fact_batting_summary!E:E, fact_batting_summary!E2123)</f>
        <v>9</v>
      </c>
      <c r="B2123" s="9">
        <f>AVERAGEIFS(fact_batting_summary!G:G, fact_batting_summary!E:E,fact_batting_summary!E2123)</f>
        <v>4.5</v>
      </c>
      <c r="C2123">
        <v>10</v>
      </c>
    </row>
    <row r="2124" spans="1:3" x14ac:dyDescent="0.45">
      <c r="A2124">
        <f>SUMIFS(fact_batting_summary!G:G, fact_batting_summary!E:E, fact_batting_summary!E2124)</f>
        <v>6</v>
      </c>
      <c r="B2124" s="9">
        <f>AVERAGEIFS(fact_batting_summary!G:G, fact_batting_summary!E:E,fact_batting_summary!E2124)</f>
        <v>3</v>
      </c>
      <c r="C2124">
        <v>11</v>
      </c>
    </row>
    <row r="2125" spans="1:3" x14ac:dyDescent="0.45">
      <c r="A2125">
        <f>SUMIFS(fact_batting_summary!G:G, fact_batting_summary!E:E, fact_batting_summary!E2125)</f>
        <v>1113</v>
      </c>
      <c r="B2125" s="9">
        <f>AVERAGEIFS(fact_batting_summary!G:G, fact_batting_summary!E:E,fact_batting_summary!E2125)</f>
        <v>28.53846153846154</v>
      </c>
      <c r="C2125">
        <v>1</v>
      </c>
    </row>
    <row r="2126" spans="1:3" x14ac:dyDescent="0.45">
      <c r="A2126">
        <f>SUMIFS(fact_batting_summary!G:G, fact_batting_summary!E:E, fact_batting_summary!E2126)</f>
        <v>981</v>
      </c>
      <c r="B2126" s="9">
        <f>AVERAGEIFS(fact_batting_summary!G:G, fact_batting_summary!E:E,fact_batting_summary!E2126)</f>
        <v>22.813953488372093</v>
      </c>
      <c r="C2126">
        <v>2</v>
      </c>
    </row>
    <row r="2127" spans="1:3" x14ac:dyDescent="0.45">
      <c r="A2127">
        <f>SUMIFS(fact_batting_summary!G:G, fact_batting_summary!E:E, fact_batting_summary!E2127)</f>
        <v>452</v>
      </c>
      <c r="B2127" s="9">
        <f>AVERAGEIFS(fact_batting_summary!G:G, fact_batting_summary!E:E,fact_batting_summary!E2127)</f>
        <v>28.25</v>
      </c>
      <c r="C2127">
        <v>3</v>
      </c>
    </row>
    <row r="2128" spans="1:3" x14ac:dyDescent="0.45">
      <c r="A2128">
        <f>SUMIFS(fact_batting_summary!G:G, fact_batting_summary!E:E, fact_batting_summary!E2128)</f>
        <v>1225</v>
      </c>
      <c r="B2128" s="9">
        <f>AVERAGEIFS(fact_batting_summary!G:G, fact_batting_summary!E:E,fact_batting_summary!E2128)</f>
        <v>32.236842105263158</v>
      </c>
      <c r="C2128">
        <v>4</v>
      </c>
    </row>
    <row r="2129" spans="1:3" x14ac:dyDescent="0.45">
      <c r="A2129">
        <f>SUMIFS(fact_batting_summary!G:G, fact_batting_summary!E:E, fact_batting_summary!E2129)</f>
        <v>740</v>
      </c>
      <c r="B2129" s="9">
        <f>AVERAGEIFS(fact_batting_summary!G:G, fact_batting_summary!E:E,fact_batting_summary!E2129)</f>
        <v>29.6</v>
      </c>
      <c r="C2129">
        <v>5</v>
      </c>
    </row>
    <row r="2130" spans="1:3" x14ac:dyDescent="0.45">
      <c r="A2130">
        <f>SUMIFS(fact_batting_summary!G:G, fact_batting_summary!E:E, fact_batting_summary!E2130)</f>
        <v>418</v>
      </c>
      <c r="B2130" s="9">
        <f>AVERAGEIFS(fact_batting_summary!G:G, fact_batting_summary!E:E,fact_batting_summary!E2130)</f>
        <v>17.416666666666668</v>
      </c>
      <c r="C2130">
        <v>6</v>
      </c>
    </row>
    <row r="2131" spans="1:3" x14ac:dyDescent="0.45">
      <c r="A2131">
        <f>SUMIFS(fact_batting_summary!G:G, fact_batting_summary!E:E, fact_batting_summary!E2131)</f>
        <v>241</v>
      </c>
      <c r="B2131" s="9">
        <f>AVERAGEIFS(fact_batting_summary!G:G, fact_batting_summary!E:E,fact_batting_summary!E2131)</f>
        <v>24.1</v>
      </c>
      <c r="C2131">
        <v>7</v>
      </c>
    </row>
    <row r="2132" spans="1:3" x14ac:dyDescent="0.45">
      <c r="A2132">
        <f>SUMIFS(fact_batting_summary!G:G, fact_batting_summary!E:E, fact_batting_summary!E2132)</f>
        <v>49</v>
      </c>
      <c r="B2132" s="9">
        <f>AVERAGEIFS(fact_batting_summary!G:G, fact_batting_summary!E:E,fact_batting_summary!E2132)</f>
        <v>8.1666666666666661</v>
      </c>
      <c r="C2132">
        <v>8</v>
      </c>
    </row>
    <row r="2133" spans="1:3" x14ac:dyDescent="0.45">
      <c r="A2133">
        <f>SUMIFS(fact_batting_summary!G:G, fact_batting_summary!E:E, fact_batting_summary!E2133)</f>
        <v>66</v>
      </c>
      <c r="B2133" s="9">
        <f>AVERAGEIFS(fact_batting_summary!G:G, fact_batting_summary!E:E,fact_batting_summary!E2133)</f>
        <v>11</v>
      </c>
      <c r="C2133">
        <v>9</v>
      </c>
    </row>
    <row r="2134" spans="1:3" x14ac:dyDescent="0.45">
      <c r="A2134">
        <f>SUMIFS(fact_batting_summary!G:G, fact_batting_summary!E:E, fact_batting_summary!E2134)</f>
        <v>365</v>
      </c>
      <c r="B2134" s="9">
        <f>AVERAGEIFS(fact_batting_summary!G:G, fact_batting_summary!E:E,fact_batting_summary!E2134)</f>
        <v>30.416666666666668</v>
      </c>
      <c r="C2134">
        <v>1</v>
      </c>
    </row>
    <row r="2135" spans="1:3" x14ac:dyDescent="0.45">
      <c r="A2135">
        <f>SUMIFS(fact_batting_summary!G:G, fact_batting_summary!E:E, fact_batting_summary!E2135)</f>
        <v>97</v>
      </c>
      <c r="B2135" s="9">
        <f>AVERAGEIFS(fact_batting_summary!G:G, fact_batting_summary!E:E,fact_batting_summary!E2135)</f>
        <v>16.166666666666668</v>
      </c>
      <c r="C2135">
        <v>2</v>
      </c>
    </row>
    <row r="2136" spans="1:3" x14ac:dyDescent="0.45">
      <c r="A2136">
        <f>SUMIFS(fact_batting_summary!G:G, fact_batting_summary!E:E, fact_batting_summary!E2136)</f>
        <v>514</v>
      </c>
      <c r="B2136" s="9">
        <f>AVERAGEIFS(fact_batting_summary!G:G, fact_batting_summary!E:E,fact_batting_summary!E2136)</f>
        <v>13.526315789473685</v>
      </c>
      <c r="C2136">
        <v>3</v>
      </c>
    </row>
    <row r="2137" spans="1:3" x14ac:dyDescent="0.45">
      <c r="A2137">
        <f>SUMIFS(fact_batting_summary!G:G, fact_batting_summary!E:E, fact_batting_summary!E2137)</f>
        <v>645</v>
      </c>
      <c r="B2137" s="9">
        <f>AVERAGEIFS(fact_batting_summary!G:G, fact_batting_summary!E:E,fact_batting_summary!E2137)</f>
        <v>21.5</v>
      </c>
      <c r="C2137">
        <v>4</v>
      </c>
    </row>
    <row r="2138" spans="1:3" x14ac:dyDescent="0.45">
      <c r="A2138">
        <f>SUMIFS(fact_batting_summary!G:G, fact_batting_summary!E:E, fact_batting_summary!E2138)</f>
        <v>340</v>
      </c>
      <c r="B2138" s="9">
        <f>AVERAGEIFS(fact_batting_summary!G:G, fact_batting_summary!E:E,fact_batting_summary!E2138)</f>
        <v>15.454545454545455</v>
      </c>
      <c r="C2138">
        <v>5</v>
      </c>
    </row>
    <row r="2139" spans="1:3" x14ac:dyDescent="0.45">
      <c r="A2139">
        <f>SUMIFS(fact_batting_summary!G:G, fact_batting_summary!E:E, fact_batting_summary!E2139)</f>
        <v>729</v>
      </c>
      <c r="B2139" s="9">
        <f>AVERAGEIFS(fact_batting_summary!G:G, fact_batting_summary!E:E,fact_batting_summary!E2139)</f>
        <v>19.184210526315791</v>
      </c>
      <c r="C2139">
        <v>6</v>
      </c>
    </row>
    <row r="2140" spans="1:3" x14ac:dyDescent="0.45">
      <c r="A2140">
        <f>SUMIFS(fact_batting_summary!G:G, fact_batting_summary!E:E, fact_batting_summary!E2140)</f>
        <v>695</v>
      </c>
      <c r="B2140" s="9">
        <f>AVERAGEIFS(fact_batting_summary!G:G, fact_batting_summary!E:E,fact_batting_summary!E2140)</f>
        <v>18.783783783783782</v>
      </c>
      <c r="C2140">
        <v>7</v>
      </c>
    </row>
    <row r="2141" spans="1:3" x14ac:dyDescent="0.45">
      <c r="A2141">
        <f>SUMIFS(fact_batting_summary!G:G, fact_batting_summary!E:E, fact_batting_summary!E2141)</f>
        <v>60</v>
      </c>
      <c r="B2141" s="9">
        <f>AVERAGEIFS(fact_batting_summary!G:G, fact_batting_summary!E:E,fact_batting_summary!E2141)</f>
        <v>8.5714285714285712</v>
      </c>
      <c r="C2141">
        <v>8</v>
      </c>
    </row>
    <row r="2142" spans="1:3" x14ac:dyDescent="0.45">
      <c r="A2142">
        <f>SUMIFS(fact_batting_summary!G:G, fact_batting_summary!E:E, fact_batting_summary!E2142)</f>
        <v>21</v>
      </c>
      <c r="B2142" s="9">
        <f>AVERAGEIFS(fact_batting_summary!G:G, fact_batting_summary!E:E,fact_batting_summary!E2142)</f>
        <v>2.3333333333333335</v>
      </c>
      <c r="C2142">
        <v>9</v>
      </c>
    </row>
    <row r="2143" spans="1:3" x14ac:dyDescent="0.45">
      <c r="A2143">
        <f>SUMIFS(fact_batting_summary!G:G, fact_batting_summary!E:E, fact_batting_summary!E2143)</f>
        <v>16</v>
      </c>
      <c r="B2143" s="9">
        <f>AVERAGEIFS(fact_batting_summary!G:G, fact_batting_summary!E:E,fact_batting_summary!E2143)</f>
        <v>5.333333333333333</v>
      </c>
      <c r="C2143">
        <v>10</v>
      </c>
    </row>
    <row r="2144" spans="1:3" x14ac:dyDescent="0.45">
      <c r="A2144">
        <f>SUMIFS(fact_batting_summary!G:G, fact_batting_summary!E:E, fact_batting_summary!E2144)</f>
        <v>23</v>
      </c>
      <c r="B2144" s="9">
        <f>AVERAGEIFS(fact_batting_summary!G:G, fact_batting_summary!E:E,fact_batting_summary!E2144)</f>
        <v>5.75</v>
      </c>
      <c r="C2144">
        <v>11</v>
      </c>
    </row>
    <row r="2145" spans="1:3" x14ac:dyDescent="0.45">
      <c r="A2145">
        <f>SUMIFS(fact_batting_summary!G:G, fact_batting_summary!E:E, fact_batting_summary!E2145)</f>
        <v>1593</v>
      </c>
      <c r="B2145" s="9">
        <f>AVERAGEIFS(fact_batting_summary!G:G, fact_batting_summary!E:E,fact_batting_summary!E2145)</f>
        <v>35.4</v>
      </c>
      <c r="C2145">
        <v>1</v>
      </c>
    </row>
    <row r="2146" spans="1:3" x14ac:dyDescent="0.45">
      <c r="A2146">
        <f>SUMIFS(fact_batting_summary!G:G, fact_batting_summary!E:E, fact_batting_summary!E2146)</f>
        <v>924</v>
      </c>
      <c r="B2146" s="9">
        <f>AVERAGEIFS(fact_batting_summary!G:G, fact_batting_summary!E:E,fact_batting_summary!E2146)</f>
        <v>42</v>
      </c>
      <c r="C2146">
        <v>2</v>
      </c>
    </row>
    <row r="2147" spans="1:3" x14ac:dyDescent="0.45">
      <c r="A2147">
        <f>SUMIFS(fact_batting_summary!G:G, fact_batting_summary!E:E, fact_batting_summary!E2147)</f>
        <v>937</v>
      </c>
      <c r="B2147" s="9">
        <f>AVERAGEIFS(fact_batting_summary!G:G, fact_batting_summary!E:E,fact_batting_summary!E2147)</f>
        <v>27.558823529411764</v>
      </c>
      <c r="C2147">
        <v>3</v>
      </c>
    </row>
    <row r="2148" spans="1:3" x14ac:dyDescent="0.45">
      <c r="A2148">
        <f>SUMIFS(fact_batting_summary!G:G, fact_batting_summary!E:E, fact_batting_summary!E2148)</f>
        <v>467</v>
      </c>
      <c r="B2148" s="9">
        <f>AVERAGEIFS(fact_batting_summary!G:G, fact_batting_summary!E:E,fact_batting_summary!E2148)</f>
        <v>24.578947368421051</v>
      </c>
      <c r="C2148">
        <v>4</v>
      </c>
    </row>
    <row r="2149" spans="1:3" x14ac:dyDescent="0.45">
      <c r="A2149">
        <f>SUMIFS(fact_batting_summary!G:G, fact_batting_summary!E:E, fact_batting_summary!E2149)</f>
        <v>689</v>
      </c>
      <c r="B2149" s="9">
        <f>AVERAGEIFS(fact_batting_summary!G:G, fact_batting_summary!E:E,fact_batting_summary!E2149)</f>
        <v>19.138888888888889</v>
      </c>
      <c r="C2149">
        <v>5</v>
      </c>
    </row>
    <row r="2150" spans="1:3" x14ac:dyDescent="0.45">
      <c r="A2150">
        <f>SUMIFS(fact_batting_summary!G:G, fact_batting_summary!E:E, fact_batting_summary!E2150)</f>
        <v>533</v>
      </c>
      <c r="B2150" s="9">
        <f>AVERAGEIFS(fact_batting_summary!G:G, fact_batting_summary!E:E,fact_batting_summary!E2150)</f>
        <v>15.676470588235293</v>
      </c>
      <c r="C2150">
        <v>6</v>
      </c>
    </row>
    <row r="2151" spans="1:3" x14ac:dyDescent="0.45">
      <c r="A2151">
        <f>SUMIFS(fact_batting_summary!G:G, fact_batting_summary!E:E, fact_batting_summary!E2151)</f>
        <v>450</v>
      </c>
      <c r="B2151" s="9">
        <f>AVERAGEIFS(fact_batting_summary!G:G, fact_batting_summary!E:E,fact_batting_summary!E2151)</f>
        <v>12.5</v>
      </c>
      <c r="C2151">
        <v>7</v>
      </c>
    </row>
    <row r="2152" spans="1:3" x14ac:dyDescent="0.45">
      <c r="A2152">
        <f>SUMIFS(fact_batting_summary!G:G, fact_batting_summary!E:E, fact_batting_summary!E2152)</f>
        <v>725</v>
      </c>
      <c r="B2152" s="9">
        <f>AVERAGEIFS(fact_batting_summary!G:G, fact_batting_summary!E:E,fact_batting_summary!E2152)</f>
        <v>20.714285714285715</v>
      </c>
      <c r="C2152">
        <v>8</v>
      </c>
    </row>
    <row r="2153" spans="1:3" x14ac:dyDescent="0.45">
      <c r="A2153">
        <f>SUMIFS(fact_batting_summary!G:G, fact_batting_summary!E:E, fact_batting_summary!E2153)</f>
        <v>819</v>
      </c>
      <c r="B2153" s="9">
        <f>AVERAGEIFS(fact_batting_summary!G:G, fact_batting_summary!E:E,fact_batting_summary!E2153)</f>
        <v>22.135135135135137</v>
      </c>
      <c r="C2153">
        <v>1</v>
      </c>
    </row>
    <row r="2154" spans="1:3" x14ac:dyDescent="0.45">
      <c r="A2154">
        <f>SUMIFS(fact_batting_summary!G:G, fact_batting_summary!E:E, fact_batting_summary!E2154)</f>
        <v>1851</v>
      </c>
      <c r="B2154" s="9">
        <f>AVERAGEIFS(fact_batting_summary!G:G, fact_batting_summary!E:E,fact_batting_summary!E2154)</f>
        <v>37.020000000000003</v>
      </c>
      <c r="C2154">
        <v>2</v>
      </c>
    </row>
    <row r="2155" spans="1:3" x14ac:dyDescent="0.45">
      <c r="A2155">
        <f>SUMIFS(fact_batting_summary!G:G, fact_batting_summary!E:E, fact_batting_summary!E2155)</f>
        <v>960</v>
      </c>
      <c r="B2155" s="9">
        <f>AVERAGEIFS(fact_batting_summary!G:G, fact_batting_summary!E:E,fact_batting_summary!E2155)</f>
        <v>23.414634146341463</v>
      </c>
      <c r="C2155">
        <v>3</v>
      </c>
    </row>
    <row r="2156" spans="1:3" x14ac:dyDescent="0.45">
      <c r="A2156">
        <f>SUMIFS(fact_batting_summary!G:G, fact_batting_summary!E:E, fact_batting_summary!E2156)</f>
        <v>26</v>
      </c>
      <c r="B2156" s="9">
        <f>AVERAGEIFS(fact_batting_summary!G:G, fact_batting_summary!E:E,fact_batting_summary!E2156)</f>
        <v>8.6666666666666661</v>
      </c>
      <c r="C2156">
        <v>4</v>
      </c>
    </row>
    <row r="2157" spans="1:3" x14ac:dyDescent="0.45">
      <c r="A2157">
        <f>SUMIFS(fact_batting_summary!G:G, fact_batting_summary!E:E, fact_batting_summary!E2157)</f>
        <v>864</v>
      </c>
      <c r="B2157" s="9">
        <f>AVERAGEIFS(fact_batting_summary!G:G, fact_batting_summary!E:E,fact_batting_summary!E2157)</f>
        <v>23.351351351351351</v>
      </c>
      <c r="C2157">
        <v>5</v>
      </c>
    </row>
    <row r="2158" spans="1:3" x14ac:dyDescent="0.45">
      <c r="A2158">
        <f>SUMIFS(fact_batting_summary!G:G, fact_batting_summary!E:E, fact_batting_summary!E2158)</f>
        <v>370</v>
      </c>
      <c r="B2158" s="9">
        <f>AVERAGEIFS(fact_batting_summary!G:G, fact_batting_summary!E:E,fact_batting_summary!E2158)</f>
        <v>20.555555555555557</v>
      </c>
      <c r="C2158">
        <v>6</v>
      </c>
    </row>
    <row r="2159" spans="1:3" x14ac:dyDescent="0.45">
      <c r="A2159">
        <f>SUMIFS(fact_batting_summary!G:G, fact_batting_summary!E:E, fact_batting_summary!E2159)</f>
        <v>459</v>
      </c>
      <c r="B2159" s="9">
        <f>AVERAGEIFS(fact_batting_summary!G:G, fact_batting_summary!E:E,fact_batting_summary!E2159)</f>
        <v>13.909090909090908</v>
      </c>
      <c r="C2159">
        <v>7</v>
      </c>
    </row>
    <row r="2160" spans="1:3" x14ac:dyDescent="0.45">
      <c r="A2160">
        <f>SUMIFS(fact_batting_summary!G:G, fact_batting_summary!E:E, fact_batting_summary!E2160)</f>
        <v>304</v>
      </c>
      <c r="B2160" s="9">
        <f>AVERAGEIFS(fact_batting_summary!G:G, fact_batting_summary!E:E,fact_batting_summary!E2160)</f>
        <v>11.692307692307692</v>
      </c>
      <c r="C2160">
        <v>8</v>
      </c>
    </row>
    <row r="2161" spans="1:3" x14ac:dyDescent="0.45">
      <c r="A2161">
        <f>SUMIFS(fact_batting_summary!G:G, fact_batting_summary!E:E, fact_batting_summary!E2161)</f>
        <v>0</v>
      </c>
      <c r="B2161" s="9">
        <f>AVERAGEIFS(fact_batting_summary!G:G, fact_batting_summary!E:E,fact_batting_summary!E2161)</f>
        <v>0</v>
      </c>
      <c r="C2161">
        <v>9</v>
      </c>
    </row>
    <row r="2162" spans="1:3" x14ac:dyDescent="0.45">
      <c r="A2162">
        <f>SUMIFS(fact_batting_summary!G:G, fact_batting_summary!E:E, fact_batting_summary!E2162)</f>
        <v>8</v>
      </c>
      <c r="B2162" s="9">
        <f>AVERAGEIFS(fact_batting_summary!G:G, fact_batting_summary!E:E,fact_batting_summary!E2162)</f>
        <v>2.6666666666666665</v>
      </c>
      <c r="C2162">
        <v>10</v>
      </c>
    </row>
    <row r="2163" spans="1:3" x14ac:dyDescent="0.45">
      <c r="A2163">
        <f>SUMIFS(fact_batting_summary!G:G, fact_batting_summary!E:E, fact_batting_summary!E2163)</f>
        <v>18</v>
      </c>
      <c r="B2163" s="9">
        <f>AVERAGEIFS(fact_batting_summary!G:G, fact_batting_summary!E:E,fact_batting_summary!E2163)</f>
        <v>3</v>
      </c>
      <c r="C2163">
        <v>11</v>
      </c>
    </row>
    <row r="2164" spans="1:3" x14ac:dyDescent="0.45">
      <c r="A2164">
        <f>SUMIFS(fact_batting_summary!G:G, fact_batting_summary!E:E, fact_batting_summary!E2164)</f>
        <v>1385</v>
      </c>
      <c r="B2164" s="9">
        <f>AVERAGEIFS(fact_batting_summary!G:G, fact_batting_summary!E:E,fact_batting_summary!E2164)</f>
        <v>30.777777777777779</v>
      </c>
      <c r="C2164">
        <v>1</v>
      </c>
    </row>
    <row r="2165" spans="1:3" x14ac:dyDescent="0.45">
      <c r="A2165">
        <f>SUMIFS(fact_batting_summary!G:G, fact_batting_summary!E:E, fact_batting_summary!E2165)</f>
        <v>1831</v>
      </c>
      <c r="B2165" s="9">
        <f>AVERAGEIFS(fact_batting_summary!G:G, fact_batting_summary!E:E,fact_batting_summary!E2165)</f>
        <v>39.804347826086953</v>
      </c>
      <c r="C2165">
        <v>2</v>
      </c>
    </row>
    <row r="2166" spans="1:3" x14ac:dyDescent="0.45">
      <c r="A2166">
        <f>SUMIFS(fact_batting_summary!G:G, fact_batting_summary!E:E, fact_batting_summary!E2166)</f>
        <v>1214</v>
      </c>
      <c r="B2166" s="9">
        <f>AVERAGEIFS(fact_batting_summary!G:G, fact_batting_summary!E:E,fact_batting_summary!E2166)</f>
        <v>29.609756097560975</v>
      </c>
      <c r="C2166">
        <v>3</v>
      </c>
    </row>
    <row r="2167" spans="1:3" x14ac:dyDescent="0.45">
      <c r="A2167">
        <f>SUMIFS(fact_batting_summary!G:G, fact_batting_summary!E:E, fact_batting_summary!E2167)</f>
        <v>315</v>
      </c>
      <c r="B2167" s="9">
        <f>AVERAGEIFS(fact_batting_summary!G:G, fact_batting_summary!E:E,fact_batting_summary!E2167)</f>
        <v>16.578947368421051</v>
      </c>
      <c r="C2167">
        <v>4</v>
      </c>
    </row>
    <row r="2168" spans="1:3" x14ac:dyDescent="0.45">
      <c r="A2168">
        <f>SUMIFS(fact_batting_summary!G:G, fact_batting_summary!E:E, fact_batting_summary!E2168)</f>
        <v>58</v>
      </c>
      <c r="B2168" s="9">
        <f>AVERAGEIFS(fact_batting_summary!G:G, fact_batting_summary!E:E,fact_batting_summary!E2168)</f>
        <v>14.5</v>
      </c>
      <c r="C2168">
        <v>5</v>
      </c>
    </row>
    <row r="2169" spans="1:3" x14ac:dyDescent="0.45">
      <c r="A2169">
        <f>SUMIFS(fact_batting_summary!G:G, fact_batting_summary!E:E, fact_batting_summary!E2169)</f>
        <v>693</v>
      </c>
      <c r="B2169" s="9">
        <f>AVERAGEIFS(fact_batting_summary!G:G, fact_batting_summary!E:E,fact_batting_summary!E2169)</f>
        <v>15.75</v>
      </c>
      <c r="C2169">
        <v>6</v>
      </c>
    </row>
    <row r="2170" spans="1:3" x14ac:dyDescent="0.45">
      <c r="A2170">
        <f>SUMIFS(fact_batting_summary!G:G, fact_batting_summary!E:E, fact_batting_summary!E2170)</f>
        <v>220</v>
      </c>
      <c r="B2170" s="9">
        <f>AVERAGEIFS(fact_batting_summary!G:G, fact_batting_summary!E:E,fact_batting_summary!E2170)</f>
        <v>13.75</v>
      </c>
      <c r="C2170">
        <v>7</v>
      </c>
    </row>
    <row r="2171" spans="1:3" x14ac:dyDescent="0.45">
      <c r="A2171">
        <f>SUMIFS(fact_batting_summary!G:G, fact_batting_summary!E:E, fact_batting_summary!E2171)</f>
        <v>819</v>
      </c>
      <c r="B2171" s="9">
        <f>AVERAGEIFS(fact_batting_summary!G:G, fact_batting_summary!E:E,fact_batting_summary!E2171)</f>
        <v>22.135135135135137</v>
      </c>
      <c r="C2171">
        <v>1</v>
      </c>
    </row>
    <row r="2172" spans="1:3" x14ac:dyDescent="0.45">
      <c r="A2172">
        <f>SUMIFS(fact_batting_summary!G:G, fact_batting_summary!E:E, fact_batting_summary!E2172)</f>
        <v>1851</v>
      </c>
      <c r="B2172" s="9">
        <f>AVERAGEIFS(fact_batting_summary!G:G, fact_batting_summary!E:E,fact_batting_summary!E2172)</f>
        <v>37.020000000000003</v>
      </c>
      <c r="C2172">
        <v>2</v>
      </c>
    </row>
    <row r="2173" spans="1:3" x14ac:dyDescent="0.45">
      <c r="A2173">
        <f>SUMIFS(fact_batting_summary!G:G, fact_batting_summary!E:E, fact_batting_summary!E2173)</f>
        <v>370</v>
      </c>
      <c r="B2173" s="9">
        <f>AVERAGEIFS(fact_batting_summary!G:G, fact_batting_summary!E:E,fact_batting_summary!E2173)</f>
        <v>20.555555555555557</v>
      </c>
      <c r="C2173">
        <v>3</v>
      </c>
    </row>
    <row r="2174" spans="1:3" x14ac:dyDescent="0.45">
      <c r="A2174">
        <f>SUMIFS(fact_batting_summary!G:G, fact_batting_summary!E:E, fact_batting_summary!E2174)</f>
        <v>26</v>
      </c>
      <c r="B2174" s="9">
        <f>AVERAGEIFS(fact_batting_summary!G:G, fact_batting_summary!E:E,fact_batting_summary!E2174)</f>
        <v>8.6666666666666661</v>
      </c>
      <c r="C2174">
        <v>4</v>
      </c>
    </row>
    <row r="2175" spans="1:3" x14ac:dyDescent="0.45">
      <c r="A2175">
        <f>SUMIFS(fact_batting_summary!G:G, fact_batting_summary!E:E, fact_batting_summary!E2175)</f>
        <v>864</v>
      </c>
      <c r="B2175" s="9">
        <f>AVERAGEIFS(fact_batting_summary!G:G, fact_batting_summary!E:E,fact_batting_summary!E2175)</f>
        <v>23.351351351351351</v>
      </c>
      <c r="C2175">
        <v>5</v>
      </c>
    </row>
    <row r="2176" spans="1:3" x14ac:dyDescent="0.45">
      <c r="A2176">
        <f>SUMIFS(fact_batting_summary!G:G, fact_batting_summary!E:E, fact_batting_summary!E2176)</f>
        <v>459</v>
      </c>
      <c r="B2176" s="9">
        <f>AVERAGEIFS(fact_batting_summary!G:G, fact_batting_summary!E:E,fact_batting_summary!E2176)</f>
        <v>13.909090909090908</v>
      </c>
      <c r="C2176">
        <v>6</v>
      </c>
    </row>
    <row r="2177" spans="1:3" x14ac:dyDescent="0.45">
      <c r="A2177">
        <f>SUMIFS(fact_batting_summary!G:G, fact_batting_summary!E:E, fact_batting_summary!E2177)</f>
        <v>69</v>
      </c>
      <c r="B2177" s="9">
        <f>AVERAGEIFS(fact_batting_summary!G:G, fact_batting_summary!E:E,fact_batting_summary!E2177)</f>
        <v>69</v>
      </c>
      <c r="C2177">
        <v>1</v>
      </c>
    </row>
    <row r="2178" spans="1:3" x14ac:dyDescent="0.45">
      <c r="A2178">
        <f>SUMIFS(fact_batting_summary!G:G, fact_batting_summary!E:E, fact_batting_summary!E2178)</f>
        <v>907</v>
      </c>
      <c r="B2178" s="9">
        <f>AVERAGEIFS(fact_batting_summary!G:G, fact_batting_summary!E:E,fact_batting_summary!E2178)</f>
        <v>26.676470588235293</v>
      </c>
      <c r="C2178">
        <v>2</v>
      </c>
    </row>
    <row r="2179" spans="1:3" x14ac:dyDescent="0.45">
      <c r="A2179">
        <f>SUMIFS(fact_batting_summary!G:G, fact_batting_summary!E:E, fact_batting_summary!E2179)</f>
        <v>448</v>
      </c>
      <c r="B2179" s="9">
        <f>AVERAGEIFS(fact_batting_summary!G:G, fact_batting_summary!E:E,fact_batting_summary!E2179)</f>
        <v>40.727272727272727</v>
      </c>
      <c r="C2179">
        <v>3</v>
      </c>
    </row>
    <row r="2180" spans="1:3" x14ac:dyDescent="0.45">
      <c r="A2180">
        <f>SUMIFS(fact_batting_summary!G:G, fact_batting_summary!E:E, fact_batting_summary!E2180)</f>
        <v>65</v>
      </c>
      <c r="B2180" s="9">
        <f>AVERAGEIFS(fact_batting_summary!G:G, fact_batting_summary!E:E,fact_batting_summary!E2180)</f>
        <v>8.125</v>
      </c>
      <c r="C2180">
        <v>4</v>
      </c>
    </row>
    <row r="2181" spans="1:3" x14ac:dyDescent="0.45">
      <c r="A2181">
        <f>SUMIFS(fact_batting_summary!G:G, fact_batting_summary!E:E, fact_batting_summary!E2181)</f>
        <v>775</v>
      </c>
      <c r="B2181" s="9">
        <f>AVERAGEIFS(fact_batting_summary!G:G, fact_batting_summary!E:E,fact_batting_summary!E2181)</f>
        <v>25</v>
      </c>
      <c r="C2181">
        <v>5</v>
      </c>
    </row>
    <row r="2182" spans="1:3" x14ac:dyDescent="0.45">
      <c r="A2182">
        <f>SUMIFS(fact_batting_summary!G:G, fact_batting_summary!E:E, fact_batting_summary!E2182)</f>
        <v>190</v>
      </c>
      <c r="B2182" s="9">
        <f>AVERAGEIFS(fact_batting_summary!G:G, fact_batting_summary!E:E,fact_batting_summary!E2182)</f>
        <v>17.272727272727273</v>
      </c>
      <c r="C2182">
        <v>6</v>
      </c>
    </row>
    <row r="2183" spans="1:3" x14ac:dyDescent="0.45">
      <c r="A2183">
        <f>SUMIFS(fact_batting_summary!G:G, fact_batting_summary!E:E, fact_batting_summary!E2183)</f>
        <v>11</v>
      </c>
      <c r="B2183" s="9">
        <f>AVERAGEIFS(fact_batting_summary!G:G, fact_batting_summary!E:E,fact_batting_summary!E2183)</f>
        <v>5.5</v>
      </c>
      <c r="C2183">
        <v>7</v>
      </c>
    </row>
    <row r="2184" spans="1:3" x14ac:dyDescent="0.45">
      <c r="A2184">
        <f>SUMIFS(fact_batting_summary!G:G, fact_batting_summary!E:E, fact_batting_summary!E2184)</f>
        <v>1113</v>
      </c>
      <c r="B2184" s="9">
        <f>AVERAGEIFS(fact_batting_summary!G:G, fact_batting_summary!E:E,fact_batting_summary!E2184)</f>
        <v>28.53846153846154</v>
      </c>
      <c r="C2184">
        <v>1</v>
      </c>
    </row>
    <row r="2185" spans="1:3" x14ac:dyDescent="0.45">
      <c r="A2185">
        <f>SUMIFS(fact_batting_summary!G:G, fact_batting_summary!E:E, fact_batting_summary!E2185)</f>
        <v>981</v>
      </c>
      <c r="B2185" s="9">
        <f>AVERAGEIFS(fact_batting_summary!G:G, fact_batting_summary!E:E,fact_batting_summary!E2185)</f>
        <v>22.813953488372093</v>
      </c>
      <c r="C2185">
        <v>2</v>
      </c>
    </row>
    <row r="2186" spans="1:3" x14ac:dyDescent="0.45">
      <c r="A2186">
        <f>SUMIFS(fact_batting_summary!G:G, fact_batting_summary!E:E, fact_batting_summary!E2186)</f>
        <v>452</v>
      </c>
      <c r="B2186" s="9">
        <f>AVERAGEIFS(fact_batting_summary!G:G, fact_batting_summary!E:E,fact_batting_summary!E2186)</f>
        <v>28.25</v>
      </c>
      <c r="C2186">
        <v>3</v>
      </c>
    </row>
    <row r="2187" spans="1:3" x14ac:dyDescent="0.45">
      <c r="A2187">
        <f>SUMIFS(fact_batting_summary!G:G, fact_batting_summary!E:E, fact_batting_summary!E2187)</f>
        <v>1225</v>
      </c>
      <c r="B2187" s="9">
        <f>AVERAGEIFS(fact_batting_summary!G:G, fact_batting_summary!E:E,fact_batting_summary!E2187)</f>
        <v>32.236842105263158</v>
      </c>
      <c r="C2187">
        <v>4</v>
      </c>
    </row>
    <row r="2188" spans="1:3" x14ac:dyDescent="0.45">
      <c r="A2188">
        <f>SUMIFS(fact_batting_summary!G:G, fact_batting_summary!E:E, fact_batting_summary!E2188)</f>
        <v>7</v>
      </c>
      <c r="B2188" s="9">
        <f>AVERAGEIFS(fact_batting_summary!G:G, fact_batting_summary!E:E,fact_batting_summary!E2188)</f>
        <v>3.5</v>
      </c>
      <c r="C2188">
        <v>1</v>
      </c>
    </row>
    <row r="2189" spans="1:3" x14ac:dyDescent="0.45">
      <c r="A2189">
        <f>SUMIFS(fact_batting_summary!G:G, fact_batting_summary!E:E, fact_batting_summary!E2189)</f>
        <v>948</v>
      </c>
      <c r="B2189" s="9">
        <f>AVERAGEIFS(fact_batting_summary!G:G, fact_batting_summary!E:E,fact_batting_summary!E2189)</f>
        <v>31.6</v>
      </c>
      <c r="C2189">
        <v>2</v>
      </c>
    </row>
    <row r="2190" spans="1:3" x14ac:dyDescent="0.45">
      <c r="A2190">
        <f>SUMIFS(fact_batting_summary!G:G, fact_batting_summary!E:E, fact_batting_summary!E2190)</f>
        <v>97</v>
      </c>
      <c r="B2190" s="9">
        <f>AVERAGEIFS(fact_batting_summary!G:G, fact_batting_summary!E:E,fact_batting_summary!E2190)</f>
        <v>16.166666666666668</v>
      </c>
      <c r="C2190">
        <v>3</v>
      </c>
    </row>
    <row r="2191" spans="1:3" x14ac:dyDescent="0.45">
      <c r="A2191">
        <f>SUMIFS(fact_batting_summary!G:G, fact_batting_summary!E:E, fact_batting_summary!E2191)</f>
        <v>645</v>
      </c>
      <c r="B2191" s="9">
        <f>AVERAGEIFS(fact_batting_summary!G:G, fact_batting_summary!E:E,fact_batting_summary!E2191)</f>
        <v>21.5</v>
      </c>
      <c r="C2191">
        <v>4</v>
      </c>
    </row>
    <row r="2192" spans="1:3" x14ac:dyDescent="0.45">
      <c r="A2192">
        <f>SUMIFS(fact_batting_summary!G:G, fact_batting_summary!E:E, fact_batting_summary!E2192)</f>
        <v>514</v>
      </c>
      <c r="B2192" s="9">
        <f>AVERAGEIFS(fact_batting_summary!G:G, fact_batting_summary!E:E,fact_batting_summary!E2192)</f>
        <v>13.526315789473685</v>
      </c>
      <c r="C2192">
        <v>5</v>
      </c>
    </row>
    <row r="2193" spans="1:3" x14ac:dyDescent="0.45">
      <c r="A2193">
        <f>SUMIFS(fact_batting_summary!G:G, fact_batting_summary!E:E, fact_batting_summary!E2193)</f>
        <v>340</v>
      </c>
      <c r="B2193" s="9">
        <f>AVERAGEIFS(fact_batting_summary!G:G, fact_batting_summary!E:E,fact_batting_summary!E2193)</f>
        <v>15.454545454545455</v>
      </c>
      <c r="C2193">
        <v>6</v>
      </c>
    </row>
    <row r="2194" spans="1:3" x14ac:dyDescent="0.45">
      <c r="A2194">
        <f>SUMIFS(fact_batting_summary!G:G, fact_batting_summary!E:E, fact_batting_summary!E2194)</f>
        <v>729</v>
      </c>
      <c r="B2194" s="9">
        <f>AVERAGEIFS(fact_batting_summary!G:G, fact_batting_summary!E:E,fact_batting_summary!E2194)</f>
        <v>19.184210526315791</v>
      </c>
      <c r="C2194">
        <v>7</v>
      </c>
    </row>
    <row r="2195" spans="1:3" x14ac:dyDescent="0.45">
      <c r="A2195">
        <f>SUMIFS(fact_batting_summary!G:G, fact_batting_summary!E:E, fact_batting_summary!E2195)</f>
        <v>60</v>
      </c>
      <c r="B2195" s="9">
        <f>AVERAGEIFS(fact_batting_summary!G:G, fact_batting_summary!E:E,fact_batting_summary!E2195)</f>
        <v>8.5714285714285712</v>
      </c>
      <c r="C2195">
        <v>8</v>
      </c>
    </row>
    <row r="2196" spans="1:3" x14ac:dyDescent="0.45">
      <c r="A2196">
        <f>SUMIFS(fact_batting_summary!G:G, fact_batting_summary!E:E, fact_batting_summary!E2196)</f>
        <v>21</v>
      </c>
      <c r="B2196" s="9">
        <f>AVERAGEIFS(fact_batting_summary!G:G, fact_batting_summary!E:E,fact_batting_summary!E2196)</f>
        <v>2.3333333333333335</v>
      </c>
      <c r="C2196">
        <v>9</v>
      </c>
    </row>
    <row r="2197" spans="1:3" x14ac:dyDescent="0.45">
      <c r="A2197">
        <f>SUMIFS(fact_batting_summary!G:G, fact_batting_summary!E:E, fact_batting_summary!E2197)</f>
        <v>16</v>
      </c>
      <c r="B2197" s="9">
        <f>AVERAGEIFS(fact_batting_summary!G:G, fact_batting_summary!E:E,fact_batting_summary!E2197)</f>
        <v>5.333333333333333</v>
      </c>
      <c r="C2197">
        <v>10</v>
      </c>
    </row>
    <row r="2198" spans="1:3" x14ac:dyDescent="0.45">
      <c r="A2198">
        <f>SUMIFS(fact_batting_summary!G:G, fact_batting_summary!E:E, fact_batting_summary!E2198)</f>
        <v>435</v>
      </c>
      <c r="B2198" s="9">
        <f>AVERAGEIFS(fact_batting_summary!G:G, fact_batting_summary!E:E,fact_batting_summary!E2198)</f>
        <v>33.46153846153846</v>
      </c>
      <c r="C2198">
        <v>1</v>
      </c>
    </row>
    <row r="2199" spans="1:3" x14ac:dyDescent="0.45">
      <c r="A2199">
        <f>SUMIFS(fact_batting_summary!G:G, fact_batting_summary!E:E, fact_batting_summary!E2199)</f>
        <v>956</v>
      </c>
      <c r="B2199" s="9">
        <f>AVERAGEIFS(fact_batting_summary!G:G, fact_batting_summary!E:E,fact_batting_summary!E2199)</f>
        <v>26.555555555555557</v>
      </c>
      <c r="C2199">
        <v>2</v>
      </c>
    </row>
    <row r="2200" spans="1:3" x14ac:dyDescent="0.45">
      <c r="A2200">
        <f>SUMIFS(fact_batting_summary!G:G, fact_batting_summary!E:E, fact_batting_summary!E2200)</f>
        <v>1157</v>
      </c>
      <c r="B2200" s="9">
        <f>AVERAGEIFS(fact_batting_summary!G:G, fact_batting_summary!E:E,fact_batting_summary!E2200)</f>
        <v>26.295454545454547</v>
      </c>
      <c r="C2200">
        <v>3</v>
      </c>
    </row>
    <row r="2201" spans="1:3" x14ac:dyDescent="0.45">
      <c r="A2201">
        <f>SUMIFS(fact_batting_summary!G:G, fact_batting_summary!E:E, fact_batting_summary!E2201)</f>
        <v>227</v>
      </c>
      <c r="B2201" s="9">
        <f>AVERAGEIFS(fact_batting_summary!G:G, fact_batting_summary!E:E,fact_batting_summary!E2201)</f>
        <v>20.636363636363637</v>
      </c>
      <c r="C2201">
        <v>4</v>
      </c>
    </row>
    <row r="2202" spans="1:3" x14ac:dyDescent="0.45">
      <c r="A2202">
        <f>SUMIFS(fact_batting_summary!G:G, fact_batting_summary!E:E, fact_batting_summary!E2202)</f>
        <v>648</v>
      </c>
      <c r="B2202" s="9">
        <f>AVERAGEIFS(fact_batting_summary!G:G, fact_batting_summary!E:E,fact_batting_summary!E2202)</f>
        <v>30.857142857142858</v>
      </c>
      <c r="C2202">
        <v>5</v>
      </c>
    </row>
    <row r="2203" spans="1:3" x14ac:dyDescent="0.45">
      <c r="A2203">
        <f>SUMIFS(fact_batting_summary!G:G, fact_batting_summary!E:E, fact_batting_summary!E2203)</f>
        <v>745</v>
      </c>
      <c r="B2203" s="9">
        <f>AVERAGEIFS(fact_batting_summary!G:G, fact_batting_summary!E:E,fact_batting_summary!E2203)</f>
        <v>21.285714285714285</v>
      </c>
      <c r="C2203">
        <v>6</v>
      </c>
    </row>
    <row r="2204" spans="1:3" x14ac:dyDescent="0.45">
      <c r="A2204">
        <f>SUMIFS(fact_batting_summary!G:G, fact_batting_summary!E:E, fact_batting_summary!E2204)</f>
        <v>238</v>
      </c>
      <c r="B2204" s="9">
        <f>AVERAGEIFS(fact_batting_summary!G:G, fact_batting_summary!E:E,fact_batting_summary!E2204)</f>
        <v>9.9166666666666661</v>
      </c>
      <c r="C2204">
        <v>7</v>
      </c>
    </row>
    <row r="2205" spans="1:3" x14ac:dyDescent="0.45">
      <c r="A2205">
        <f>SUMIFS(fact_batting_summary!G:G, fact_batting_summary!E:E, fact_batting_summary!E2205)</f>
        <v>154</v>
      </c>
      <c r="B2205" s="9">
        <f>AVERAGEIFS(fact_batting_summary!G:G, fact_batting_summary!E:E,fact_batting_summary!E2205)</f>
        <v>5.1333333333333337</v>
      </c>
      <c r="C2205">
        <v>8</v>
      </c>
    </row>
    <row r="2206" spans="1:3" x14ac:dyDescent="0.45">
      <c r="A2206">
        <f>SUMIFS(fact_batting_summary!G:G, fact_batting_summary!E:E, fact_batting_summary!E2206)</f>
        <v>8</v>
      </c>
      <c r="B2206" s="9">
        <f>AVERAGEIFS(fact_batting_summary!G:G, fact_batting_summary!E:E,fact_batting_summary!E2206)</f>
        <v>1.3333333333333333</v>
      </c>
      <c r="C2206">
        <v>9</v>
      </c>
    </row>
    <row r="2207" spans="1:3" x14ac:dyDescent="0.45">
      <c r="A2207">
        <f>SUMIFS(fact_batting_summary!G:G, fact_batting_summary!E:E, fact_batting_summary!E2207)</f>
        <v>1593</v>
      </c>
      <c r="B2207" s="9">
        <f>AVERAGEIFS(fact_batting_summary!G:G, fact_batting_summary!E:E,fact_batting_summary!E2207)</f>
        <v>35.4</v>
      </c>
      <c r="C2207">
        <v>1</v>
      </c>
    </row>
    <row r="2208" spans="1:3" x14ac:dyDescent="0.45">
      <c r="A2208">
        <f>SUMIFS(fact_batting_summary!G:G, fact_batting_summary!E:E, fact_batting_summary!E2208)</f>
        <v>924</v>
      </c>
      <c r="B2208" s="9">
        <f>AVERAGEIFS(fact_batting_summary!G:G, fact_batting_summary!E:E,fact_batting_summary!E2208)</f>
        <v>42</v>
      </c>
      <c r="C2208">
        <v>2</v>
      </c>
    </row>
    <row r="2209" spans="1:3" x14ac:dyDescent="0.45">
      <c r="A2209">
        <f>SUMIFS(fact_batting_summary!G:G, fact_batting_summary!E:E, fact_batting_summary!E2209)</f>
        <v>937</v>
      </c>
      <c r="B2209" s="9">
        <f>AVERAGEIFS(fact_batting_summary!G:G, fact_batting_summary!E:E,fact_batting_summary!E2209)</f>
        <v>27.558823529411764</v>
      </c>
      <c r="C2209">
        <v>3</v>
      </c>
    </row>
    <row r="2210" spans="1:3" x14ac:dyDescent="0.45">
      <c r="A2210">
        <f>SUMIFS(fact_batting_summary!G:G, fact_batting_summary!E:E, fact_batting_summary!E2210)</f>
        <v>450</v>
      </c>
      <c r="B2210" s="9">
        <f>AVERAGEIFS(fact_batting_summary!G:G, fact_batting_summary!E:E,fact_batting_summary!E2210)</f>
        <v>12.5</v>
      </c>
      <c r="C2210">
        <v>4</v>
      </c>
    </row>
    <row r="2211" spans="1:3" x14ac:dyDescent="0.45">
      <c r="A2211">
        <f>SUMIFS(fact_batting_summary!G:G, fact_batting_summary!E:E, fact_batting_summary!E2211)</f>
        <v>533</v>
      </c>
      <c r="B2211" s="9">
        <f>AVERAGEIFS(fact_batting_summary!G:G, fact_batting_summary!E:E,fact_batting_summary!E2211)</f>
        <v>15.676470588235293</v>
      </c>
      <c r="C2211">
        <v>5</v>
      </c>
    </row>
    <row r="2212" spans="1:3" x14ac:dyDescent="0.45">
      <c r="A2212">
        <f>SUMIFS(fact_batting_summary!G:G, fact_batting_summary!E:E, fact_batting_summary!E2212)</f>
        <v>815</v>
      </c>
      <c r="B2212" s="9">
        <f>AVERAGEIFS(fact_batting_summary!G:G, fact_batting_summary!E:E,fact_batting_summary!E2212)</f>
        <v>25.46875</v>
      </c>
      <c r="C2212">
        <v>1</v>
      </c>
    </row>
    <row r="2213" spans="1:3" x14ac:dyDescent="0.45">
      <c r="A2213">
        <f>SUMIFS(fact_batting_summary!G:G, fact_batting_summary!E:E, fact_batting_summary!E2213)</f>
        <v>1137</v>
      </c>
      <c r="B2213" s="9">
        <f>AVERAGEIFS(fact_batting_summary!G:G, fact_batting_summary!E:E,fact_batting_summary!E2213)</f>
        <v>34.454545454545453</v>
      </c>
      <c r="C2213">
        <v>2</v>
      </c>
    </row>
    <row r="2214" spans="1:3" x14ac:dyDescent="0.45">
      <c r="A2214">
        <f>SUMIFS(fact_batting_summary!G:G, fact_batting_summary!E:E, fact_batting_summary!E2214)</f>
        <v>218</v>
      </c>
      <c r="B2214" s="9">
        <f>AVERAGEIFS(fact_batting_summary!G:G, fact_batting_summary!E:E,fact_batting_summary!E2214)</f>
        <v>24.222222222222221</v>
      </c>
      <c r="C2214">
        <v>3</v>
      </c>
    </row>
    <row r="2215" spans="1:3" x14ac:dyDescent="0.45">
      <c r="A2215">
        <f>SUMIFS(fact_batting_summary!G:G, fact_batting_summary!E:E, fact_batting_summary!E2215)</f>
        <v>209</v>
      </c>
      <c r="B2215" s="9">
        <f>AVERAGEIFS(fact_batting_summary!G:G, fact_batting_summary!E:E,fact_batting_summary!E2215)</f>
        <v>23.222222222222221</v>
      </c>
      <c r="C2215">
        <v>4</v>
      </c>
    </row>
    <row r="2216" spans="1:3" x14ac:dyDescent="0.45">
      <c r="A2216">
        <f>SUMIFS(fact_batting_summary!G:G, fact_batting_summary!E:E, fact_batting_summary!E2216)</f>
        <v>16</v>
      </c>
      <c r="B2216" s="9">
        <f>AVERAGEIFS(fact_batting_summary!G:G, fact_batting_summary!E:E,fact_batting_summary!E2216)</f>
        <v>5.333333333333333</v>
      </c>
      <c r="C2216">
        <v>5</v>
      </c>
    </row>
    <row r="2217" spans="1:3" x14ac:dyDescent="0.45">
      <c r="A2217">
        <f>SUMIFS(fact_batting_summary!G:G, fact_batting_summary!E:E, fact_batting_summary!E2217)</f>
        <v>505</v>
      </c>
      <c r="B2217" s="9">
        <f>AVERAGEIFS(fact_batting_summary!G:G, fact_batting_summary!E:E,fact_batting_summary!E2217)</f>
        <v>17.413793103448278</v>
      </c>
      <c r="C2217">
        <v>6</v>
      </c>
    </row>
    <row r="2218" spans="1:3" x14ac:dyDescent="0.45">
      <c r="A2218">
        <f>SUMIFS(fact_batting_summary!G:G, fact_batting_summary!E:E, fact_batting_summary!E2218)</f>
        <v>115</v>
      </c>
      <c r="B2218" s="9">
        <f>AVERAGEIFS(fact_batting_summary!G:G, fact_batting_summary!E:E,fact_batting_summary!E2218)</f>
        <v>11.5</v>
      </c>
      <c r="C2218">
        <v>7</v>
      </c>
    </row>
    <row r="2219" spans="1:3" x14ac:dyDescent="0.45">
      <c r="A2219">
        <f>SUMIFS(fact_batting_summary!G:G, fact_batting_summary!E:E, fact_batting_summary!E2219)</f>
        <v>295</v>
      </c>
      <c r="B2219" s="9">
        <f>AVERAGEIFS(fact_batting_summary!G:G, fact_batting_summary!E:E,fact_batting_summary!E2219)</f>
        <v>15.526315789473685</v>
      </c>
      <c r="C2219">
        <v>8</v>
      </c>
    </row>
    <row r="2220" spans="1:3" x14ac:dyDescent="0.45">
      <c r="A2220">
        <f>SUMIFS(fact_batting_summary!G:G, fact_batting_summary!E:E, fact_batting_summary!E2220)</f>
        <v>38</v>
      </c>
      <c r="B2220" s="9">
        <f>AVERAGEIFS(fact_batting_summary!G:G, fact_batting_summary!E:E,fact_batting_summary!E2220)</f>
        <v>4.75</v>
      </c>
      <c r="C2220">
        <v>9</v>
      </c>
    </row>
    <row r="2221" spans="1:3" x14ac:dyDescent="0.45">
      <c r="A2221">
        <f>SUMIFS(fact_batting_summary!G:G, fact_batting_summary!E:E, fact_batting_summary!E2221)</f>
        <v>79</v>
      </c>
      <c r="B2221" s="9">
        <f>AVERAGEIFS(fact_batting_summary!G:G, fact_batting_summary!E:E,fact_batting_summary!E2221)</f>
        <v>4.6470588235294121</v>
      </c>
      <c r="C2221">
        <v>10</v>
      </c>
    </row>
    <row r="2222" spans="1:3" x14ac:dyDescent="0.45">
      <c r="A2222">
        <f>SUMIFS(fact_batting_summary!G:G, fact_batting_summary!E:E, fact_batting_summary!E2222)</f>
        <v>20</v>
      </c>
      <c r="B2222" s="9">
        <f>AVERAGEIFS(fact_batting_summary!G:G, fact_batting_summary!E:E,fact_batting_summary!E2222)</f>
        <v>2.5</v>
      </c>
      <c r="C2222">
        <v>11</v>
      </c>
    </row>
    <row r="2223" spans="1:3" x14ac:dyDescent="0.45">
      <c r="A2223">
        <f>SUMIFS(fact_batting_summary!G:G, fact_batting_summary!E:E, fact_batting_summary!E2223)</f>
        <v>391</v>
      </c>
      <c r="B2223" s="9">
        <f>AVERAGEIFS(fact_batting_summary!G:G, fact_batting_summary!E:E,fact_batting_summary!E2223)</f>
        <v>23</v>
      </c>
      <c r="C2223">
        <v>1</v>
      </c>
    </row>
    <row r="2224" spans="1:3" x14ac:dyDescent="0.45">
      <c r="A2224">
        <f>SUMIFS(fact_batting_summary!G:G, fact_batting_summary!E:E, fact_batting_summary!E2224)</f>
        <v>1392</v>
      </c>
      <c r="B2224" s="9">
        <f>AVERAGEIFS(fact_batting_summary!G:G, fact_batting_summary!E:E,fact_batting_summary!E2224)</f>
        <v>34.799999999999997</v>
      </c>
      <c r="C2224">
        <v>2</v>
      </c>
    </row>
    <row r="2225" spans="1:3" x14ac:dyDescent="0.45">
      <c r="A2225">
        <f>SUMIFS(fact_batting_summary!G:G, fact_batting_summary!E:E, fact_batting_summary!E2225)</f>
        <v>186</v>
      </c>
      <c r="B2225" s="9">
        <f>AVERAGEIFS(fact_batting_summary!G:G, fact_batting_summary!E:E,fact_batting_summary!E2225)</f>
        <v>26.571428571428573</v>
      </c>
      <c r="C2225">
        <v>3</v>
      </c>
    </row>
    <row r="2226" spans="1:3" x14ac:dyDescent="0.45">
      <c r="A2226">
        <f>SUMIFS(fact_batting_summary!G:G, fact_batting_summary!E:E, fact_batting_summary!E2226)</f>
        <v>758</v>
      </c>
      <c r="B2226" s="9">
        <f>AVERAGEIFS(fact_batting_summary!G:G, fact_batting_summary!E:E,fact_batting_summary!E2226)</f>
        <v>27.071428571428573</v>
      </c>
      <c r="C2226">
        <v>4</v>
      </c>
    </row>
    <row r="2227" spans="1:3" x14ac:dyDescent="0.45">
      <c r="A2227">
        <f>SUMIFS(fact_batting_summary!G:G, fact_batting_summary!E:E, fact_batting_summary!E2227)</f>
        <v>332</v>
      </c>
      <c r="B2227" s="9">
        <f>AVERAGEIFS(fact_batting_summary!G:G, fact_batting_summary!E:E,fact_batting_summary!E2227)</f>
        <v>19.529411764705884</v>
      </c>
      <c r="C2227">
        <v>5</v>
      </c>
    </row>
    <row r="2228" spans="1:3" x14ac:dyDescent="0.45">
      <c r="A2228">
        <f>SUMIFS(fact_batting_summary!G:G, fact_batting_summary!E:E, fact_batting_summary!E2228)</f>
        <v>543</v>
      </c>
      <c r="B2228" s="9">
        <f>AVERAGEIFS(fact_batting_summary!G:G, fact_batting_summary!E:E,fact_batting_summary!E2228)</f>
        <v>22.625</v>
      </c>
      <c r="C2228">
        <v>6</v>
      </c>
    </row>
    <row r="2229" spans="1:3" x14ac:dyDescent="0.45">
      <c r="A2229">
        <f>SUMIFS(fact_batting_summary!G:G, fact_batting_summary!E:E, fact_batting_summary!E2229)</f>
        <v>426</v>
      </c>
      <c r="B2229" s="9">
        <f>AVERAGEIFS(fact_batting_summary!G:G, fact_batting_summary!E:E,fact_batting_summary!E2229)</f>
        <v>13.741935483870968</v>
      </c>
      <c r="C2229">
        <v>7</v>
      </c>
    </row>
    <row r="2230" spans="1:3" x14ac:dyDescent="0.45">
      <c r="A2230">
        <f>SUMIFS(fact_batting_summary!G:G, fact_batting_summary!E:E, fact_batting_summary!E2230)</f>
        <v>1132</v>
      </c>
      <c r="B2230" s="9">
        <f>AVERAGEIFS(fact_batting_summary!G:G, fact_batting_summary!E:E,fact_batting_summary!E2230)</f>
        <v>33.294117647058826</v>
      </c>
      <c r="C2230">
        <v>1</v>
      </c>
    </row>
    <row r="2231" spans="1:3" x14ac:dyDescent="0.45">
      <c r="A2231">
        <f>SUMIFS(fact_batting_summary!G:G, fact_batting_summary!E:E, fact_batting_summary!E2231)</f>
        <v>1509</v>
      </c>
      <c r="B2231" s="9">
        <f>AVERAGEIFS(fact_batting_summary!G:G, fact_batting_summary!E:E,fact_batting_summary!E2231)</f>
        <v>39.710526315789473</v>
      </c>
      <c r="C2231">
        <v>2</v>
      </c>
    </row>
    <row r="2232" spans="1:3" x14ac:dyDescent="0.45">
      <c r="A2232">
        <f>SUMIFS(fact_batting_summary!G:G, fact_batting_summary!E:E, fact_batting_summary!E2232)</f>
        <v>1048</v>
      </c>
      <c r="B2232" s="9">
        <f>AVERAGEIFS(fact_batting_summary!G:G, fact_batting_summary!E:E,fact_batting_summary!E2232)</f>
        <v>24.952380952380953</v>
      </c>
      <c r="C2232">
        <v>3</v>
      </c>
    </row>
    <row r="2233" spans="1:3" x14ac:dyDescent="0.45">
      <c r="A2233">
        <f>SUMIFS(fact_batting_summary!G:G, fact_batting_summary!E:E, fact_batting_summary!E2233)</f>
        <v>1304</v>
      </c>
      <c r="B2233" s="9">
        <f>AVERAGEIFS(fact_batting_summary!G:G, fact_batting_summary!E:E,fact_batting_summary!E2233)</f>
        <v>28.977777777777778</v>
      </c>
      <c r="C2233">
        <v>4</v>
      </c>
    </row>
    <row r="2234" spans="1:3" x14ac:dyDescent="0.45">
      <c r="A2234">
        <f>SUMIFS(fact_batting_summary!G:G, fact_batting_summary!E:E, fact_batting_summary!E2234)</f>
        <v>854</v>
      </c>
      <c r="B2234" s="9">
        <f>AVERAGEIFS(fact_batting_summary!G:G, fact_batting_summary!E:E,fact_batting_summary!E2234)</f>
        <v>21.35</v>
      </c>
      <c r="C2234">
        <v>5</v>
      </c>
    </row>
    <row r="2235" spans="1:3" x14ac:dyDescent="0.45">
      <c r="A2235">
        <f>SUMIFS(fact_batting_summary!G:G, fact_batting_summary!E:E, fact_batting_summary!E2235)</f>
        <v>354</v>
      </c>
      <c r="B2235" s="9">
        <f>AVERAGEIFS(fact_batting_summary!G:G, fact_batting_summary!E:E,fact_batting_summary!E2235)</f>
        <v>11.419354838709678</v>
      </c>
      <c r="C2235">
        <v>6</v>
      </c>
    </row>
    <row r="2236" spans="1:3" x14ac:dyDescent="0.45">
      <c r="A2236">
        <f>SUMIFS(fact_batting_summary!G:G, fact_batting_summary!E:E, fact_batting_summary!E2236)</f>
        <v>152</v>
      </c>
      <c r="B2236" s="9">
        <f>AVERAGEIFS(fact_batting_summary!G:G, fact_batting_summary!E:E,fact_batting_summary!E2236)</f>
        <v>13.818181818181818</v>
      </c>
      <c r="C2236">
        <v>7</v>
      </c>
    </row>
    <row r="2237" spans="1:3" x14ac:dyDescent="0.45">
      <c r="A2237">
        <f>SUMIFS(fact_batting_summary!G:G, fact_batting_summary!E:E, fact_batting_summary!E2237)</f>
        <v>57</v>
      </c>
      <c r="B2237" s="9">
        <f>AVERAGEIFS(fact_batting_summary!G:G, fact_batting_summary!E:E,fact_batting_summary!E2237)</f>
        <v>3.5625</v>
      </c>
      <c r="C2237">
        <v>8</v>
      </c>
    </row>
    <row r="2238" spans="1:3" x14ac:dyDescent="0.45">
      <c r="A2238">
        <f>SUMIFS(fact_batting_summary!G:G, fact_batting_summary!E:E, fact_batting_summary!E2238)</f>
        <v>745</v>
      </c>
      <c r="B2238" s="9">
        <f>AVERAGEIFS(fact_batting_summary!G:G, fact_batting_summary!E:E,fact_batting_summary!E2238)</f>
        <v>24.032258064516128</v>
      </c>
      <c r="C2238">
        <v>1</v>
      </c>
    </row>
    <row r="2239" spans="1:3" x14ac:dyDescent="0.45">
      <c r="A2239">
        <f>SUMIFS(fact_batting_summary!G:G, fact_batting_summary!E:E, fact_batting_summary!E2239)</f>
        <v>1083</v>
      </c>
      <c r="B2239" s="9">
        <f>AVERAGEIFS(fact_batting_summary!G:G, fact_batting_summary!E:E,fact_batting_summary!E2239)</f>
        <v>25.186046511627907</v>
      </c>
      <c r="C2239">
        <v>2</v>
      </c>
    </row>
    <row r="2240" spans="1:3" x14ac:dyDescent="0.45">
      <c r="A2240">
        <f>SUMIFS(fact_batting_summary!G:G, fact_batting_summary!E:E, fact_batting_summary!E2240)</f>
        <v>775</v>
      </c>
      <c r="B2240" s="9">
        <f>AVERAGEIFS(fact_batting_summary!G:G, fact_batting_summary!E:E,fact_batting_summary!E2240)</f>
        <v>25</v>
      </c>
      <c r="C2240">
        <v>3</v>
      </c>
    </row>
    <row r="2241" spans="1:3" x14ac:dyDescent="0.45">
      <c r="A2241">
        <f>SUMIFS(fact_batting_summary!G:G, fact_batting_summary!E:E, fact_batting_summary!E2241)</f>
        <v>448</v>
      </c>
      <c r="B2241" s="9">
        <f>AVERAGEIFS(fact_batting_summary!G:G, fact_batting_summary!E:E,fact_batting_summary!E2241)</f>
        <v>40.727272727272727</v>
      </c>
      <c r="C2241">
        <v>4</v>
      </c>
    </row>
    <row r="2242" spans="1:3" x14ac:dyDescent="0.45">
      <c r="A2242">
        <f>SUMIFS(fact_batting_summary!G:G, fact_batting_summary!E:E, fact_batting_summary!E2242)</f>
        <v>190</v>
      </c>
      <c r="B2242" s="9">
        <f>AVERAGEIFS(fact_batting_summary!G:G, fact_batting_summary!E:E,fact_batting_summary!E2242)</f>
        <v>17.272727272727273</v>
      </c>
      <c r="C2242">
        <v>5</v>
      </c>
    </row>
    <row r="2243" spans="1:3" x14ac:dyDescent="0.45">
      <c r="A2243">
        <f>SUMIFS(fact_batting_summary!G:G, fact_batting_summary!E:E, fact_batting_summary!E2243)</f>
        <v>65</v>
      </c>
      <c r="B2243" s="9">
        <f>AVERAGEIFS(fact_batting_summary!G:G, fact_batting_summary!E:E,fact_batting_summary!E2243)</f>
        <v>8.125</v>
      </c>
      <c r="C2243">
        <v>6</v>
      </c>
    </row>
    <row r="2244" spans="1:3" x14ac:dyDescent="0.45">
      <c r="A2244">
        <f>SUMIFS(fact_batting_summary!G:G, fact_batting_summary!E:E, fact_batting_summary!E2244)</f>
        <v>1385</v>
      </c>
      <c r="B2244" s="9">
        <f>AVERAGEIFS(fact_batting_summary!G:G, fact_batting_summary!E:E,fact_batting_summary!E2244)</f>
        <v>30.777777777777779</v>
      </c>
      <c r="C2244">
        <v>1</v>
      </c>
    </row>
    <row r="2245" spans="1:3" x14ac:dyDescent="0.45">
      <c r="A2245">
        <f>SUMIFS(fact_batting_summary!G:G, fact_batting_summary!E:E, fact_batting_summary!E2245)</f>
        <v>1831</v>
      </c>
      <c r="B2245" s="9">
        <f>AVERAGEIFS(fact_batting_summary!G:G, fact_batting_summary!E:E,fact_batting_summary!E2245)</f>
        <v>39.804347826086953</v>
      </c>
      <c r="C2245">
        <v>2</v>
      </c>
    </row>
    <row r="2246" spans="1:3" x14ac:dyDescent="0.45">
      <c r="A2246">
        <f>SUMIFS(fact_batting_summary!G:G, fact_batting_summary!E:E, fact_batting_summary!E2246)</f>
        <v>1214</v>
      </c>
      <c r="B2246" s="9">
        <f>AVERAGEIFS(fact_batting_summary!G:G, fact_batting_summary!E:E,fact_batting_summary!E2246)</f>
        <v>29.609756097560975</v>
      </c>
      <c r="C2246">
        <v>3</v>
      </c>
    </row>
    <row r="2247" spans="1:3" x14ac:dyDescent="0.45">
      <c r="A2247">
        <f>SUMIFS(fact_batting_summary!G:G, fact_batting_summary!E:E, fact_batting_summary!E2247)</f>
        <v>58</v>
      </c>
      <c r="B2247" s="9">
        <f>AVERAGEIFS(fact_batting_summary!G:G, fact_batting_summary!E:E,fact_batting_summary!E2247)</f>
        <v>14.5</v>
      </c>
      <c r="C2247">
        <v>4</v>
      </c>
    </row>
    <row r="2248" spans="1:3" x14ac:dyDescent="0.45">
      <c r="A2248">
        <f>SUMIFS(fact_batting_summary!G:G, fact_batting_summary!E:E, fact_batting_summary!E2248)</f>
        <v>1137</v>
      </c>
      <c r="B2248" s="9">
        <f>AVERAGEIFS(fact_batting_summary!G:G, fact_batting_summary!E:E,fact_batting_summary!E2248)</f>
        <v>34.454545454545453</v>
      </c>
      <c r="C2248">
        <v>1</v>
      </c>
    </row>
    <row r="2249" spans="1:3" x14ac:dyDescent="0.45">
      <c r="A2249">
        <f>SUMIFS(fact_batting_summary!G:G, fact_batting_summary!E:E, fact_batting_summary!E2249)</f>
        <v>815</v>
      </c>
      <c r="B2249" s="9">
        <f>AVERAGEIFS(fact_batting_summary!G:G, fact_batting_summary!E:E,fact_batting_summary!E2249)</f>
        <v>25.46875</v>
      </c>
      <c r="C2249">
        <v>2</v>
      </c>
    </row>
    <row r="2250" spans="1:3" x14ac:dyDescent="0.45">
      <c r="A2250">
        <f>SUMIFS(fact_batting_summary!G:G, fact_batting_summary!E:E, fact_batting_summary!E2250)</f>
        <v>209</v>
      </c>
      <c r="B2250" s="9">
        <f>AVERAGEIFS(fact_batting_summary!G:G, fact_batting_summary!E:E,fact_batting_summary!E2250)</f>
        <v>23.222222222222221</v>
      </c>
      <c r="C2250">
        <v>3</v>
      </c>
    </row>
    <row r="2251" spans="1:3" x14ac:dyDescent="0.45">
      <c r="A2251">
        <f>SUMIFS(fact_batting_summary!G:G, fact_batting_summary!E:E, fact_batting_summary!E2251)</f>
        <v>218</v>
      </c>
      <c r="B2251" s="9">
        <f>AVERAGEIFS(fact_batting_summary!G:G, fact_batting_summary!E:E,fact_batting_summary!E2251)</f>
        <v>24.222222222222221</v>
      </c>
      <c r="C2251">
        <v>4</v>
      </c>
    </row>
    <row r="2252" spans="1:3" x14ac:dyDescent="0.45">
      <c r="A2252">
        <f>SUMIFS(fact_batting_summary!G:G, fact_batting_summary!E:E, fact_batting_summary!E2252)</f>
        <v>391</v>
      </c>
      <c r="B2252" s="9">
        <f>AVERAGEIFS(fact_batting_summary!G:G, fact_batting_summary!E:E,fact_batting_summary!E2252)</f>
        <v>23</v>
      </c>
      <c r="C2252">
        <v>1</v>
      </c>
    </row>
    <row r="2253" spans="1:3" x14ac:dyDescent="0.45">
      <c r="A2253">
        <f>SUMIFS(fact_batting_summary!G:G, fact_batting_summary!E:E, fact_batting_summary!E2253)</f>
        <v>1392</v>
      </c>
      <c r="B2253" s="9">
        <f>AVERAGEIFS(fact_batting_summary!G:G, fact_batting_summary!E:E,fact_batting_summary!E2253)</f>
        <v>34.799999999999997</v>
      </c>
      <c r="C2253">
        <v>2</v>
      </c>
    </row>
    <row r="2254" spans="1:3" x14ac:dyDescent="0.45">
      <c r="A2254">
        <f>SUMIFS(fact_batting_summary!G:G, fact_batting_summary!E:E, fact_batting_summary!E2254)</f>
        <v>186</v>
      </c>
      <c r="B2254" s="9">
        <f>AVERAGEIFS(fact_batting_summary!G:G, fact_batting_summary!E:E,fact_batting_summary!E2254)</f>
        <v>26.571428571428573</v>
      </c>
      <c r="C2254">
        <v>3</v>
      </c>
    </row>
    <row r="2255" spans="1:3" x14ac:dyDescent="0.45">
      <c r="A2255">
        <f>SUMIFS(fact_batting_summary!G:G, fact_batting_summary!E:E, fact_batting_summary!E2255)</f>
        <v>758</v>
      </c>
      <c r="B2255" s="9">
        <f>AVERAGEIFS(fact_batting_summary!G:G, fact_batting_summary!E:E,fact_batting_summary!E2255)</f>
        <v>27.071428571428573</v>
      </c>
      <c r="C2255">
        <v>4</v>
      </c>
    </row>
    <row r="2256" spans="1:3" x14ac:dyDescent="0.45">
      <c r="A2256">
        <f>SUMIFS(fact_batting_summary!G:G, fact_batting_summary!E:E, fact_batting_summary!E2256)</f>
        <v>543</v>
      </c>
      <c r="B2256" s="9">
        <f>AVERAGEIFS(fact_batting_summary!G:G, fact_batting_summary!E:E,fact_batting_summary!E2256)</f>
        <v>22.625</v>
      </c>
      <c r="C2256">
        <v>5</v>
      </c>
    </row>
    <row r="2257" spans="1:3" x14ac:dyDescent="0.45">
      <c r="A2257">
        <f>SUMIFS(fact_batting_summary!G:G, fact_batting_summary!E:E, fact_batting_summary!E2257)</f>
        <v>426</v>
      </c>
      <c r="B2257" s="9">
        <f>AVERAGEIFS(fact_batting_summary!G:G, fact_batting_summary!E:E,fact_batting_summary!E2257)</f>
        <v>13.741935483870968</v>
      </c>
      <c r="C2257">
        <v>6</v>
      </c>
    </row>
    <row r="2258" spans="1:3" x14ac:dyDescent="0.45">
      <c r="A2258">
        <f>SUMIFS(fact_batting_summary!G:G, fact_batting_summary!E:E, fact_batting_summary!E2258)</f>
        <v>332</v>
      </c>
      <c r="B2258" s="9">
        <f>AVERAGEIFS(fact_batting_summary!G:G, fact_batting_summary!E:E,fact_batting_summary!E2258)</f>
        <v>19.529411764705884</v>
      </c>
      <c r="C2258">
        <v>7</v>
      </c>
    </row>
    <row r="2259" spans="1:3" x14ac:dyDescent="0.45">
      <c r="A2259">
        <f>SUMIFS(fact_batting_summary!G:G, fact_batting_summary!E:E, fact_batting_summary!E2259)</f>
        <v>138</v>
      </c>
      <c r="B2259" s="9">
        <f>AVERAGEIFS(fact_batting_summary!G:G, fact_batting_summary!E:E,fact_batting_summary!E2259)</f>
        <v>8.625</v>
      </c>
      <c r="C2259">
        <v>8</v>
      </c>
    </row>
    <row r="2260" spans="1:3" x14ac:dyDescent="0.45">
      <c r="A2260">
        <f>SUMIFS(fact_batting_summary!G:G, fact_batting_summary!E:E, fact_batting_summary!E2260)</f>
        <v>91</v>
      </c>
      <c r="B2260" s="9">
        <f>AVERAGEIFS(fact_batting_summary!G:G, fact_batting_summary!E:E,fact_batting_summary!E2260)</f>
        <v>5.6875</v>
      </c>
      <c r="C2260">
        <v>9</v>
      </c>
    </row>
    <row r="2261" spans="1:3" x14ac:dyDescent="0.45">
      <c r="A2261">
        <f>SUMIFS(fact_batting_summary!G:G, fact_batting_summary!E:E, fact_batting_summary!E2261)</f>
        <v>695</v>
      </c>
      <c r="B2261" s="9">
        <f>AVERAGEIFS(fact_batting_summary!G:G, fact_batting_summary!E:E,fact_batting_summary!E2261)</f>
        <v>18.783783783783782</v>
      </c>
      <c r="C2261">
        <v>1</v>
      </c>
    </row>
    <row r="2262" spans="1:3" x14ac:dyDescent="0.45">
      <c r="A2262">
        <f>SUMIFS(fact_batting_summary!G:G, fact_batting_summary!E:E, fact_batting_summary!E2262)</f>
        <v>948</v>
      </c>
      <c r="B2262" s="9">
        <f>AVERAGEIFS(fact_batting_summary!G:G, fact_batting_summary!E:E,fact_batting_summary!E2262)</f>
        <v>31.6</v>
      </c>
      <c r="C2262">
        <v>2</v>
      </c>
    </row>
    <row r="2263" spans="1:3" x14ac:dyDescent="0.45">
      <c r="A2263">
        <f>SUMIFS(fact_batting_summary!G:G, fact_batting_summary!E:E, fact_batting_summary!E2263)</f>
        <v>97</v>
      </c>
      <c r="B2263" s="9">
        <f>AVERAGEIFS(fact_batting_summary!G:G, fact_batting_summary!E:E,fact_batting_summary!E2263)</f>
        <v>16.166666666666668</v>
      </c>
      <c r="C2263">
        <v>3</v>
      </c>
    </row>
    <row r="2264" spans="1:3" x14ac:dyDescent="0.45">
      <c r="A2264">
        <f>SUMIFS(fact_batting_summary!G:G, fact_batting_summary!E:E, fact_batting_summary!E2264)</f>
        <v>514</v>
      </c>
      <c r="B2264" s="9">
        <f>AVERAGEIFS(fact_batting_summary!G:G, fact_batting_summary!E:E,fact_batting_summary!E2264)</f>
        <v>13.526315789473685</v>
      </c>
      <c r="C2264">
        <v>4</v>
      </c>
    </row>
    <row r="2265" spans="1:3" x14ac:dyDescent="0.45">
      <c r="A2265">
        <f>SUMIFS(fact_batting_summary!G:G, fact_batting_summary!E:E, fact_batting_summary!E2265)</f>
        <v>645</v>
      </c>
      <c r="B2265" s="9">
        <f>AVERAGEIFS(fact_batting_summary!G:G, fact_batting_summary!E:E,fact_batting_summary!E2265)</f>
        <v>21.5</v>
      </c>
      <c r="C2265">
        <v>5</v>
      </c>
    </row>
    <row r="2266" spans="1:3" x14ac:dyDescent="0.45">
      <c r="A2266">
        <f>SUMIFS(fact_batting_summary!G:G, fact_batting_summary!E:E, fact_batting_summary!E2266)</f>
        <v>729</v>
      </c>
      <c r="B2266" s="9">
        <f>AVERAGEIFS(fact_batting_summary!G:G, fact_batting_summary!E:E,fact_batting_summary!E2266)</f>
        <v>19.184210526315791</v>
      </c>
      <c r="C2266">
        <v>6</v>
      </c>
    </row>
    <row r="2267" spans="1:3" x14ac:dyDescent="0.45">
      <c r="A2267">
        <f>SUMIFS(fact_batting_summary!G:G, fact_batting_summary!E:E, fact_batting_summary!E2267)</f>
        <v>1113</v>
      </c>
      <c r="B2267" s="9">
        <f>AVERAGEIFS(fact_batting_summary!G:G, fact_batting_summary!E:E,fact_batting_summary!E2267)</f>
        <v>28.53846153846154</v>
      </c>
      <c r="C2267">
        <v>1</v>
      </c>
    </row>
    <row r="2268" spans="1:3" x14ac:dyDescent="0.45">
      <c r="A2268">
        <f>SUMIFS(fact_batting_summary!G:G, fact_batting_summary!E:E, fact_batting_summary!E2268)</f>
        <v>981</v>
      </c>
      <c r="B2268" s="9">
        <f>AVERAGEIFS(fact_batting_summary!G:G, fact_batting_summary!E:E,fact_batting_summary!E2268)</f>
        <v>22.813953488372093</v>
      </c>
      <c r="C2268">
        <v>2</v>
      </c>
    </row>
    <row r="2269" spans="1:3" x14ac:dyDescent="0.45">
      <c r="A2269">
        <f>SUMIFS(fact_batting_summary!G:G, fact_batting_summary!E:E, fact_batting_summary!E2269)</f>
        <v>1225</v>
      </c>
      <c r="B2269" s="9">
        <f>AVERAGEIFS(fact_batting_summary!G:G, fact_batting_summary!E:E,fact_batting_summary!E2269)</f>
        <v>32.236842105263158</v>
      </c>
      <c r="C2269">
        <v>3</v>
      </c>
    </row>
    <row r="2270" spans="1:3" x14ac:dyDescent="0.45">
      <c r="A2270">
        <f>SUMIFS(fact_batting_summary!G:G, fact_batting_summary!E:E, fact_batting_summary!E2270)</f>
        <v>241</v>
      </c>
      <c r="B2270" s="9">
        <f>AVERAGEIFS(fact_batting_summary!G:G, fact_batting_summary!E:E,fact_batting_summary!E2270)</f>
        <v>24.1</v>
      </c>
      <c r="C2270">
        <v>4</v>
      </c>
    </row>
    <row r="2271" spans="1:3" x14ac:dyDescent="0.45">
      <c r="A2271">
        <f>SUMIFS(fact_batting_summary!G:G, fact_batting_summary!E:E, fact_batting_summary!E2271)</f>
        <v>418</v>
      </c>
      <c r="B2271" s="9">
        <f>AVERAGEIFS(fact_batting_summary!G:G, fact_batting_summary!E:E,fact_batting_summary!E2271)</f>
        <v>17.416666666666668</v>
      </c>
      <c r="C2271">
        <v>5</v>
      </c>
    </row>
    <row r="2272" spans="1:3" x14ac:dyDescent="0.45">
      <c r="A2272">
        <f>SUMIFS(fact_batting_summary!G:G, fact_batting_summary!E:E, fact_batting_summary!E2272)</f>
        <v>37</v>
      </c>
      <c r="B2272" s="9">
        <f>AVERAGEIFS(fact_batting_summary!G:G, fact_batting_summary!E:E,fact_batting_summary!E2272)</f>
        <v>12.333333333333334</v>
      </c>
      <c r="C2272">
        <v>6</v>
      </c>
    </row>
    <row r="2273" spans="1:3" x14ac:dyDescent="0.45">
      <c r="A2273">
        <f>SUMIFS(fact_batting_summary!G:G, fact_batting_summary!E:E, fact_batting_summary!E2273)</f>
        <v>452</v>
      </c>
      <c r="B2273" s="9">
        <f>AVERAGEIFS(fact_batting_summary!G:G, fact_batting_summary!E:E,fact_batting_summary!E2273)</f>
        <v>28.25</v>
      </c>
      <c r="C2273">
        <v>7</v>
      </c>
    </row>
    <row r="2274" spans="1:3" x14ac:dyDescent="0.45">
      <c r="A2274">
        <f>SUMIFS(fact_batting_summary!G:G, fact_batting_summary!E:E, fact_batting_summary!E2274)</f>
        <v>819</v>
      </c>
      <c r="B2274" s="9">
        <f>AVERAGEIFS(fact_batting_summary!G:G, fact_batting_summary!E:E,fact_batting_summary!E2274)</f>
        <v>22.135135135135137</v>
      </c>
      <c r="C2274">
        <v>1</v>
      </c>
    </row>
    <row r="2275" spans="1:3" x14ac:dyDescent="0.45">
      <c r="A2275">
        <f>SUMIFS(fact_batting_summary!G:G, fact_batting_summary!E:E, fact_batting_summary!E2275)</f>
        <v>1851</v>
      </c>
      <c r="B2275" s="9">
        <f>AVERAGEIFS(fact_batting_summary!G:G, fact_batting_summary!E:E,fact_batting_summary!E2275)</f>
        <v>37.020000000000003</v>
      </c>
      <c r="C2275">
        <v>2</v>
      </c>
    </row>
    <row r="2276" spans="1:3" x14ac:dyDescent="0.45">
      <c r="A2276">
        <f>SUMIFS(fact_batting_summary!G:G, fact_batting_summary!E:E, fact_batting_summary!E2276)</f>
        <v>507</v>
      </c>
      <c r="B2276" s="9">
        <f>AVERAGEIFS(fact_batting_summary!G:G, fact_batting_summary!E:E,fact_batting_summary!E2276)</f>
        <v>39</v>
      </c>
      <c r="C2276">
        <v>3</v>
      </c>
    </row>
    <row r="2277" spans="1:3" x14ac:dyDescent="0.45">
      <c r="A2277">
        <f>SUMIFS(fact_batting_summary!G:G, fact_batting_summary!E:E, fact_batting_summary!E2277)</f>
        <v>960</v>
      </c>
      <c r="B2277" s="9">
        <f>AVERAGEIFS(fact_batting_summary!G:G, fact_batting_summary!E:E,fact_batting_summary!E2277)</f>
        <v>23.414634146341463</v>
      </c>
      <c r="C2277">
        <v>4</v>
      </c>
    </row>
    <row r="2278" spans="1:3" x14ac:dyDescent="0.45">
      <c r="A2278">
        <f>SUMIFS(fact_batting_summary!G:G, fact_batting_summary!E:E, fact_batting_summary!E2278)</f>
        <v>864</v>
      </c>
      <c r="B2278" s="9">
        <f>AVERAGEIFS(fact_batting_summary!G:G, fact_batting_summary!E:E,fact_batting_summary!E2278)</f>
        <v>23.351351351351351</v>
      </c>
      <c r="C2278">
        <v>5</v>
      </c>
    </row>
    <row r="2279" spans="1:3" x14ac:dyDescent="0.45">
      <c r="A2279">
        <f>SUMIFS(fact_batting_summary!G:G, fact_batting_summary!E:E, fact_batting_summary!E2279)</f>
        <v>459</v>
      </c>
      <c r="B2279" s="9">
        <f>AVERAGEIFS(fact_batting_summary!G:G, fact_batting_summary!E:E,fact_batting_summary!E2279)</f>
        <v>13.909090909090908</v>
      </c>
      <c r="C2279">
        <v>6</v>
      </c>
    </row>
    <row r="2280" spans="1:3" x14ac:dyDescent="0.45">
      <c r="A2280">
        <f>SUMIFS(fact_batting_summary!G:G, fact_batting_summary!E:E, fact_batting_summary!E2280)</f>
        <v>26</v>
      </c>
      <c r="B2280" s="9">
        <f>AVERAGEIFS(fact_batting_summary!G:G, fact_batting_summary!E:E,fact_batting_summary!E2280)</f>
        <v>8.6666666666666661</v>
      </c>
      <c r="C2280">
        <v>7</v>
      </c>
    </row>
    <row r="2281" spans="1:3" x14ac:dyDescent="0.45">
      <c r="A2281">
        <f>SUMIFS(fact_batting_summary!G:G, fact_batting_summary!E:E, fact_batting_summary!E2281)</f>
        <v>304</v>
      </c>
      <c r="B2281" s="9">
        <f>AVERAGEIFS(fact_batting_summary!G:G, fact_batting_summary!E:E,fact_batting_summary!E2281)</f>
        <v>11.692307692307692</v>
      </c>
      <c r="C2281">
        <v>8</v>
      </c>
    </row>
    <row r="2282" spans="1:3" x14ac:dyDescent="0.45">
      <c r="A2282">
        <f>SUMIFS(fact_batting_summary!G:G, fact_batting_summary!E:E, fact_batting_summary!E2282)</f>
        <v>8</v>
      </c>
      <c r="B2282" s="9">
        <f>AVERAGEIFS(fact_batting_summary!G:G, fact_batting_summary!E:E,fact_batting_summary!E2282)</f>
        <v>2.6666666666666665</v>
      </c>
      <c r="C2282">
        <v>9</v>
      </c>
    </row>
    <row r="2283" spans="1:3" x14ac:dyDescent="0.45">
      <c r="A2283">
        <f>SUMIFS(fact_batting_summary!G:G, fact_batting_summary!E:E, fact_batting_summary!E2283)</f>
        <v>18</v>
      </c>
      <c r="B2283" s="9">
        <f>AVERAGEIFS(fact_batting_summary!G:G, fact_batting_summary!E:E,fact_batting_summary!E2283)</f>
        <v>3</v>
      </c>
      <c r="C2283">
        <v>10</v>
      </c>
    </row>
    <row r="2284" spans="1:3" x14ac:dyDescent="0.45">
      <c r="A2284">
        <f>SUMIFS(fact_batting_summary!G:G, fact_batting_summary!E:E, fact_batting_summary!E2284)</f>
        <v>0</v>
      </c>
      <c r="B2284" s="9">
        <f>AVERAGEIFS(fact_batting_summary!G:G, fact_batting_summary!E:E,fact_batting_summary!E2284)</f>
        <v>0</v>
      </c>
      <c r="C2284">
        <v>11</v>
      </c>
    </row>
    <row r="2285" spans="1:3" x14ac:dyDescent="0.45">
      <c r="A2285">
        <f>SUMIFS(fact_batting_summary!G:G, fact_batting_summary!E:E, fact_batting_summary!E2285)</f>
        <v>134</v>
      </c>
      <c r="B2285" s="9">
        <f>AVERAGEIFS(fact_batting_summary!G:G, fact_batting_summary!E:E,fact_batting_summary!E2285)</f>
        <v>19.142857142857142</v>
      </c>
      <c r="C2285">
        <v>1</v>
      </c>
    </row>
    <row r="2286" spans="1:3" x14ac:dyDescent="0.45">
      <c r="A2286">
        <f>SUMIFS(fact_batting_summary!G:G, fact_batting_summary!E:E, fact_batting_summary!E2286)</f>
        <v>745</v>
      </c>
      <c r="B2286" s="9">
        <f>AVERAGEIFS(fact_batting_summary!G:G, fact_batting_summary!E:E,fact_batting_summary!E2286)</f>
        <v>24.032258064516128</v>
      </c>
      <c r="C2286">
        <v>2</v>
      </c>
    </row>
    <row r="2287" spans="1:3" x14ac:dyDescent="0.45">
      <c r="A2287">
        <f>SUMIFS(fact_batting_summary!G:G, fact_batting_summary!E:E, fact_batting_summary!E2287)</f>
        <v>775</v>
      </c>
      <c r="B2287" s="9">
        <f>AVERAGEIFS(fact_batting_summary!G:G, fact_batting_summary!E:E,fact_batting_summary!E2287)</f>
        <v>25</v>
      </c>
      <c r="C2287">
        <v>3</v>
      </c>
    </row>
    <row r="2288" spans="1:3" x14ac:dyDescent="0.45">
      <c r="A2288">
        <f>SUMIFS(fact_batting_summary!G:G, fact_batting_summary!E:E, fact_batting_summary!E2288)</f>
        <v>1083</v>
      </c>
      <c r="B2288" s="9">
        <f>AVERAGEIFS(fact_batting_summary!G:G, fact_batting_summary!E:E,fact_batting_summary!E2288)</f>
        <v>25.186046511627907</v>
      </c>
      <c r="C2288">
        <v>4</v>
      </c>
    </row>
    <row r="2289" spans="1:3" x14ac:dyDescent="0.45">
      <c r="A2289">
        <f>SUMIFS(fact_batting_summary!G:G, fact_batting_summary!E:E, fact_batting_summary!E2289)</f>
        <v>448</v>
      </c>
      <c r="B2289" s="9">
        <f>AVERAGEIFS(fact_batting_summary!G:G, fact_batting_summary!E:E,fact_batting_summary!E2289)</f>
        <v>40.727272727272727</v>
      </c>
      <c r="C2289">
        <v>5</v>
      </c>
    </row>
    <row r="2290" spans="1:3" x14ac:dyDescent="0.45">
      <c r="A2290">
        <f>SUMIFS(fact_batting_summary!G:G, fact_batting_summary!E:E, fact_batting_summary!E2290)</f>
        <v>11</v>
      </c>
      <c r="B2290" s="9">
        <f>AVERAGEIFS(fact_batting_summary!G:G, fact_batting_summary!E:E,fact_batting_summary!E2290)</f>
        <v>5.5</v>
      </c>
      <c r="C2290">
        <v>6</v>
      </c>
    </row>
    <row r="2291" spans="1:3" x14ac:dyDescent="0.45">
      <c r="A2291">
        <f>SUMIFS(fact_batting_summary!G:G, fact_batting_summary!E:E, fact_batting_summary!E2291)</f>
        <v>284</v>
      </c>
      <c r="B2291" s="9">
        <f>AVERAGEIFS(fact_batting_summary!G:G, fact_batting_summary!E:E,fact_batting_summary!E2291)</f>
        <v>14.2</v>
      </c>
      <c r="C2291">
        <v>7</v>
      </c>
    </row>
    <row r="2292" spans="1:3" x14ac:dyDescent="0.45">
      <c r="A2292">
        <f>SUMIFS(fact_batting_summary!G:G, fact_batting_summary!E:E, fact_batting_summary!E2292)</f>
        <v>48</v>
      </c>
      <c r="B2292" s="9">
        <f>AVERAGEIFS(fact_batting_summary!G:G, fact_batting_summary!E:E,fact_batting_summary!E2292)</f>
        <v>4.3636363636363633</v>
      </c>
      <c r="C2292">
        <v>8</v>
      </c>
    </row>
    <row r="2293" spans="1:3" x14ac:dyDescent="0.45">
      <c r="A2293">
        <f>SUMIFS(fact_batting_summary!G:G, fact_batting_summary!E:E, fact_batting_summary!E2293)</f>
        <v>100</v>
      </c>
      <c r="B2293" s="9">
        <f>AVERAGEIFS(fact_batting_summary!G:G, fact_batting_summary!E:E,fact_batting_summary!E2293)</f>
        <v>5.2631578947368425</v>
      </c>
      <c r="C2293">
        <v>9</v>
      </c>
    </row>
    <row r="2294" spans="1:3" x14ac:dyDescent="0.45">
      <c r="A2294">
        <f>SUMIFS(fact_batting_summary!G:G, fact_batting_summary!E:E, fact_batting_summary!E2294)</f>
        <v>21</v>
      </c>
      <c r="B2294" s="9">
        <f>AVERAGEIFS(fact_batting_summary!G:G, fact_batting_summary!E:E,fact_batting_summary!E2294)</f>
        <v>7</v>
      </c>
      <c r="C2294">
        <v>10</v>
      </c>
    </row>
    <row r="2295" spans="1:3" x14ac:dyDescent="0.45">
      <c r="A2295">
        <f>SUMIFS(fact_batting_summary!G:G, fact_batting_summary!E:E, fact_batting_summary!E2295)</f>
        <v>3</v>
      </c>
      <c r="B2295" s="9">
        <f>AVERAGEIFS(fact_batting_summary!G:G, fact_batting_summary!E:E,fact_batting_summary!E2295)</f>
        <v>1.5</v>
      </c>
      <c r="C2295">
        <v>11</v>
      </c>
    </row>
    <row r="2296" spans="1:3" x14ac:dyDescent="0.45">
      <c r="A2296">
        <f>SUMIFS(fact_batting_summary!G:G, fact_batting_summary!E:E, fact_batting_summary!E2296)</f>
        <v>1593</v>
      </c>
      <c r="B2296" s="9">
        <f>AVERAGEIFS(fact_batting_summary!G:G, fact_batting_summary!E:E,fact_batting_summary!E2296)</f>
        <v>35.4</v>
      </c>
      <c r="C2296">
        <v>1</v>
      </c>
    </row>
    <row r="2297" spans="1:3" x14ac:dyDescent="0.45">
      <c r="A2297">
        <f>SUMIFS(fact_batting_summary!G:G, fact_batting_summary!E:E, fact_batting_summary!E2297)</f>
        <v>924</v>
      </c>
      <c r="B2297" s="9">
        <f>AVERAGEIFS(fact_batting_summary!G:G, fact_batting_summary!E:E,fact_batting_summary!E2297)</f>
        <v>42</v>
      </c>
      <c r="C2297">
        <v>2</v>
      </c>
    </row>
    <row r="2298" spans="1:3" x14ac:dyDescent="0.45">
      <c r="A2298">
        <f>SUMIFS(fact_batting_summary!G:G, fact_batting_summary!E:E, fact_batting_summary!E2298)</f>
        <v>467</v>
      </c>
      <c r="B2298" s="9">
        <f>AVERAGEIFS(fact_batting_summary!G:G, fact_batting_summary!E:E,fact_batting_summary!E2298)</f>
        <v>24.578947368421051</v>
      </c>
      <c r="C2298">
        <v>3</v>
      </c>
    </row>
    <row r="2299" spans="1:3" x14ac:dyDescent="0.45">
      <c r="A2299">
        <f>SUMIFS(fact_batting_summary!G:G, fact_batting_summary!E:E, fact_batting_summary!E2299)</f>
        <v>689</v>
      </c>
      <c r="B2299" s="9">
        <f>AVERAGEIFS(fact_batting_summary!G:G, fact_batting_summary!E:E,fact_batting_summary!E2299)</f>
        <v>19.138888888888889</v>
      </c>
      <c r="C2299">
        <v>4</v>
      </c>
    </row>
    <row r="2300" spans="1:3" x14ac:dyDescent="0.45">
      <c r="A2300">
        <f>SUMIFS(fact_batting_summary!G:G, fact_batting_summary!E:E, fact_batting_summary!E2300)</f>
        <v>937</v>
      </c>
      <c r="B2300" s="9">
        <f>AVERAGEIFS(fact_batting_summary!G:G, fact_batting_summary!E:E,fact_batting_summary!E2300)</f>
        <v>27.558823529411764</v>
      </c>
      <c r="C2300">
        <v>5</v>
      </c>
    </row>
    <row r="2301" spans="1:3" x14ac:dyDescent="0.45">
      <c r="A2301">
        <f>SUMIFS(fact_batting_summary!G:G, fact_batting_summary!E:E, fact_batting_summary!E2301)</f>
        <v>725</v>
      </c>
      <c r="B2301" s="9">
        <f>AVERAGEIFS(fact_batting_summary!G:G, fact_batting_summary!E:E,fact_batting_summary!E2301)</f>
        <v>20.714285714285715</v>
      </c>
      <c r="C2301">
        <v>6</v>
      </c>
    </row>
    <row r="2302" spans="1:3" x14ac:dyDescent="0.45">
      <c r="A2302">
        <f>SUMIFS(fact_batting_summary!G:G, fact_batting_summary!E:E, fact_batting_summary!E2302)</f>
        <v>533</v>
      </c>
      <c r="B2302" s="9">
        <f>AVERAGEIFS(fact_batting_summary!G:G, fact_batting_summary!E:E,fact_batting_summary!E2302)</f>
        <v>15.676470588235293</v>
      </c>
      <c r="C2302">
        <v>7</v>
      </c>
    </row>
    <row r="2303" spans="1:3" x14ac:dyDescent="0.45">
      <c r="A2303">
        <f>SUMIFS(fact_batting_summary!G:G, fact_batting_summary!E:E, fact_batting_summary!E2303)</f>
        <v>450</v>
      </c>
      <c r="B2303" s="9">
        <f>AVERAGEIFS(fact_batting_summary!G:G, fact_batting_summary!E:E,fact_batting_summary!E2303)</f>
        <v>12.5</v>
      </c>
      <c r="C2303">
        <v>8</v>
      </c>
    </row>
    <row r="2304" spans="1:3" x14ac:dyDescent="0.45">
      <c r="A2304">
        <f>SUMIFS(fact_batting_summary!G:G, fact_batting_summary!E:E, fact_batting_summary!E2304)</f>
        <v>435</v>
      </c>
      <c r="B2304" s="9">
        <f>AVERAGEIFS(fact_batting_summary!G:G, fact_batting_summary!E:E,fact_batting_summary!E2304)</f>
        <v>33.46153846153846</v>
      </c>
      <c r="C2304">
        <v>1</v>
      </c>
    </row>
    <row r="2305" spans="1:3" x14ac:dyDescent="0.45">
      <c r="A2305">
        <f>SUMIFS(fact_batting_summary!G:G, fact_batting_summary!E:E, fact_batting_summary!E2305)</f>
        <v>227</v>
      </c>
      <c r="B2305" s="9">
        <f>AVERAGEIFS(fact_batting_summary!G:G, fact_batting_summary!E:E,fact_batting_summary!E2305)</f>
        <v>20.636363636363637</v>
      </c>
      <c r="C2305">
        <v>2</v>
      </c>
    </row>
    <row r="2306" spans="1:3" x14ac:dyDescent="0.45">
      <c r="A2306">
        <f>SUMIFS(fact_batting_summary!G:G, fact_batting_summary!E:E, fact_batting_summary!E2306)</f>
        <v>956</v>
      </c>
      <c r="B2306" s="9">
        <f>AVERAGEIFS(fact_batting_summary!G:G, fact_batting_summary!E:E,fact_batting_summary!E2306)</f>
        <v>26.555555555555557</v>
      </c>
      <c r="C2306">
        <v>3</v>
      </c>
    </row>
    <row r="2307" spans="1:3" x14ac:dyDescent="0.45">
      <c r="A2307">
        <f>SUMIFS(fact_batting_summary!G:G, fact_batting_summary!E:E, fact_batting_summary!E2307)</f>
        <v>1157</v>
      </c>
      <c r="B2307" s="9">
        <f>AVERAGEIFS(fact_batting_summary!G:G, fact_batting_summary!E:E,fact_batting_summary!E2307)</f>
        <v>26.295454545454547</v>
      </c>
      <c r="C2307">
        <v>4</v>
      </c>
    </row>
    <row r="2308" spans="1:3" x14ac:dyDescent="0.45">
      <c r="A2308">
        <f>SUMIFS(fact_batting_summary!G:G, fact_batting_summary!E:E, fact_batting_summary!E2308)</f>
        <v>648</v>
      </c>
      <c r="B2308" s="9">
        <f>AVERAGEIFS(fact_batting_summary!G:G, fact_batting_summary!E:E,fact_batting_summary!E2308)</f>
        <v>30.857142857142858</v>
      </c>
      <c r="C2308">
        <v>5</v>
      </c>
    </row>
    <row r="2309" spans="1:3" x14ac:dyDescent="0.45">
      <c r="A2309">
        <f>SUMIFS(fact_batting_summary!G:G, fact_batting_summary!E:E, fact_batting_summary!E2309)</f>
        <v>745</v>
      </c>
      <c r="B2309" s="9">
        <f>AVERAGEIFS(fact_batting_summary!G:G, fact_batting_summary!E:E,fact_batting_summary!E2309)</f>
        <v>21.285714285714285</v>
      </c>
      <c r="C2309">
        <v>6</v>
      </c>
    </row>
    <row r="2310" spans="1:3" x14ac:dyDescent="0.45">
      <c r="A2310">
        <f>SUMIFS(fact_batting_summary!G:G, fact_batting_summary!E:E, fact_batting_summary!E2310)</f>
        <v>1385</v>
      </c>
      <c r="B2310" s="9">
        <f>AVERAGEIFS(fact_batting_summary!G:G, fact_batting_summary!E:E,fact_batting_summary!E2310)</f>
        <v>30.777777777777779</v>
      </c>
      <c r="C2310">
        <v>1</v>
      </c>
    </row>
    <row r="2311" spans="1:3" x14ac:dyDescent="0.45">
      <c r="A2311">
        <f>SUMIFS(fact_batting_summary!G:G, fact_batting_summary!E:E, fact_batting_summary!E2311)</f>
        <v>1831</v>
      </c>
      <c r="B2311" s="9">
        <f>AVERAGEIFS(fact_batting_summary!G:G, fact_batting_summary!E:E,fact_batting_summary!E2311)</f>
        <v>39.804347826086953</v>
      </c>
      <c r="C2311">
        <v>2</v>
      </c>
    </row>
    <row r="2312" spans="1:3" x14ac:dyDescent="0.45">
      <c r="A2312">
        <f>SUMIFS(fact_batting_summary!G:G, fact_batting_summary!E:E, fact_batting_summary!E2312)</f>
        <v>1214</v>
      </c>
      <c r="B2312" s="9">
        <f>AVERAGEIFS(fact_batting_summary!G:G, fact_batting_summary!E:E,fact_batting_summary!E2312)</f>
        <v>29.609756097560975</v>
      </c>
      <c r="C2312">
        <v>3</v>
      </c>
    </row>
    <row r="2313" spans="1:3" x14ac:dyDescent="0.45">
      <c r="A2313">
        <f>SUMIFS(fact_batting_summary!G:G, fact_batting_summary!E:E, fact_batting_summary!E2313)</f>
        <v>315</v>
      </c>
      <c r="B2313" s="9">
        <f>AVERAGEIFS(fact_batting_summary!G:G, fact_batting_summary!E:E,fact_batting_summary!E2313)</f>
        <v>16.578947368421051</v>
      </c>
      <c r="C2313">
        <v>4</v>
      </c>
    </row>
    <row r="2314" spans="1:3" x14ac:dyDescent="0.45">
      <c r="A2314">
        <f>SUMIFS(fact_batting_summary!G:G, fact_batting_summary!E:E, fact_batting_summary!E2314)</f>
        <v>693</v>
      </c>
      <c r="B2314" s="9">
        <f>AVERAGEIFS(fact_batting_summary!G:G, fact_batting_summary!E:E,fact_batting_summary!E2314)</f>
        <v>15.75</v>
      </c>
      <c r="C2314">
        <v>5</v>
      </c>
    </row>
    <row r="2315" spans="1:3" x14ac:dyDescent="0.45">
      <c r="A2315">
        <f>SUMIFS(fact_batting_summary!G:G, fact_batting_summary!E:E, fact_batting_summary!E2315)</f>
        <v>58</v>
      </c>
      <c r="B2315" s="9">
        <f>AVERAGEIFS(fact_batting_summary!G:G, fact_batting_summary!E:E,fact_batting_summary!E2315)</f>
        <v>14.5</v>
      </c>
      <c r="C2315">
        <v>6</v>
      </c>
    </row>
    <row r="2316" spans="1:3" x14ac:dyDescent="0.45">
      <c r="A2316">
        <f>SUMIFS(fact_batting_summary!G:G, fact_batting_summary!E:E, fact_batting_summary!E2316)</f>
        <v>220</v>
      </c>
      <c r="B2316" s="9">
        <f>AVERAGEIFS(fact_batting_summary!G:G, fact_batting_summary!E:E,fact_batting_summary!E2316)</f>
        <v>13.75</v>
      </c>
      <c r="C2316">
        <v>7</v>
      </c>
    </row>
    <row r="2317" spans="1:3" x14ac:dyDescent="0.45">
      <c r="A2317">
        <f>SUMIFS(fact_batting_summary!G:G, fact_batting_summary!E:E, fact_batting_summary!E2317)</f>
        <v>1132</v>
      </c>
      <c r="B2317" s="9">
        <f>AVERAGEIFS(fact_batting_summary!G:G, fact_batting_summary!E:E,fact_batting_summary!E2317)</f>
        <v>33.294117647058826</v>
      </c>
      <c r="C2317">
        <v>1</v>
      </c>
    </row>
    <row r="2318" spans="1:3" x14ac:dyDescent="0.45">
      <c r="A2318">
        <f>SUMIFS(fact_batting_summary!G:G, fact_batting_summary!E:E, fact_batting_summary!E2318)</f>
        <v>1509</v>
      </c>
      <c r="B2318" s="9">
        <f>AVERAGEIFS(fact_batting_summary!G:G, fact_batting_summary!E:E,fact_batting_summary!E2318)</f>
        <v>39.710526315789473</v>
      </c>
      <c r="C2318">
        <v>2</v>
      </c>
    </row>
    <row r="2319" spans="1:3" x14ac:dyDescent="0.45">
      <c r="A2319">
        <f>SUMIFS(fact_batting_summary!G:G, fact_batting_summary!E:E, fact_batting_summary!E2319)</f>
        <v>1304</v>
      </c>
      <c r="B2319" s="9">
        <f>AVERAGEIFS(fact_batting_summary!G:G, fact_batting_summary!E:E,fact_batting_summary!E2319)</f>
        <v>28.977777777777778</v>
      </c>
      <c r="C2319">
        <v>3</v>
      </c>
    </row>
    <row r="2320" spans="1:3" x14ac:dyDescent="0.45">
      <c r="A2320">
        <f>SUMIFS(fact_batting_summary!G:G, fact_batting_summary!E:E, fact_batting_summary!E2320)</f>
        <v>10</v>
      </c>
      <c r="B2320" s="9">
        <f>AVERAGEIFS(fact_batting_summary!G:G, fact_batting_summary!E:E,fact_batting_summary!E2320)</f>
        <v>10</v>
      </c>
      <c r="C2320">
        <v>4</v>
      </c>
    </row>
    <row r="2321" spans="1:3" x14ac:dyDescent="0.45">
      <c r="A2321">
        <f>SUMIFS(fact_batting_summary!G:G, fact_batting_summary!E:E, fact_batting_summary!E2321)</f>
        <v>1048</v>
      </c>
      <c r="B2321" s="9">
        <f>AVERAGEIFS(fact_batting_summary!G:G, fact_batting_summary!E:E,fact_batting_summary!E2321)</f>
        <v>24.952380952380953</v>
      </c>
      <c r="C2321">
        <v>5</v>
      </c>
    </row>
    <row r="2322" spans="1:3" x14ac:dyDescent="0.45">
      <c r="A2322">
        <f>SUMIFS(fact_batting_summary!G:G, fact_batting_summary!E:E, fact_batting_summary!E2322)</f>
        <v>854</v>
      </c>
      <c r="B2322" s="9">
        <f>AVERAGEIFS(fact_batting_summary!G:G, fact_batting_summary!E:E,fact_batting_summary!E2322)</f>
        <v>21.35</v>
      </c>
      <c r="C2322">
        <v>6</v>
      </c>
    </row>
    <row r="2323" spans="1:3" x14ac:dyDescent="0.45">
      <c r="A2323">
        <f>SUMIFS(fact_batting_summary!G:G, fact_batting_summary!E:E, fact_batting_summary!E2323)</f>
        <v>152</v>
      </c>
      <c r="B2323" s="9">
        <f>AVERAGEIFS(fact_batting_summary!G:G, fact_batting_summary!E:E,fact_batting_summary!E2323)</f>
        <v>13.818181818181818</v>
      </c>
      <c r="C2323">
        <v>7</v>
      </c>
    </row>
    <row r="2324" spans="1:3" x14ac:dyDescent="0.45">
      <c r="A2324">
        <f>SUMIFS(fact_batting_summary!G:G, fact_batting_summary!E:E, fact_batting_summary!E2324)</f>
        <v>302</v>
      </c>
      <c r="B2324" s="9">
        <f>AVERAGEIFS(fact_batting_summary!G:G, fact_batting_summary!E:E,fact_batting_summary!E2324)</f>
        <v>11.185185185185185</v>
      </c>
      <c r="C2324">
        <v>8</v>
      </c>
    </row>
    <row r="2325" spans="1:3" x14ac:dyDescent="0.45">
      <c r="A2325">
        <f>SUMIFS(fact_batting_summary!G:G, fact_batting_summary!E:E, fact_batting_summary!E2325)</f>
        <v>10</v>
      </c>
      <c r="B2325" s="9">
        <f>AVERAGEIFS(fact_batting_summary!G:G, fact_batting_summary!E:E,fact_batting_summary!E2325)</f>
        <v>3.3333333333333335</v>
      </c>
      <c r="C2325">
        <v>9</v>
      </c>
    </row>
    <row r="2326" spans="1:3" x14ac:dyDescent="0.45">
      <c r="A2326">
        <f>SUMIFS(fact_batting_summary!G:G, fact_batting_summary!E:E, fact_batting_summary!E2326)</f>
        <v>10</v>
      </c>
      <c r="B2326" s="9">
        <f>AVERAGEIFS(fact_batting_summary!G:G, fact_batting_summary!E:E,fact_batting_summary!E2326)</f>
        <v>2.5</v>
      </c>
      <c r="C2326">
        <v>10</v>
      </c>
    </row>
    <row r="2327" spans="1:3" x14ac:dyDescent="0.45">
      <c r="A2327">
        <f>SUMIFS(fact_batting_summary!G:G, fact_batting_summary!E:E, fact_batting_summary!E2327)</f>
        <v>0</v>
      </c>
      <c r="B2327" s="9">
        <f>AVERAGEIFS(fact_batting_summary!G:G, fact_batting_summary!E:E,fact_batting_summary!E2327)</f>
        <v>0</v>
      </c>
      <c r="C2327">
        <v>11</v>
      </c>
    </row>
    <row r="2328" spans="1:3" x14ac:dyDescent="0.45">
      <c r="A2328">
        <f>SUMIFS(fact_batting_summary!G:G, fact_batting_summary!E:E, fact_batting_summary!E2328)</f>
        <v>391</v>
      </c>
      <c r="B2328" s="9">
        <f>AVERAGEIFS(fact_batting_summary!G:G, fact_batting_summary!E:E,fact_batting_summary!E2328)</f>
        <v>23</v>
      </c>
      <c r="C2328">
        <v>1</v>
      </c>
    </row>
    <row r="2329" spans="1:3" x14ac:dyDescent="0.45">
      <c r="A2329">
        <f>SUMIFS(fact_batting_summary!G:G, fact_batting_summary!E:E, fact_batting_summary!E2329)</f>
        <v>1392</v>
      </c>
      <c r="B2329" s="9">
        <f>AVERAGEIFS(fact_batting_summary!G:G, fact_batting_summary!E:E,fact_batting_summary!E2329)</f>
        <v>34.799999999999997</v>
      </c>
      <c r="C2329">
        <v>2</v>
      </c>
    </row>
    <row r="2330" spans="1:3" x14ac:dyDescent="0.45">
      <c r="A2330">
        <f>SUMIFS(fact_batting_summary!G:G, fact_batting_summary!E:E, fact_batting_summary!E2330)</f>
        <v>758</v>
      </c>
      <c r="B2330" s="9">
        <f>AVERAGEIFS(fact_batting_summary!G:G, fact_batting_summary!E:E,fact_batting_summary!E2330)</f>
        <v>27.071428571428573</v>
      </c>
      <c r="C2330">
        <v>3</v>
      </c>
    </row>
    <row r="2331" spans="1:3" x14ac:dyDescent="0.45">
      <c r="A2331">
        <f>SUMIFS(fact_batting_summary!G:G, fact_batting_summary!E:E, fact_batting_summary!E2331)</f>
        <v>543</v>
      </c>
      <c r="B2331" s="9">
        <f>AVERAGEIFS(fact_batting_summary!G:G, fact_batting_summary!E:E,fact_batting_summary!E2331)</f>
        <v>22.625</v>
      </c>
      <c r="C2331">
        <v>4</v>
      </c>
    </row>
    <row r="2332" spans="1:3" x14ac:dyDescent="0.45">
      <c r="A2332">
        <f>SUMIFS(fact_batting_summary!G:G, fact_batting_summary!E:E, fact_batting_summary!E2332)</f>
        <v>332</v>
      </c>
      <c r="B2332" s="9">
        <f>AVERAGEIFS(fact_batting_summary!G:G, fact_batting_summary!E:E,fact_batting_summary!E2332)</f>
        <v>19.529411764705884</v>
      </c>
      <c r="C2332">
        <v>5</v>
      </c>
    </row>
    <row r="2333" spans="1:3" x14ac:dyDescent="0.45">
      <c r="A2333">
        <f>SUMIFS(fact_batting_summary!G:G, fact_batting_summary!E:E, fact_batting_summary!E2333)</f>
        <v>138</v>
      </c>
      <c r="B2333" s="9">
        <f>AVERAGEIFS(fact_batting_summary!G:G, fact_batting_summary!E:E,fact_batting_summary!E2333)</f>
        <v>8.625</v>
      </c>
      <c r="C2333">
        <v>6</v>
      </c>
    </row>
    <row r="2334" spans="1:3" x14ac:dyDescent="0.45">
      <c r="A2334">
        <f>SUMIFS(fact_batting_summary!G:G, fact_batting_summary!E:E, fact_batting_summary!E2334)</f>
        <v>426</v>
      </c>
      <c r="B2334" s="9">
        <f>AVERAGEIFS(fact_batting_summary!G:G, fact_batting_summary!E:E,fact_batting_summary!E2334)</f>
        <v>13.741935483870968</v>
      </c>
      <c r="C2334">
        <v>7</v>
      </c>
    </row>
    <row r="2335" spans="1:3" x14ac:dyDescent="0.45">
      <c r="A2335">
        <f>SUMIFS(fact_batting_summary!G:G, fact_batting_summary!E:E, fact_batting_summary!E2335)</f>
        <v>139</v>
      </c>
      <c r="B2335" s="9">
        <f>AVERAGEIFS(fact_batting_summary!G:G, fact_batting_summary!E:E,fact_batting_summary!E2335)</f>
        <v>19.857142857142858</v>
      </c>
      <c r="C2335">
        <v>8</v>
      </c>
    </row>
    <row r="2336" spans="1:3" x14ac:dyDescent="0.45">
      <c r="A2336">
        <f>SUMIFS(fact_batting_summary!G:G, fact_batting_summary!E:E, fact_batting_summary!E2336)</f>
        <v>57</v>
      </c>
      <c r="B2336" s="9">
        <f>AVERAGEIFS(fact_batting_summary!G:G, fact_batting_summary!E:E,fact_batting_summary!E2336)</f>
        <v>8.1428571428571423</v>
      </c>
      <c r="C2336">
        <v>9</v>
      </c>
    </row>
    <row r="2337" spans="1:3" x14ac:dyDescent="0.45">
      <c r="A2337">
        <f>SUMIFS(fact_batting_summary!G:G, fact_batting_summary!E:E, fact_batting_summary!E2337)</f>
        <v>1137</v>
      </c>
      <c r="B2337" s="9">
        <f>AVERAGEIFS(fact_batting_summary!G:G, fact_batting_summary!E:E,fact_batting_summary!E2337)</f>
        <v>34.454545454545453</v>
      </c>
      <c r="C2337">
        <v>1</v>
      </c>
    </row>
    <row r="2338" spans="1:3" x14ac:dyDescent="0.45">
      <c r="A2338">
        <f>SUMIFS(fact_batting_summary!G:G, fact_batting_summary!E:E, fact_batting_summary!E2338)</f>
        <v>218</v>
      </c>
      <c r="B2338" s="9">
        <f>AVERAGEIFS(fact_batting_summary!G:G, fact_batting_summary!E:E,fact_batting_summary!E2338)</f>
        <v>24.222222222222221</v>
      </c>
      <c r="C2338">
        <v>2</v>
      </c>
    </row>
    <row r="2339" spans="1:3" x14ac:dyDescent="0.45">
      <c r="A2339">
        <f>SUMIFS(fact_batting_summary!G:G, fact_batting_summary!E:E, fact_batting_summary!E2339)</f>
        <v>379</v>
      </c>
      <c r="B2339" s="9">
        <f>AVERAGEIFS(fact_batting_summary!G:G, fact_batting_summary!E:E,fact_batting_summary!E2339)</f>
        <v>22.294117647058822</v>
      </c>
      <c r="C2339">
        <v>3</v>
      </c>
    </row>
    <row r="2340" spans="1:3" x14ac:dyDescent="0.45">
      <c r="A2340">
        <f>SUMIFS(fact_batting_summary!G:G, fact_batting_summary!E:E, fact_batting_summary!E2340)</f>
        <v>209</v>
      </c>
      <c r="B2340" s="9">
        <f>AVERAGEIFS(fact_batting_summary!G:G, fact_batting_summary!E:E,fact_batting_summary!E2340)</f>
        <v>23.222222222222221</v>
      </c>
      <c r="C2340">
        <v>4</v>
      </c>
    </row>
    <row r="2341" spans="1:3" x14ac:dyDescent="0.45">
      <c r="A2341">
        <f>SUMIFS(fact_batting_summary!G:G, fact_batting_summary!E:E, fact_batting_summary!E2341)</f>
        <v>505</v>
      </c>
      <c r="B2341" s="9">
        <f>AVERAGEIFS(fact_batting_summary!G:G, fact_batting_summary!E:E,fact_batting_summary!E2341)</f>
        <v>17.413793103448278</v>
      </c>
      <c r="C2341">
        <v>5</v>
      </c>
    </row>
    <row r="2342" spans="1:3" x14ac:dyDescent="0.45">
      <c r="A2342">
        <f>SUMIFS(fact_batting_summary!G:G, fact_batting_summary!E:E, fact_batting_summary!E2342)</f>
        <v>540</v>
      </c>
      <c r="B2342" s="9">
        <f>AVERAGEIFS(fact_batting_summary!G:G, fact_batting_summary!E:E,fact_batting_summary!E2342)</f>
        <v>23.478260869565219</v>
      </c>
      <c r="C2342">
        <v>6</v>
      </c>
    </row>
    <row r="2343" spans="1:3" x14ac:dyDescent="0.45">
      <c r="A2343">
        <f>SUMIFS(fact_batting_summary!G:G, fact_batting_summary!E:E, fact_batting_summary!E2343)</f>
        <v>115</v>
      </c>
      <c r="B2343" s="9">
        <f>AVERAGEIFS(fact_batting_summary!G:G, fact_batting_summary!E:E,fact_batting_summary!E2343)</f>
        <v>11.5</v>
      </c>
      <c r="C2343">
        <v>7</v>
      </c>
    </row>
    <row r="2344" spans="1:3" x14ac:dyDescent="0.45">
      <c r="A2344">
        <f>SUMIFS(fact_batting_summary!G:G, fact_batting_summary!E:E, fact_batting_summary!E2344)</f>
        <v>16</v>
      </c>
      <c r="B2344" s="9">
        <f>AVERAGEIFS(fact_batting_summary!G:G, fact_batting_summary!E:E,fact_batting_summary!E2344)</f>
        <v>16</v>
      </c>
      <c r="C2344">
        <v>8</v>
      </c>
    </row>
    <row r="2345" spans="1:3" x14ac:dyDescent="0.45">
      <c r="A2345">
        <f>SUMIFS(fact_batting_summary!G:G, fact_batting_summary!E:E, fact_batting_summary!E2345)</f>
        <v>79</v>
      </c>
      <c r="B2345" s="9">
        <f>AVERAGEIFS(fact_batting_summary!G:G, fact_batting_summary!E:E,fact_batting_summary!E2345)</f>
        <v>4.6470588235294121</v>
      </c>
      <c r="C2345">
        <v>9</v>
      </c>
    </row>
    <row r="2346" spans="1:3" x14ac:dyDescent="0.45">
      <c r="A2346">
        <f>SUMIFS(fact_batting_summary!G:G, fact_batting_summary!E:E, fact_batting_summary!E2346)</f>
        <v>7</v>
      </c>
      <c r="B2346" s="9">
        <f>AVERAGEIFS(fact_batting_summary!G:G, fact_batting_summary!E:E,fact_batting_summary!E2346)</f>
        <v>2.3333333333333335</v>
      </c>
      <c r="C2346">
        <v>10</v>
      </c>
    </row>
    <row r="2347" spans="1:3" x14ac:dyDescent="0.45">
      <c r="A2347">
        <f>SUMIFS(fact_batting_summary!G:G, fact_batting_summary!E:E, fact_batting_summary!E2347)</f>
        <v>134</v>
      </c>
      <c r="B2347" s="9">
        <f>AVERAGEIFS(fact_batting_summary!G:G, fact_batting_summary!E:E,fact_batting_summary!E2347)</f>
        <v>19.142857142857142</v>
      </c>
      <c r="C2347">
        <v>1</v>
      </c>
    </row>
    <row r="2348" spans="1:3" x14ac:dyDescent="0.45">
      <c r="A2348">
        <f>SUMIFS(fact_batting_summary!G:G, fact_batting_summary!E:E, fact_batting_summary!E2348)</f>
        <v>745</v>
      </c>
      <c r="B2348" s="9">
        <f>AVERAGEIFS(fact_batting_summary!G:G, fact_batting_summary!E:E,fact_batting_summary!E2348)</f>
        <v>24.032258064516128</v>
      </c>
      <c r="C2348">
        <v>2</v>
      </c>
    </row>
    <row r="2349" spans="1:3" x14ac:dyDescent="0.45">
      <c r="A2349">
        <f>SUMIFS(fact_batting_summary!G:G, fact_batting_summary!E:E, fact_batting_summary!E2349)</f>
        <v>1083</v>
      </c>
      <c r="B2349" s="9">
        <f>AVERAGEIFS(fact_batting_summary!G:G, fact_batting_summary!E:E,fact_batting_summary!E2349)</f>
        <v>25.186046511627907</v>
      </c>
      <c r="C2349">
        <v>3</v>
      </c>
    </row>
    <row r="2350" spans="1:3" x14ac:dyDescent="0.45">
      <c r="A2350">
        <f>SUMIFS(fact_batting_summary!G:G, fact_batting_summary!E:E, fact_batting_summary!E2350)</f>
        <v>775</v>
      </c>
      <c r="B2350" s="9">
        <f>AVERAGEIFS(fact_batting_summary!G:G, fact_batting_summary!E:E,fact_batting_summary!E2350)</f>
        <v>25</v>
      </c>
      <c r="C2350">
        <v>4</v>
      </c>
    </row>
    <row r="2351" spans="1:3" x14ac:dyDescent="0.45">
      <c r="A2351">
        <f>SUMIFS(fact_batting_summary!G:G, fact_batting_summary!E:E, fact_batting_summary!E2351)</f>
        <v>448</v>
      </c>
      <c r="B2351" s="9">
        <f>AVERAGEIFS(fact_batting_summary!G:G, fact_batting_summary!E:E,fact_batting_summary!E2351)</f>
        <v>40.727272727272727</v>
      </c>
      <c r="C2351">
        <v>5</v>
      </c>
    </row>
    <row r="2352" spans="1:3" x14ac:dyDescent="0.45">
      <c r="A2352">
        <f>SUMIFS(fact_batting_summary!G:G, fact_batting_summary!E:E, fact_batting_summary!E2352)</f>
        <v>65</v>
      </c>
      <c r="B2352" s="9">
        <f>AVERAGEIFS(fact_batting_summary!G:G, fact_batting_summary!E:E,fact_batting_summary!E2352)</f>
        <v>8.125</v>
      </c>
      <c r="C2352">
        <v>6</v>
      </c>
    </row>
    <row r="2353" spans="1:3" x14ac:dyDescent="0.45">
      <c r="A2353">
        <f>SUMIFS(fact_batting_summary!G:G, fact_batting_summary!E:E, fact_batting_summary!E2353)</f>
        <v>284</v>
      </c>
      <c r="B2353" s="9">
        <f>AVERAGEIFS(fact_batting_summary!G:G, fact_batting_summary!E:E,fact_batting_summary!E2353)</f>
        <v>14.2</v>
      </c>
      <c r="C2353">
        <v>7</v>
      </c>
    </row>
    <row r="2354" spans="1:3" x14ac:dyDescent="0.45">
      <c r="A2354">
        <f>SUMIFS(fact_batting_summary!G:G, fact_batting_summary!E:E, fact_batting_summary!E2354)</f>
        <v>100</v>
      </c>
      <c r="B2354" s="9">
        <f>AVERAGEIFS(fact_batting_summary!G:G, fact_batting_summary!E:E,fact_batting_summary!E2354)</f>
        <v>5.2631578947368425</v>
      </c>
      <c r="C2354">
        <v>8</v>
      </c>
    </row>
    <row r="2355" spans="1:3" x14ac:dyDescent="0.45">
      <c r="A2355">
        <f>SUMIFS(fact_batting_summary!G:G, fact_batting_summary!E:E, fact_batting_summary!E2355)</f>
        <v>365</v>
      </c>
      <c r="B2355" s="9">
        <f>AVERAGEIFS(fact_batting_summary!G:G, fact_batting_summary!E:E,fact_batting_summary!E2355)</f>
        <v>30.416666666666668</v>
      </c>
      <c r="C2355">
        <v>1</v>
      </c>
    </row>
    <row r="2356" spans="1:3" x14ac:dyDescent="0.45">
      <c r="A2356">
        <f>SUMIFS(fact_batting_summary!G:G, fact_batting_summary!E:E, fact_batting_summary!E2356)</f>
        <v>948</v>
      </c>
      <c r="B2356" s="9">
        <f>AVERAGEIFS(fact_batting_summary!G:G, fact_batting_summary!E:E,fact_batting_summary!E2356)</f>
        <v>31.6</v>
      </c>
      <c r="C2356">
        <v>2</v>
      </c>
    </row>
    <row r="2357" spans="1:3" x14ac:dyDescent="0.45">
      <c r="A2357">
        <f>SUMIFS(fact_batting_summary!G:G, fact_batting_summary!E:E, fact_batting_summary!E2357)</f>
        <v>97</v>
      </c>
      <c r="B2357" s="9">
        <f>AVERAGEIFS(fact_batting_summary!G:G, fact_batting_summary!E:E,fact_batting_summary!E2357)</f>
        <v>16.166666666666668</v>
      </c>
      <c r="C2357">
        <v>3</v>
      </c>
    </row>
    <row r="2358" spans="1:3" x14ac:dyDescent="0.45">
      <c r="A2358">
        <f>SUMIFS(fact_batting_summary!G:G, fact_batting_summary!E:E, fact_batting_summary!E2358)</f>
        <v>645</v>
      </c>
      <c r="B2358" s="9">
        <f>AVERAGEIFS(fact_batting_summary!G:G, fact_batting_summary!E:E,fact_batting_summary!E2358)</f>
        <v>21.5</v>
      </c>
      <c r="C2358">
        <v>4</v>
      </c>
    </row>
    <row r="2359" spans="1:3" x14ac:dyDescent="0.45">
      <c r="A2359">
        <f>SUMIFS(fact_batting_summary!G:G, fact_batting_summary!E:E, fact_batting_summary!E2359)</f>
        <v>729</v>
      </c>
      <c r="B2359" s="9">
        <f>AVERAGEIFS(fact_batting_summary!G:G, fact_batting_summary!E:E,fact_batting_summary!E2359)</f>
        <v>19.184210526315791</v>
      </c>
      <c r="C2359">
        <v>5</v>
      </c>
    </row>
    <row r="2360" spans="1:3" x14ac:dyDescent="0.45">
      <c r="A2360">
        <f>SUMIFS(fact_batting_summary!G:G, fact_batting_summary!E:E, fact_batting_summary!E2360)</f>
        <v>1113</v>
      </c>
      <c r="B2360" s="9">
        <f>AVERAGEIFS(fact_batting_summary!G:G, fact_batting_summary!E:E,fact_batting_summary!E2360)</f>
        <v>28.53846153846154</v>
      </c>
      <c r="C2360">
        <v>1</v>
      </c>
    </row>
    <row r="2361" spans="1:3" x14ac:dyDescent="0.45">
      <c r="A2361">
        <f>SUMIFS(fact_batting_summary!G:G, fact_batting_summary!E:E, fact_batting_summary!E2361)</f>
        <v>981</v>
      </c>
      <c r="B2361" s="9">
        <f>AVERAGEIFS(fact_batting_summary!G:G, fact_batting_summary!E:E,fact_batting_summary!E2361)</f>
        <v>22.813953488372093</v>
      </c>
      <c r="C2361">
        <v>2</v>
      </c>
    </row>
    <row r="2362" spans="1:3" x14ac:dyDescent="0.45">
      <c r="A2362">
        <f>SUMIFS(fact_batting_summary!G:G, fact_batting_summary!E:E, fact_batting_summary!E2362)</f>
        <v>1225</v>
      </c>
      <c r="B2362" s="9">
        <f>AVERAGEIFS(fact_batting_summary!G:G, fact_batting_summary!E:E,fact_batting_summary!E2362)</f>
        <v>32.236842105263158</v>
      </c>
      <c r="C2362">
        <v>3</v>
      </c>
    </row>
    <row r="2363" spans="1:3" x14ac:dyDescent="0.45">
      <c r="A2363">
        <f>SUMIFS(fact_batting_summary!G:G, fact_batting_summary!E:E, fact_batting_summary!E2363)</f>
        <v>241</v>
      </c>
      <c r="B2363" s="9">
        <f>AVERAGEIFS(fact_batting_summary!G:G, fact_batting_summary!E:E,fact_batting_summary!E2363)</f>
        <v>24.1</v>
      </c>
      <c r="C2363">
        <v>4</v>
      </c>
    </row>
    <row r="2364" spans="1:3" x14ac:dyDescent="0.45">
      <c r="A2364">
        <f>SUMIFS(fact_batting_summary!G:G, fact_batting_summary!E:E, fact_batting_summary!E2364)</f>
        <v>37</v>
      </c>
      <c r="B2364" s="9">
        <f>AVERAGEIFS(fact_batting_summary!G:G, fact_batting_summary!E:E,fact_batting_summary!E2364)</f>
        <v>12.333333333333334</v>
      </c>
      <c r="C2364">
        <v>5</v>
      </c>
    </row>
    <row r="2365" spans="1:3" x14ac:dyDescent="0.45">
      <c r="A2365">
        <f>SUMIFS(fact_batting_summary!G:G, fact_batting_summary!E:E, fact_batting_summary!E2365)</f>
        <v>418</v>
      </c>
      <c r="B2365" s="9">
        <f>AVERAGEIFS(fact_batting_summary!G:G, fact_batting_summary!E:E,fact_batting_summary!E2365)</f>
        <v>17.416666666666668</v>
      </c>
      <c r="C2365">
        <v>6</v>
      </c>
    </row>
    <row r="2366" spans="1:3" x14ac:dyDescent="0.45">
      <c r="A2366">
        <f>SUMIFS(fact_batting_summary!G:G, fact_batting_summary!E:E, fact_batting_summary!E2366)</f>
        <v>452</v>
      </c>
      <c r="B2366" s="9">
        <f>AVERAGEIFS(fact_batting_summary!G:G, fact_batting_summary!E:E,fact_batting_summary!E2366)</f>
        <v>28.25</v>
      </c>
      <c r="C2366">
        <v>7</v>
      </c>
    </row>
    <row r="2367" spans="1:3" x14ac:dyDescent="0.45">
      <c r="A2367">
        <f>SUMIFS(fact_batting_summary!G:G, fact_batting_summary!E:E, fact_batting_summary!E2367)</f>
        <v>819</v>
      </c>
      <c r="B2367" s="9">
        <f>AVERAGEIFS(fact_batting_summary!G:G, fact_batting_summary!E:E,fact_batting_summary!E2367)</f>
        <v>22.135135135135137</v>
      </c>
      <c r="C2367">
        <v>1</v>
      </c>
    </row>
    <row r="2368" spans="1:3" x14ac:dyDescent="0.45">
      <c r="A2368">
        <f>SUMIFS(fact_batting_summary!G:G, fact_batting_summary!E:E, fact_batting_summary!E2368)</f>
        <v>1851</v>
      </c>
      <c r="B2368" s="9">
        <f>AVERAGEIFS(fact_batting_summary!G:G, fact_batting_summary!E:E,fact_batting_summary!E2368)</f>
        <v>37.020000000000003</v>
      </c>
      <c r="C2368">
        <v>2</v>
      </c>
    </row>
    <row r="2369" spans="1:3" x14ac:dyDescent="0.45">
      <c r="A2369">
        <f>SUMIFS(fact_batting_summary!G:G, fact_batting_summary!E:E, fact_batting_summary!E2369)</f>
        <v>960</v>
      </c>
      <c r="B2369" s="9">
        <f>AVERAGEIFS(fact_batting_summary!G:G, fact_batting_summary!E:E,fact_batting_summary!E2369)</f>
        <v>23.414634146341463</v>
      </c>
      <c r="C2369">
        <v>3</v>
      </c>
    </row>
    <row r="2370" spans="1:3" x14ac:dyDescent="0.45">
      <c r="A2370">
        <f>SUMIFS(fact_batting_summary!G:G, fact_batting_summary!E:E, fact_batting_summary!E2370)</f>
        <v>370</v>
      </c>
      <c r="B2370" s="9">
        <f>AVERAGEIFS(fact_batting_summary!G:G, fact_batting_summary!E:E,fact_batting_summary!E2370)</f>
        <v>20.555555555555557</v>
      </c>
      <c r="C2370">
        <v>4</v>
      </c>
    </row>
    <row r="2371" spans="1:3" x14ac:dyDescent="0.45">
      <c r="A2371">
        <f>SUMIFS(fact_batting_summary!G:G, fact_batting_summary!E:E, fact_batting_summary!E2371)</f>
        <v>864</v>
      </c>
      <c r="B2371" s="9">
        <f>AVERAGEIFS(fact_batting_summary!G:G, fact_batting_summary!E:E,fact_batting_summary!E2371)</f>
        <v>23.351351351351351</v>
      </c>
      <c r="C2371">
        <v>5</v>
      </c>
    </row>
    <row r="2372" spans="1:3" x14ac:dyDescent="0.45">
      <c r="A2372">
        <f>SUMIFS(fact_batting_summary!G:G, fact_batting_summary!E:E, fact_batting_summary!E2372)</f>
        <v>222</v>
      </c>
      <c r="B2372" s="9">
        <f>AVERAGEIFS(fact_batting_summary!G:G, fact_batting_summary!E:E,fact_batting_summary!E2372)</f>
        <v>17.076923076923077</v>
      </c>
      <c r="C2372">
        <v>6</v>
      </c>
    </row>
    <row r="2373" spans="1:3" x14ac:dyDescent="0.45">
      <c r="A2373">
        <f>SUMIFS(fact_batting_summary!G:G, fact_batting_summary!E:E, fact_batting_summary!E2373)</f>
        <v>459</v>
      </c>
      <c r="B2373" s="9">
        <f>AVERAGEIFS(fact_batting_summary!G:G, fact_batting_summary!E:E,fact_batting_summary!E2373)</f>
        <v>13.909090909090908</v>
      </c>
      <c r="C2373">
        <v>7</v>
      </c>
    </row>
    <row r="2374" spans="1:3" x14ac:dyDescent="0.45">
      <c r="A2374">
        <f>SUMIFS(fact_batting_summary!G:G, fact_batting_summary!E:E, fact_batting_summary!E2374)</f>
        <v>304</v>
      </c>
      <c r="B2374" s="9">
        <f>AVERAGEIFS(fact_batting_summary!G:G, fact_batting_summary!E:E,fact_batting_summary!E2374)</f>
        <v>11.692307692307692</v>
      </c>
      <c r="C2374">
        <v>8</v>
      </c>
    </row>
    <row r="2375" spans="1:3" x14ac:dyDescent="0.45">
      <c r="A2375">
        <f>SUMIFS(fact_batting_summary!G:G, fact_batting_summary!E:E, fact_batting_summary!E2375)</f>
        <v>8</v>
      </c>
      <c r="B2375" s="9">
        <f>AVERAGEIFS(fact_batting_summary!G:G, fact_batting_summary!E:E,fact_batting_summary!E2375)</f>
        <v>2.6666666666666665</v>
      </c>
      <c r="C2375">
        <v>9</v>
      </c>
    </row>
    <row r="2376" spans="1:3" x14ac:dyDescent="0.45">
      <c r="A2376">
        <f>SUMIFS(fact_batting_summary!G:G, fact_batting_summary!E:E, fact_batting_summary!E2376)</f>
        <v>12</v>
      </c>
      <c r="B2376" s="9">
        <f>AVERAGEIFS(fact_batting_summary!G:G, fact_batting_summary!E:E,fact_batting_summary!E2376)</f>
        <v>2.4</v>
      </c>
      <c r="C2376">
        <v>10</v>
      </c>
    </row>
    <row r="2377" spans="1:3" x14ac:dyDescent="0.45">
      <c r="A2377">
        <f>SUMIFS(fact_batting_summary!G:G, fact_batting_summary!E:E, fact_batting_summary!E2377)</f>
        <v>435</v>
      </c>
      <c r="B2377" s="9">
        <f>AVERAGEIFS(fact_batting_summary!G:G, fact_batting_summary!E:E,fact_batting_summary!E2377)</f>
        <v>33.46153846153846</v>
      </c>
      <c r="C2377">
        <v>1</v>
      </c>
    </row>
    <row r="2378" spans="1:3" x14ac:dyDescent="0.45">
      <c r="A2378">
        <f>SUMIFS(fact_batting_summary!G:G, fact_batting_summary!E:E, fact_batting_summary!E2378)</f>
        <v>227</v>
      </c>
      <c r="B2378" s="9">
        <f>AVERAGEIFS(fact_batting_summary!G:G, fact_batting_summary!E:E,fact_batting_summary!E2378)</f>
        <v>20.636363636363637</v>
      </c>
      <c r="C2378">
        <v>2</v>
      </c>
    </row>
    <row r="2379" spans="1:3" x14ac:dyDescent="0.45">
      <c r="A2379">
        <f>SUMIFS(fact_batting_summary!G:G, fact_batting_summary!E:E, fact_batting_summary!E2379)</f>
        <v>956</v>
      </c>
      <c r="B2379" s="9">
        <f>AVERAGEIFS(fact_batting_summary!G:G, fact_batting_summary!E:E,fact_batting_summary!E2379)</f>
        <v>26.555555555555557</v>
      </c>
      <c r="C2379">
        <v>3</v>
      </c>
    </row>
    <row r="2380" spans="1:3" x14ac:dyDescent="0.45">
      <c r="A2380">
        <f>SUMIFS(fact_batting_summary!G:G, fact_batting_summary!E:E, fact_batting_summary!E2380)</f>
        <v>1157</v>
      </c>
      <c r="B2380" s="9">
        <f>AVERAGEIFS(fact_batting_summary!G:G, fact_batting_summary!E:E,fact_batting_summary!E2380)</f>
        <v>26.295454545454547</v>
      </c>
      <c r="C2380">
        <v>4</v>
      </c>
    </row>
    <row r="2381" spans="1:3" x14ac:dyDescent="0.45">
      <c r="A2381">
        <f>SUMIFS(fact_batting_summary!G:G, fact_batting_summary!E:E, fact_batting_summary!E2381)</f>
        <v>745</v>
      </c>
      <c r="B2381" s="9">
        <f>AVERAGEIFS(fact_batting_summary!G:G, fact_batting_summary!E:E,fact_batting_summary!E2381)</f>
        <v>21.285714285714285</v>
      </c>
      <c r="C2381">
        <v>5</v>
      </c>
    </row>
    <row r="2382" spans="1:3" x14ac:dyDescent="0.45">
      <c r="A2382">
        <f>SUMIFS(fact_batting_summary!G:G, fact_batting_summary!E:E, fact_batting_summary!E2382)</f>
        <v>648</v>
      </c>
      <c r="B2382" s="9">
        <f>AVERAGEIFS(fact_batting_summary!G:G, fact_batting_summary!E:E,fact_batting_summary!E2382)</f>
        <v>30.857142857142858</v>
      </c>
      <c r="C2382">
        <v>6</v>
      </c>
    </row>
    <row r="2383" spans="1:3" x14ac:dyDescent="0.45">
      <c r="A2383">
        <f>SUMIFS(fact_batting_summary!G:G, fact_batting_summary!E:E, fact_batting_summary!E2383)</f>
        <v>238</v>
      </c>
      <c r="B2383" s="9">
        <f>AVERAGEIFS(fact_batting_summary!G:G, fact_batting_summary!E:E,fact_batting_summary!E2383)</f>
        <v>9.9166666666666661</v>
      </c>
      <c r="C2383">
        <v>7</v>
      </c>
    </row>
    <row r="2384" spans="1:3" x14ac:dyDescent="0.45">
      <c r="A2384">
        <f>SUMIFS(fact_batting_summary!G:G, fact_batting_summary!E:E, fact_batting_summary!E2384)</f>
        <v>23</v>
      </c>
      <c r="B2384" s="9">
        <f>AVERAGEIFS(fact_batting_summary!G:G, fact_batting_summary!E:E,fact_batting_summary!E2384)</f>
        <v>4.5999999999999996</v>
      </c>
      <c r="C2384">
        <v>8</v>
      </c>
    </row>
    <row r="2385" spans="1:3" x14ac:dyDescent="0.45">
      <c r="A2385">
        <f>SUMIFS(fact_batting_summary!G:G, fact_batting_summary!E:E, fact_batting_summary!E2385)</f>
        <v>154</v>
      </c>
      <c r="B2385" s="9">
        <f>AVERAGEIFS(fact_batting_summary!G:G, fact_batting_summary!E:E,fact_batting_summary!E2385)</f>
        <v>5.1333333333333337</v>
      </c>
      <c r="C2385">
        <v>9</v>
      </c>
    </row>
    <row r="2386" spans="1:3" x14ac:dyDescent="0.45">
      <c r="A2386">
        <f>SUMIFS(fact_batting_summary!G:G, fact_batting_summary!E:E, fact_batting_summary!E2386)</f>
        <v>1132</v>
      </c>
      <c r="B2386" s="9">
        <f>AVERAGEIFS(fact_batting_summary!G:G, fact_batting_summary!E:E,fact_batting_summary!E2386)</f>
        <v>33.294117647058826</v>
      </c>
      <c r="C2386">
        <v>1</v>
      </c>
    </row>
    <row r="2387" spans="1:3" x14ac:dyDescent="0.45">
      <c r="A2387">
        <f>SUMIFS(fact_batting_summary!G:G, fact_batting_summary!E:E, fact_batting_summary!E2387)</f>
        <v>1509</v>
      </c>
      <c r="B2387" s="9">
        <f>AVERAGEIFS(fact_batting_summary!G:G, fact_batting_summary!E:E,fact_batting_summary!E2387)</f>
        <v>39.710526315789473</v>
      </c>
      <c r="C2387">
        <v>2</v>
      </c>
    </row>
    <row r="2388" spans="1:3" x14ac:dyDescent="0.45">
      <c r="A2388">
        <f>SUMIFS(fact_batting_summary!G:G, fact_batting_summary!E:E, fact_batting_summary!E2388)</f>
        <v>1304</v>
      </c>
      <c r="B2388" s="9">
        <f>AVERAGEIFS(fact_batting_summary!G:G, fact_batting_summary!E:E,fact_batting_summary!E2388)</f>
        <v>28.977777777777778</v>
      </c>
      <c r="C2388">
        <v>3</v>
      </c>
    </row>
    <row r="2389" spans="1:3" x14ac:dyDescent="0.45">
      <c r="A2389">
        <f>SUMIFS(fact_batting_summary!G:G, fact_batting_summary!E:E, fact_batting_summary!E2389)</f>
        <v>1593</v>
      </c>
      <c r="B2389" s="9">
        <f>AVERAGEIFS(fact_batting_summary!G:G, fact_batting_summary!E:E,fact_batting_summary!E2389)</f>
        <v>35.4</v>
      </c>
      <c r="C2389">
        <v>1</v>
      </c>
    </row>
    <row r="2390" spans="1:3" x14ac:dyDescent="0.45">
      <c r="A2390">
        <f>SUMIFS(fact_batting_summary!G:G, fact_batting_summary!E:E, fact_batting_summary!E2390)</f>
        <v>924</v>
      </c>
      <c r="B2390" s="9">
        <f>AVERAGEIFS(fact_batting_summary!G:G, fact_batting_summary!E:E,fact_batting_summary!E2390)</f>
        <v>42</v>
      </c>
      <c r="C2390">
        <v>2</v>
      </c>
    </row>
    <row r="2391" spans="1:3" x14ac:dyDescent="0.45">
      <c r="A2391">
        <f>SUMIFS(fact_batting_summary!G:G, fact_batting_summary!E:E, fact_batting_summary!E2391)</f>
        <v>467</v>
      </c>
      <c r="B2391" s="9">
        <f>AVERAGEIFS(fact_batting_summary!G:G, fact_batting_summary!E:E,fact_batting_summary!E2391)</f>
        <v>24.578947368421051</v>
      </c>
      <c r="C2391">
        <v>3</v>
      </c>
    </row>
    <row r="2392" spans="1:3" x14ac:dyDescent="0.45">
      <c r="A2392">
        <f>SUMIFS(fact_batting_summary!G:G, fact_batting_summary!E:E, fact_batting_summary!E2392)</f>
        <v>725</v>
      </c>
      <c r="B2392" s="9">
        <f>AVERAGEIFS(fact_batting_summary!G:G, fact_batting_summary!E:E,fact_batting_summary!E2392)</f>
        <v>20.714285714285715</v>
      </c>
      <c r="C2392">
        <v>4</v>
      </c>
    </row>
    <row r="2393" spans="1:3" x14ac:dyDescent="0.45">
      <c r="A2393">
        <f>SUMIFS(fact_batting_summary!G:G, fact_batting_summary!E:E, fact_batting_summary!E2393)</f>
        <v>937</v>
      </c>
      <c r="B2393" s="9">
        <f>AVERAGEIFS(fact_batting_summary!G:G, fact_batting_summary!E:E,fact_batting_summary!E2393)</f>
        <v>27.558823529411764</v>
      </c>
      <c r="C2393">
        <v>5</v>
      </c>
    </row>
    <row r="2394" spans="1:3" x14ac:dyDescent="0.45">
      <c r="A2394">
        <f>SUMIFS(fact_batting_summary!G:G, fact_batting_summary!E:E, fact_batting_summary!E2394)</f>
        <v>689</v>
      </c>
      <c r="B2394" s="9">
        <f>AVERAGEIFS(fact_batting_summary!G:G, fact_batting_summary!E:E,fact_batting_summary!E2394)</f>
        <v>19.138888888888889</v>
      </c>
      <c r="C2394">
        <v>6</v>
      </c>
    </row>
    <row r="2395" spans="1:3" x14ac:dyDescent="0.45">
      <c r="A2395">
        <f>SUMIFS(fact_batting_summary!G:G, fact_batting_summary!E:E, fact_batting_summary!E2395)</f>
        <v>533</v>
      </c>
      <c r="B2395" s="9">
        <f>AVERAGEIFS(fact_batting_summary!G:G, fact_batting_summary!E:E,fact_batting_summary!E2395)</f>
        <v>15.676470588235293</v>
      </c>
      <c r="C2395">
        <v>7</v>
      </c>
    </row>
    <row r="2396" spans="1:3" x14ac:dyDescent="0.45">
      <c r="A2396">
        <f>SUMIFS(fact_batting_summary!G:G, fact_batting_summary!E:E, fact_batting_summary!E2396)</f>
        <v>450</v>
      </c>
      <c r="B2396" s="9">
        <f>AVERAGEIFS(fact_batting_summary!G:G, fact_batting_summary!E:E,fact_batting_summary!E2396)</f>
        <v>12.5</v>
      </c>
      <c r="C2396">
        <v>8</v>
      </c>
    </row>
    <row r="2397" spans="1:3" x14ac:dyDescent="0.45">
      <c r="A2397">
        <f>SUMIFS(fact_batting_summary!G:G, fact_batting_summary!E:E, fact_batting_summary!E2397)</f>
        <v>2</v>
      </c>
      <c r="B2397" s="9">
        <f>AVERAGEIFS(fact_batting_summary!G:G, fact_batting_summary!E:E,fact_batting_summary!E2397)</f>
        <v>0.66666666666666663</v>
      </c>
      <c r="C2397">
        <v>9</v>
      </c>
    </row>
    <row r="2398" spans="1:3" x14ac:dyDescent="0.45">
      <c r="A2398">
        <f>SUMIFS(fact_batting_summary!G:G, fact_batting_summary!E:E, fact_batting_summary!E2398)</f>
        <v>0</v>
      </c>
      <c r="B2398" s="9">
        <f>AVERAGEIFS(fact_batting_summary!G:G, fact_batting_summary!E:E,fact_batting_summary!E2398)</f>
        <v>0</v>
      </c>
      <c r="C2398">
        <v>10</v>
      </c>
    </row>
    <row r="2399" spans="1:3" x14ac:dyDescent="0.45">
      <c r="A2399">
        <f>SUMIFS(fact_batting_summary!G:G, fact_batting_summary!E:E, fact_batting_summary!E2399)</f>
        <v>1137</v>
      </c>
      <c r="B2399" s="9">
        <f>AVERAGEIFS(fact_batting_summary!G:G, fact_batting_summary!E:E,fact_batting_summary!E2399)</f>
        <v>34.454545454545453</v>
      </c>
      <c r="C2399">
        <v>1</v>
      </c>
    </row>
    <row r="2400" spans="1:3" x14ac:dyDescent="0.45">
      <c r="A2400">
        <f>SUMIFS(fact_batting_summary!G:G, fact_batting_summary!E:E, fact_batting_summary!E2400)</f>
        <v>218</v>
      </c>
      <c r="B2400" s="9">
        <f>AVERAGEIFS(fact_batting_summary!G:G, fact_batting_summary!E:E,fact_batting_summary!E2400)</f>
        <v>24.222222222222221</v>
      </c>
      <c r="C2400">
        <v>2</v>
      </c>
    </row>
    <row r="2401" spans="1:3" x14ac:dyDescent="0.45">
      <c r="A2401">
        <f>SUMIFS(fact_batting_summary!G:G, fact_batting_summary!E:E, fact_batting_summary!E2401)</f>
        <v>379</v>
      </c>
      <c r="B2401" s="9">
        <f>AVERAGEIFS(fact_batting_summary!G:G, fact_batting_summary!E:E,fact_batting_summary!E2401)</f>
        <v>22.294117647058822</v>
      </c>
      <c r="C2401">
        <v>3</v>
      </c>
    </row>
    <row r="2402" spans="1:3" x14ac:dyDescent="0.45">
      <c r="A2402">
        <f>SUMIFS(fact_batting_summary!G:G, fact_batting_summary!E:E, fact_batting_summary!E2402)</f>
        <v>540</v>
      </c>
      <c r="B2402" s="9">
        <f>AVERAGEIFS(fact_batting_summary!G:G, fact_batting_summary!E:E,fact_batting_summary!E2402)</f>
        <v>23.478260869565219</v>
      </c>
      <c r="C2402">
        <v>4</v>
      </c>
    </row>
    <row r="2403" spans="1:3" x14ac:dyDescent="0.45">
      <c r="A2403">
        <f>SUMIFS(fact_batting_summary!G:G, fact_batting_summary!E:E, fact_batting_summary!E2403)</f>
        <v>209</v>
      </c>
      <c r="B2403" s="9">
        <f>AVERAGEIFS(fact_batting_summary!G:G, fact_batting_summary!E:E,fact_batting_summary!E2403)</f>
        <v>23.222222222222221</v>
      </c>
      <c r="C2403">
        <v>5</v>
      </c>
    </row>
    <row r="2404" spans="1:3" x14ac:dyDescent="0.45">
      <c r="A2404">
        <f>SUMIFS(fact_batting_summary!G:G, fact_batting_summary!E:E, fact_batting_summary!E2404)</f>
        <v>80</v>
      </c>
      <c r="B2404" s="9">
        <f>AVERAGEIFS(fact_batting_summary!G:G, fact_batting_summary!E:E,fact_batting_summary!E2404)</f>
        <v>11.428571428571429</v>
      </c>
      <c r="C2404">
        <v>6</v>
      </c>
    </row>
    <row r="2405" spans="1:3" x14ac:dyDescent="0.45">
      <c r="A2405">
        <f>SUMIFS(fact_batting_summary!G:G, fact_batting_summary!E:E, fact_batting_summary!E2405)</f>
        <v>505</v>
      </c>
      <c r="B2405" s="9">
        <f>AVERAGEIFS(fact_batting_summary!G:G, fact_batting_summary!E:E,fact_batting_summary!E2405)</f>
        <v>17.413793103448278</v>
      </c>
      <c r="C2405">
        <v>7</v>
      </c>
    </row>
    <row r="2406" spans="1:3" x14ac:dyDescent="0.45">
      <c r="A2406">
        <f>SUMIFS(fact_batting_summary!G:G, fact_batting_summary!E:E, fact_batting_summary!E2406)</f>
        <v>115</v>
      </c>
      <c r="B2406" s="9">
        <f>AVERAGEIFS(fact_batting_summary!G:G, fact_batting_summary!E:E,fact_batting_summary!E2406)</f>
        <v>11.5</v>
      </c>
      <c r="C2406">
        <v>8</v>
      </c>
    </row>
    <row r="2407" spans="1:3" x14ac:dyDescent="0.45">
      <c r="A2407">
        <f>SUMIFS(fact_batting_summary!G:G, fact_batting_summary!E:E, fact_batting_summary!E2407)</f>
        <v>295</v>
      </c>
      <c r="B2407" s="9">
        <f>AVERAGEIFS(fact_batting_summary!G:G, fact_batting_summary!E:E,fact_batting_summary!E2407)</f>
        <v>15.526315789473685</v>
      </c>
      <c r="C2407">
        <v>9</v>
      </c>
    </row>
    <row r="2408" spans="1:3" x14ac:dyDescent="0.45">
      <c r="A2408">
        <f>SUMIFS(fact_batting_summary!G:G, fact_batting_summary!E:E, fact_batting_summary!E2408)</f>
        <v>79</v>
      </c>
      <c r="B2408" s="9">
        <f>AVERAGEIFS(fact_batting_summary!G:G, fact_batting_summary!E:E,fact_batting_summary!E2408)</f>
        <v>4.6470588235294121</v>
      </c>
      <c r="C2408">
        <v>10</v>
      </c>
    </row>
    <row r="2409" spans="1:3" x14ac:dyDescent="0.45">
      <c r="A2409">
        <f>SUMIFS(fact_batting_summary!G:G, fact_batting_summary!E:E, fact_batting_summary!E2409)</f>
        <v>1385</v>
      </c>
      <c r="B2409" s="9">
        <f>AVERAGEIFS(fact_batting_summary!G:G, fact_batting_summary!E:E,fact_batting_summary!E2409)</f>
        <v>30.777777777777779</v>
      </c>
      <c r="C2409">
        <v>1</v>
      </c>
    </row>
    <row r="2410" spans="1:3" x14ac:dyDescent="0.45">
      <c r="A2410">
        <f>SUMIFS(fact_batting_summary!G:G, fact_batting_summary!E:E, fact_batting_summary!E2410)</f>
        <v>1831</v>
      </c>
      <c r="B2410" s="9">
        <f>AVERAGEIFS(fact_batting_summary!G:G, fact_batting_summary!E:E,fact_batting_summary!E2410)</f>
        <v>39.804347826086953</v>
      </c>
      <c r="C2410">
        <v>2</v>
      </c>
    </row>
    <row r="2411" spans="1:3" x14ac:dyDescent="0.45">
      <c r="A2411">
        <f>SUMIFS(fact_batting_summary!G:G, fact_batting_summary!E:E, fact_batting_summary!E2411)</f>
        <v>220</v>
      </c>
      <c r="B2411" s="9">
        <f>AVERAGEIFS(fact_batting_summary!G:G, fact_batting_summary!E:E,fact_batting_summary!E2411)</f>
        <v>13.75</v>
      </c>
      <c r="C2411">
        <v>3</v>
      </c>
    </row>
    <row r="2412" spans="1:3" x14ac:dyDescent="0.45">
      <c r="A2412">
        <f>SUMIFS(fact_batting_summary!G:G, fact_batting_summary!E:E, fact_batting_summary!E2412)</f>
        <v>1214</v>
      </c>
      <c r="B2412" s="9">
        <f>AVERAGEIFS(fact_batting_summary!G:G, fact_batting_summary!E:E,fact_batting_summary!E2412)</f>
        <v>29.609756097560975</v>
      </c>
      <c r="C2412">
        <v>4</v>
      </c>
    </row>
    <row r="2413" spans="1:3" x14ac:dyDescent="0.45">
      <c r="A2413">
        <f>SUMIFS(fact_batting_summary!G:G, fact_batting_summary!E:E, fact_batting_summary!E2413)</f>
        <v>315</v>
      </c>
      <c r="B2413" s="9">
        <f>AVERAGEIFS(fact_batting_summary!G:G, fact_batting_summary!E:E,fact_batting_summary!E2413)</f>
        <v>16.578947368421051</v>
      </c>
      <c r="C2413">
        <v>5</v>
      </c>
    </row>
    <row r="2414" spans="1:3" x14ac:dyDescent="0.45">
      <c r="A2414">
        <f>SUMIFS(fact_batting_summary!G:G, fact_batting_summary!E:E, fact_batting_summary!E2414)</f>
        <v>693</v>
      </c>
      <c r="B2414" s="9">
        <f>AVERAGEIFS(fact_batting_summary!G:G, fact_batting_summary!E:E,fact_batting_summary!E2414)</f>
        <v>15.75</v>
      </c>
      <c r="C2414">
        <v>6</v>
      </c>
    </row>
    <row r="2415" spans="1:3" x14ac:dyDescent="0.45">
      <c r="A2415">
        <f>SUMIFS(fact_batting_summary!G:G, fact_batting_summary!E:E, fact_batting_summary!E2415)</f>
        <v>58</v>
      </c>
      <c r="B2415" s="9">
        <f>AVERAGEIFS(fact_batting_summary!G:G, fact_batting_summary!E:E,fact_batting_summary!E2415)</f>
        <v>11.6</v>
      </c>
      <c r="C2415">
        <v>7</v>
      </c>
    </row>
    <row r="2416" spans="1:3" x14ac:dyDescent="0.45">
      <c r="A2416">
        <f>SUMIFS(fact_batting_summary!G:G, fact_batting_summary!E:E, fact_batting_summary!E2416)</f>
        <v>72</v>
      </c>
      <c r="B2416" s="9">
        <f>AVERAGEIFS(fact_batting_summary!G:G, fact_batting_summary!E:E,fact_batting_summary!E2416)</f>
        <v>5.1428571428571432</v>
      </c>
      <c r="C2416">
        <v>8</v>
      </c>
    </row>
    <row r="2417" spans="1:3" x14ac:dyDescent="0.45">
      <c r="A2417">
        <f>SUMIFS(fact_batting_summary!G:G, fact_batting_summary!E:E, fact_batting_summary!E2417)</f>
        <v>1113</v>
      </c>
      <c r="B2417" s="9">
        <f>AVERAGEIFS(fact_batting_summary!G:G, fact_batting_summary!E:E,fact_batting_summary!E2417)</f>
        <v>28.53846153846154</v>
      </c>
      <c r="C2417">
        <v>1</v>
      </c>
    </row>
    <row r="2418" spans="1:3" x14ac:dyDescent="0.45">
      <c r="A2418">
        <f>SUMIFS(fact_batting_summary!G:G, fact_batting_summary!E:E, fact_batting_summary!E2418)</f>
        <v>981</v>
      </c>
      <c r="B2418" s="9">
        <f>AVERAGEIFS(fact_batting_summary!G:G, fact_batting_summary!E:E,fact_batting_summary!E2418)</f>
        <v>22.813953488372093</v>
      </c>
      <c r="C2418">
        <v>2</v>
      </c>
    </row>
    <row r="2419" spans="1:3" x14ac:dyDescent="0.45">
      <c r="A2419">
        <f>SUMIFS(fact_batting_summary!G:G, fact_batting_summary!E:E, fact_batting_summary!E2419)</f>
        <v>1225</v>
      </c>
      <c r="B2419" s="9">
        <f>AVERAGEIFS(fact_batting_summary!G:G, fact_batting_summary!E:E,fact_batting_summary!E2419)</f>
        <v>32.236842105263158</v>
      </c>
      <c r="C2419">
        <v>3</v>
      </c>
    </row>
    <row r="2420" spans="1:3" x14ac:dyDescent="0.45">
      <c r="A2420">
        <f>SUMIFS(fact_batting_summary!G:G, fact_batting_summary!E:E, fact_batting_summary!E2420)</f>
        <v>241</v>
      </c>
      <c r="B2420" s="9">
        <f>AVERAGEIFS(fact_batting_summary!G:G, fact_batting_summary!E:E,fact_batting_summary!E2420)</f>
        <v>24.1</v>
      </c>
      <c r="C2420">
        <v>4</v>
      </c>
    </row>
    <row r="2421" spans="1:3" x14ac:dyDescent="0.45">
      <c r="A2421">
        <f>SUMIFS(fact_batting_summary!G:G, fact_batting_summary!E:E, fact_batting_summary!E2421)</f>
        <v>418</v>
      </c>
      <c r="B2421" s="9">
        <f>AVERAGEIFS(fact_batting_summary!G:G, fact_batting_summary!E:E,fact_batting_summary!E2421)</f>
        <v>17.416666666666668</v>
      </c>
      <c r="C2421">
        <v>5</v>
      </c>
    </row>
    <row r="2422" spans="1:3" x14ac:dyDescent="0.45">
      <c r="A2422">
        <f>SUMIFS(fact_batting_summary!G:G, fact_batting_summary!E:E, fact_batting_summary!E2422)</f>
        <v>452</v>
      </c>
      <c r="B2422" s="9">
        <f>AVERAGEIFS(fact_batting_summary!G:G, fact_batting_summary!E:E,fact_batting_summary!E2422)</f>
        <v>28.25</v>
      </c>
      <c r="C2422">
        <v>6</v>
      </c>
    </row>
    <row r="2423" spans="1:3" x14ac:dyDescent="0.45">
      <c r="A2423">
        <f>SUMIFS(fact_batting_summary!G:G, fact_batting_summary!E:E, fact_batting_summary!E2423)</f>
        <v>391</v>
      </c>
      <c r="B2423" s="9">
        <f>AVERAGEIFS(fact_batting_summary!G:G, fact_batting_summary!E:E,fact_batting_summary!E2423)</f>
        <v>23</v>
      </c>
      <c r="C2423">
        <v>1</v>
      </c>
    </row>
    <row r="2424" spans="1:3" x14ac:dyDescent="0.45">
      <c r="A2424">
        <f>SUMIFS(fact_batting_summary!G:G, fact_batting_summary!E:E, fact_batting_summary!E2424)</f>
        <v>1392</v>
      </c>
      <c r="B2424" s="9">
        <f>AVERAGEIFS(fact_batting_summary!G:G, fact_batting_summary!E:E,fact_batting_summary!E2424)</f>
        <v>34.799999999999997</v>
      </c>
      <c r="C2424">
        <v>2</v>
      </c>
    </row>
    <row r="2425" spans="1:3" x14ac:dyDescent="0.45">
      <c r="A2425">
        <f>SUMIFS(fact_batting_summary!G:G, fact_batting_summary!E:E, fact_batting_summary!E2425)</f>
        <v>277</v>
      </c>
      <c r="B2425" s="9">
        <f>AVERAGEIFS(fact_batting_summary!G:G, fact_batting_summary!E:E,fact_batting_summary!E2425)</f>
        <v>21.307692307692307</v>
      </c>
      <c r="C2425">
        <v>3</v>
      </c>
    </row>
    <row r="2426" spans="1:3" x14ac:dyDescent="0.45">
      <c r="A2426">
        <f>SUMIFS(fact_batting_summary!G:G, fact_batting_summary!E:E, fact_batting_summary!E2426)</f>
        <v>758</v>
      </c>
      <c r="B2426" s="9">
        <f>AVERAGEIFS(fact_batting_summary!G:G, fact_batting_summary!E:E,fact_batting_summary!E2426)</f>
        <v>27.071428571428573</v>
      </c>
      <c r="C2426">
        <v>4</v>
      </c>
    </row>
    <row r="2427" spans="1:3" x14ac:dyDescent="0.45">
      <c r="A2427">
        <f>SUMIFS(fact_batting_summary!G:G, fact_batting_summary!E:E, fact_batting_summary!E2427)</f>
        <v>543</v>
      </c>
      <c r="B2427" s="9">
        <f>AVERAGEIFS(fact_batting_summary!G:G, fact_batting_summary!E:E,fact_batting_summary!E2427)</f>
        <v>22.625</v>
      </c>
      <c r="C2427">
        <v>5</v>
      </c>
    </row>
    <row r="2428" spans="1:3" x14ac:dyDescent="0.45">
      <c r="A2428">
        <f>SUMIFS(fact_batting_summary!G:G, fact_batting_summary!E:E, fact_batting_summary!E2428)</f>
        <v>332</v>
      </c>
      <c r="B2428" s="9">
        <f>AVERAGEIFS(fact_batting_summary!G:G, fact_batting_summary!E:E,fact_batting_summary!E2428)</f>
        <v>19.529411764705884</v>
      </c>
      <c r="C2428">
        <v>6</v>
      </c>
    </row>
    <row r="2429" spans="1:3" x14ac:dyDescent="0.45">
      <c r="A2429">
        <f>SUMIFS(fact_batting_summary!G:G, fact_batting_summary!E:E, fact_batting_summary!E2429)</f>
        <v>57</v>
      </c>
      <c r="B2429" s="9">
        <f>AVERAGEIFS(fact_batting_summary!G:G, fact_batting_summary!E:E,fact_batting_summary!E2429)</f>
        <v>8.1428571428571423</v>
      </c>
      <c r="C2429">
        <v>7</v>
      </c>
    </row>
    <row r="2430" spans="1:3" x14ac:dyDescent="0.45">
      <c r="A2430">
        <f>SUMIFS(fact_batting_summary!G:G, fact_batting_summary!E:E, fact_batting_summary!E2430)</f>
        <v>426</v>
      </c>
      <c r="B2430" s="9">
        <f>AVERAGEIFS(fact_batting_summary!G:G, fact_batting_summary!E:E,fact_batting_summary!E2430)</f>
        <v>13.741935483870968</v>
      </c>
      <c r="C2430">
        <v>8</v>
      </c>
    </row>
    <row r="2431" spans="1:3" x14ac:dyDescent="0.45">
      <c r="A2431">
        <f>SUMIFS(fact_batting_summary!G:G, fact_batting_summary!E:E, fact_batting_summary!E2431)</f>
        <v>138</v>
      </c>
      <c r="B2431" s="9">
        <f>AVERAGEIFS(fact_batting_summary!G:G, fact_batting_summary!E:E,fact_batting_summary!E2431)</f>
        <v>8.625</v>
      </c>
      <c r="C2431">
        <v>9</v>
      </c>
    </row>
    <row r="2432" spans="1:3" x14ac:dyDescent="0.45">
      <c r="A2432">
        <f>SUMIFS(fact_batting_summary!G:G, fact_batting_summary!E:E, fact_batting_summary!E2432)</f>
        <v>435</v>
      </c>
      <c r="B2432" s="9">
        <f>AVERAGEIFS(fact_batting_summary!G:G, fact_batting_summary!E:E,fact_batting_summary!E2432)</f>
        <v>33.46153846153846</v>
      </c>
      <c r="C2432">
        <v>1</v>
      </c>
    </row>
    <row r="2433" spans="1:3" x14ac:dyDescent="0.45">
      <c r="A2433">
        <f>SUMIFS(fact_batting_summary!G:G, fact_batting_summary!E:E, fact_batting_summary!E2433)</f>
        <v>227</v>
      </c>
      <c r="B2433" s="9">
        <f>AVERAGEIFS(fact_batting_summary!G:G, fact_batting_summary!E:E,fact_batting_summary!E2433)</f>
        <v>20.636363636363637</v>
      </c>
      <c r="C2433">
        <v>2</v>
      </c>
    </row>
    <row r="2434" spans="1:3" x14ac:dyDescent="0.45">
      <c r="A2434">
        <f>SUMIFS(fact_batting_summary!G:G, fact_batting_summary!E:E, fact_batting_summary!E2434)</f>
        <v>1157</v>
      </c>
      <c r="B2434" s="9">
        <f>AVERAGEIFS(fact_batting_summary!G:G, fact_batting_summary!E:E,fact_batting_summary!E2434)</f>
        <v>26.295454545454547</v>
      </c>
      <c r="C2434">
        <v>3</v>
      </c>
    </row>
    <row r="2435" spans="1:3" x14ac:dyDescent="0.45">
      <c r="A2435">
        <f>SUMIFS(fact_batting_summary!G:G, fact_batting_summary!E:E, fact_batting_summary!E2435)</f>
        <v>956</v>
      </c>
      <c r="B2435" s="9">
        <f>AVERAGEIFS(fact_batting_summary!G:G, fact_batting_summary!E:E,fact_batting_summary!E2435)</f>
        <v>26.555555555555557</v>
      </c>
      <c r="C2435">
        <v>4</v>
      </c>
    </row>
    <row r="2436" spans="1:3" x14ac:dyDescent="0.45">
      <c r="A2436">
        <f>SUMIFS(fact_batting_summary!G:G, fact_batting_summary!E:E, fact_batting_summary!E2436)</f>
        <v>745</v>
      </c>
      <c r="B2436" s="9">
        <f>AVERAGEIFS(fact_batting_summary!G:G, fact_batting_summary!E:E,fact_batting_summary!E2436)</f>
        <v>21.285714285714285</v>
      </c>
      <c r="C2436">
        <v>5</v>
      </c>
    </row>
    <row r="2437" spans="1:3" x14ac:dyDescent="0.45">
      <c r="A2437">
        <f>SUMIFS(fact_batting_summary!G:G, fact_batting_summary!E:E, fact_batting_summary!E2437)</f>
        <v>648</v>
      </c>
      <c r="B2437" s="9">
        <f>AVERAGEIFS(fact_batting_summary!G:G, fact_batting_summary!E:E,fact_batting_summary!E2437)</f>
        <v>30.857142857142858</v>
      </c>
      <c r="C2437">
        <v>6</v>
      </c>
    </row>
    <row r="2438" spans="1:3" x14ac:dyDescent="0.45">
      <c r="A2438">
        <f>SUMIFS(fact_batting_summary!G:G, fact_batting_summary!E:E, fact_batting_summary!E2438)</f>
        <v>238</v>
      </c>
      <c r="B2438" s="9">
        <f>AVERAGEIFS(fact_batting_summary!G:G, fact_batting_summary!E:E,fact_batting_summary!E2438)</f>
        <v>9.9166666666666661</v>
      </c>
      <c r="C2438">
        <v>7</v>
      </c>
    </row>
    <row r="2439" spans="1:3" x14ac:dyDescent="0.45">
      <c r="A2439">
        <f>SUMIFS(fact_batting_summary!G:G, fact_batting_summary!E:E, fact_batting_summary!E2439)</f>
        <v>1132</v>
      </c>
      <c r="B2439" s="9">
        <f>AVERAGEIFS(fact_batting_summary!G:G, fact_batting_summary!E:E,fact_batting_summary!E2439)</f>
        <v>33.294117647058826</v>
      </c>
      <c r="C2439">
        <v>1</v>
      </c>
    </row>
    <row r="2440" spans="1:3" x14ac:dyDescent="0.45">
      <c r="A2440">
        <f>SUMIFS(fact_batting_summary!G:G, fact_batting_summary!E:E, fact_batting_summary!E2440)</f>
        <v>1509</v>
      </c>
      <c r="B2440" s="9">
        <f>AVERAGEIFS(fact_batting_summary!G:G, fact_batting_summary!E:E,fact_batting_summary!E2440)</f>
        <v>39.710526315789473</v>
      </c>
      <c r="C2440">
        <v>2</v>
      </c>
    </row>
    <row r="2441" spans="1:3" x14ac:dyDescent="0.45">
      <c r="A2441">
        <f>SUMIFS(fact_batting_summary!G:G, fact_batting_summary!E:E, fact_batting_summary!E2441)</f>
        <v>1304</v>
      </c>
      <c r="B2441" s="9">
        <f>AVERAGEIFS(fact_batting_summary!G:G, fact_batting_summary!E:E,fact_batting_summary!E2441)</f>
        <v>28.977777777777778</v>
      </c>
      <c r="C2441">
        <v>3</v>
      </c>
    </row>
    <row r="2442" spans="1:3" x14ac:dyDescent="0.45">
      <c r="A2442">
        <f>SUMIFS(fact_batting_summary!G:G, fact_batting_summary!E:E, fact_batting_summary!E2442)</f>
        <v>854</v>
      </c>
      <c r="B2442" s="9">
        <f>AVERAGEIFS(fact_batting_summary!G:G, fact_batting_summary!E:E,fact_batting_summary!E2442)</f>
        <v>21.35</v>
      </c>
      <c r="C2442">
        <v>4</v>
      </c>
    </row>
    <row r="2443" spans="1:3" x14ac:dyDescent="0.45">
      <c r="A2443">
        <f>SUMIFS(fact_batting_summary!G:G, fact_batting_summary!E:E, fact_batting_summary!E2443)</f>
        <v>134</v>
      </c>
      <c r="B2443" s="9">
        <f>AVERAGEIFS(fact_batting_summary!G:G, fact_batting_summary!E:E,fact_batting_summary!E2443)</f>
        <v>19.142857142857142</v>
      </c>
      <c r="C2443">
        <v>1</v>
      </c>
    </row>
    <row r="2444" spans="1:3" x14ac:dyDescent="0.45">
      <c r="A2444">
        <f>SUMIFS(fact_batting_summary!G:G, fact_batting_summary!E:E, fact_batting_summary!E2444)</f>
        <v>745</v>
      </c>
      <c r="B2444" s="9">
        <f>AVERAGEIFS(fact_batting_summary!G:G, fact_batting_summary!E:E,fact_batting_summary!E2444)</f>
        <v>24.032258064516128</v>
      </c>
      <c r="C2444">
        <v>2</v>
      </c>
    </row>
    <row r="2445" spans="1:3" x14ac:dyDescent="0.45">
      <c r="A2445">
        <f>SUMIFS(fact_batting_summary!G:G, fact_batting_summary!E:E, fact_batting_summary!E2445)</f>
        <v>1083</v>
      </c>
      <c r="B2445" s="9">
        <f>AVERAGEIFS(fact_batting_summary!G:G, fact_batting_summary!E:E,fact_batting_summary!E2445)</f>
        <v>25.186046511627907</v>
      </c>
      <c r="C2445">
        <v>3</v>
      </c>
    </row>
    <row r="2446" spans="1:3" x14ac:dyDescent="0.45">
      <c r="A2446">
        <f>SUMIFS(fact_batting_summary!G:G, fact_batting_summary!E:E, fact_batting_summary!E2446)</f>
        <v>448</v>
      </c>
      <c r="B2446" s="9">
        <f>AVERAGEIFS(fact_batting_summary!G:G, fact_batting_summary!E:E,fact_batting_summary!E2446)</f>
        <v>40.727272727272727</v>
      </c>
      <c r="C2446">
        <v>4</v>
      </c>
    </row>
    <row r="2447" spans="1:3" x14ac:dyDescent="0.45">
      <c r="A2447">
        <f>SUMIFS(fact_batting_summary!G:G, fact_batting_summary!E:E, fact_batting_summary!E2447)</f>
        <v>775</v>
      </c>
      <c r="B2447" s="9">
        <f>AVERAGEIFS(fact_batting_summary!G:G, fact_batting_summary!E:E,fact_batting_summary!E2447)</f>
        <v>25</v>
      </c>
      <c r="C2447">
        <v>5</v>
      </c>
    </row>
    <row r="2448" spans="1:3" x14ac:dyDescent="0.45">
      <c r="A2448">
        <f>SUMIFS(fact_batting_summary!G:G, fact_batting_summary!E:E, fact_batting_summary!E2448)</f>
        <v>65</v>
      </c>
      <c r="B2448" s="9">
        <f>AVERAGEIFS(fact_batting_summary!G:G, fact_batting_summary!E:E,fact_batting_summary!E2448)</f>
        <v>8.125</v>
      </c>
      <c r="C2448">
        <v>6</v>
      </c>
    </row>
    <row r="2449" spans="1:3" x14ac:dyDescent="0.45">
      <c r="A2449">
        <f>SUMIFS(fact_batting_summary!G:G, fact_batting_summary!E:E, fact_batting_summary!E2449)</f>
        <v>284</v>
      </c>
      <c r="B2449" s="9">
        <f>AVERAGEIFS(fact_batting_summary!G:G, fact_batting_summary!E:E,fact_batting_summary!E2449)</f>
        <v>14.2</v>
      </c>
      <c r="C2449">
        <v>7</v>
      </c>
    </row>
    <row r="2450" spans="1:3" x14ac:dyDescent="0.45">
      <c r="A2450">
        <f>SUMIFS(fact_batting_summary!G:G, fact_batting_summary!E:E, fact_batting_summary!E2450)</f>
        <v>48</v>
      </c>
      <c r="B2450" s="9">
        <f>AVERAGEIFS(fact_batting_summary!G:G, fact_batting_summary!E:E,fact_batting_summary!E2450)</f>
        <v>4.3636363636363633</v>
      </c>
      <c r="C2450">
        <v>8</v>
      </c>
    </row>
    <row r="2451" spans="1:3" x14ac:dyDescent="0.45">
      <c r="A2451">
        <f>SUMIFS(fact_batting_summary!G:G, fact_batting_summary!E:E, fact_batting_summary!E2451)</f>
        <v>819</v>
      </c>
      <c r="B2451" s="9">
        <f>AVERAGEIFS(fact_batting_summary!G:G, fact_batting_summary!E:E,fact_batting_summary!E2451)</f>
        <v>22.135135135135137</v>
      </c>
      <c r="C2451">
        <v>1</v>
      </c>
    </row>
    <row r="2452" spans="1:3" x14ac:dyDescent="0.45">
      <c r="A2452">
        <f>SUMIFS(fact_batting_summary!G:G, fact_batting_summary!E:E, fact_batting_summary!E2452)</f>
        <v>1851</v>
      </c>
      <c r="B2452" s="9">
        <f>AVERAGEIFS(fact_batting_summary!G:G, fact_batting_summary!E:E,fact_batting_summary!E2452)</f>
        <v>37.020000000000003</v>
      </c>
      <c r="C2452">
        <v>2</v>
      </c>
    </row>
    <row r="2453" spans="1:3" x14ac:dyDescent="0.45">
      <c r="A2453">
        <f>SUMIFS(fact_batting_summary!G:G, fact_batting_summary!E:E, fact_batting_summary!E2453)</f>
        <v>960</v>
      </c>
      <c r="B2453" s="9">
        <f>AVERAGEIFS(fact_batting_summary!G:G, fact_batting_summary!E:E,fact_batting_summary!E2453)</f>
        <v>23.414634146341463</v>
      </c>
      <c r="C2453">
        <v>3</v>
      </c>
    </row>
    <row r="2454" spans="1:3" x14ac:dyDescent="0.45">
      <c r="A2454">
        <f>SUMIFS(fact_batting_summary!G:G, fact_batting_summary!E:E, fact_batting_summary!E2454)</f>
        <v>864</v>
      </c>
      <c r="B2454" s="9">
        <f>AVERAGEIFS(fact_batting_summary!G:G, fact_batting_summary!E:E,fact_batting_summary!E2454)</f>
        <v>23.351351351351351</v>
      </c>
      <c r="C2454">
        <v>4</v>
      </c>
    </row>
    <row r="2455" spans="1:3" x14ac:dyDescent="0.45">
      <c r="A2455">
        <f>SUMIFS(fact_batting_summary!G:G, fact_batting_summary!E:E, fact_batting_summary!E2455)</f>
        <v>365</v>
      </c>
      <c r="B2455" s="9">
        <f>AVERAGEIFS(fact_batting_summary!G:G, fact_batting_summary!E:E,fact_batting_summary!E2455)</f>
        <v>30.416666666666668</v>
      </c>
      <c r="C2455">
        <v>1</v>
      </c>
    </row>
    <row r="2456" spans="1:3" x14ac:dyDescent="0.45">
      <c r="A2456">
        <f>SUMIFS(fact_batting_summary!G:G, fact_batting_summary!E:E, fact_batting_summary!E2456)</f>
        <v>948</v>
      </c>
      <c r="B2456" s="9">
        <f>AVERAGEIFS(fact_batting_summary!G:G, fact_batting_summary!E:E,fact_batting_summary!E2456)</f>
        <v>31.6</v>
      </c>
      <c r="C2456">
        <v>2</v>
      </c>
    </row>
    <row r="2457" spans="1:3" x14ac:dyDescent="0.45">
      <c r="A2457">
        <f>SUMIFS(fact_batting_summary!G:G, fact_batting_summary!E:E, fact_batting_summary!E2457)</f>
        <v>695</v>
      </c>
      <c r="B2457" s="9">
        <f>AVERAGEIFS(fact_batting_summary!G:G, fact_batting_summary!E:E,fact_batting_summary!E2457)</f>
        <v>18.783783783783782</v>
      </c>
      <c r="C2457">
        <v>3</v>
      </c>
    </row>
    <row r="2458" spans="1:3" x14ac:dyDescent="0.45">
      <c r="A2458">
        <f>SUMIFS(fact_batting_summary!G:G, fact_batting_summary!E:E, fact_batting_summary!E2458)</f>
        <v>645</v>
      </c>
      <c r="B2458" s="9">
        <f>AVERAGEIFS(fact_batting_summary!G:G, fact_batting_summary!E:E,fact_batting_summary!E2458)</f>
        <v>21.5</v>
      </c>
      <c r="C2458">
        <v>4</v>
      </c>
    </row>
    <row r="2459" spans="1:3" x14ac:dyDescent="0.45">
      <c r="A2459">
        <f>SUMIFS(fact_batting_summary!G:G, fact_batting_summary!E:E, fact_batting_summary!E2459)</f>
        <v>729</v>
      </c>
      <c r="B2459" s="9">
        <f>AVERAGEIFS(fact_batting_summary!G:G, fact_batting_summary!E:E,fact_batting_summary!E2459)</f>
        <v>19.184210526315791</v>
      </c>
      <c r="C2459">
        <v>5</v>
      </c>
    </row>
    <row r="2460" spans="1:3" x14ac:dyDescent="0.45">
      <c r="A2460">
        <f>SUMIFS(fact_batting_summary!G:G, fact_batting_summary!E:E, fact_batting_summary!E2460)</f>
        <v>340</v>
      </c>
      <c r="B2460" s="9">
        <f>AVERAGEIFS(fact_batting_summary!G:G, fact_batting_summary!E:E,fact_batting_summary!E2460)</f>
        <v>15.454545454545455</v>
      </c>
      <c r="C2460">
        <v>6</v>
      </c>
    </row>
    <row r="2461" spans="1:3" x14ac:dyDescent="0.45">
      <c r="A2461">
        <f>SUMIFS(fact_batting_summary!G:G, fact_batting_summary!E:E, fact_batting_summary!E2461)</f>
        <v>2</v>
      </c>
      <c r="B2461" s="9">
        <f>AVERAGEIFS(fact_batting_summary!G:G, fact_batting_summary!E:E,fact_batting_summary!E2461)</f>
        <v>2</v>
      </c>
      <c r="C2461">
        <v>7</v>
      </c>
    </row>
    <row r="2462" spans="1:3" x14ac:dyDescent="0.45">
      <c r="A2462">
        <f>SUMIFS(fact_batting_summary!G:G, fact_batting_summary!E:E, fact_batting_summary!E2462)</f>
        <v>514</v>
      </c>
      <c r="B2462" s="9">
        <f>AVERAGEIFS(fact_batting_summary!G:G, fact_batting_summary!E:E,fact_batting_summary!E2462)</f>
        <v>13.526315789473685</v>
      </c>
      <c r="C2462">
        <v>8</v>
      </c>
    </row>
    <row r="2463" spans="1:3" x14ac:dyDescent="0.45">
      <c r="A2463">
        <f>SUMIFS(fact_batting_summary!G:G, fact_batting_summary!E:E, fact_batting_summary!E2463)</f>
        <v>21</v>
      </c>
      <c r="B2463" s="9">
        <f>AVERAGEIFS(fact_batting_summary!G:G, fact_batting_summary!E:E,fact_batting_summary!E2463)</f>
        <v>2.3333333333333335</v>
      </c>
      <c r="C2463">
        <v>9</v>
      </c>
    </row>
    <row r="2464" spans="1:3" x14ac:dyDescent="0.45">
      <c r="A2464">
        <f>SUMIFS(fact_batting_summary!G:G, fact_batting_summary!E:E, fact_batting_summary!E2464)</f>
        <v>1385</v>
      </c>
      <c r="B2464" s="9">
        <f>AVERAGEIFS(fact_batting_summary!G:G, fact_batting_summary!E:E,fact_batting_summary!E2464)</f>
        <v>30.777777777777779</v>
      </c>
      <c r="C2464">
        <v>1</v>
      </c>
    </row>
    <row r="2465" spans="1:3" x14ac:dyDescent="0.45">
      <c r="A2465">
        <f>SUMIFS(fact_batting_summary!G:G, fact_batting_summary!E:E, fact_batting_summary!E2465)</f>
        <v>1831</v>
      </c>
      <c r="B2465" s="9">
        <f>AVERAGEIFS(fact_batting_summary!G:G, fact_batting_summary!E:E,fact_batting_summary!E2465)</f>
        <v>39.804347826086953</v>
      </c>
      <c r="C2465">
        <v>2</v>
      </c>
    </row>
    <row r="2466" spans="1:3" x14ac:dyDescent="0.45">
      <c r="A2466">
        <f>SUMIFS(fact_batting_summary!G:G, fact_batting_summary!E:E, fact_batting_summary!E2466)</f>
        <v>1214</v>
      </c>
      <c r="B2466" s="9">
        <f>AVERAGEIFS(fact_batting_summary!G:G, fact_batting_summary!E:E,fact_batting_summary!E2466)</f>
        <v>29.609756097560975</v>
      </c>
      <c r="C2466">
        <v>3</v>
      </c>
    </row>
    <row r="2467" spans="1:3" x14ac:dyDescent="0.45">
      <c r="A2467">
        <f>SUMIFS(fact_batting_summary!G:G, fact_batting_summary!E:E, fact_batting_summary!E2467)</f>
        <v>315</v>
      </c>
      <c r="B2467" s="9">
        <f>AVERAGEIFS(fact_batting_summary!G:G, fact_batting_summary!E:E,fact_batting_summary!E2467)</f>
        <v>16.578947368421051</v>
      </c>
      <c r="C2467">
        <v>4</v>
      </c>
    </row>
    <row r="2468" spans="1:3" x14ac:dyDescent="0.45">
      <c r="A2468">
        <f>SUMIFS(fact_batting_summary!G:G, fact_batting_summary!E:E, fact_batting_summary!E2468)</f>
        <v>693</v>
      </c>
      <c r="B2468" s="9">
        <f>AVERAGEIFS(fact_batting_summary!G:G, fact_batting_summary!E:E,fact_batting_summary!E2468)</f>
        <v>15.75</v>
      </c>
      <c r="C2468">
        <v>5</v>
      </c>
    </row>
    <row r="2469" spans="1:3" x14ac:dyDescent="0.45">
      <c r="A2469">
        <f>SUMIFS(fact_batting_summary!G:G, fact_batting_summary!E:E, fact_batting_summary!E2469)</f>
        <v>220</v>
      </c>
      <c r="B2469" s="9">
        <f>AVERAGEIFS(fact_batting_summary!G:G, fact_batting_summary!E:E,fact_batting_summary!E2469)</f>
        <v>13.75</v>
      </c>
      <c r="C2469">
        <v>6</v>
      </c>
    </row>
    <row r="2470" spans="1:3" x14ac:dyDescent="0.45">
      <c r="A2470">
        <f>SUMIFS(fact_batting_summary!G:G, fact_batting_summary!E:E, fact_batting_summary!E2470)</f>
        <v>1137</v>
      </c>
      <c r="B2470" s="9">
        <f>AVERAGEIFS(fact_batting_summary!G:G, fact_batting_summary!E:E,fact_batting_summary!E2470)</f>
        <v>34.454545454545453</v>
      </c>
      <c r="C2470">
        <v>1</v>
      </c>
    </row>
    <row r="2471" spans="1:3" x14ac:dyDescent="0.45">
      <c r="A2471">
        <f>SUMIFS(fact_batting_summary!G:G, fact_batting_summary!E:E, fact_batting_summary!E2471)</f>
        <v>218</v>
      </c>
      <c r="B2471" s="9">
        <f>AVERAGEIFS(fact_batting_summary!G:G, fact_batting_summary!E:E,fact_batting_summary!E2471)</f>
        <v>24.222222222222221</v>
      </c>
      <c r="C2471">
        <v>2</v>
      </c>
    </row>
    <row r="2472" spans="1:3" x14ac:dyDescent="0.45">
      <c r="A2472">
        <f>SUMIFS(fact_batting_summary!G:G, fact_batting_summary!E:E, fact_batting_summary!E2472)</f>
        <v>379</v>
      </c>
      <c r="B2472" s="9">
        <f>AVERAGEIFS(fact_batting_summary!G:G, fact_batting_summary!E:E,fact_batting_summary!E2472)</f>
        <v>22.294117647058822</v>
      </c>
      <c r="C2472">
        <v>3</v>
      </c>
    </row>
    <row r="2473" spans="1:3" x14ac:dyDescent="0.45">
      <c r="A2473">
        <f>SUMIFS(fact_batting_summary!G:G, fact_batting_summary!E:E, fact_batting_summary!E2473)</f>
        <v>209</v>
      </c>
      <c r="B2473" s="9">
        <f>AVERAGEIFS(fact_batting_summary!G:G, fact_batting_summary!E:E,fact_batting_summary!E2473)</f>
        <v>23.222222222222221</v>
      </c>
      <c r="C2473">
        <v>4</v>
      </c>
    </row>
    <row r="2474" spans="1:3" x14ac:dyDescent="0.45">
      <c r="A2474">
        <f>SUMIFS(fact_batting_summary!G:G, fact_batting_summary!E:E, fact_batting_summary!E2474)</f>
        <v>505</v>
      </c>
      <c r="B2474" s="9">
        <f>AVERAGEIFS(fact_batting_summary!G:G, fact_batting_summary!E:E,fact_batting_summary!E2474)</f>
        <v>17.413793103448278</v>
      </c>
      <c r="C2474">
        <v>5</v>
      </c>
    </row>
    <row r="2475" spans="1:3" x14ac:dyDescent="0.45">
      <c r="A2475">
        <f>SUMIFS(fact_batting_summary!G:G, fact_batting_summary!E:E, fact_batting_summary!E2475)</f>
        <v>452</v>
      </c>
      <c r="B2475" s="9">
        <f>AVERAGEIFS(fact_batting_summary!G:G, fact_batting_summary!E:E,fact_batting_summary!E2475)</f>
        <v>28.25</v>
      </c>
      <c r="C2475">
        <v>1</v>
      </c>
    </row>
    <row r="2476" spans="1:3" x14ac:dyDescent="0.45">
      <c r="A2476">
        <f>SUMIFS(fact_batting_summary!G:G, fact_batting_summary!E:E, fact_batting_summary!E2476)</f>
        <v>1113</v>
      </c>
      <c r="B2476" s="9">
        <f>AVERAGEIFS(fact_batting_summary!G:G, fact_batting_summary!E:E,fact_batting_summary!E2476)</f>
        <v>28.53846153846154</v>
      </c>
      <c r="C2476">
        <v>2</v>
      </c>
    </row>
    <row r="2477" spans="1:3" x14ac:dyDescent="0.45">
      <c r="A2477">
        <f>SUMIFS(fact_batting_summary!G:G, fact_batting_summary!E:E, fact_batting_summary!E2477)</f>
        <v>981</v>
      </c>
      <c r="B2477" s="9">
        <f>AVERAGEIFS(fact_batting_summary!G:G, fact_batting_summary!E:E,fact_batting_summary!E2477)</f>
        <v>22.813953488372093</v>
      </c>
      <c r="C2477">
        <v>3</v>
      </c>
    </row>
    <row r="2478" spans="1:3" x14ac:dyDescent="0.45">
      <c r="A2478">
        <f>SUMIFS(fact_batting_summary!G:G, fact_batting_summary!E:E, fact_batting_summary!E2478)</f>
        <v>241</v>
      </c>
      <c r="B2478" s="9">
        <f>AVERAGEIFS(fact_batting_summary!G:G, fact_batting_summary!E:E,fact_batting_summary!E2478)</f>
        <v>24.1</v>
      </c>
      <c r="C2478">
        <v>4</v>
      </c>
    </row>
    <row r="2479" spans="1:3" x14ac:dyDescent="0.45">
      <c r="A2479">
        <f>SUMIFS(fact_batting_summary!G:G, fact_batting_summary!E:E, fact_batting_summary!E2479)</f>
        <v>1225</v>
      </c>
      <c r="B2479" s="9">
        <f>AVERAGEIFS(fact_batting_summary!G:G, fact_batting_summary!E:E,fact_batting_summary!E2479)</f>
        <v>32.236842105263158</v>
      </c>
      <c r="C2479">
        <v>5</v>
      </c>
    </row>
    <row r="2480" spans="1:3" x14ac:dyDescent="0.45">
      <c r="A2480">
        <f>SUMIFS(fact_batting_summary!G:G, fact_batting_summary!E:E, fact_batting_summary!E2480)</f>
        <v>27</v>
      </c>
      <c r="B2480" s="9">
        <f>AVERAGEIFS(fact_batting_summary!G:G, fact_batting_summary!E:E,fact_batting_summary!E2480)</f>
        <v>6.75</v>
      </c>
      <c r="C2480">
        <v>6</v>
      </c>
    </row>
    <row r="2481" spans="1:3" x14ac:dyDescent="0.45">
      <c r="A2481">
        <f>SUMIFS(fact_batting_summary!G:G, fact_batting_summary!E:E, fact_batting_summary!E2481)</f>
        <v>418</v>
      </c>
      <c r="B2481" s="9">
        <f>AVERAGEIFS(fact_batting_summary!G:G, fact_batting_summary!E:E,fact_batting_summary!E2481)</f>
        <v>17.416666666666668</v>
      </c>
      <c r="C2481">
        <v>7</v>
      </c>
    </row>
    <row r="2482" spans="1:3" x14ac:dyDescent="0.45">
      <c r="A2482">
        <f>SUMIFS(fact_batting_summary!G:G, fact_batting_summary!E:E, fact_batting_summary!E2482)</f>
        <v>18</v>
      </c>
      <c r="B2482" s="9">
        <f>AVERAGEIFS(fact_batting_summary!G:G, fact_batting_summary!E:E,fact_batting_summary!E2482)</f>
        <v>6</v>
      </c>
      <c r="C2482">
        <v>8</v>
      </c>
    </row>
    <row r="2483" spans="1:3" x14ac:dyDescent="0.45">
      <c r="A2483">
        <f>SUMIFS(fact_batting_summary!G:G, fact_batting_summary!E:E, fact_batting_summary!E2483)</f>
        <v>4</v>
      </c>
      <c r="B2483" s="9">
        <f>AVERAGEIFS(fact_batting_summary!G:G, fact_batting_summary!E:E,fact_batting_summary!E2483)</f>
        <v>2</v>
      </c>
      <c r="C2483">
        <v>9</v>
      </c>
    </row>
    <row r="2484" spans="1:3" x14ac:dyDescent="0.45">
      <c r="A2484">
        <f>SUMIFS(fact_batting_summary!G:G, fact_batting_summary!E:E, fact_batting_summary!E2484)</f>
        <v>25</v>
      </c>
      <c r="B2484" s="9">
        <f>AVERAGEIFS(fact_batting_summary!G:G, fact_batting_summary!E:E,fact_batting_summary!E2484)</f>
        <v>5</v>
      </c>
      <c r="C2484">
        <v>10</v>
      </c>
    </row>
    <row r="2485" spans="1:3" x14ac:dyDescent="0.45">
      <c r="A2485">
        <f>SUMIFS(fact_batting_summary!G:G, fact_batting_summary!E:E, fact_batting_summary!E2485)</f>
        <v>1593</v>
      </c>
      <c r="B2485" s="9">
        <f>AVERAGEIFS(fact_batting_summary!G:G, fact_batting_summary!E:E,fact_batting_summary!E2485)</f>
        <v>35.4</v>
      </c>
      <c r="C2485">
        <v>1</v>
      </c>
    </row>
    <row r="2486" spans="1:3" x14ac:dyDescent="0.45">
      <c r="A2486">
        <f>SUMIFS(fact_batting_summary!G:G, fact_batting_summary!E:E, fact_batting_summary!E2486)</f>
        <v>924</v>
      </c>
      <c r="B2486" s="9">
        <f>AVERAGEIFS(fact_batting_summary!G:G, fact_batting_summary!E:E,fact_batting_summary!E2486)</f>
        <v>42</v>
      </c>
      <c r="C2486">
        <v>2</v>
      </c>
    </row>
    <row r="2487" spans="1:3" x14ac:dyDescent="0.45">
      <c r="A2487">
        <f>SUMIFS(fact_batting_summary!G:G, fact_batting_summary!E:E, fact_batting_summary!E2487)</f>
        <v>467</v>
      </c>
      <c r="B2487" s="9">
        <f>AVERAGEIFS(fact_batting_summary!G:G, fact_batting_summary!E:E,fact_batting_summary!E2487)</f>
        <v>24.578947368421051</v>
      </c>
      <c r="C2487">
        <v>3</v>
      </c>
    </row>
    <row r="2488" spans="1:3" x14ac:dyDescent="0.45">
      <c r="A2488">
        <f>SUMIFS(fact_batting_summary!G:G, fact_batting_summary!E:E, fact_batting_summary!E2488)</f>
        <v>689</v>
      </c>
      <c r="B2488" s="9">
        <f>AVERAGEIFS(fact_batting_summary!G:G, fact_batting_summary!E:E,fact_batting_summary!E2488)</f>
        <v>19.138888888888889</v>
      </c>
      <c r="C2488">
        <v>4</v>
      </c>
    </row>
    <row r="2489" spans="1:3" x14ac:dyDescent="0.45">
      <c r="A2489">
        <f>SUMIFS(fact_batting_summary!G:G, fact_batting_summary!E:E, fact_batting_summary!E2489)</f>
        <v>937</v>
      </c>
      <c r="B2489" s="9">
        <f>AVERAGEIFS(fact_batting_summary!G:G, fact_batting_summary!E:E,fact_batting_summary!E2489)</f>
        <v>27.558823529411764</v>
      </c>
      <c r="C2489">
        <v>5</v>
      </c>
    </row>
    <row r="2490" spans="1:3" x14ac:dyDescent="0.45">
      <c r="A2490">
        <f>SUMIFS(fact_batting_summary!G:G, fact_batting_summary!E:E, fact_batting_summary!E2490)</f>
        <v>450</v>
      </c>
      <c r="B2490" s="9">
        <f>AVERAGEIFS(fact_batting_summary!G:G, fact_batting_summary!E:E,fact_batting_summary!E2490)</f>
        <v>12.5</v>
      </c>
      <c r="C2490">
        <v>6</v>
      </c>
    </row>
    <row r="2491" spans="1:3" x14ac:dyDescent="0.45">
      <c r="A2491">
        <f>SUMIFS(fact_batting_summary!G:G, fact_batting_summary!E:E, fact_batting_summary!E2491)</f>
        <v>1132</v>
      </c>
      <c r="B2491" s="9">
        <f>AVERAGEIFS(fact_batting_summary!G:G, fact_batting_summary!E:E,fact_batting_summary!E2491)</f>
        <v>33.294117647058826</v>
      </c>
      <c r="C2491">
        <v>1</v>
      </c>
    </row>
    <row r="2492" spans="1:3" x14ac:dyDescent="0.45">
      <c r="A2492">
        <f>SUMIFS(fact_batting_summary!G:G, fact_batting_summary!E:E, fact_batting_summary!E2492)</f>
        <v>1509</v>
      </c>
      <c r="B2492" s="9">
        <f>AVERAGEIFS(fact_batting_summary!G:G, fact_batting_summary!E:E,fact_batting_summary!E2492)</f>
        <v>39.710526315789473</v>
      </c>
      <c r="C2492">
        <v>2</v>
      </c>
    </row>
    <row r="2493" spans="1:3" x14ac:dyDescent="0.45">
      <c r="A2493">
        <f>SUMIFS(fact_batting_summary!G:G, fact_batting_summary!E:E, fact_batting_summary!E2493)</f>
        <v>1304</v>
      </c>
      <c r="B2493" s="9">
        <f>AVERAGEIFS(fact_batting_summary!G:G, fact_batting_summary!E:E,fact_batting_summary!E2493)</f>
        <v>28.977777777777778</v>
      </c>
      <c r="C2493">
        <v>3</v>
      </c>
    </row>
    <row r="2494" spans="1:3" x14ac:dyDescent="0.45">
      <c r="A2494">
        <f>SUMIFS(fact_batting_summary!G:G, fact_batting_summary!E:E, fact_batting_summary!E2494)</f>
        <v>1048</v>
      </c>
      <c r="B2494" s="9">
        <f>AVERAGEIFS(fact_batting_summary!G:G, fact_batting_summary!E:E,fact_batting_summary!E2494)</f>
        <v>24.952380952380953</v>
      </c>
      <c r="C2494">
        <v>4</v>
      </c>
    </row>
    <row r="2495" spans="1:3" x14ac:dyDescent="0.45">
      <c r="A2495">
        <f>SUMIFS(fact_batting_summary!G:G, fact_batting_summary!E:E, fact_batting_summary!E2495)</f>
        <v>302</v>
      </c>
      <c r="B2495" s="9">
        <f>AVERAGEIFS(fact_batting_summary!G:G, fact_batting_summary!E:E,fact_batting_summary!E2495)</f>
        <v>11.185185185185185</v>
      </c>
      <c r="C2495">
        <v>5</v>
      </c>
    </row>
    <row r="2496" spans="1:3" x14ac:dyDescent="0.45">
      <c r="A2496">
        <f>SUMIFS(fact_batting_summary!G:G, fact_batting_summary!E:E, fact_batting_summary!E2496)</f>
        <v>354</v>
      </c>
      <c r="B2496" s="9">
        <f>AVERAGEIFS(fact_batting_summary!G:G, fact_batting_summary!E:E,fact_batting_summary!E2496)</f>
        <v>11.419354838709678</v>
      </c>
      <c r="C2496">
        <v>6</v>
      </c>
    </row>
    <row r="2497" spans="1:3" x14ac:dyDescent="0.45">
      <c r="A2497">
        <f>SUMIFS(fact_batting_summary!G:G, fact_batting_summary!E:E, fact_batting_summary!E2497)</f>
        <v>854</v>
      </c>
      <c r="B2497" s="9">
        <f>AVERAGEIFS(fact_batting_summary!G:G, fact_batting_summary!E:E,fact_batting_summary!E2497)</f>
        <v>21.35</v>
      </c>
      <c r="C2497">
        <v>7</v>
      </c>
    </row>
    <row r="2498" spans="1:3" x14ac:dyDescent="0.45">
      <c r="A2498">
        <f>SUMIFS(fact_batting_summary!G:G, fact_batting_summary!E:E, fact_batting_summary!E2498)</f>
        <v>152</v>
      </c>
      <c r="B2498" s="9">
        <f>AVERAGEIFS(fact_batting_summary!G:G, fact_batting_summary!E:E,fact_batting_summary!E2498)</f>
        <v>13.818181818181818</v>
      </c>
      <c r="C2498">
        <v>8</v>
      </c>
    </row>
    <row r="2499" spans="1:3" x14ac:dyDescent="0.45">
      <c r="A2499">
        <f>SUMIFS(fact_batting_summary!G:G, fact_batting_summary!E:E, fact_batting_summary!E2499)</f>
        <v>57</v>
      </c>
      <c r="B2499" s="9">
        <f>AVERAGEIFS(fact_batting_summary!G:G, fact_batting_summary!E:E,fact_batting_summary!E2499)</f>
        <v>3.5625</v>
      </c>
      <c r="C2499">
        <v>9</v>
      </c>
    </row>
    <row r="2500" spans="1:3" x14ac:dyDescent="0.45">
      <c r="A2500">
        <f>SUMIFS(fact_batting_summary!G:G, fact_batting_summary!E:E, fact_batting_summary!E2500)</f>
        <v>10</v>
      </c>
      <c r="B2500" s="9">
        <f>AVERAGEIFS(fact_batting_summary!G:G, fact_batting_summary!E:E,fact_batting_summary!E2500)</f>
        <v>3.3333333333333335</v>
      </c>
      <c r="C2500">
        <v>10</v>
      </c>
    </row>
    <row r="2501" spans="1:3" x14ac:dyDescent="0.45">
      <c r="A2501">
        <f>SUMIFS(fact_batting_summary!G:G, fact_batting_summary!E:E, fact_batting_summary!E2501)</f>
        <v>10</v>
      </c>
      <c r="B2501" s="9">
        <f>AVERAGEIFS(fact_batting_summary!G:G, fact_batting_summary!E:E,fact_batting_summary!E2501)</f>
        <v>2.5</v>
      </c>
      <c r="C2501">
        <v>11</v>
      </c>
    </row>
    <row r="2502" spans="1:3" x14ac:dyDescent="0.45">
      <c r="A2502">
        <f>SUMIFS(fact_batting_summary!G:G, fact_batting_summary!E:E, fact_batting_summary!E2502)</f>
        <v>819</v>
      </c>
      <c r="B2502" s="9">
        <f>AVERAGEIFS(fact_batting_summary!G:G, fact_batting_summary!E:E,fact_batting_summary!E2502)</f>
        <v>22.135135135135137</v>
      </c>
      <c r="C2502">
        <v>1</v>
      </c>
    </row>
    <row r="2503" spans="1:3" x14ac:dyDescent="0.45">
      <c r="A2503">
        <f>SUMIFS(fact_batting_summary!G:G, fact_batting_summary!E:E, fact_batting_summary!E2503)</f>
        <v>1851</v>
      </c>
      <c r="B2503" s="9">
        <f>AVERAGEIFS(fact_batting_summary!G:G, fact_batting_summary!E:E,fact_batting_summary!E2503)</f>
        <v>37.020000000000003</v>
      </c>
      <c r="C2503">
        <v>2</v>
      </c>
    </row>
    <row r="2504" spans="1:3" x14ac:dyDescent="0.45">
      <c r="A2504">
        <f>SUMIFS(fact_batting_summary!G:G, fact_batting_summary!E:E, fact_batting_summary!E2504)</f>
        <v>960</v>
      </c>
      <c r="B2504" s="9">
        <f>AVERAGEIFS(fact_batting_summary!G:G, fact_batting_summary!E:E,fact_batting_summary!E2504)</f>
        <v>23.414634146341463</v>
      </c>
      <c r="C2504">
        <v>3</v>
      </c>
    </row>
    <row r="2505" spans="1:3" x14ac:dyDescent="0.45">
      <c r="A2505">
        <f>SUMIFS(fact_batting_summary!G:G, fact_batting_summary!E:E, fact_batting_summary!E2505)</f>
        <v>435</v>
      </c>
      <c r="B2505" s="9">
        <f>AVERAGEIFS(fact_batting_summary!G:G, fact_batting_summary!E:E,fact_batting_summary!E2505)</f>
        <v>33.46153846153846</v>
      </c>
      <c r="C2505">
        <v>1</v>
      </c>
    </row>
    <row r="2506" spans="1:3" x14ac:dyDescent="0.45">
      <c r="A2506">
        <f>SUMIFS(fact_batting_summary!G:G, fact_batting_summary!E:E, fact_batting_summary!E2506)</f>
        <v>227</v>
      </c>
      <c r="B2506" s="9">
        <f>AVERAGEIFS(fact_batting_summary!G:G, fact_batting_summary!E:E,fact_batting_summary!E2506)</f>
        <v>20.636363636363637</v>
      </c>
      <c r="C2506">
        <v>2</v>
      </c>
    </row>
    <row r="2507" spans="1:3" x14ac:dyDescent="0.45">
      <c r="A2507">
        <f>SUMIFS(fact_batting_summary!G:G, fact_batting_summary!E:E, fact_batting_summary!E2507)</f>
        <v>956</v>
      </c>
      <c r="B2507" s="9">
        <f>AVERAGEIFS(fact_batting_summary!G:G, fact_batting_summary!E:E,fact_batting_summary!E2507)</f>
        <v>26.555555555555557</v>
      </c>
      <c r="C2507">
        <v>3</v>
      </c>
    </row>
    <row r="2508" spans="1:3" x14ac:dyDescent="0.45">
      <c r="A2508">
        <f>SUMIFS(fact_batting_summary!G:G, fact_batting_summary!E:E, fact_batting_summary!E2508)</f>
        <v>1157</v>
      </c>
      <c r="B2508" s="9">
        <f>AVERAGEIFS(fact_batting_summary!G:G, fact_batting_summary!E:E,fact_batting_summary!E2508)</f>
        <v>26.295454545454547</v>
      </c>
      <c r="C2508">
        <v>4</v>
      </c>
    </row>
    <row r="2509" spans="1:3" x14ac:dyDescent="0.45">
      <c r="A2509">
        <f>SUMIFS(fact_batting_summary!G:G, fact_batting_summary!E:E, fact_batting_summary!E2509)</f>
        <v>648</v>
      </c>
      <c r="B2509" s="9">
        <f>AVERAGEIFS(fact_batting_summary!G:G, fact_batting_summary!E:E,fact_batting_summary!E2509)</f>
        <v>30.857142857142858</v>
      </c>
      <c r="C2509">
        <v>5</v>
      </c>
    </row>
    <row r="2510" spans="1:3" x14ac:dyDescent="0.45">
      <c r="A2510">
        <f>SUMIFS(fact_batting_summary!G:G, fact_batting_summary!E:E, fact_batting_summary!E2510)</f>
        <v>745</v>
      </c>
      <c r="B2510" s="9">
        <f>AVERAGEIFS(fact_batting_summary!G:G, fact_batting_summary!E:E,fact_batting_summary!E2510)</f>
        <v>21.285714285714285</v>
      </c>
      <c r="C2510">
        <v>6</v>
      </c>
    </row>
    <row r="2511" spans="1:3" x14ac:dyDescent="0.45">
      <c r="A2511">
        <f>SUMIFS(fact_batting_summary!G:G, fact_batting_summary!E:E, fact_batting_summary!E2511)</f>
        <v>154</v>
      </c>
      <c r="B2511" s="9">
        <f>AVERAGEIFS(fact_batting_summary!G:G, fact_batting_summary!E:E,fact_batting_summary!E2511)</f>
        <v>5.1333333333333337</v>
      </c>
      <c r="C2511">
        <v>7</v>
      </c>
    </row>
    <row r="2512" spans="1:3" x14ac:dyDescent="0.45">
      <c r="A2512">
        <f>SUMIFS(fact_batting_summary!G:G, fact_batting_summary!E:E, fact_batting_summary!E2512)</f>
        <v>238</v>
      </c>
      <c r="B2512" s="9">
        <f>AVERAGEIFS(fact_batting_summary!G:G, fact_batting_summary!E:E,fact_batting_summary!E2512)</f>
        <v>9.9166666666666661</v>
      </c>
      <c r="C2512">
        <v>8</v>
      </c>
    </row>
    <row r="2513" spans="1:3" x14ac:dyDescent="0.45">
      <c r="A2513">
        <f>SUMIFS(fact_batting_summary!G:G, fact_batting_summary!E:E, fact_batting_summary!E2513)</f>
        <v>23</v>
      </c>
      <c r="B2513" s="9">
        <f>AVERAGEIFS(fact_batting_summary!G:G, fact_batting_summary!E:E,fact_batting_summary!E2513)</f>
        <v>4.5999999999999996</v>
      </c>
      <c r="C2513">
        <v>9</v>
      </c>
    </row>
    <row r="2514" spans="1:3" x14ac:dyDescent="0.45">
      <c r="A2514">
        <f>SUMIFS(fact_batting_summary!G:G, fact_batting_summary!E:E, fact_batting_summary!E2514)</f>
        <v>2</v>
      </c>
      <c r="B2514" s="9">
        <f>AVERAGEIFS(fact_batting_summary!G:G, fact_batting_summary!E:E,fact_batting_summary!E2514)</f>
        <v>0.66666666666666663</v>
      </c>
      <c r="C2514">
        <v>10</v>
      </c>
    </row>
    <row r="2515" spans="1:3" x14ac:dyDescent="0.45">
      <c r="A2515">
        <f>SUMIFS(fact_batting_summary!G:G, fact_batting_summary!E:E, fact_batting_summary!E2515)</f>
        <v>8</v>
      </c>
      <c r="B2515" s="9">
        <f>AVERAGEIFS(fact_batting_summary!G:G, fact_batting_summary!E:E,fact_batting_summary!E2515)</f>
        <v>1.3333333333333333</v>
      </c>
      <c r="C2515">
        <v>11</v>
      </c>
    </row>
    <row r="2516" spans="1:3" x14ac:dyDescent="0.45">
      <c r="A2516">
        <f>SUMIFS(fact_batting_summary!G:G, fact_batting_summary!E:E, fact_batting_summary!E2516)</f>
        <v>745</v>
      </c>
      <c r="B2516" s="9">
        <f>AVERAGEIFS(fact_batting_summary!G:G, fact_batting_summary!E:E,fact_batting_summary!E2516)</f>
        <v>24.032258064516128</v>
      </c>
      <c r="C2516">
        <v>1</v>
      </c>
    </row>
    <row r="2517" spans="1:3" x14ac:dyDescent="0.45">
      <c r="A2517">
        <f>SUMIFS(fact_batting_summary!G:G, fact_batting_summary!E:E, fact_batting_summary!E2517)</f>
        <v>907</v>
      </c>
      <c r="B2517" s="9">
        <f>AVERAGEIFS(fact_batting_summary!G:G, fact_batting_summary!E:E,fact_batting_summary!E2517)</f>
        <v>26.676470588235293</v>
      </c>
      <c r="C2517">
        <v>2</v>
      </c>
    </row>
    <row r="2518" spans="1:3" x14ac:dyDescent="0.45">
      <c r="A2518">
        <f>SUMIFS(fact_batting_summary!G:G, fact_batting_summary!E:E, fact_batting_summary!E2518)</f>
        <v>1083</v>
      </c>
      <c r="B2518" s="9">
        <f>AVERAGEIFS(fact_batting_summary!G:G, fact_batting_summary!E:E,fact_batting_summary!E2518)</f>
        <v>25.186046511627907</v>
      </c>
      <c r="C2518">
        <v>3</v>
      </c>
    </row>
    <row r="2519" spans="1:3" x14ac:dyDescent="0.45">
      <c r="A2519">
        <f>SUMIFS(fact_batting_summary!G:G, fact_batting_summary!E:E, fact_batting_summary!E2519)</f>
        <v>775</v>
      </c>
      <c r="B2519" s="9">
        <f>AVERAGEIFS(fact_batting_summary!G:G, fact_batting_summary!E:E,fact_batting_summary!E2519)</f>
        <v>25</v>
      </c>
      <c r="C2519">
        <v>4</v>
      </c>
    </row>
    <row r="2520" spans="1:3" x14ac:dyDescent="0.45">
      <c r="A2520">
        <f>SUMIFS(fact_batting_summary!G:G, fact_batting_summary!E:E, fact_batting_summary!E2520)</f>
        <v>190</v>
      </c>
      <c r="B2520" s="9">
        <f>AVERAGEIFS(fact_batting_summary!G:G, fact_batting_summary!E:E,fact_batting_summary!E2520)</f>
        <v>17.272727272727273</v>
      </c>
      <c r="C2520">
        <v>5</v>
      </c>
    </row>
    <row r="2521" spans="1:3" x14ac:dyDescent="0.45">
      <c r="A2521">
        <f>SUMIFS(fact_batting_summary!G:G, fact_batting_summary!E:E, fact_batting_summary!E2521)</f>
        <v>448</v>
      </c>
      <c r="B2521" s="9">
        <f>AVERAGEIFS(fact_batting_summary!G:G, fact_batting_summary!E:E,fact_batting_summary!E2521)</f>
        <v>40.727272727272727</v>
      </c>
      <c r="C2521">
        <v>6</v>
      </c>
    </row>
    <row r="2522" spans="1:3" x14ac:dyDescent="0.45">
      <c r="A2522">
        <f>SUMIFS(fact_batting_summary!G:G, fact_batting_summary!E:E, fact_batting_summary!E2522)</f>
        <v>284</v>
      </c>
      <c r="B2522" s="9">
        <f>AVERAGEIFS(fact_batting_summary!G:G, fact_batting_summary!E:E,fact_batting_summary!E2522)</f>
        <v>14.2</v>
      </c>
      <c r="C2522">
        <v>7</v>
      </c>
    </row>
    <row r="2523" spans="1:3" x14ac:dyDescent="0.45">
      <c r="A2523">
        <f>SUMIFS(fact_batting_summary!G:G, fact_batting_summary!E:E, fact_batting_summary!E2523)</f>
        <v>48</v>
      </c>
      <c r="B2523" s="9">
        <f>AVERAGEIFS(fact_batting_summary!G:G, fact_batting_summary!E:E,fact_batting_summary!E2523)</f>
        <v>4.3636363636363633</v>
      </c>
      <c r="C2523">
        <v>8</v>
      </c>
    </row>
    <row r="2524" spans="1:3" x14ac:dyDescent="0.45">
      <c r="A2524">
        <f>SUMIFS(fact_batting_summary!G:G, fact_batting_summary!E:E, fact_batting_summary!E2524)</f>
        <v>100</v>
      </c>
      <c r="B2524" s="9">
        <f>AVERAGEIFS(fact_batting_summary!G:G, fact_batting_summary!E:E,fact_batting_summary!E2524)</f>
        <v>5.2631578947368425</v>
      </c>
      <c r="C2524">
        <v>9</v>
      </c>
    </row>
    <row r="2525" spans="1:3" x14ac:dyDescent="0.45">
      <c r="A2525">
        <f>SUMIFS(fact_batting_summary!G:G, fact_batting_summary!E:E, fact_batting_summary!E2525)</f>
        <v>21</v>
      </c>
      <c r="B2525" s="9">
        <f>AVERAGEIFS(fact_batting_summary!G:G, fact_batting_summary!E:E,fact_batting_summary!E2525)</f>
        <v>7</v>
      </c>
      <c r="C2525">
        <v>10</v>
      </c>
    </row>
    <row r="2526" spans="1:3" x14ac:dyDescent="0.45">
      <c r="A2526">
        <f>SUMIFS(fact_batting_summary!G:G, fact_batting_summary!E:E, fact_batting_summary!E2526)</f>
        <v>391</v>
      </c>
      <c r="B2526" s="9">
        <f>AVERAGEIFS(fact_batting_summary!G:G, fact_batting_summary!E:E,fact_batting_summary!E2526)</f>
        <v>23</v>
      </c>
      <c r="C2526">
        <v>1</v>
      </c>
    </row>
    <row r="2527" spans="1:3" x14ac:dyDescent="0.45">
      <c r="A2527">
        <f>SUMIFS(fact_batting_summary!G:G, fact_batting_summary!E:E, fact_batting_summary!E2527)</f>
        <v>1392</v>
      </c>
      <c r="B2527" s="9">
        <f>AVERAGEIFS(fact_batting_summary!G:G, fact_batting_summary!E:E,fact_batting_summary!E2527)</f>
        <v>34.799999999999997</v>
      </c>
      <c r="C2527">
        <v>2</v>
      </c>
    </row>
    <row r="2528" spans="1:3" x14ac:dyDescent="0.45">
      <c r="A2528">
        <f>SUMIFS(fact_batting_summary!G:G, fact_batting_summary!E:E, fact_batting_summary!E2528)</f>
        <v>117</v>
      </c>
      <c r="B2528" s="9">
        <f>AVERAGEIFS(fact_batting_summary!G:G, fact_batting_summary!E:E,fact_batting_summary!E2528)</f>
        <v>19.5</v>
      </c>
      <c r="C2528">
        <v>3</v>
      </c>
    </row>
    <row r="2529" spans="1:3" x14ac:dyDescent="0.45">
      <c r="A2529">
        <f>SUMIFS(fact_batting_summary!G:G, fact_batting_summary!E:E, fact_batting_summary!E2529)</f>
        <v>758</v>
      </c>
      <c r="B2529" s="9">
        <f>AVERAGEIFS(fact_batting_summary!G:G, fact_batting_summary!E:E,fact_batting_summary!E2529)</f>
        <v>27.071428571428573</v>
      </c>
      <c r="C2529">
        <v>4</v>
      </c>
    </row>
    <row r="2530" spans="1:3" x14ac:dyDescent="0.45">
      <c r="A2530">
        <f>SUMIFS(fact_batting_summary!G:G, fact_batting_summary!E:E, fact_batting_summary!E2530)</f>
        <v>543</v>
      </c>
      <c r="B2530" s="9">
        <f>AVERAGEIFS(fact_batting_summary!G:G, fact_batting_summary!E:E,fact_batting_summary!E2530)</f>
        <v>22.625</v>
      </c>
      <c r="C2530">
        <v>5</v>
      </c>
    </row>
    <row r="2531" spans="1:3" x14ac:dyDescent="0.45">
      <c r="A2531">
        <f>SUMIFS(fact_batting_summary!G:G, fact_batting_summary!E:E, fact_batting_summary!E2531)</f>
        <v>981</v>
      </c>
      <c r="B2531" s="9">
        <f>AVERAGEIFS(fact_batting_summary!G:G, fact_batting_summary!E:E,fact_batting_summary!E2531)</f>
        <v>22.813953488372093</v>
      </c>
      <c r="C2531">
        <v>1</v>
      </c>
    </row>
    <row r="2532" spans="1:3" x14ac:dyDescent="0.45">
      <c r="A2532">
        <f>SUMIFS(fact_batting_summary!G:G, fact_batting_summary!E:E, fact_batting_summary!E2532)</f>
        <v>1113</v>
      </c>
      <c r="B2532" s="9">
        <f>AVERAGEIFS(fact_batting_summary!G:G, fact_batting_summary!E:E,fact_batting_summary!E2532)</f>
        <v>28.53846153846154</v>
      </c>
      <c r="C2532">
        <v>2</v>
      </c>
    </row>
    <row r="2533" spans="1:3" x14ac:dyDescent="0.45">
      <c r="A2533">
        <f>SUMIFS(fact_batting_summary!G:G, fact_batting_summary!E:E, fact_batting_summary!E2533)</f>
        <v>452</v>
      </c>
      <c r="B2533" s="9">
        <f>AVERAGEIFS(fact_batting_summary!G:G, fact_batting_summary!E:E,fact_batting_summary!E2533)</f>
        <v>28.25</v>
      </c>
      <c r="C2533">
        <v>3</v>
      </c>
    </row>
    <row r="2534" spans="1:3" x14ac:dyDescent="0.45">
      <c r="A2534">
        <f>SUMIFS(fact_batting_summary!G:G, fact_batting_summary!E:E, fact_batting_summary!E2534)</f>
        <v>1225</v>
      </c>
      <c r="B2534" s="9">
        <f>AVERAGEIFS(fact_batting_summary!G:G, fact_batting_summary!E:E,fact_batting_summary!E2534)</f>
        <v>32.236842105263158</v>
      </c>
      <c r="C2534">
        <v>4</v>
      </c>
    </row>
    <row r="2535" spans="1:3" x14ac:dyDescent="0.45">
      <c r="A2535">
        <f>SUMIFS(fact_batting_summary!G:G, fact_batting_summary!E:E, fact_batting_summary!E2535)</f>
        <v>418</v>
      </c>
      <c r="B2535" s="9">
        <f>AVERAGEIFS(fact_batting_summary!G:G, fact_batting_summary!E:E,fact_batting_summary!E2535)</f>
        <v>17.416666666666668</v>
      </c>
      <c r="C2535">
        <v>5</v>
      </c>
    </row>
    <row r="2536" spans="1:3" x14ac:dyDescent="0.45">
      <c r="A2536">
        <f>SUMIFS(fact_batting_summary!G:G, fact_batting_summary!E:E, fact_batting_summary!E2536)</f>
        <v>740</v>
      </c>
      <c r="B2536" s="9">
        <f>AVERAGEIFS(fact_batting_summary!G:G, fact_batting_summary!E:E,fact_batting_summary!E2536)</f>
        <v>29.6</v>
      </c>
      <c r="C2536">
        <v>6</v>
      </c>
    </row>
    <row r="2537" spans="1:3" x14ac:dyDescent="0.45">
      <c r="A2537">
        <f>SUMIFS(fact_batting_summary!G:G, fact_batting_summary!E:E, fact_batting_summary!E2537)</f>
        <v>218</v>
      </c>
      <c r="B2537" s="9">
        <f>AVERAGEIFS(fact_batting_summary!G:G, fact_batting_summary!E:E,fact_batting_summary!E2537)</f>
        <v>24.222222222222221</v>
      </c>
      <c r="C2537">
        <v>1</v>
      </c>
    </row>
    <row r="2538" spans="1:3" x14ac:dyDescent="0.45">
      <c r="A2538">
        <f>SUMIFS(fact_batting_summary!G:G, fact_batting_summary!E:E, fact_batting_summary!E2538)</f>
        <v>1137</v>
      </c>
      <c r="B2538" s="9">
        <f>AVERAGEIFS(fact_batting_summary!G:G, fact_batting_summary!E:E,fact_batting_summary!E2538)</f>
        <v>34.454545454545453</v>
      </c>
      <c r="C2538">
        <v>2</v>
      </c>
    </row>
    <row r="2539" spans="1:3" x14ac:dyDescent="0.45">
      <c r="A2539">
        <f>SUMIFS(fact_batting_summary!G:G, fact_batting_summary!E:E, fact_batting_summary!E2539)</f>
        <v>140</v>
      </c>
      <c r="B2539" s="9">
        <f>AVERAGEIFS(fact_batting_summary!G:G, fact_batting_summary!E:E,fact_batting_summary!E2539)</f>
        <v>15.555555555555555</v>
      </c>
      <c r="C2539">
        <v>3</v>
      </c>
    </row>
    <row r="2540" spans="1:3" x14ac:dyDescent="0.45">
      <c r="A2540">
        <f>SUMIFS(fact_batting_summary!G:G, fact_batting_summary!E:E, fact_batting_summary!E2540)</f>
        <v>209</v>
      </c>
      <c r="B2540" s="9">
        <f>AVERAGEIFS(fact_batting_summary!G:G, fact_batting_summary!E:E,fact_batting_summary!E2540)</f>
        <v>23.222222222222221</v>
      </c>
      <c r="C2540">
        <v>4</v>
      </c>
    </row>
    <row r="2541" spans="1:3" x14ac:dyDescent="0.45">
      <c r="A2541">
        <f>SUMIFS(fact_batting_summary!G:G, fact_batting_summary!E:E, fact_batting_summary!E2541)</f>
        <v>540</v>
      </c>
      <c r="B2541" s="9">
        <f>AVERAGEIFS(fact_batting_summary!G:G, fact_batting_summary!E:E,fact_batting_summary!E2541)</f>
        <v>23.478260869565219</v>
      </c>
      <c r="C2541">
        <v>5</v>
      </c>
    </row>
    <row r="2542" spans="1:3" x14ac:dyDescent="0.45">
      <c r="A2542">
        <f>SUMIFS(fact_batting_summary!G:G, fact_batting_summary!E:E, fact_batting_summary!E2542)</f>
        <v>505</v>
      </c>
      <c r="B2542" s="9">
        <f>AVERAGEIFS(fact_batting_summary!G:G, fact_batting_summary!E:E,fact_batting_summary!E2542)</f>
        <v>17.413793103448278</v>
      </c>
      <c r="C2542">
        <v>6</v>
      </c>
    </row>
    <row r="2543" spans="1:3" x14ac:dyDescent="0.45">
      <c r="A2543">
        <f>SUMIFS(fact_batting_summary!G:G, fact_batting_summary!E:E, fact_batting_summary!E2543)</f>
        <v>115</v>
      </c>
      <c r="B2543" s="9">
        <f>AVERAGEIFS(fact_batting_summary!G:G, fact_batting_summary!E:E,fact_batting_summary!E2543)</f>
        <v>11.5</v>
      </c>
      <c r="C2543">
        <v>7</v>
      </c>
    </row>
    <row r="2544" spans="1:3" x14ac:dyDescent="0.45">
      <c r="A2544">
        <f>SUMIFS(fact_batting_summary!G:G, fact_batting_summary!E:E, fact_batting_summary!E2544)</f>
        <v>80</v>
      </c>
      <c r="B2544" s="9">
        <f>AVERAGEIFS(fact_batting_summary!G:G, fact_batting_summary!E:E,fact_batting_summary!E2544)</f>
        <v>11.428571428571429</v>
      </c>
      <c r="C2544">
        <v>8</v>
      </c>
    </row>
    <row r="2545" spans="1:3" x14ac:dyDescent="0.45">
      <c r="A2545">
        <f>SUMIFS(fact_batting_summary!G:G, fact_batting_summary!E:E, fact_batting_summary!E2545)</f>
        <v>38</v>
      </c>
      <c r="B2545" s="9">
        <f>AVERAGEIFS(fact_batting_summary!G:G, fact_batting_summary!E:E,fact_batting_summary!E2545)</f>
        <v>4.75</v>
      </c>
      <c r="C2545">
        <v>9</v>
      </c>
    </row>
    <row r="2546" spans="1:3" x14ac:dyDescent="0.45">
      <c r="A2546">
        <f>SUMIFS(fact_batting_summary!G:G, fact_batting_summary!E:E, fact_batting_summary!E2546)</f>
        <v>79</v>
      </c>
      <c r="B2546" s="9">
        <f>AVERAGEIFS(fact_batting_summary!G:G, fact_batting_summary!E:E,fact_batting_summary!E2546)</f>
        <v>4.6470588235294121</v>
      </c>
      <c r="C2546">
        <v>10</v>
      </c>
    </row>
    <row r="2547" spans="1:3" x14ac:dyDescent="0.45">
      <c r="A2547">
        <f>SUMIFS(fact_batting_summary!G:G, fact_batting_summary!E:E, fact_batting_summary!E2547)</f>
        <v>819</v>
      </c>
      <c r="B2547" s="9">
        <f>AVERAGEIFS(fact_batting_summary!G:G, fact_batting_summary!E:E,fact_batting_summary!E2547)</f>
        <v>22.135135135135137</v>
      </c>
      <c r="C2547">
        <v>1</v>
      </c>
    </row>
    <row r="2548" spans="1:3" x14ac:dyDescent="0.45">
      <c r="A2548">
        <f>SUMIFS(fact_batting_summary!G:G, fact_batting_summary!E:E, fact_batting_summary!E2548)</f>
        <v>1851</v>
      </c>
      <c r="B2548" s="9">
        <f>AVERAGEIFS(fact_batting_summary!G:G, fact_batting_summary!E:E,fact_batting_summary!E2548)</f>
        <v>37.020000000000003</v>
      </c>
      <c r="C2548">
        <v>2</v>
      </c>
    </row>
    <row r="2549" spans="1:3" x14ac:dyDescent="0.45">
      <c r="A2549">
        <f>SUMIFS(fact_batting_summary!G:G, fact_batting_summary!E:E, fact_batting_summary!E2549)</f>
        <v>960</v>
      </c>
      <c r="B2549" s="9">
        <f>AVERAGEIFS(fact_batting_summary!G:G, fact_batting_summary!E:E,fact_batting_summary!E2549)</f>
        <v>23.414634146341463</v>
      </c>
      <c r="C2549">
        <v>3</v>
      </c>
    </row>
    <row r="2550" spans="1:3" x14ac:dyDescent="0.45">
      <c r="A2550">
        <f>SUMIFS(fact_batting_summary!G:G, fact_batting_summary!E:E, fact_batting_summary!E2550)</f>
        <v>370</v>
      </c>
      <c r="B2550" s="9">
        <f>AVERAGEIFS(fact_batting_summary!G:G, fact_batting_summary!E:E,fact_batting_summary!E2550)</f>
        <v>20.555555555555557</v>
      </c>
      <c r="C2550">
        <v>4</v>
      </c>
    </row>
    <row r="2551" spans="1:3" x14ac:dyDescent="0.45">
      <c r="A2551">
        <f>SUMIFS(fact_batting_summary!G:G, fact_batting_summary!E:E, fact_batting_summary!E2551)</f>
        <v>864</v>
      </c>
      <c r="B2551" s="9">
        <f>AVERAGEIFS(fact_batting_summary!G:G, fact_batting_summary!E:E,fact_batting_summary!E2551)</f>
        <v>23.351351351351351</v>
      </c>
      <c r="C2551">
        <v>5</v>
      </c>
    </row>
    <row r="2552" spans="1:3" x14ac:dyDescent="0.45">
      <c r="A2552">
        <f>SUMIFS(fact_batting_summary!G:G, fact_batting_summary!E:E, fact_batting_summary!E2552)</f>
        <v>222</v>
      </c>
      <c r="B2552" s="9">
        <f>AVERAGEIFS(fact_batting_summary!G:G, fact_batting_summary!E:E,fact_batting_summary!E2552)</f>
        <v>17.076923076923077</v>
      </c>
      <c r="C2552">
        <v>6</v>
      </c>
    </row>
    <row r="2553" spans="1:3" x14ac:dyDescent="0.45">
      <c r="A2553">
        <f>SUMIFS(fact_batting_summary!G:G, fact_batting_summary!E:E, fact_batting_summary!E2553)</f>
        <v>459</v>
      </c>
      <c r="B2553" s="9">
        <f>AVERAGEIFS(fact_batting_summary!G:G, fact_batting_summary!E:E,fact_batting_summary!E2553)</f>
        <v>13.909090909090908</v>
      </c>
      <c r="C2553">
        <v>7</v>
      </c>
    </row>
    <row r="2554" spans="1:3" x14ac:dyDescent="0.45">
      <c r="A2554">
        <f>SUMIFS(fact_batting_summary!G:G, fact_batting_summary!E:E, fact_batting_summary!E2554)</f>
        <v>304</v>
      </c>
      <c r="B2554" s="9">
        <f>AVERAGEIFS(fact_batting_summary!G:G, fact_batting_summary!E:E,fact_batting_summary!E2554)</f>
        <v>11.692307692307692</v>
      </c>
      <c r="C2554">
        <v>8</v>
      </c>
    </row>
    <row r="2555" spans="1:3" x14ac:dyDescent="0.45">
      <c r="A2555">
        <f>SUMIFS(fact_batting_summary!G:G, fact_batting_summary!E:E, fact_batting_summary!E2555)</f>
        <v>1385</v>
      </c>
      <c r="B2555" s="9">
        <f>AVERAGEIFS(fact_batting_summary!G:G, fact_batting_summary!E:E,fact_batting_summary!E2555)</f>
        <v>30.777777777777779</v>
      </c>
      <c r="C2555">
        <v>1</v>
      </c>
    </row>
    <row r="2556" spans="1:3" x14ac:dyDescent="0.45">
      <c r="A2556">
        <f>SUMIFS(fact_batting_summary!G:G, fact_batting_summary!E:E, fact_batting_summary!E2556)</f>
        <v>1831</v>
      </c>
      <c r="B2556" s="9">
        <f>AVERAGEIFS(fact_batting_summary!G:G, fact_batting_summary!E:E,fact_batting_summary!E2556)</f>
        <v>39.804347826086953</v>
      </c>
      <c r="C2556">
        <v>2</v>
      </c>
    </row>
    <row r="2557" spans="1:3" x14ac:dyDescent="0.45">
      <c r="A2557">
        <f>SUMIFS(fact_batting_summary!G:G, fact_batting_summary!E:E, fact_batting_summary!E2557)</f>
        <v>220</v>
      </c>
      <c r="B2557" s="9">
        <f>AVERAGEIFS(fact_batting_summary!G:G, fact_batting_summary!E:E,fact_batting_summary!E2557)</f>
        <v>13.75</v>
      </c>
      <c r="C2557">
        <v>3</v>
      </c>
    </row>
    <row r="2558" spans="1:3" x14ac:dyDescent="0.45">
      <c r="A2558">
        <f>SUMIFS(fact_batting_summary!G:G, fact_batting_summary!E:E, fact_batting_summary!E2558)</f>
        <v>1214</v>
      </c>
      <c r="B2558" s="9">
        <f>AVERAGEIFS(fact_batting_summary!G:G, fact_batting_summary!E:E,fact_batting_summary!E2558)</f>
        <v>29.609756097560975</v>
      </c>
      <c r="C2558">
        <v>4</v>
      </c>
    </row>
    <row r="2559" spans="1:3" x14ac:dyDescent="0.45">
      <c r="A2559">
        <f>SUMIFS(fact_batting_summary!G:G, fact_batting_summary!E:E, fact_batting_summary!E2559)</f>
        <v>102</v>
      </c>
      <c r="B2559" s="9">
        <f>AVERAGEIFS(fact_batting_summary!G:G, fact_batting_summary!E:E,fact_batting_summary!E2559)</f>
        <v>11.333333333333334</v>
      </c>
      <c r="C2559">
        <v>5</v>
      </c>
    </row>
    <row r="2560" spans="1:3" x14ac:dyDescent="0.45">
      <c r="A2560">
        <f>SUMIFS(fact_batting_summary!G:G, fact_batting_summary!E:E, fact_batting_summary!E2560)</f>
        <v>693</v>
      </c>
      <c r="B2560" s="9">
        <f>AVERAGEIFS(fact_batting_summary!G:G, fact_batting_summary!E:E,fact_batting_summary!E2560)</f>
        <v>15.75</v>
      </c>
      <c r="C2560">
        <v>6</v>
      </c>
    </row>
    <row r="2561" spans="1:3" x14ac:dyDescent="0.45">
      <c r="A2561">
        <f>SUMIFS(fact_batting_summary!G:G, fact_batting_summary!E:E, fact_batting_summary!E2561)</f>
        <v>315</v>
      </c>
      <c r="B2561" s="9">
        <f>AVERAGEIFS(fact_batting_summary!G:G, fact_batting_summary!E:E,fact_batting_summary!E2561)</f>
        <v>16.578947368421051</v>
      </c>
      <c r="C2561">
        <v>7</v>
      </c>
    </row>
    <row r="2562" spans="1:3" x14ac:dyDescent="0.45">
      <c r="A2562">
        <f>SUMIFS(fact_batting_summary!G:G, fact_batting_summary!E:E, fact_batting_summary!E2562)</f>
        <v>72</v>
      </c>
      <c r="B2562" s="9">
        <f>AVERAGEIFS(fact_batting_summary!G:G, fact_batting_summary!E:E,fact_batting_summary!E2562)</f>
        <v>5.1428571428571432</v>
      </c>
      <c r="C2562">
        <v>8</v>
      </c>
    </row>
    <row r="2563" spans="1:3" x14ac:dyDescent="0.45">
      <c r="A2563">
        <f>SUMIFS(fact_batting_summary!G:G, fact_batting_summary!E:E, fact_batting_summary!E2563)</f>
        <v>3</v>
      </c>
      <c r="B2563" s="9">
        <f>AVERAGEIFS(fact_batting_summary!G:G, fact_batting_summary!E:E,fact_batting_summary!E2563)</f>
        <v>1.5</v>
      </c>
      <c r="C2563">
        <v>9</v>
      </c>
    </row>
    <row r="2564" spans="1:3" x14ac:dyDescent="0.45">
      <c r="A2564">
        <f>SUMIFS(fact_batting_summary!G:G, fact_batting_summary!E:E, fact_batting_summary!E2564)</f>
        <v>51</v>
      </c>
      <c r="B2564" s="9">
        <f>AVERAGEIFS(fact_batting_summary!G:G, fact_batting_summary!E:E,fact_batting_summary!E2564)</f>
        <v>4.6363636363636367</v>
      </c>
      <c r="C2564">
        <v>10</v>
      </c>
    </row>
    <row r="2565" spans="1:3" x14ac:dyDescent="0.45">
      <c r="A2565">
        <f>SUMIFS(fact_batting_summary!G:G, fact_batting_summary!E:E, fact_batting_summary!E2565)</f>
        <v>19</v>
      </c>
      <c r="B2565" s="9">
        <f>AVERAGEIFS(fact_batting_summary!G:G, fact_batting_summary!E:E,fact_batting_summary!E2565)</f>
        <v>3.1666666666666665</v>
      </c>
      <c r="C2565">
        <v>11</v>
      </c>
    </row>
    <row r="2566" spans="1:3" x14ac:dyDescent="0.45">
      <c r="A2566">
        <f>SUMIFS(fact_batting_summary!G:G, fact_batting_summary!E:E, fact_batting_summary!E2566)</f>
        <v>365</v>
      </c>
      <c r="B2566" s="9">
        <f>AVERAGEIFS(fact_batting_summary!G:G, fact_batting_summary!E:E,fact_batting_summary!E2566)</f>
        <v>30.416666666666668</v>
      </c>
      <c r="C2566">
        <v>1</v>
      </c>
    </row>
    <row r="2567" spans="1:3" x14ac:dyDescent="0.45">
      <c r="A2567">
        <f>SUMIFS(fact_batting_summary!G:G, fact_batting_summary!E:E, fact_batting_summary!E2567)</f>
        <v>340</v>
      </c>
      <c r="B2567" s="9">
        <f>AVERAGEIFS(fact_batting_summary!G:G, fact_batting_summary!E:E,fact_batting_summary!E2567)</f>
        <v>15.454545454545455</v>
      </c>
      <c r="C2567">
        <v>2</v>
      </c>
    </row>
    <row r="2568" spans="1:3" x14ac:dyDescent="0.45">
      <c r="A2568">
        <f>SUMIFS(fact_batting_summary!G:G, fact_batting_summary!E:E, fact_batting_summary!E2568)</f>
        <v>514</v>
      </c>
      <c r="B2568" s="9">
        <f>AVERAGEIFS(fact_batting_summary!G:G, fact_batting_summary!E:E,fact_batting_summary!E2568)</f>
        <v>13.526315789473685</v>
      </c>
      <c r="C2568">
        <v>3</v>
      </c>
    </row>
    <row r="2569" spans="1:3" x14ac:dyDescent="0.45">
      <c r="A2569">
        <f>SUMIFS(fact_batting_summary!G:G, fact_batting_summary!E:E, fact_batting_summary!E2569)</f>
        <v>695</v>
      </c>
      <c r="B2569" s="9">
        <f>AVERAGEIFS(fact_batting_summary!G:G, fact_batting_summary!E:E,fact_batting_summary!E2569)</f>
        <v>18.783783783783782</v>
      </c>
      <c r="C2569">
        <v>4</v>
      </c>
    </row>
    <row r="2570" spans="1:3" x14ac:dyDescent="0.45">
      <c r="A2570">
        <f>SUMIFS(fact_batting_summary!G:G, fact_batting_summary!E:E, fact_batting_summary!E2570)</f>
        <v>645</v>
      </c>
      <c r="B2570" s="9">
        <f>AVERAGEIFS(fact_batting_summary!G:G, fact_batting_summary!E:E,fact_batting_summary!E2570)</f>
        <v>21.5</v>
      </c>
      <c r="C2570">
        <v>5</v>
      </c>
    </row>
    <row r="2571" spans="1:3" x14ac:dyDescent="0.45">
      <c r="A2571">
        <f>SUMIFS(fact_batting_summary!G:G, fact_batting_summary!E:E, fact_batting_summary!E2571)</f>
        <v>729</v>
      </c>
      <c r="B2571" s="9">
        <f>AVERAGEIFS(fact_batting_summary!G:G, fact_batting_summary!E:E,fact_batting_summary!E2571)</f>
        <v>19.184210526315791</v>
      </c>
      <c r="C2571">
        <v>6</v>
      </c>
    </row>
    <row r="2572" spans="1:3" x14ac:dyDescent="0.45">
      <c r="A2572">
        <f>SUMIFS(fact_batting_summary!G:G, fact_batting_summary!E:E, fact_batting_summary!E2572)</f>
        <v>60</v>
      </c>
      <c r="B2572" s="9">
        <f>AVERAGEIFS(fact_batting_summary!G:G, fact_batting_summary!E:E,fact_batting_summary!E2572)</f>
        <v>8.5714285714285712</v>
      </c>
      <c r="C2572">
        <v>7</v>
      </c>
    </row>
    <row r="2573" spans="1:3" x14ac:dyDescent="0.45">
      <c r="A2573">
        <f>SUMIFS(fact_batting_summary!G:G, fact_batting_summary!E:E, fact_batting_summary!E2573)</f>
        <v>21</v>
      </c>
      <c r="B2573" s="9">
        <f>AVERAGEIFS(fact_batting_summary!G:G, fact_batting_summary!E:E,fact_batting_summary!E2573)</f>
        <v>2.3333333333333335</v>
      </c>
      <c r="C2573">
        <v>8</v>
      </c>
    </row>
    <row r="2574" spans="1:3" x14ac:dyDescent="0.45">
      <c r="A2574">
        <f>SUMIFS(fact_batting_summary!G:G, fact_batting_summary!E:E, fact_batting_summary!E2574)</f>
        <v>19</v>
      </c>
      <c r="B2574" s="9">
        <f>AVERAGEIFS(fact_batting_summary!G:G, fact_batting_summary!E:E,fact_batting_summary!E2574)</f>
        <v>19</v>
      </c>
      <c r="C2574">
        <v>9</v>
      </c>
    </row>
    <row r="2575" spans="1:3" x14ac:dyDescent="0.45">
      <c r="A2575">
        <f>SUMIFS(fact_batting_summary!G:G, fact_batting_summary!E:E, fact_batting_summary!E2575)</f>
        <v>16</v>
      </c>
      <c r="B2575" s="9">
        <f>AVERAGEIFS(fact_batting_summary!G:G, fact_batting_summary!E:E,fact_batting_summary!E2575)</f>
        <v>5.333333333333333</v>
      </c>
      <c r="C2575">
        <v>10</v>
      </c>
    </row>
    <row r="2576" spans="1:3" x14ac:dyDescent="0.45">
      <c r="A2576">
        <f>SUMIFS(fact_batting_summary!G:G, fact_batting_summary!E:E, fact_batting_summary!E2576)</f>
        <v>1516</v>
      </c>
      <c r="B2576" s="9">
        <f>AVERAGEIFS(fact_batting_summary!G:G, fact_batting_summary!E:E,fact_batting_summary!E2576)</f>
        <v>40.972972972972975</v>
      </c>
      <c r="C2576">
        <v>11</v>
      </c>
    </row>
    <row r="2577" spans="1:3" x14ac:dyDescent="0.45">
      <c r="A2577">
        <f>SUMIFS(fact_batting_summary!G:G, fact_batting_summary!E:E, fact_batting_summary!E2577)</f>
        <v>1132</v>
      </c>
      <c r="B2577" s="9">
        <f>AVERAGEIFS(fact_batting_summary!G:G, fact_batting_summary!E:E,fact_batting_summary!E2577)</f>
        <v>33.294117647058826</v>
      </c>
      <c r="C2577">
        <v>1</v>
      </c>
    </row>
    <row r="2578" spans="1:3" x14ac:dyDescent="0.45">
      <c r="A2578">
        <f>SUMIFS(fact_batting_summary!G:G, fact_batting_summary!E:E, fact_batting_summary!E2578)</f>
        <v>1509</v>
      </c>
      <c r="B2578" s="9">
        <f>AVERAGEIFS(fact_batting_summary!G:G, fact_batting_summary!E:E,fact_batting_summary!E2578)</f>
        <v>39.710526315789473</v>
      </c>
      <c r="C2578">
        <v>2</v>
      </c>
    </row>
    <row r="2579" spans="1:3" x14ac:dyDescent="0.45">
      <c r="A2579">
        <f>SUMIFS(fact_batting_summary!G:G, fact_batting_summary!E:E, fact_batting_summary!E2579)</f>
        <v>1304</v>
      </c>
      <c r="B2579" s="9">
        <f>AVERAGEIFS(fact_batting_summary!G:G, fact_batting_summary!E:E,fact_batting_summary!E2579)</f>
        <v>28.977777777777778</v>
      </c>
      <c r="C2579">
        <v>3</v>
      </c>
    </row>
    <row r="2580" spans="1:3" x14ac:dyDescent="0.45">
      <c r="A2580">
        <f>SUMIFS(fact_batting_summary!G:G, fact_batting_summary!E:E, fact_batting_summary!E2580)</f>
        <v>1048</v>
      </c>
      <c r="B2580" s="9">
        <f>AVERAGEIFS(fact_batting_summary!G:G, fact_batting_summary!E:E,fact_batting_summary!E2580)</f>
        <v>24.952380952380953</v>
      </c>
      <c r="C2580">
        <v>4</v>
      </c>
    </row>
    <row r="2581" spans="1:3" x14ac:dyDescent="0.45">
      <c r="A2581">
        <f>SUMIFS(fact_batting_summary!G:G, fact_batting_summary!E:E, fact_batting_summary!E2581)</f>
        <v>155</v>
      </c>
      <c r="B2581" s="9">
        <f>AVERAGEIFS(fact_batting_summary!G:G, fact_batting_summary!E:E,fact_batting_summary!E2581)</f>
        <v>8.6111111111111107</v>
      </c>
      <c r="C2581">
        <v>5</v>
      </c>
    </row>
    <row r="2582" spans="1:3" x14ac:dyDescent="0.45">
      <c r="A2582">
        <f>SUMIFS(fact_batting_summary!G:G, fact_batting_summary!E:E, fact_batting_summary!E2582)</f>
        <v>854</v>
      </c>
      <c r="B2582" s="9">
        <f>AVERAGEIFS(fact_batting_summary!G:G, fact_batting_summary!E:E,fact_batting_summary!E2582)</f>
        <v>21.35</v>
      </c>
      <c r="C2582">
        <v>6</v>
      </c>
    </row>
    <row r="2583" spans="1:3" x14ac:dyDescent="0.45">
      <c r="A2583">
        <f>SUMIFS(fact_batting_summary!G:G, fact_batting_summary!E:E, fact_batting_summary!E2583)</f>
        <v>152</v>
      </c>
      <c r="B2583" s="9">
        <f>AVERAGEIFS(fact_batting_summary!G:G, fact_batting_summary!E:E,fact_batting_summary!E2583)</f>
        <v>13.818181818181818</v>
      </c>
      <c r="C2583">
        <v>7</v>
      </c>
    </row>
    <row r="2584" spans="1:3" x14ac:dyDescent="0.45">
      <c r="A2584">
        <f>SUMIFS(fact_batting_summary!G:G, fact_batting_summary!E:E, fact_batting_summary!E2584)</f>
        <v>302</v>
      </c>
      <c r="B2584" s="9">
        <f>AVERAGEIFS(fact_batting_summary!G:G, fact_batting_summary!E:E,fact_batting_summary!E2584)</f>
        <v>11.185185185185185</v>
      </c>
      <c r="C2584">
        <v>8</v>
      </c>
    </row>
    <row r="2585" spans="1:3" x14ac:dyDescent="0.45">
      <c r="A2585">
        <f>SUMIFS(fact_batting_summary!G:G, fact_batting_summary!E:E, fact_batting_summary!E2585)</f>
        <v>57</v>
      </c>
      <c r="B2585" s="9">
        <f>AVERAGEIFS(fact_batting_summary!G:G, fact_batting_summary!E:E,fact_batting_summary!E2585)</f>
        <v>3.5625</v>
      </c>
      <c r="C2585">
        <v>9</v>
      </c>
    </row>
    <row r="2586" spans="1:3" x14ac:dyDescent="0.45">
      <c r="A2586">
        <f>SUMIFS(fact_batting_summary!G:G, fact_batting_summary!E:E, fact_batting_summary!E2586)</f>
        <v>981</v>
      </c>
      <c r="B2586" s="9">
        <f>AVERAGEIFS(fact_batting_summary!G:G, fact_batting_summary!E:E,fact_batting_summary!E2586)</f>
        <v>22.813953488372093</v>
      </c>
      <c r="C2586">
        <v>1</v>
      </c>
    </row>
    <row r="2587" spans="1:3" x14ac:dyDescent="0.45">
      <c r="A2587">
        <f>SUMIFS(fact_batting_summary!G:G, fact_batting_summary!E:E, fact_batting_summary!E2587)</f>
        <v>1113</v>
      </c>
      <c r="B2587" s="9">
        <f>AVERAGEIFS(fact_batting_summary!G:G, fact_batting_summary!E:E,fact_batting_summary!E2587)</f>
        <v>28.53846153846154</v>
      </c>
      <c r="C2587">
        <v>2</v>
      </c>
    </row>
    <row r="2588" spans="1:3" x14ac:dyDescent="0.45">
      <c r="A2588">
        <f>SUMIFS(fact_batting_summary!G:G, fact_batting_summary!E:E, fact_batting_summary!E2588)</f>
        <v>452</v>
      </c>
      <c r="B2588" s="9">
        <f>AVERAGEIFS(fact_batting_summary!G:G, fact_batting_summary!E:E,fact_batting_summary!E2588)</f>
        <v>28.25</v>
      </c>
      <c r="C2588">
        <v>3</v>
      </c>
    </row>
    <row r="2589" spans="1:3" x14ac:dyDescent="0.45">
      <c r="A2589">
        <f>SUMIFS(fact_batting_summary!G:G, fact_batting_summary!E:E, fact_batting_summary!E2589)</f>
        <v>1225</v>
      </c>
      <c r="B2589" s="9">
        <f>AVERAGEIFS(fact_batting_summary!G:G, fact_batting_summary!E:E,fact_batting_summary!E2589)</f>
        <v>32.236842105263158</v>
      </c>
      <c r="C2589">
        <v>4</v>
      </c>
    </row>
    <row r="2590" spans="1:3" x14ac:dyDescent="0.45">
      <c r="A2590">
        <f>SUMIFS(fact_batting_summary!G:G, fact_batting_summary!E:E, fact_batting_summary!E2590)</f>
        <v>740</v>
      </c>
      <c r="B2590" s="9">
        <f>AVERAGEIFS(fact_batting_summary!G:G, fact_batting_summary!E:E,fact_batting_summary!E2590)</f>
        <v>29.6</v>
      </c>
      <c r="C2590">
        <v>5</v>
      </c>
    </row>
    <row r="2591" spans="1:3" x14ac:dyDescent="0.45">
      <c r="A2591">
        <f>SUMIFS(fact_batting_summary!G:G, fact_batting_summary!E:E, fact_batting_summary!E2591)</f>
        <v>418</v>
      </c>
      <c r="B2591" s="9">
        <f>AVERAGEIFS(fact_batting_summary!G:G, fact_batting_summary!E:E,fact_batting_summary!E2591)</f>
        <v>17.416666666666668</v>
      </c>
      <c r="C2591">
        <v>6</v>
      </c>
    </row>
    <row r="2592" spans="1:3" x14ac:dyDescent="0.45">
      <c r="A2592">
        <f>SUMIFS(fact_batting_summary!G:G, fact_batting_summary!E:E, fact_batting_summary!E2592)</f>
        <v>1593</v>
      </c>
      <c r="B2592" s="9">
        <f>AVERAGEIFS(fact_batting_summary!G:G, fact_batting_summary!E:E,fact_batting_summary!E2592)</f>
        <v>35.4</v>
      </c>
      <c r="C2592">
        <v>1</v>
      </c>
    </row>
    <row r="2593" spans="1:3" x14ac:dyDescent="0.45">
      <c r="A2593">
        <f>SUMIFS(fact_batting_summary!G:G, fact_batting_summary!E:E, fact_batting_summary!E2593)</f>
        <v>924</v>
      </c>
      <c r="B2593" s="9">
        <f>AVERAGEIFS(fact_batting_summary!G:G, fact_batting_summary!E:E,fact_batting_summary!E2593)</f>
        <v>42</v>
      </c>
      <c r="C2593">
        <v>2</v>
      </c>
    </row>
    <row r="2594" spans="1:3" x14ac:dyDescent="0.45">
      <c r="A2594">
        <f>SUMIFS(fact_batting_summary!G:G, fact_batting_summary!E:E, fact_batting_summary!E2594)</f>
        <v>937</v>
      </c>
      <c r="B2594" s="9">
        <f>AVERAGEIFS(fact_batting_summary!G:G, fact_batting_summary!E:E,fact_batting_summary!E2594)</f>
        <v>27.558823529411764</v>
      </c>
      <c r="C2594">
        <v>3</v>
      </c>
    </row>
    <row r="2595" spans="1:3" x14ac:dyDescent="0.45">
      <c r="A2595">
        <f>SUMIFS(fact_batting_summary!G:G, fact_batting_summary!E:E, fact_batting_summary!E2595)</f>
        <v>725</v>
      </c>
      <c r="B2595" s="9">
        <f>AVERAGEIFS(fact_batting_summary!G:G, fact_batting_summary!E:E,fact_batting_summary!E2595)</f>
        <v>20.714285714285715</v>
      </c>
      <c r="C2595">
        <v>4</v>
      </c>
    </row>
    <row r="2596" spans="1:3" x14ac:dyDescent="0.45">
      <c r="A2596">
        <f>SUMIFS(fact_batting_summary!G:G, fact_batting_summary!E:E, fact_batting_summary!E2596)</f>
        <v>533</v>
      </c>
      <c r="B2596" s="9">
        <f>AVERAGEIFS(fact_batting_summary!G:G, fact_batting_summary!E:E,fact_batting_summary!E2596)</f>
        <v>15.676470588235293</v>
      </c>
      <c r="C2596">
        <v>5</v>
      </c>
    </row>
    <row r="2597" spans="1:3" x14ac:dyDescent="0.45">
      <c r="A2597">
        <f>SUMIFS(fact_batting_summary!G:G, fact_batting_summary!E:E, fact_batting_summary!E2597)</f>
        <v>450</v>
      </c>
      <c r="B2597" s="9">
        <f>AVERAGEIFS(fact_batting_summary!G:G, fact_batting_summary!E:E,fact_batting_summary!E2597)</f>
        <v>12.5</v>
      </c>
      <c r="C2597">
        <v>6</v>
      </c>
    </row>
    <row r="2598" spans="1:3" x14ac:dyDescent="0.45">
      <c r="A2598">
        <f>SUMIFS(fact_batting_summary!G:G, fact_batting_summary!E:E, fact_batting_summary!E2598)</f>
        <v>391</v>
      </c>
      <c r="B2598" s="9">
        <f>AVERAGEIFS(fact_batting_summary!G:G, fact_batting_summary!E:E,fact_batting_summary!E2598)</f>
        <v>23</v>
      </c>
      <c r="C2598">
        <v>1</v>
      </c>
    </row>
    <row r="2599" spans="1:3" x14ac:dyDescent="0.45">
      <c r="A2599">
        <f>SUMIFS(fact_batting_summary!G:G, fact_batting_summary!E:E, fact_batting_summary!E2599)</f>
        <v>1392</v>
      </c>
      <c r="B2599" s="9">
        <f>AVERAGEIFS(fact_batting_summary!G:G, fact_batting_summary!E:E,fact_batting_summary!E2599)</f>
        <v>34.799999999999997</v>
      </c>
      <c r="C2599">
        <v>2</v>
      </c>
    </row>
    <row r="2600" spans="1:3" x14ac:dyDescent="0.45">
      <c r="A2600">
        <f>SUMIFS(fact_batting_summary!G:G, fact_batting_summary!E:E, fact_batting_summary!E2600)</f>
        <v>186</v>
      </c>
      <c r="B2600" s="9">
        <f>AVERAGEIFS(fact_batting_summary!G:G, fact_batting_summary!E:E,fact_batting_summary!E2600)</f>
        <v>26.571428571428573</v>
      </c>
      <c r="C2600">
        <v>3</v>
      </c>
    </row>
    <row r="2601" spans="1:3" x14ac:dyDescent="0.45">
      <c r="A2601">
        <f>SUMIFS(fact_batting_summary!G:G, fact_batting_summary!E:E, fact_batting_summary!E2601)</f>
        <v>758</v>
      </c>
      <c r="B2601" s="9">
        <f>AVERAGEIFS(fact_batting_summary!G:G, fact_batting_summary!E:E,fact_batting_summary!E2601)</f>
        <v>27.071428571428573</v>
      </c>
      <c r="C2601">
        <v>4</v>
      </c>
    </row>
    <row r="2602" spans="1:3" x14ac:dyDescent="0.45">
      <c r="A2602">
        <f>SUMIFS(fact_batting_summary!G:G, fact_batting_summary!E:E, fact_batting_summary!E2602)</f>
        <v>332</v>
      </c>
      <c r="B2602" s="9">
        <f>AVERAGEIFS(fact_batting_summary!G:G, fact_batting_summary!E:E,fact_batting_summary!E2602)</f>
        <v>19.529411764705884</v>
      </c>
      <c r="C2602">
        <v>5</v>
      </c>
    </row>
    <row r="2603" spans="1:3" x14ac:dyDescent="0.45">
      <c r="A2603">
        <f>SUMIFS(fact_batting_summary!G:G, fact_batting_summary!E:E, fact_batting_summary!E2603)</f>
        <v>543</v>
      </c>
      <c r="B2603" s="9">
        <f>AVERAGEIFS(fact_batting_summary!G:G, fact_batting_summary!E:E,fact_batting_summary!E2603)</f>
        <v>22.625</v>
      </c>
      <c r="C2603">
        <v>6</v>
      </c>
    </row>
    <row r="2604" spans="1:3" x14ac:dyDescent="0.45">
      <c r="A2604">
        <f>SUMIFS(fact_batting_summary!G:G, fact_batting_summary!E:E, fact_batting_summary!E2604)</f>
        <v>426</v>
      </c>
      <c r="B2604" s="9">
        <f>AVERAGEIFS(fact_batting_summary!G:G, fact_batting_summary!E:E,fact_batting_summary!E2604)</f>
        <v>13.741935483870968</v>
      </c>
      <c r="C2604">
        <v>7</v>
      </c>
    </row>
    <row r="2605" spans="1:3" x14ac:dyDescent="0.45">
      <c r="A2605">
        <f>SUMIFS(fact_batting_summary!G:G, fact_batting_summary!E:E, fact_batting_summary!E2605)</f>
        <v>139</v>
      </c>
      <c r="B2605" s="9">
        <f>AVERAGEIFS(fact_batting_summary!G:G, fact_batting_summary!E:E,fact_batting_summary!E2605)</f>
        <v>19.857142857142858</v>
      </c>
      <c r="C2605">
        <v>8</v>
      </c>
    </row>
    <row r="2606" spans="1:3" x14ac:dyDescent="0.45">
      <c r="A2606">
        <f>SUMIFS(fact_batting_summary!G:G, fact_batting_summary!E:E, fact_batting_summary!E2606)</f>
        <v>745</v>
      </c>
      <c r="B2606" s="9">
        <f>AVERAGEIFS(fact_batting_summary!G:G, fact_batting_summary!E:E,fact_batting_summary!E2606)</f>
        <v>24.032258064516128</v>
      </c>
      <c r="C2606">
        <v>1</v>
      </c>
    </row>
    <row r="2607" spans="1:3" x14ac:dyDescent="0.45">
      <c r="A2607">
        <f>SUMIFS(fact_batting_summary!G:G, fact_batting_summary!E:E, fact_batting_summary!E2607)</f>
        <v>907</v>
      </c>
      <c r="B2607" s="9">
        <f>AVERAGEIFS(fact_batting_summary!G:G, fact_batting_summary!E:E,fact_batting_summary!E2607)</f>
        <v>26.676470588235293</v>
      </c>
      <c r="C2607">
        <v>2</v>
      </c>
    </row>
    <row r="2608" spans="1:3" x14ac:dyDescent="0.45">
      <c r="A2608">
        <f>SUMIFS(fact_batting_summary!G:G, fact_batting_summary!E:E, fact_batting_summary!E2608)</f>
        <v>1083</v>
      </c>
      <c r="B2608" s="9">
        <f>AVERAGEIFS(fact_batting_summary!G:G, fact_batting_summary!E:E,fact_batting_summary!E2608)</f>
        <v>25.186046511627907</v>
      </c>
      <c r="C2608">
        <v>3</v>
      </c>
    </row>
    <row r="2609" spans="1:3" x14ac:dyDescent="0.45">
      <c r="A2609">
        <f>SUMIFS(fact_batting_summary!G:G, fact_batting_summary!E:E, fact_batting_summary!E2609)</f>
        <v>775</v>
      </c>
      <c r="B2609" s="9">
        <f>AVERAGEIFS(fact_batting_summary!G:G, fact_batting_summary!E:E,fact_batting_summary!E2609)</f>
        <v>25</v>
      </c>
      <c r="C2609">
        <v>4</v>
      </c>
    </row>
    <row r="2610" spans="1:3" x14ac:dyDescent="0.45">
      <c r="A2610">
        <f>SUMIFS(fact_batting_summary!G:G, fact_batting_summary!E:E, fact_batting_summary!E2610)</f>
        <v>190</v>
      </c>
      <c r="B2610" s="9">
        <f>AVERAGEIFS(fact_batting_summary!G:G, fact_batting_summary!E:E,fact_batting_summary!E2610)</f>
        <v>17.272727272727273</v>
      </c>
      <c r="C2610">
        <v>5</v>
      </c>
    </row>
    <row r="2611" spans="1:3" x14ac:dyDescent="0.45">
      <c r="A2611">
        <f>SUMIFS(fact_batting_summary!G:G, fact_batting_summary!E:E, fact_batting_summary!E2611)</f>
        <v>448</v>
      </c>
      <c r="B2611" s="9">
        <f>AVERAGEIFS(fact_batting_summary!G:G, fact_batting_summary!E:E,fact_batting_summary!E2611)</f>
        <v>40.727272727272727</v>
      </c>
      <c r="C2611">
        <v>6</v>
      </c>
    </row>
    <row r="2612" spans="1:3" x14ac:dyDescent="0.45">
      <c r="A2612">
        <f>SUMIFS(fact_batting_summary!G:G, fact_batting_summary!E:E, fact_batting_summary!E2612)</f>
        <v>284</v>
      </c>
      <c r="B2612" s="9">
        <f>AVERAGEIFS(fact_batting_summary!G:G, fact_batting_summary!E:E,fact_batting_summary!E2612)</f>
        <v>14.2</v>
      </c>
      <c r="C2612">
        <v>7</v>
      </c>
    </row>
    <row r="2613" spans="1:3" x14ac:dyDescent="0.45">
      <c r="A2613">
        <f>SUMIFS(fact_batting_summary!G:G, fact_batting_summary!E:E, fact_batting_summary!E2613)</f>
        <v>16</v>
      </c>
      <c r="B2613" s="9">
        <f>AVERAGEIFS(fact_batting_summary!G:G, fact_batting_summary!E:E,fact_batting_summary!E2613)</f>
        <v>16</v>
      </c>
      <c r="C2613">
        <v>8</v>
      </c>
    </row>
    <row r="2614" spans="1:3" x14ac:dyDescent="0.45">
      <c r="A2614">
        <f>SUMIFS(fact_batting_summary!G:G, fact_batting_summary!E:E, fact_batting_summary!E2614)</f>
        <v>1137</v>
      </c>
      <c r="B2614" s="9">
        <f>AVERAGEIFS(fact_batting_summary!G:G, fact_batting_summary!E:E,fact_batting_summary!E2614)</f>
        <v>34.454545454545453</v>
      </c>
      <c r="C2614">
        <v>1</v>
      </c>
    </row>
    <row r="2615" spans="1:3" x14ac:dyDescent="0.45">
      <c r="A2615">
        <f>SUMIFS(fact_batting_summary!G:G, fact_batting_summary!E:E, fact_batting_summary!E2615)</f>
        <v>218</v>
      </c>
      <c r="B2615" s="9">
        <f>AVERAGEIFS(fact_batting_summary!G:G, fact_batting_summary!E:E,fact_batting_summary!E2615)</f>
        <v>24.222222222222221</v>
      </c>
      <c r="C2615">
        <v>2</v>
      </c>
    </row>
    <row r="2616" spans="1:3" x14ac:dyDescent="0.45">
      <c r="A2616">
        <f>SUMIFS(fact_batting_summary!G:G, fact_batting_summary!E:E, fact_batting_summary!E2616)</f>
        <v>379</v>
      </c>
      <c r="B2616" s="9">
        <f>AVERAGEIFS(fact_batting_summary!G:G, fact_batting_summary!E:E,fact_batting_summary!E2616)</f>
        <v>22.294117647058822</v>
      </c>
      <c r="C2616">
        <v>3</v>
      </c>
    </row>
    <row r="2617" spans="1:3" x14ac:dyDescent="0.45">
      <c r="A2617">
        <f>SUMIFS(fact_batting_summary!G:G, fact_batting_summary!E:E, fact_batting_summary!E2617)</f>
        <v>540</v>
      </c>
      <c r="B2617" s="9">
        <f>AVERAGEIFS(fact_batting_summary!G:G, fact_batting_summary!E:E,fact_batting_summary!E2617)</f>
        <v>23.478260869565219</v>
      </c>
      <c r="C2617">
        <v>4</v>
      </c>
    </row>
    <row r="2618" spans="1:3" x14ac:dyDescent="0.45">
      <c r="A2618">
        <f>SUMIFS(fact_batting_summary!G:G, fact_batting_summary!E:E, fact_batting_summary!E2618)</f>
        <v>140</v>
      </c>
      <c r="B2618" s="9">
        <f>AVERAGEIFS(fact_batting_summary!G:G, fact_batting_summary!E:E,fact_batting_summary!E2618)</f>
        <v>15.555555555555555</v>
      </c>
      <c r="C2618">
        <v>5</v>
      </c>
    </row>
    <row r="2619" spans="1:3" x14ac:dyDescent="0.45">
      <c r="A2619">
        <f>SUMIFS(fact_batting_summary!G:G, fact_batting_summary!E:E, fact_batting_summary!E2619)</f>
        <v>144</v>
      </c>
      <c r="B2619" s="9">
        <f>AVERAGEIFS(fact_batting_summary!G:G, fact_batting_summary!E:E,fact_batting_summary!E2619)</f>
        <v>13.090909090909092</v>
      </c>
      <c r="C2619">
        <v>6</v>
      </c>
    </row>
    <row r="2620" spans="1:3" x14ac:dyDescent="0.45">
      <c r="A2620">
        <f>SUMIFS(fact_batting_summary!G:G, fact_batting_summary!E:E, fact_batting_summary!E2620)</f>
        <v>505</v>
      </c>
      <c r="B2620" s="9">
        <f>AVERAGEIFS(fact_batting_summary!G:G, fact_batting_summary!E:E,fact_batting_summary!E2620)</f>
        <v>17.413793103448278</v>
      </c>
      <c r="C2620">
        <v>7</v>
      </c>
    </row>
    <row r="2621" spans="1:3" x14ac:dyDescent="0.45">
      <c r="A2621">
        <f>SUMIFS(fact_batting_summary!G:G, fact_batting_summary!E:E, fact_batting_summary!E2621)</f>
        <v>80</v>
      </c>
      <c r="B2621" s="9">
        <f>AVERAGEIFS(fact_batting_summary!G:G, fact_batting_summary!E:E,fact_batting_summary!E2621)</f>
        <v>11.428571428571429</v>
      </c>
      <c r="C2621">
        <v>8</v>
      </c>
    </row>
    <row r="2622" spans="1:3" x14ac:dyDescent="0.45">
      <c r="A2622">
        <f>SUMIFS(fact_batting_summary!G:G, fact_batting_summary!E:E, fact_batting_summary!E2622)</f>
        <v>129</v>
      </c>
      <c r="B2622" s="9">
        <f>AVERAGEIFS(fact_batting_summary!G:G, fact_batting_summary!E:E,fact_batting_summary!E2622)</f>
        <v>16.125</v>
      </c>
      <c r="C2622">
        <v>1</v>
      </c>
    </row>
    <row r="2623" spans="1:3" x14ac:dyDescent="0.45">
      <c r="A2623">
        <f>SUMIFS(fact_batting_summary!G:G, fact_batting_summary!E:E, fact_batting_summary!E2623)</f>
        <v>227</v>
      </c>
      <c r="B2623" s="9">
        <f>AVERAGEIFS(fact_batting_summary!G:G, fact_batting_summary!E:E,fact_batting_summary!E2623)</f>
        <v>20.636363636363637</v>
      </c>
      <c r="C2623">
        <v>2</v>
      </c>
    </row>
    <row r="2624" spans="1:3" x14ac:dyDescent="0.45">
      <c r="A2624">
        <f>SUMIFS(fact_batting_summary!G:G, fact_batting_summary!E:E, fact_batting_summary!E2624)</f>
        <v>238</v>
      </c>
      <c r="B2624" s="9">
        <f>AVERAGEIFS(fact_batting_summary!G:G, fact_batting_summary!E:E,fact_batting_summary!E2624)</f>
        <v>9.9166666666666661</v>
      </c>
      <c r="C2624">
        <v>3</v>
      </c>
    </row>
    <row r="2625" spans="1:3" x14ac:dyDescent="0.45">
      <c r="A2625">
        <f>SUMIFS(fact_batting_summary!G:G, fact_batting_summary!E:E, fact_batting_summary!E2625)</f>
        <v>956</v>
      </c>
      <c r="B2625" s="9">
        <f>AVERAGEIFS(fact_batting_summary!G:G, fact_batting_summary!E:E,fact_batting_summary!E2625)</f>
        <v>26.555555555555557</v>
      </c>
      <c r="C2625">
        <v>4</v>
      </c>
    </row>
    <row r="2626" spans="1:3" x14ac:dyDescent="0.45">
      <c r="A2626">
        <f>SUMIFS(fact_batting_summary!G:G, fact_batting_summary!E:E, fact_batting_summary!E2626)</f>
        <v>1157</v>
      </c>
      <c r="B2626" s="9">
        <f>AVERAGEIFS(fact_batting_summary!G:G, fact_batting_summary!E:E,fact_batting_summary!E2626)</f>
        <v>26.295454545454547</v>
      </c>
      <c r="C2626">
        <v>5</v>
      </c>
    </row>
    <row r="2627" spans="1:3" x14ac:dyDescent="0.45">
      <c r="A2627">
        <f>SUMIFS(fact_batting_summary!G:G, fact_batting_summary!E:E, fact_batting_summary!E2627)</f>
        <v>648</v>
      </c>
      <c r="B2627" s="9">
        <f>AVERAGEIFS(fact_batting_summary!G:G, fact_batting_summary!E:E,fact_batting_summary!E2627)</f>
        <v>30.857142857142858</v>
      </c>
      <c r="C2627">
        <v>6</v>
      </c>
    </row>
    <row r="2628" spans="1:3" x14ac:dyDescent="0.45">
      <c r="A2628">
        <f>SUMIFS(fact_batting_summary!G:G, fact_batting_summary!E:E, fact_batting_summary!E2628)</f>
        <v>745</v>
      </c>
      <c r="B2628" s="9">
        <f>AVERAGEIFS(fact_batting_summary!G:G, fact_batting_summary!E:E,fact_batting_summary!E2628)</f>
        <v>21.285714285714285</v>
      </c>
      <c r="C2628">
        <v>7</v>
      </c>
    </row>
    <row r="2629" spans="1:3" x14ac:dyDescent="0.45">
      <c r="A2629">
        <f>SUMIFS(fact_batting_summary!G:G, fact_batting_summary!E:E, fact_batting_summary!E2629)</f>
        <v>21</v>
      </c>
      <c r="B2629" s="9">
        <f>AVERAGEIFS(fact_batting_summary!G:G, fact_batting_summary!E:E,fact_batting_summary!E2629)</f>
        <v>7</v>
      </c>
      <c r="C2629">
        <v>8</v>
      </c>
    </row>
    <row r="2630" spans="1:3" x14ac:dyDescent="0.45">
      <c r="A2630">
        <f>SUMIFS(fact_batting_summary!G:G, fact_batting_summary!E:E, fact_batting_summary!E2630)</f>
        <v>819</v>
      </c>
      <c r="B2630" s="9">
        <f>AVERAGEIFS(fact_batting_summary!G:G, fact_batting_summary!E:E,fact_batting_summary!E2630)</f>
        <v>22.135135135135137</v>
      </c>
      <c r="C2630">
        <v>1</v>
      </c>
    </row>
    <row r="2631" spans="1:3" x14ac:dyDescent="0.45">
      <c r="A2631">
        <f>SUMIFS(fact_batting_summary!G:G, fact_batting_summary!E:E, fact_batting_summary!E2631)</f>
        <v>1851</v>
      </c>
      <c r="B2631" s="9">
        <f>AVERAGEIFS(fact_batting_summary!G:G, fact_batting_summary!E:E,fact_batting_summary!E2631)</f>
        <v>37.020000000000003</v>
      </c>
      <c r="C2631">
        <v>2</v>
      </c>
    </row>
    <row r="2632" spans="1:3" x14ac:dyDescent="0.45">
      <c r="A2632">
        <f>SUMIFS(fact_batting_summary!G:G, fact_batting_summary!E:E, fact_batting_summary!E2632)</f>
        <v>960</v>
      </c>
      <c r="B2632" s="9">
        <f>AVERAGEIFS(fact_batting_summary!G:G, fact_batting_summary!E:E,fact_batting_summary!E2632)</f>
        <v>23.414634146341463</v>
      </c>
      <c r="C2632">
        <v>3</v>
      </c>
    </row>
    <row r="2633" spans="1:3" x14ac:dyDescent="0.45">
      <c r="A2633">
        <f>SUMIFS(fact_batting_summary!G:G, fact_batting_summary!E:E, fact_batting_summary!E2633)</f>
        <v>370</v>
      </c>
      <c r="B2633" s="9">
        <f>AVERAGEIFS(fact_batting_summary!G:G, fact_batting_summary!E:E,fact_batting_summary!E2633)</f>
        <v>20.555555555555557</v>
      </c>
      <c r="C2633">
        <v>4</v>
      </c>
    </row>
    <row r="2634" spans="1:3" x14ac:dyDescent="0.45">
      <c r="A2634">
        <f>SUMIFS(fact_batting_summary!G:G, fact_batting_summary!E:E, fact_batting_summary!E2634)</f>
        <v>864</v>
      </c>
      <c r="B2634" s="9">
        <f>AVERAGEIFS(fact_batting_summary!G:G, fact_batting_summary!E:E,fact_batting_summary!E2634)</f>
        <v>23.351351351351351</v>
      </c>
      <c r="C2634">
        <v>5</v>
      </c>
    </row>
    <row r="2635" spans="1:3" x14ac:dyDescent="0.45">
      <c r="A2635">
        <f>SUMIFS(fact_batting_summary!G:G, fact_batting_summary!E:E, fact_batting_summary!E2635)</f>
        <v>1516</v>
      </c>
      <c r="B2635" s="9">
        <f>AVERAGEIFS(fact_batting_summary!G:G, fact_batting_summary!E:E,fact_batting_summary!E2635)</f>
        <v>40.972972972972975</v>
      </c>
      <c r="C2635">
        <v>1</v>
      </c>
    </row>
    <row r="2636" spans="1:3" x14ac:dyDescent="0.45">
      <c r="A2636">
        <f>SUMIFS(fact_batting_summary!G:G, fact_batting_summary!E:E, fact_batting_summary!E2636)</f>
        <v>365</v>
      </c>
      <c r="B2636" s="9">
        <f>AVERAGEIFS(fact_batting_summary!G:G, fact_batting_summary!E:E,fact_batting_summary!E2636)</f>
        <v>30.416666666666668</v>
      </c>
      <c r="C2636">
        <v>2</v>
      </c>
    </row>
    <row r="2637" spans="1:3" x14ac:dyDescent="0.45">
      <c r="A2637">
        <f>SUMIFS(fact_batting_summary!G:G, fact_batting_summary!E:E, fact_batting_summary!E2637)</f>
        <v>340</v>
      </c>
      <c r="B2637" s="9">
        <f>AVERAGEIFS(fact_batting_summary!G:G, fact_batting_summary!E:E,fact_batting_summary!E2637)</f>
        <v>15.454545454545455</v>
      </c>
      <c r="C2637">
        <v>3</v>
      </c>
    </row>
    <row r="2638" spans="1:3" x14ac:dyDescent="0.45">
      <c r="A2638">
        <f>SUMIFS(fact_batting_summary!G:G, fact_batting_summary!E:E, fact_batting_summary!E2638)</f>
        <v>645</v>
      </c>
      <c r="B2638" s="9">
        <f>AVERAGEIFS(fact_batting_summary!G:G, fact_batting_summary!E:E,fact_batting_summary!E2638)</f>
        <v>21.5</v>
      </c>
      <c r="C2638">
        <v>4</v>
      </c>
    </row>
    <row r="2639" spans="1:3" x14ac:dyDescent="0.45">
      <c r="A2639">
        <f>SUMIFS(fact_batting_summary!G:G, fact_batting_summary!E:E, fact_batting_summary!E2639)</f>
        <v>729</v>
      </c>
      <c r="B2639" s="9">
        <f>AVERAGEIFS(fact_batting_summary!G:G, fact_batting_summary!E:E,fact_batting_summary!E2639)</f>
        <v>19.184210526315791</v>
      </c>
      <c r="C2639">
        <v>5</v>
      </c>
    </row>
    <row r="2640" spans="1:3" x14ac:dyDescent="0.45">
      <c r="A2640">
        <f>SUMIFS(fact_batting_summary!G:G, fact_batting_summary!E:E, fact_batting_summary!E2640)</f>
        <v>695</v>
      </c>
      <c r="B2640" s="9">
        <f>AVERAGEIFS(fact_batting_summary!G:G, fact_batting_summary!E:E,fact_batting_summary!E2640)</f>
        <v>18.783783783783782</v>
      </c>
      <c r="C2640">
        <v>6</v>
      </c>
    </row>
    <row r="2641" spans="1:3" x14ac:dyDescent="0.45">
      <c r="A2641">
        <f>SUMIFS(fact_batting_summary!G:G, fact_batting_summary!E:E, fact_batting_summary!E2641)</f>
        <v>514</v>
      </c>
      <c r="B2641" s="9">
        <f>AVERAGEIFS(fact_batting_summary!G:G, fact_batting_summary!E:E,fact_batting_summary!E2641)</f>
        <v>13.526315789473685</v>
      </c>
      <c r="C2641">
        <v>7</v>
      </c>
    </row>
    <row r="2642" spans="1:3" x14ac:dyDescent="0.45">
      <c r="A2642">
        <f>SUMIFS(fact_batting_summary!G:G, fact_batting_summary!E:E, fact_batting_summary!E2642)</f>
        <v>391</v>
      </c>
      <c r="B2642" s="9">
        <f>AVERAGEIFS(fact_batting_summary!G:G, fact_batting_summary!E:E,fact_batting_summary!E2642)</f>
        <v>23</v>
      </c>
      <c r="C2642">
        <v>1</v>
      </c>
    </row>
    <row r="2643" spans="1:3" x14ac:dyDescent="0.45">
      <c r="A2643">
        <f>SUMIFS(fact_batting_summary!G:G, fact_batting_summary!E:E, fact_batting_summary!E2643)</f>
        <v>1392</v>
      </c>
      <c r="B2643" s="9">
        <f>AVERAGEIFS(fact_batting_summary!G:G, fact_batting_summary!E:E,fact_batting_summary!E2643)</f>
        <v>34.799999999999997</v>
      </c>
      <c r="C2643">
        <v>2</v>
      </c>
    </row>
    <row r="2644" spans="1:3" x14ac:dyDescent="0.45">
      <c r="A2644">
        <f>SUMIFS(fact_batting_summary!G:G, fact_batting_summary!E:E, fact_batting_summary!E2644)</f>
        <v>186</v>
      </c>
      <c r="B2644" s="9">
        <f>AVERAGEIFS(fact_batting_summary!G:G, fact_batting_summary!E:E,fact_batting_summary!E2644)</f>
        <v>26.571428571428573</v>
      </c>
      <c r="C2644">
        <v>3</v>
      </c>
    </row>
    <row r="2645" spans="1:3" x14ac:dyDescent="0.45">
      <c r="A2645">
        <f>SUMIFS(fact_batting_summary!G:G, fact_batting_summary!E:E, fact_batting_summary!E2645)</f>
        <v>139</v>
      </c>
      <c r="B2645" s="9">
        <f>AVERAGEIFS(fact_batting_summary!G:G, fact_batting_summary!E:E,fact_batting_summary!E2645)</f>
        <v>19.857142857142858</v>
      </c>
      <c r="C2645">
        <v>4</v>
      </c>
    </row>
    <row r="2646" spans="1:3" x14ac:dyDescent="0.45">
      <c r="A2646">
        <f>SUMIFS(fact_batting_summary!G:G, fact_batting_summary!E:E, fact_batting_summary!E2646)</f>
        <v>758</v>
      </c>
      <c r="B2646" s="9">
        <f>AVERAGEIFS(fact_batting_summary!G:G, fact_batting_summary!E:E,fact_batting_summary!E2646)</f>
        <v>27.071428571428573</v>
      </c>
      <c r="C2646">
        <v>5</v>
      </c>
    </row>
    <row r="2647" spans="1:3" x14ac:dyDescent="0.45">
      <c r="A2647">
        <f>SUMIFS(fact_batting_summary!G:G, fact_batting_summary!E:E, fact_batting_summary!E2647)</f>
        <v>332</v>
      </c>
      <c r="B2647" s="9">
        <f>AVERAGEIFS(fact_batting_summary!G:G, fact_batting_summary!E:E,fact_batting_summary!E2647)</f>
        <v>19.529411764705884</v>
      </c>
      <c r="C2647">
        <v>6</v>
      </c>
    </row>
    <row r="2648" spans="1:3" x14ac:dyDescent="0.45">
      <c r="A2648">
        <f>SUMIFS(fact_batting_summary!G:G, fact_batting_summary!E:E, fact_batting_summary!E2648)</f>
        <v>543</v>
      </c>
      <c r="B2648" s="9">
        <f>AVERAGEIFS(fact_batting_summary!G:G, fact_batting_summary!E:E,fact_batting_summary!E2648)</f>
        <v>22.625</v>
      </c>
      <c r="C2648">
        <v>7</v>
      </c>
    </row>
    <row r="2649" spans="1:3" x14ac:dyDescent="0.45">
      <c r="A2649">
        <f>SUMIFS(fact_batting_summary!G:G, fact_batting_summary!E:E, fact_batting_summary!E2649)</f>
        <v>426</v>
      </c>
      <c r="B2649" s="9">
        <f>AVERAGEIFS(fact_batting_summary!G:G, fact_batting_summary!E:E,fact_batting_summary!E2649)</f>
        <v>13.741935483870968</v>
      </c>
      <c r="C2649">
        <v>8</v>
      </c>
    </row>
    <row r="2650" spans="1:3" x14ac:dyDescent="0.45">
      <c r="A2650">
        <f>SUMIFS(fact_batting_summary!G:G, fact_batting_summary!E:E, fact_batting_summary!E2650)</f>
        <v>91</v>
      </c>
      <c r="B2650" s="9">
        <f>AVERAGEIFS(fact_batting_summary!G:G, fact_batting_summary!E:E,fact_batting_summary!E2650)</f>
        <v>5.6875</v>
      </c>
      <c r="C2650">
        <v>9</v>
      </c>
    </row>
    <row r="2651" spans="1:3" x14ac:dyDescent="0.45">
      <c r="A2651">
        <f>SUMIFS(fact_batting_summary!G:G, fact_batting_summary!E:E, fact_batting_summary!E2651)</f>
        <v>61</v>
      </c>
      <c r="B2651" s="9">
        <f>AVERAGEIFS(fact_batting_summary!G:G, fact_batting_summary!E:E,fact_batting_summary!E2651)</f>
        <v>4.6923076923076925</v>
      </c>
      <c r="C2651">
        <v>10</v>
      </c>
    </row>
    <row r="2652" spans="1:3" x14ac:dyDescent="0.45">
      <c r="A2652">
        <f>SUMIFS(fact_batting_summary!G:G, fact_batting_summary!E:E, fact_batting_summary!E2652)</f>
        <v>25</v>
      </c>
      <c r="B2652" s="9">
        <f>AVERAGEIFS(fact_batting_summary!G:G, fact_batting_summary!E:E,fact_batting_summary!E2652)</f>
        <v>2.5</v>
      </c>
      <c r="C2652">
        <v>11</v>
      </c>
    </row>
    <row r="2653" spans="1:3" x14ac:dyDescent="0.45">
      <c r="A2653">
        <f>SUMIFS(fact_batting_summary!G:G, fact_batting_summary!E:E, fact_batting_summary!E2653)</f>
        <v>1132</v>
      </c>
      <c r="B2653" s="9">
        <f>AVERAGEIFS(fact_batting_summary!G:G, fact_batting_summary!E:E,fact_batting_summary!E2653)</f>
        <v>33.294117647058826</v>
      </c>
      <c r="C2653">
        <v>1</v>
      </c>
    </row>
    <row r="2654" spans="1:3" x14ac:dyDescent="0.45">
      <c r="A2654">
        <f>SUMIFS(fact_batting_summary!G:G, fact_batting_summary!E:E, fact_batting_summary!E2654)</f>
        <v>1509</v>
      </c>
      <c r="B2654" s="9">
        <f>AVERAGEIFS(fact_batting_summary!G:G, fact_batting_summary!E:E,fact_batting_summary!E2654)</f>
        <v>39.710526315789473</v>
      </c>
      <c r="C2654">
        <v>2</v>
      </c>
    </row>
    <row r="2655" spans="1:3" x14ac:dyDescent="0.45">
      <c r="A2655">
        <f>SUMIFS(fact_batting_summary!G:G, fact_batting_summary!E:E, fact_batting_summary!E2655)</f>
        <v>1304</v>
      </c>
      <c r="B2655" s="9">
        <f>AVERAGEIFS(fact_batting_summary!G:G, fact_batting_summary!E:E,fact_batting_summary!E2655)</f>
        <v>28.977777777777778</v>
      </c>
      <c r="C2655">
        <v>3</v>
      </c>
    </row>
    <row r="2656" spans="1:3" x14ac:dyDescent="0.45">
      <c r="A2656">
        <f>SUMIFS(fact_batting_summary!G:G, fact_batting_summary!E:E, fact_batting_summary!E2656)</f>
        <v>854</v>
      </c>
      <c r="B2656" s="9">
        <f>AVERAGEIFS(fact_batting_summary!G:G, fact_batting_summary!E:E,fact_batting_summary!E2656)</f>
        <v>21.35</v>
      </c>
      <c r="C2656">
        <v>4</v>
      </c>
    </row>
    <row r="2657" spans="1:3" x14ac:dyDescent="0.45">
      <c r="A2657">
        <f>SUMIFS(fact_batting_summary!G:G, fact_batting_summary!E:E, fact_batting_summary!E2657)</f>
        <v>152</v>
      </c>
      <c r="B2657" s="9">
        <f>AVERAGEIFS(fact_batting_summary!G:G, fact_batting_summary!E:E,fact_batting_summary!E2657)</f>
        <v>13.818181818181818</v>
      </c>
      <c r="C2657">
        <v>5</v>
      </c>
    </row>
    <row r="2658" spans="1:3" x14ac:dyDescent="0.45">
      <c r="A2658">
        <f>SUMIFS(fact_batting_summary!G:G, fact_batting_summary!E:E, fact_batting_summary!E2658)</f>
        <v>1048</v>
      </c>
      <c r="B2658" s="9">
        <f>AVERAGEIFS(fact_batting_summary!G:G, fact_batting_summary!E:E,fact_batting_summary!E2658)</f>
        <v>24.952380952380953</v>
      </c>
      <c r="C2658">
        <v>6</v>
      </c>
    </row>
    <row r="2659" spans="1:3" x14ac:dyDescent="0.45">
      <c r="A2659">
        <f>SUMIFS(fact_batting_summary!G:G, fact_batting_summary!E:E, fact_batting_summary!E2659)</f>
        <v>302</v>
      </c>
      <c r="B2659" s="9">
        <f>AVERAGEIFS(fact_batting_summary!G:G, fact_batting_summary!E:E,fact_batting_summary!E2659)</f>
        <v>11.185185185185185</v>
      </c>
      <c r="C2659">
        <v>7</v>
      </c>
    </row>
    <row r="2660" spans="1:3" x14ac:dyDescent="0.45">
      <c r="A2660">
        <f>SUMIFS(fact_batting_summary!G:G, fact_batting_summary!E:E, fact_batting_summary!E2660)</f>
        <v>1593</v>
      </c>
      <c r="B2660" s="9">
        <f>AVERAGEIFS(fact_batting_summary!G:G, fact_batting_summary!E:E,fact_batting_summary!E2660)</f>
        <v>35.4</v>
      </c>
      <c r="C2660">
        <v>1</v>
      </c>
    </row>
    <row r="2661" spans="1:3" x14ac:dyDescent="0.45">
      <c r="A2661">
        <f>SUMIFS(fact_batting_summary!G:G, fact_batting_summary!E:E, fact_batting_summary!E2661)</f>
        <v>924</v>
      </c>
      <c r="B2661" s="9">
        <f>AVERAGEIFS(fact_batting_summary!G:G, fact_batting_summary!E:E,fact_batting_summary!E2661)</f>
        <v>42</v>
      </c>
      <c r="C2661">
        <v>2</v>
      </c>
    </row>
    <row r="2662" spans="1:3" x14ac:dyDescent="0.45">
      <c r="A2662">
        <f>SUMIFS(fact_batting_summary!G:G, fact_batting_summary!E:E, fact_batting_summary!E2662)</f>
        <v>467</v>
      </c>
      <c r="B2662" s="9">
        <f>AVERAGEIFS(fact_batting_summary!G:G, fact_batting_summary!E:E,fact_batting_summary!E2662)</f>
        <v>24.578947368421051</v>
      </c>
      <c r="C2662">
        <v>3</v>
      </c>
    </row>
    <row r="2663" spans="1:3" x14ac:dyDescent="0.45">
      <c r="A2663">
        <f>SUMIFS(fact_batting_summary!G:G, fact_batting_summary!E:E, fact_batting_summary!E2663)</f>
        <v>937</v>
      </c>
      <c r="B2663" s="9">
        <f>AVERAGEIFS(fact_batting_summary!G:G, fact_batting_summary!E:E,fact_batting_summary!E2663)</f>
        <v>27.558823529411764</v>
      </c>
      <c r="C2663">
        <v>4</v>
      </c>
    </row>
    <row r="2664" spans="1:3" x14ac:dyDescent="0.45">
      <c r="A2664">
        <f>SUMIFS(fact_batting_summary!G:G, fact_batting_summary!E:E, fact_batting_summary!E2664)</f>
        <v>689</v>
      </c>
      <c r="B2664" s="9">
        <f>AVERAGEIFS(fact_batting_summary!G:G, fact_batting_summary!E:E,fact_batting_summary!E2664)</f>
        <v>19.138888888888889</v>
      </c>
      <c r="C2664">
        <v>5</v>
      </c>
    </row>
    <row r="2665" spans="1:3" x14ac:dyDescent="0.45">
      <c r="A2665">
        <f>SUMIFS(fact_batting_summary!G:G, fact_batting_summary!E:E, fact_batting_summary!E2665)</f>
        <v>725</v>
      </c>
      <c r="B2665" s="9">
        <f>AVERAGEIFS(fact_batting_summary!G:G, fact_batting_summary!E:E,fact_batting_summary!E2665)</f>
        <v>20.714285714285715</v>
      </c>
      <c r="C2665">
        <v>6</v>
      </c>
    </row>
    <row r="2666" spans="1:3" x14ac:dyDescent="0.45">
      <c r="A2666">
        <f>SUMIFS(fact_batting_summary!G:G, fact_batting_summary!E:E, fact_batting_summary!E2666)</f>
        <v>533</v>
      </c>
      <c r="B2666" s="9">
        <f>AVERAGEIFS(fact_batting_summary!G:G, fact_batting_summary!E:E,fact_batting_summary!E2666)</f>
        <v>15.676470588235293</v>
      </c>
      <c r="C2666">
        <v>7</v>
      </c>
    </row>
    <row r="2667" spans="1:3" x14ac:dyDescent="0.45">
      <c r="A2667">
        <f>SUMIFS(fact_batting_summary!G:G, fact_batting_summary!E:E, fact_batting_summary!E2667)</f>
        <v>435</v>
      </c>
      <c r="B2667" s="9">
        <f>AVERAGEIFS(fact_batting_summary!G:G, fact_batting_summary!E:E,fact_batting_summary!E2667)</f>
        <v>33.46153846153846</v>
      </c>
      <c r="C2667">
        <v>1</v>
      </c>
    </row>
    <row r="2668" spans="1:3" x14ac:dyDescent="0.45">
      <c r="A2668">
        <f>SUMIFS(fact_batting_summary!G:G, fact_batting_summary!E:E, fact_batting_summary!E2668)</f>
        <v>129</v>
      </c>
      <c r="B2668" s="9">
        <f>AVERAGEIFS(fact_batting_summary!G:G, fact_batting_summary!E:E,fact_batting_summary!E2668)</f>
        <v>16.125</v>
      </c>
      <c r="C2668">
        <v>2</v>
      </c>
    </row>
    <row r="2669" spans="1:3" x14ac:dyDescent="0.45">
      <c r="A2669">
        <f>SUMIFS(fact_batting_summary!G:G, fact_batting_summary!E:E, fact_batting_summary!E2669)</f>
        <v>956</v>
      </c>
      <c r="B2669" s="9">
        <f>AVERAGEIFS(fact_batting_summary!G:G, fact_batting_summary!E:E,fact_batting_summary!E2669)</f>
        <v>26.555555555555557</v>
      </c>
      <c r="C2669">
        <v>3</v>
      </c>
    </row>
    <row r="2670" spans="1:3" x14ac:dyDescent="0.45">
      <c r="A2670">
        <f>SUMIFS(fact_batting_summary!G:G, fact_batting_summary!E:E, fact_batting_summary!E2670)</f>
        <v>1157</v>
      </c>
      <c r="B2670" s="9">
        <f>AVERAGEIFS(fact_batting_summary!G:G, fact_batting_summary!E:E,fact_batting_summary!E2670)</f>
        <v>26.295454545454547</v>
      </c>
      <c r="C2670">
        <v>4</v>
      </c>
    </row>
    <row r="2671" spans="1:3" x14ac:dyDescent="0.45">
      <c r="A2671">
        <f>SUMIFS(fact_batting_summary!G:G, fact_batting_summary!E:E, fact_batting_summary!E2671)</f>
        <v>745</v>
      </c>
      <c r="B2671" s="9">
        <f>AVERAGEIFS(fact_batting_summary!G:G, fact_batting_summary!E:E,fact_batting_summary!E2671)</f>
        <v>21.285714285714285</v>
      </c>
      <c r="C2671">
        <v>5</v>
      </c>
    </row>
    <row r="2672" spans="1:3" x14ac:dyDescent="0.45">
      <c r="A2672">
        <f>SUMIFS(fact_batting_summary!G:G, fact_batting_summary!E:E, fact_batting_summary!E2672)</f>
        <v>648</v>
      </c>
      <c r="B2672" s="9">
        <f>AVERAGEIFS(fact_batting_summary!G:G, fact_batting_summary!E:E,fact_batting_summary!E2672)</f>
        <v>30.857142857142858</v>
      </c>
      <c r="C2672">
        <v>6</v>
      </c>
    </row>
    <row r="2673" spans="1:3" x14ac:dyDescent="0.45">
      <c r="A2673">
        <f>SUMIFS(fact_batting_summary!G:G, fact_batting_summary!E:E, fact_batting_summary!E2673)</f>
        <v>21</v>
      </c>
      <c r="B2673" s="9">
        <f>AVERAGEIFS(fact_batting_summary!G:G, fact_batting_summary!E:E,fact_batting_summary!E2673)</f>
        <v>7</v>
      </c>
      <c r="C2673">
        <v>7</v>
      </c>
    </row>
    <row r="2674" spans="1:3" x14ac:dyDescent="0.45">
      <c r="A2674">
        <f>SUMIFS(fact_batting_summary!G:G, fact_batting_summary!E:E, fact_batting_summary!E2674)</f>
        <v>1385</v>
      </c>
      <c r="B2674" s="9">
        <f>AVERAGEIFS(fact_batting_summary!G:G, fact_batting_summary!E:E,fact_batting_summary!E2674)</f>
        <v>30.777777777777779</v>
      </c>
      <c r="C2674">
        <v>1</v>
      </c>
    </row>
    <row r="2675" spans="1:3" x14ac:dyDescent="0.45">
      <c r="A2675">
        <f>SUMIFS(fact_batting_summary!G:G, fact_batting_summary!E:E, fact_batting_summary!E2675)</f>
        <v>1831</v>
      </c>
      <c r="B2675" s="9">
        <f>AVERAGEIFS(fact_batting_summary!G:G, fact_batting_summary!E:E,fact_batting_summary!E2675)</f>
        <v>39.804347826086953</v>
      </c>
      <c r="C2675">
        <v>2</v>
      </c>
    </row>
    <row r="2676" spans="1:3" x14ac:dyDescent="0.45">
      <c r="A2676">
        <f>SUMIFS(fact_batting_summary!G:G, fact_batting_summary!E:E, fact_batting_summary!E2676)</f>
        <v>320</v>
      </c>
      <c r="B2676" s="9">
        <f>AVERAGEIFS(fact_batting_summary!G:G, fact_batting_summary!E:E,fact_batting_summary!E2676)</f>
        <v>13.333333333333334</v>
      </c>
      <c r="C2676">
        <v>3</v>
      </c>
    </row>
    <row r="2677" spans="1:3" x14ac:dyDescent="0.45">
      <c r="A2677">
        <f>SUMIFS(fact_batting_summary!G:G, fact_batting_summary!E:E, fact_batting_summary!E2677)</f>
        <v>1214</v>
      </c>
      <c r="B2677" s="9">
        <f>AVERAGEIFS(fact_batting_summary!G:G, fact_batting_summary!E:E,fact_batting_summary!E2677)</f>
        <v>29.609756097560975</v>
      </c>
      <c r="C2677">
        <v>4</v>
      </c>
    </row>
    <row r="2678" spans="1:3" x14ac:dyDescent="0.45">
      <c r="A2678">
        <f>SUMIFS(fact_batting_summary!G:G, fact_batting_summary!E:E, fact_batting_summary!E2678)</f>
        <v>315</v>
      </c>
      <c r="B2678" s="9">
        <f>AVERAGEIFS(fact_batting_summary!G:G, fact_batting_summary!E:E,fact_batting_summary!E2678)</f>
        <v>16.578947368421051</v>
      </c>
      <c r="C2678">
        <v>5</v>
      </c>
    </row>
    <row r="2679" spans="1:3" x14ac:dyDescent="0.45">
      <c r="A2679">
        <f>SUMIFS(fact_batting_summary!G:G, fact_batting_summary!E:E, fact_batting_summary!E2679)</f>
        <v>693</v>
      </c>
      <c r="B2679" s="9">
        <f>AVERAGEIFS(fact_batting_summary!G:G, fact_batting_summary!E:E,fact_batting_summary!E2679)</f>
        <v>15.75</v>
      </c>
      <c r="C2679">
        <v>6</v>
      </c>
    </row>
    <row r="2680" spans="1:3" x14ac:dyDescent="0.45">
      <c r="A2680">
        <f>SUMIFS(fact_batting_summary!G:G, fact_batting_summary!E:E, fact_batting_summary!E2680)</f>
        <v>102</v>
      </c>
      <c r="B2680" s="9">
        <f>AVERAGEIFS(fact_batting_summary!G:G, fact_batting_summary!E:E,fact_batting_summary!E2680)</f>
        <v>11.333333333333334</v>
      </c>
      <c r="C2680">
        <v>7</v>
      </c>
    </row>
    <row r="2681" spans="1:3" x14ac:dyDescent="0.45">
      <c r="A2681">
        <f>SUMIFS(fact_batting_summary!G:G, fact_batting_summary!E:E, fact_batting_summary!E2681)</f>
        <v>72</v>
      </c>
      <c r="B2681" s="9">
        <f>AVERAGEIFS(fact_batting_summary!G:G, fact_batting_summary!E:E,fact_batting_summary!E2681)</f>
        <v>5.1428571428571432</v>
      </c>
      <c r="C2681">
        <v>8</v>
      </c>
    </row>
    <row r="2682" spans="1:3" x14ac:dyDescent="0.45">
      <c r="A2682">
        <f>SUMIFS(fact_batting_summary!G:G, fact_batting_summary!E:E, fact_batting_summary!E2682)</f>
        <v>53</v>
      </c>
      <c r="B2682" s="9">
        <f>AVERAGEIFS(fact_batting_summary!G:G, fact_batting_summary!E:E,fact_batting_summary!E2682)</f>
        <v>10.6</v>
      </c>
      <c r="C2682">
        <v>9</v>
      </c>
    </row>
    <row r="2683" spans="1:3" x14ac:dyDescent="0.45">
      <c r="A2683">
        <f>SUMIFS(fact_batting_summary!G:G, fact_batting_summary!E:E, fact_batting_summary!E2683)</f>
        <v>13</v>
      </c>
      <c r="B2683" s="9">
        <f>AVERAGEIFS(fact_batting_summary!G:G, fact_batting_summary!E:E,fact_batting_summary!E2683)</f>
        <v>6.5</v>
      </c>
      <c r="C2683">
        <v>10</v>
      </c>
    </row>
    <row r="2684" spans="1:3" x14ac:dyDescent="0.45">
      <c r="A2684">
        <f>SUMIFS(fact_batting_summary!G:G, fact_batting_summary!E:E, fact_batting_summary!E2684)</f>
        <v>819</v>
      </c>
      <c r="B2684" s="9">
        <f>AVERAGEIFS(fact_batting_summary!G:G, fact_batting_summary!E:E,fact_batting_summary!E2684)</f>
        <v>22.135135135135137</v>
      </c>
      <c r="C2684">
        <v>1</v>
      </c>
    </row>
    <row r="2685" spans="1:3" x14ac:dyDescent="0.45">
      <c r="A2685">
        <f>SUMIFS(fact_batting_summary!G:G, fact_batting_summary!E:E, fact_batting_summary!E2685)</f>
        <v>1851</v>
      </c>
      <c r="B2685" s="9">
        <f>AVERAGEIFS(fact_batting_summary!G:G, fact_batting_summary!E:E,fact_batting_summary!E2685)</f>
        <v>37.020000000000003</v>
      </c>
      <c r="C2685">
        <v>2</v>
      </c>
    </row>
    <row r="2686" spans="1:3" x14ac:dyDescent="0.45">
      <c r="A2686">
        <f>SUMIFS(fact_batting_summary!G:G, fact_batting_summary!E:E, fact_batting_summary!E2686)</f>
        <v>960</v>
      </c>
      <c r="B2686" s="9">
        <f>AVERAGEIFS(fact_batting_summary!G:G, fact_batting_summary!E:E,fact_batting_summary!E2686)</f>
        <v>23.414634146341463</v>
      </c>
      <c r="C2686">
        <v>3</v>
      </c>
    </row>
    <row r="2687" spans="1:3" x14ac:dyDescent="0.45">
      <c r="A2687">
        <f>SUMIFS(fact_batting_summary!G:G, fact_batting_summary!E:E, fact_batting_summary!E2687)</f>
        <v>370</v>
      </c>
      <c r="B2687" s="9">
        <f>AVERAGEIFS(fact_batting_summary!G:G, fact_batting_summary!E:E,fact_batting_summary!E2687)</f>
        <v>20.555555555555557</v>
      </c>
      <c r="C2687">
        <v>4</v>
      </c>
    </row>
    <row r="2688" spans="1:3" x14ac:dyDescent="0.45">
      <c r="A2688">
        <f>SUMIFS(fact_batting_summary!G:G, fact_batting_summary!E:E, fact_batting_summary!E2688)</f>
        <v>864</v>
      </c>
      <c r="B2688" s="9">
        <f>AVERAGEIFS(fact_batting_summary!G:G, fact_batting_summary!E:E,fact_batting_summary!E2688)</f>
        <v>23.351351351351351</v>
      </c>
      <c r="C2688">
        <v>5</v>
      </c>
    </row>
    <row r="2689" spans="1:3" x14ac:dyDescent="0.45">
      <c r="A2689">
        <f>SUMIFS(fact_batting_summary!G:G, fact_batting_summary!E:E, fact_batting_summary!E2689)</f>
        <v>222</v>
      </c>
      <c r="B2689" s="9">
        <f>AVERAGEIFS(fact_batting_summary!G:G, fact_batting_summary!E:E,fact_batting_summary!E2689)</f>
        <v>17.076923076923077</v>
      </c>
      <c r="C2689">
        <v>6</v>
      </c>
    </row>
    <row r="2690" spans="1:3" x14ac:dyDescent="0.45">
      <c r="A2690">
        <f>SUMIFS(fact_batting_summary!G:G, fact_batting_summary!E:E, fact_batting_summary!E2690)</f>
        <v>459</v>
      </c>
      <c r="B2690" s="9">
        <f>AVERAGEIFS(fact_batting_summary!G:G, fact_batting_summary!E:E,fact_batting_summary!E2690)</f>
        <v>13.909090909090908</v>
      </c>
      <c r="C2690">
        <v>7</v>
      </c>
    </row>
    <row r="2691" spans="1:3" x14ac:dyDescent="0.45">
      <c r="A2691">
        <f>SUMIFS(fact_batting_summary!G:G, fact_batting_summary!E:E, fact_batting_summary!E2691)</f>
        <v>304</v>
      </c>
      <c r="B2691" s="9">
        <f>AVERAGEIFS(fact_batting_summary!G:G, fact_batting_summary!E:E,fact_batting_summary!E2691)</f>
        <v>11.692307692307692</v>
      </c>
      <c r="C2691">
        <v>8</v>
      </c>
    </row>
    <row r="2692" spans="1:3" x14ac:dyDescent="0.45">
      <c r="A2692">
        <f>SUMIFS(fact_batting_summary!G:G, fact_batting_summary!E:E, fact_batting_summary!E2692)</f>
        <v>981</v>
      </c>
      <c r="B2692" s="9">
        <f>AVERAGEIFS(fact_batting_summary!G:G, fact_batting_summary!E:E,fact_batting_summary!E2692)</f>
        <v>22.813953488372093</v>
      </c>
      <c r="C2692">
        <v>1</v>
      </c>
    </row>
    <row r="2693" spans="1:3" x14ac:dyDescent="0.45">
      <c r="A2693">
        <f>SUMIFS(fact_batting_summary!G:G, fact_batting_summary!E:E, fact_batting_summary!E2693)</f>
        <v>1113</v>
      </c>
      <c r="B2693" s="9">
        <f>AVERAGEIFS(fact_batting_summary!G:G, fact_batting_summary!E:E,fact_batting_summary!E2693)</f>
        <v>28.53846153846154</v>
      </c>
      <c r="C2693">
        <v>2</v>
      </c>
    </row>
    <row r="2694" spans="1:3" x14ac:dyDescent="0.45">
      <c r="A2694">
        <f>SUMIFS(fact_batting_summary!G:G, fact_batting_summary!E:E, fact_batting_summary!E2694)</f>
        <v>452</v>
      </c>
      <c r="B2694" s="9">
        <f>AVERAGEIFS(fact_batting_summary!G:G, fact_batting_summary!E:E,fact_batting_summary!E2694)</f>
        <v>28.25</v>
      </c>
      <c r="C2694">
        <v>3</v>
      </c>
    </row>
    <row r="2695" spans="1:3" x14ac:dyDescent="0.45">
      <c r="A2695">
        <f>SUMIFS(fact_batting_summary!G:G, fact_batting_summary!E:E, fact_batting_summary!E2695)</f>
        <v>740</v>
      </c>
      <c r="B2695" s="9">
        <f>AVERAGEIFS(fact_batting_summary!G:G, fact_batting_summary!E:E,fact_batting_summary!E2695)</f>
        <v>29.6</v>
      </c>
      <c r="C2695">
        <v>4</v>
      </c>
    </row>
    <row r="2696" spans="1:3" x14ac:dyDescent="0.45">
      <c r="A2696">
        <f>SUMIFS(fact_batting_summary!G:G, fact_batting_summary!E:E, fact_batting_summary!E2696)</f>
        <v>1225</v>
      </c>
      <c r="B2696" s="9">
        <f>AVERAGEIFS(fact_batting_summary!G:G, fact_batting_summary!E:E,fact_batting_summary!E2696)</f>
        <v>32.236842105263158</v>
      </c>
      <c r="C2696">
        <v>5</v>
      </c>
    </row>
    <row r="2697" spans="1:3" x14ac:dyDescent="0.45">
      <c r="A2697">
        <f>SUMIFS(fact_batting_summary!G:G, fact_batting_summary!E:E, fact_batting_summary!E2697)</f>
        <v>418</v>
      </c>
      <c r="B2697" s="9">
        <f>AVERAGEIFS(fact_batting_summary!G:G, fact_batting_summary!E:E,fact_batting_summary!E2697)</f>
        <v>17.416666666666668</v>
      </c>
      <c r="C2697">
        <v>6</v>
      </c>
    </row>
    <row r="2698" spans="1:3" x14ac:dyDescent="0.45">
      <c r="A2698">
        <f>SUMIFS(fact_batting_summary!G:G, fact_batting_summary!E:E, fact_batting_summary!E2698)</f>
        <v>241</v>
      </c>
      <c r="B2698" s="9">
        <f>AVERAGEIFS(fact_batting_summary!G:G, fact_batting_summary!E:E,fact_batting_summary!E2698)</f>
        <v>24.1</v>
      </c>
      <c r="C2698">
        <v>7</v>
      </c>
    </row>
    <row r="2699" spans="1:3" x14ac:dyDescent="0.45">
      <c r="A2699">
        <f>SUMIFS(fact_batting_summary!G:G, fact_batting_summary!E:E, fact_batting_summary!E2699)</f>
        <v>25</v>
      </c>
      <c r="B2699" s="9">
        <f>AVERAGEIFS(fact_batting_summary!G:G, fact_batting_summary!E:E,fact_batting_summary!E2699)</f>
        <v>5</v>
      </c>
      <c r="C2699">
        <v>8</v>
      </c>
    </row>
    <row r="2700" spans="1:3" x14ac:dyDescent="0.45">
      <c r="A2700">
        <f>SUMIFS(fact_batting_summary!G:G, fact_batting_summary!E:E, fact_batting_summary!E2700)</f>
        <v>13</v>
      </c>
      <c r="B2700" s="9">
        <f>AVERAGEIFS(fact_batting_summary!G:G, fact_batting_summary!E:E,fact_batting_summary!E2700)</f>
        <v>13</v>
      </c>
      <c r="C2700">
        <v>9</v>
      </c>
    </row>
    <row r="2701" spans="1:3" x14ac:dyDescent="0.45">
      <c r="A2701">
        <f>SUMIFS(fact_batting_summary!G:G, fact_batting_summary!E:E, fact_batting_summary!E2701)</f>
        <v>6</v>
      </c>
      <c r="B2701" s="9">
        <f>AVERAGEIFS(fact_batting_summary!G:G, fact_batting_summary!E:E,fact_batting_summary!E2701)</f>
        <v>3</v>
      </c>
      <c r="C2701">
        <v>10</v>
      </c>
    </row>
    <row r="2702" spans="1:3" x14ac:dyDescent="0.45">
      <c r="A2702">
        <f>SUMIFS(fact_batting_summary!G:G, fact_batting_summary!E:E, fact_batting_summary!E2702)</f>
        <v>0</v>
      </c>
      <c r="B2702" s="9">
        <f>AVERAGEIFS(fact_batting_summary!G:G, fact_batting_summary!E:E,fact_batting_summary!E2702)</f>
        <v>0</v>
      </c>
      <c r="C2702">
        <v>11</v>
      </c>
    </row>
    <row r="2703" spans="1:3" x14ac:dyDescent="0.45">
      <c r="A2703">
        <f>SUMIFS(fact_batting_summary!G:G, fact_batting_summary!E:E, fact_batting_summary!E2703)</f>
        <v>1137</v>
      </c>
      <c r="B2703" s="9">
        <f>AVERAGEIFS(fact_batting_summary!G:G, fact_batting_summary!E:E,fact_batting_summary!E2703)</f>
        <v>34.454545454545453</v>
      </c>
      <c r="C2703">
        <v>1</v>
      </c>
    </row>
    <row r="2704" spans="1:3" x14ac:dyDescent="0.45">
      <c r="A2704">
        <f>SUMIFS(fact_batting_summary!G:G, fact_batting_summary!E:E, fact_batting_summary!E2704)</f>
        <v>218</v>
      </c>
      <c r="B2704" s="9">
        <f>AVERAGEIFS(fact_batting_summary!G:G, fact_batting_summary!E:E,fact_batting_summary!E2704)</f>
        <v>24.222222222222221</v>
      </c>
      <c r="C2704">
        <v>2</v>
      </c>
    </row>
    <row r="2705" spans="1:3" x14ac:dyDescent="0.45">
      <c r="A2705">
        <f>SUMIFS(fact_batting_summary!G:G, fact_batting_summary!E:E, fact_batting_summary!E2705)</f>
        <v>379</v>
      </c>
      <c r="B2705" s="9">
        <f>AVERAGEIFS(fact_batting_summary!G:G, fact_batting_summary!E:E,fact_batting_summary!E2705)</f>
        <v>22.294117647058822</v>
      </c>
      <c r="C2705">
        <v>3</v>
      </c>
    </row>
    <row r="2706" spans="1:3" x14ac:dyDescent="0.45">
      <c r="A2706">
        <f>SUMIFS(fact_batting_summary!G:G, fact_batting_summary!E:E, fact_batting_summary!E2706)</f>
        <v>144</v>
      </c>
      <c r="B2706" s="9">
        <f>AVERAGEIFS(fact_batting_summary!G:G, fact_batting_summary!E:E,fact_batting_summary!E2706)</f>
        <v>13.090909090909092</v>
      </c>
      <c r="C2706">
        <v>4</v>
      </c>
    </row>
    <row r="2707" spans="1:3" x14ac:dyDescent="0.45">
      <c r="A2707">
        <f>SUMIFS(fact_batting_summary!G:G, fact_batting_summary!E:E, fact_batting_summary!E2707)</f>
        <v>540</v>
      </c>
      <c r="B2707" s="9">
        <f>AVERAGEIFS(fact_batting_summary!G:G, fact_batting_summary!E:E,fact_batting_summary!E2707)</f>
        <v>23.478260869565219</v>
      </c>
      <c r="C2707">
        <v>5</v>
      </c>
    </row>
    <row r="2708" spans="1:3" x14ac:dyDescent="0.45">
      <c r="A2708">
        <f>SUMIFS(fact_batting_summary!G:G, fact_batting_summary!E:E, fact_batting_summary!E2708)</f>
        <v>115</v>
      </c>
      <c r="B2708" s="9">
        <f>AVERAGEIFS(fact_batting_summary!G:G, fact_batting_summary!E:E,fact_batting_summary!E2708)</f>
        <v>11.5</v>
      </c>
      <c r="C2708">
        <v>6</v>
      </c>
    </row>
    <row r="2709" spans="1:3" x14ac:dyDescent="0.45">
      <c r="A2709">
        <f>SUMIFS(fact_batting_summary!G:G, fact_batting_summary!E:E, fact_batting_summary!E2709)</f>
        <v>505</v>
      </c>
      <c r="B2709" s="9">
        <f>AVERAGEIFS(fact_batting_summary!G:G, fact_batting_summary!E:E,fact_batting_summary!E2709)</f>
        <v>17.413793103448278</v>
      </c>
      <c r="C2709">
        <v>7</v>
      </c>
    </row>
    <row r="2710" spans="1:3" x14ac:dyDescent="0.45">
      <c r="A2710">
        <f>SUMIFS(fact_batting_summary!G:G, fact_batting_summary!E:E, fact_batting_summary!E2710)</f>
        <v>80</v>
      </c>
      <c r="B2710" s="9">
        <f>AVERAGEIFS(fact_batting_summary!G:G, fact_batting_summary!E:E,fact_batting_summary!E2710)</f>
        <v>11.428571428571429</v>
      </c>
      <c r="C2710">
        <v>8</v>
      </c>
    </row>
    <row r="2711" spans="1:3" x14ac:dyDescent="0.45">
      <c r="A2711">
        <f>SUMIFS(fact_batting_summary!G:G, fact_batting_summary!E:E, fact_batting_summary!E2711)</f>
        <v>38</v>
      </c>
      <c r="B2711" s="9">
        <f>AVERAGEIFS(fact_batting_summary!G:G, fact_batting_summary!E:E,fact_batting_summary!E2711)</f>
        <v>4.75</v>
      </c>
      <c r="C2711">
        <v>9</v>
      </c>
    </row>
    <row r="2712" spans="1:3" x14ac:dyDescent="0.45">
      <c r="A2712">
        <f>SUMIFS(fact_batting_summary!G:G, fact_batting_summary!E:E, fact_batting_summary!E2712)</f>
        <v>79</v>
      </c>
      <c r="B2712" s="9">
        <f>AVERAGEIFS(fact_batting_summary!G:G, fact_batting_summary!E:E,fact_batting_summary!E2712)</f>
        <v>4.6470588235294121</v>
      </c>
      <c r="C2712">
        <v>10</v>
      </c>
    </row>
    <row r="2713" spans="1:3" x14ac:dyDescent="0.45">
      <c r="A2713">
        <f>SUMIFS(fact_batting_summary!G:G, fact_batting_summary!E:E, fact_batting_summary!E2713)</f>
        <v>1</v>
      </c>
      <c r="B2713" s="9">
        <f>AVERAGEIFS(fact_batting_summary!G:G, fact_batting_summary!E:E,fact_batting_summary!E2713)</f>
        <v>1</v>
      </c>
      <c r="C2713">
        <v>11</v>
      </c>
    </row>
    <row r="2714" spans="1:3" x14ac:dyDescent="0.45">
      <c r="A2714">
        <f>SUMIFS(fact_batting_summary!G:G, fact_batting_summary!E:E, fact_batting_summary!E2714)</f>
        <v>190</v>
      </c>
      <c r="B2714" s="9">
        <f>AVERAGEIFS(fact_batting_summary!G:G, fact_batting_summary!E:E,fact_batting_summary!E2714)</f>
        <v>17.272727272727273</v>
      </c>
      <c r="C2714">
        <v>1</v>
      </c>
    </row>
    <row r="2715" spans="1:3" x14ac:dyDescent="0.45">
      <c r="A2715">
        <f>SUMIFS(fact_batting_summary!G:G, fact_batting_summary!E:E, fact_batting_summary!E2715)</f>
        <v>907</v>
      </c>
      <c r="B2715" s="9">
        <f>AVERAGEIFS(fact_batting_summary!G:G, fact_batting_summary!E:E,fact_batting_summary!E2715)</f>
        <v>26.676470588235293</v>
      </c>
      <c r="C2715">
        <v>2</v>
      </c>
    </row>
    <row r="2716" spans="1:3" x14ac:dyDescent="0.45">
      <c r="A2716">
        <f>SUMIFS(fact_batting_summary!G:G, fact_batting_summary!E:E, fact_batting_summary!E2716)</f>
        <v>1083</v>
      </c>
      <c r="B2716" s="9">
        <f>AVERAGEIFS(fact_batting_summary!G:G, fact_batting_summary!E:E,fact_batting_summary!E2716)</f>
        <v>25.186046511627907</v>
      </c>
      <c r="C2716">
        <v>3</v>
      </c>
    </row>
    <row r="2717" spans="1:3" x14ac:dyDescent="0.45">
      <c r="A2717">
        <f>SUMIFS(fact_batting_summary!G:G, fact_batting_summary!E:E, fact_batting_summary!E2717)</f>
        <v>745</v>
      </c>
      <c r="B2717" s="9">
        <f>AVERAGEIFS(fact_batting_summary!G:G, fact_batting_summary!E:E,fact_batting_summary!E2717)</f>
        <v>24.032258064516128</v>
      </c>
      <c r="C2717">
        <v>4</v>
      </c>
    </row>
    <row r="2718" spans="1:3" x14ac:dyDescent="0.45">
      <c r="A2718">
        <f>SUMIFS(fact_batting_summary!G:G, fact_batting_summary!E:E, fact_batting_summary!E2718)</f>
        <v>775</v>
      </c>
      <c r="B2718" s="9">
        <f>AVERAGEIFS(fact_batting_summary!G:G, fact_batting_summary!E:E,fact_batting_summary!E2718)</f>
        <v>25</v>
      </c>
      <c r="C2718">
        <v>5</v>
      </c>
    </row>
    <row r="2719" spans="1:3" x14ac:dyDescent="0.45">
      <c r="A2719">
        <f>SUMIFS(fact_batting_summary!G:G, fact_batting_summary!E:E, fact_batting_summary!E2719)</f>
        <v>448</v>
      </c>
      <c r="B2719" s="9">
        <f>AVERAGEIFS(fact_batting_summary!G:G, fact_batting_summary!E:E,fact_batting_summary!E2719)</f>
        <v>40.727272727272727</v>
      </c>
      <c r="C2719">
        <v>6</v>
      </c>
    </row>
    <row r="2720" spans="1:3" x14ac:dyDescent="0.45">
      <c r="A2720">
        <f>SUMIFS(fact_batting_summary!G:G, fact_batting_summary!E:E, fact_batting_summary!E2720)</f>
        <v>192</v>
      </c>
      <c r="B2720" s="9">
        <f>AVERAGEIFS(fact_batting_summary!G:G, fact_batting_summary!E:E,fact_batting_summary!E2720)</f>
        <v>12</v>
      </c>
      <c r="C2720">
        <v>7</v>
      </c>
    </row>
    <row r="2721" spans="1:3" x14ac:dyDescent="0.45">
      <c r="A2721">
        <f>SUMIFS(fact_batting_summary!G:G, fact_batting_summary!E:E, fact_batting_summary!E2721)</f>
        <v>48</v>
      </c>
      <c r="B2721" s="9">
        <f>AVERAGEIFS(fact_batting_summary!G:G, fact_batting_summary!E:E,fact_batting_summary!E2721)</f>
        <v>4.3636363636363633</v>
      </c>
      <c r="C2721">
        <v>8</v>
      </c>
    </row>
    <row r="2722" spans="1:3" x14ac:dyDescent="0.45">
      <c r="A2722">
        <f>SUMIFS(fact_batting_summary!G:G, fact_batting_summary!E:E, fact_batting_summary!E2722)</f>
        <v>1593</v>
      </c>
      <c r="B2722" s="9">
        <f>AVERAGEIFS(fact_batting_summary!G:G, fact_batting_summary!E:E,fact_batting_summary!E2722)</f>
        <v>35.4</v>
      </c>
      <c r="C2722">
        <v>1</v>
      </c>
    </row>
    <row r="2723" spans="1:3" x14ac:dyDescent="0.45">
      <c r="A2723">
        <f>SUMIFS(fact_batting_summary!G:G, fact_batting_summary!E:E, fact_batting_summary!E2723)</f>
        <v>924</v>
      </c>
      <c r="B2723" s="9">
        <f>AVERAGEIFS(fact_batting_summary!G:G, fact_batting_summary!E:E,fact_batting_summary!E2723)</f>
        <v>42</v>
      </c>
      <c r="C2723">
        <v>2</v>
      </c>
    </row>
    <row r="2724" spans="1:3" x14ac:dyDescent="0.45">
      <c r="A2724">
        <f>SUMIFS(fact_batting_summary!G:G, fact_batting_summary!E:E, fact_batting_summary!E2724)</f>
        <v>467</v>
      </c>
      <c r="B2724" s="9">
        <f>AVERAGEIFS(fact_batting_summary!G:G, fact_batting_summary!E:E,fact_batting_summary!E2724)</f>
        <v>24.578947368421051</v>
      </c>
      <c r="C2724">
        <v>3</v>
      </c>
    </row>
    <row r="2725" spans="1:3" x14ac:dyDescent="0.45">
      <c r="A2725">
        <f>SUMIFS(fact_batting_summary!G:G, fact_batting_summary!E:E, fact_batting_summary!E2725)</f>
        <v>937</v>
      </c>
      <c r="B2725" s="9">
        <f>AVERAGEIFS(fact_batting_summary!G:G, fact_batting_summary!E:E,fact_batting_summary!E2725)</f>
        <v>27.558823529411764</v>
      </c>
      <c r="C2725">
        <v>4</v>
      </c>
    </row>
    <row r="2726" spans="1:3" x14ac:dyDescent="0.45">
      <c r="A2726">
        <f>SUMIFS(fact_batting_summary!G:G, fact_batting_summary!E:E, fact_batting_summary!E2726)</f>
        <v>533</v>
      </c>
      <c r="B2726" s="9">
        <f>AVERAGEIFS(fact_batting_summary!G:G, fact_batting_summary!E:E,fact_batting_summary!E2726)</f>
        <v>15.676470588235293</v>
      </c>
      <c r="C2726">
        <v>5</v>
      </c>
    </row>
    <row r="2727" spans="1:3" x14ac:dyDescent="0.45">
      <c r="A2727">
        <f>SUMIFS(fact_batting_summary!G:G, fact_batting_summary!E:E, fact_batting_summary!E2727)</f>
        <v>450</v>
      </c>
      <c r="B2727" s="9">
        <f>AVERAGEIFS(fact_batting_summary!G:G, fact_batting_summary!E:E,fact_batting_summary!E2727)</f>
        <v>12.5</v>
      </c>
      <c r="C2727">
        <v>6</v>
      </c>
    </row>
    <row r="2728" spans="1:3" x14ac:dyDescent="0.45">
      <c r="A2728">
        <f>SUMIFS(fact_batting_summary!G:G, fact_batting_summary!E:E, fact_batting_summary!E2728)</f>
        <v>129</v>
      </c>
      <c r="B2728" s="9">
        <f>AVERAGEIFS(fact_batting_summary!G:G, fact_batting_summary!E:E,fact_batting_summary!E2728)</f>
        <v>16.125</v>
      </c>
      <c r="C2728">
        <v>1</v>
      </c>
    </row>
    <row r="2729" spans="1:3" x14ac:dyDescent="0.45">
      <c r="A2729">
        <f>SUMIFS(fact_batting_summary!G:G, fact_batting_summary!E:E, fact_batting_summary!E2729)</f>
        <v>154</v>
      </c>
      <c r="B2729" s="9">
        <f>AVERAGEIFS(fact_batting_summary!G:G, fact_batting_summary!E:E,fact_batting_summary!E2729)</f>
        <v>5.1333333333333337</v>
      </c>
      <c r="C2729">
        <v>2</v>
      </c>
    </row>
    <row r="2730" spans="1:3" x14ac:dyDescent="0.45">
      <c r="A2730">
        <f>SUMIFS(fact_batting_summary!G:G, fact_batting_summary!E:E, fact_batting_summary!E2730)</f>
        <v>956</v>
      </c>
      <c r="B2730" s="9">
        <f>AVERAGEIFS(fact_batting_summary!G:G, fact_batting_summary!E:E,fact_batting_summary!E2730)</f>
        <v>26.555555555555557</v>
      </c>
      <c r="C2730">
        <v>3</v>
      </c>
    </row>
    <row r="2731" spans="1:3" x14ac:dyDescent="0.45">
      <c r="A2731">
        <f>SUMIFS(fact_batting_summary!G:G, fact_batting_summary!E:E, fact_batting_summary!E2731)</f>
        <v>1157</v>
      </c>
      <c r="B2731" s="9">
        <f>AVERAGEIFS(fact_batting_summary!G:G, fact_batting_summary!E:E,fact_batting_summary!E2731)</f>
        <v>26.295454545454547</v>
      </c>
      <c r="C2731">
        <v>4</v>
      </c>
    </row>
    <row r="2732" spans="1:3" x14ac:dyDescent="0.45">
      <c r="A2732">
        <f>SUMIFS(fact_batting_summary!G:G, fact_batting_summary!E:E, fact_batting_summary!E2732)</f>
        <v>435</v>
      </c>
      <c r="B2732" s="9">
        <f>AVERAGEIFS(fact_batting_summary!G:G, fact_batting_summary!E:E,fact_batting_summary!E2732)</f>
        <v>33.46153846153846</v>
      </c>
      <c r="C2732">
        <v>5</v>
      </c>
    </row>
    <row r="2733" spans="1:3" x14ac:dyDescent="0.45">
      <c r="A2733">
        <f>SUMIFS(fact_batting_summary!G:G, fact_batting_summary!E:E, fact_batting_summary!E2733)</f>
        <v>648</v>
      </c>
      <c r="B2733" s="9">
        <f>AVERAGEIFS(fact_batting_summary!G:G, fact_batting_summary!E:E,fact_batting_summary!E2733)</f>
        <v>30.857142857142858</v>
      </c>
      <c r="C2733">
        <v>6</v>
      </c>
    </row>
    <row r="2734" spans="1:3" x14ac:dyDescent="0.45">
      <c r="A2734">
        <f>SUMIFS(fact_batting_summary!G:G, fact_batting_summary!E:E, fact_batting_summary!E2734)</f>
        <v>745</v>
      </c>
      <c r="B2734" s="9">
        <f>AVERAGEIFS(fact_batting_summary!G:G, fact_batting_summary!E:E,fact_batting_summary!E2734)</f>
        <v>21.285714285714285</v>
      </c>
      <c r="C2734">
        <v>7</v>
      </c>
    </row>
    <row r="2735" spans="1:3" x14ac:dyDescent="0.45">
      <c r="A2735">
        <f>SUMIFS(fact_batting_summary!G:G, fact_batting_summary!E:E, fact_batting_summary!E2735)</f>
        <v>21</v>
      </c>
      <c r="B2735" s="9">
        <f>AVERAGEIFS(fact_batting_summary!G:G, fact_batting_summary!E:E,fact_batting_summary!E2735)</f>
        <v>7</v>
      </c>
      <c r="C2735">
        <v>8</v>
      </c>
    </row>
    <row r="2736" spans="1:3" x14ac:dyDescent="0.45">
      <c r="A2736">
        <f>SUMIFS(fact_batting_summary!G:G, fact_batting_summary!E:E, fact_batting_summary!E2736)</f>
        <v>74</v>
      </c>
      <c r="B2736" s="9">
        <f>AVERAGEIFS(fact_batting_summary!G:G, fact_batting_summary!E:E,fact_batting_summary!E2736)</f>
        <v>6.166666666666667</v>
      </c>
      <c r="C2736">
        <v>9</v>
      </c>
    </row>
    <row r="2737" spans="1:3" x14ac:dyDescent="0.45">
      <c r="A2737">
        <f>SUMIFS(fact_batting_summary!G:G, fact_batting_summary!E:E, fact_batting_summary!E2737)</f>
        <v>15</v>
      </c>
      <c r="B2737" s="9">
        <f>AVERAGEIFS(fact_batting_summary!G:G, fact_batting_summary!E:E,fact_batting_summary!E2737)</f>
        <v>1.6666666666666667</v>
      </c>
      <c r="C2737">
        <v>10</v>
      </c>
    </row>
    <row r="2738" spans="1:3" x14ac:dyDescent="0.45">
      <c r="A2738">
        <f>SUMIFS(fact_batting_summary!G:G, fact_batting_summary!E:E, fact_batting_summary!E2738)</f>
        <v>1385</v>
      </c>
      <c r="B2738" s="9">
        <f>AVERAGEIFS(fact_batting_summary!G:G, fact_batting_summary!E:E,fact_batting_summary!E2738)</f>
        <v>30.777777777777779</v>
      </c>
      <c r="C2738">
        <v>1</v>
      </c>
    </row>
    <row r="2739" spans="1:3" x14ac:dyDescent="0.45">
      <c r="A2739">
        <f>SUMIFS(fact_batting_summary!G:G, fact_batting_summary!E:E, fact_batting_summary!E2739)</f>
        <v>1831</v>
      </c>
      <c r="B2739" s="9">
        <f>AVERAGEIFS(fact_batting_summary!G:G, fact_batting_summary!E:E,fact_batting_summary!E2739)</f>
        <v>39.804347826086953</v>
      </c>
      <c r="C2739">
        <v>2</v>
      </c>
    </row>
    <row r="2740" spans="1:3" x14ac:dyDescent="0.45">
      <c r="A2740">
        <f>SUMIFS(fact_batting_summary!G:G, fact_batting_summary!E:E, fact_batting_summary!E2740)</f>
        <v>320</v>
      </c>
      <c r="B2740" s="9">
        <f>AVERAGEIFS(fact_batting_summary!G:G, fact_batting_summary!E:E,fact_batting_summary!E2740)</f>
        <v>13.333333333333334</v>
      </c>
      <c r="C2740">
        <v>3</v>
      </c>
    </row>
    <row r="2741" spans="1:3" x14ac:dyDescent="0.45">
      <c r="A2741">
        <f>SUMIFS(fact_batting_summary!G:G, fact_batting_summary!E:E, fact_batting_summary!E2741)</f>
        <v>1214</v>
      </c>
      <c r="B2741" s="9">
        <f>AVERAGEIFS(fact_batting_summary!G:G, fact_batting_summary!E:E,fact_batting_summary!E2741)</f>
        <v>29.609756097560975</v>
      </c>
      <c r="C2741">
        <v>4</v>
      </c>
    </row>
    <row r="2742" spans="1:3" x14ac:dyDescent="0.45">
      <c r="A2742">
        <f>SUMIFS(fact_batting_summary!G:G, fact_batting_summary!E:E, fact_batting_summary!E2742)</f>
        <v>315</v>
      </c>
      <c r="B2742" s="9">
        <f>AVERAGEIFS(fact_batting_summary!G:G, fact_batting_summary!E:E,fact_batting_summary!E2742)</f>
        <v>16.578947368421051</v>
      </c>
      <c r="C2742">
        <v>5</v>
      </c>
    </row>
    <row r="2743" spans="1:3" x14ac:dyDescent="0.45">
      <c r="A2743">
        <f>SUMIFS(fact_batting_summary!G:G, fact_batting_summary!E:E, fact_batting_summary!E2743)</f>
        <v>693</v>
      </c>
      <c r="B2743" s="9">
        <f>AVERAGEIFS(fact_batting_summary!G:G, fact_batting_summary!E:E,fact_batting_summary!E2743)</f>
        <v>15.75</v>
      </c>
      <c r="C2743">
        <v>6</v>
      </c>
    </row>
    <row r="2744" spans="1:3" x14ac:dyDescent="0.45">
      <c r="A2744">
        <f>SUMIFS(fact_batting_summary!G:G, fact_batting_summary!E:E, fact_batting_summary!E2744)</f>
        <v>102</v>
      </c>
      <c r="B2744" s="9">
        <f>AVERAGEIFS(fact_batting_summary!G:G, fact_batting_summary!E:E,fact_batting_summary!E2744)</f>
        <v>11.333333333333334</v>
      </c>
      <c r="C2744">
        <v>7</v>
      </c>
    </row>
    <row r="2745" spans="1:3" x14ac:dyDescent="0.45">
      <c r="A2745">
        <f>SUMIFS(fact_batting_summary!G:G, fact_batting_summary!E:E, fact_batting_summary!E2745)</f>
        <v>72</v>
      </c>
      <c r="B2745" s="9">
        <f>AVERAGEIFS(fact_batting_summary!G:G, fact_batting_summary!E:E,fact_batting_summary!E2745)</f>
        <v>5.1428571428571432</v>
      </c>
      <c r="C2745">
        <v>8</v>
      </c>
    </row>
    <row r="2746" spans="1:3" x14ac:dyDescent="0.45">
      <c r="A2746">
        <f>SUMIFS(fact_batting_summary!G:G, fact_batting_summary!E:E, fact_batting_summary!E2746)</f>
        <v>53</v>
      </c>
      <c r="B2746" s="9">
        <f>AVERAGEIFS(fact_batting_summary!G:G, fact_batting_summary!E:E,fact_batting_summary!E2746)</f>
        <v>10.6</v>
      </c>
      <c r="C2746">
        <v>9</v>
      </c>
    </row>
    <row r="2747" spans="1:3" x14ac:dyDescent="0.45">
      <c r="A2747">
        <f>SUMIFS(fact_batting_summary!G:G, fact_batting_summary!E:E, fact_batting_summary!E2747)</f>
        <v>13</v>
      </c>
      <c r="B2747" s="9">
        <f>AVERAGEIFS(fact_batting_summary!G:G, fact_batting_summary!E:E,fact_batting_summary!E2747)</f>
        <v>6.5</v>
      </c>
      <c r="C2747">
        <v>10</v>
      </c>
    </row>
    <row r="2748" spans="1:3" x14ac:dyDescent="0.45">
      <c r="A2748">
        <f>SUMIFS(fact_batting_summary!G:G, fact_batting_summary!E:E, fact_batting_summary!E2748)</f>
        <v>51</v>
      </c>
      <c r="B2748" s="9">
        <f>AVERAGEIFS(fact_batting_summary!G:G, fact_batting_summary!E:E,fact_batting_summary!E2748)</f>
        <v>4.6363636363636367</v>
      </c>
      <c r="C2748">
        <v>11</v>
      </c>
    </row>
    <row r="2749" spans="1:3" x14ac:dyDescent="0.45">
      <c r="A2749">
        <f>SUMIFS(fact_batting_summary!G:G, fact_batting_summary!E:E, fact_batting_summary!E2749)</f>
        <v>1132</v>
      </c>
      <c r="B2749" s="9">
        <f>AVERAGEIFS(fact_batting_summary!G:G, fact_batting_summary!E:E,fact_batting_summary!E2749)</f>
        <v>33.294117647058826</v>
      </c>
      <c r="C2749">
        <v>1</v>
      </c>
    </row>
    <row r="2750" spans="1:3" x14ac:dyDescent="0.45">
      <c r="A2750">
        <f>SUMIFS(fact_batting_summary!G:G, fact_batting_summary!E:E, fact_batting_summary!E2750)</f>
        <v>1509</v>
      </c>
      <c r="B2750" s="9">
        <f>AVERAGEIFS(fact_batting_summary!G:G, fact_batting_summary!E:E,fact_batting_summary!E2750)</f>
        <v>39.710526315789473</v>
      </c>
      <c r="C2750">
        <v>2</v>
      </c>
    </row>
    <row r="2751" spans="1:3" x14ac:dyDescent="0.45">
      <c r="A2751">
        <f>SUMIFS(fact_batting_summary!G:G, fact_batting_summary!E:E, fact_batting_summary!E2751)</f>
        <v>1048</v>
      </c>
      <c r="B2751" s="9">
        <f>AVERAGEIFS(fact_batting_summary!G:G, fact_batting_summary!E:E,fact_batting_summary!E2751)</f>
        <v>24.952380952380953</v>
      </c>
      <c r="C2751">
        <v>3</v>
      </c>
    </row>
    <row r="2752" spans="1:3" x14ac:dyDescent="0.45">
      <c r="A2752">
        <f>SUMIFS(fact_batting_summary!G:G, fact_batting_summary!E:E, fact_batting_summary!E2752)</f>
        <v>1304</v>
      </c>
      <c r="B2752" s="9">
        <f>AVERAGEIFS(fact_batting_summary!G:G, fact_batting_summary!E:E,fact_batting_summary!E2752)</f>
        <v>28.977777777777778</v>
      </c>
      <c r="C2752">
        <v>4</v>
      </c>
    </row>
    <row r="2753" spans="1:3" x14ac:dyDescent="0.45">
      <c r="A2753">
        <f>SUMIFS(fact_batting_summary!G:G, fact_batting_summary!E:E, fact_batting_summary!E2753)</f>
        <v>854</v>
      </c>
      <c r="B2753" s="9">
        <f>AVERAGEIFS(fact_batting_summary!G:G, fact_batting_summary!E:E,fact_batting_summary!E2753)</f>
        <v>21.35</v>
      </c>
      <c r="C2753">
        <v>5</v>
      </c>
    </row>
    <row r="2754" spans="1:3" x14ac:dyDescent="0.45">
      <c r="A2754">
        <f>SUMIFS(fact_batting_summary!G:G, fact_batting_summary!E:E, fact_batting_summary!E2754)</f>
        <v>152</v>
      </c>
      <c r="B2754" s="9">
        <f>AVERAGEIFS(fact_batting_summary!G:G, fact_batting_summary!E:E,fact_batting_summary!E2754)</f>
        <v>13.818181818181818</v>
      </c>
      <c r="C2754">
        <v>6</v>
      </c>
    </row>
    <row r="2755" spans="1:3" x14ac:dyDescent="0.45">
      <c r="A2755">
        <f>SUMIFS(fact_batting_summary!G:G, fact_batting_summary!E:E, fact_batting_summary!E2755)</f>
        <v>302</v>
      </c>
      <c r="B2755" s="9">
        <f>AVERAGEIFS(fact_batting_summary!G:G, fact_batting_summary!E:E,fact_batting_summary!E2755)</f>
        <v>11.185185185185185</v>
      </c>
      <c r="C2755">
        <v>7</v>
      </c>
    </row>
    <row r="2756" spans="1:3" x14ac:dyDescent="0.45">
      <c r="A2756">
        <f>SUMIFS(fact_batting_summary!G:G, fact_batting_summary!E:E, fact_batting_summary!E2756)</f>
        <v>1</v>
      </c>
      <c r="B2756" s="9">
        <f>AVERAGEIFS(fact_batting_summary!G:G, fact_batting_summary!E:E,fact_batting_summary!E2756)</f>
        <v>1</v>
      </c>
      <c r="C2756">
        <v>8</v>
      </c>
    </row>
    <row r="2757" spans="1:3" x14ac:dyDescent="0.45">
      <c r="A2757">
        <f>SUMIFS(fact_batting_summary!G:G, fact_batting_summary!E:E, fact_batting_summary!E2757)</f>
        <v>117</v>
      </c>
      <c r="B2757" s="9">
        <f>AVERAGEIFS(fact_batting_summary!G:G, fact_batting_summary!E:E,fact_batting_summary!E2757)</f>
        <v>19.5</v>
      </c>
      <c r="C2757">
        <v>1</v>
      </c>
    </row>
    <row r="2758" spans="1:3" x14ac:dyDescent="0.45">
      <c r="A2758">
        <f>SUMIFS(fact_batting_summary!G:G, fact_batting_summary!E:E, fact_batting_summary!E2758)</f>
        <v>391</v>
      </c>
      <c r="B2758" s="9">
        <f>AVERAGEIFS(fact_batting_summary!G:G, fact_batting_summary!E:E,fact_batting_summary!E2758)</f>
        <v>23</v>
      </c>
      <c r="C2758">
        <v>2</v>
      </c>
    </row>
    <row r="2759" spans="1:3" x14ac:dyDescent="0.45">
      <c r="A2759">
        <f>SUMIFS(fact_batting_summary!G:G, fact_batting_summary!E:E, fact_batting_summary!E2759)</f>
        <v>186</v>
      </c>
      <c r="B2759" s="9">
        <f>AVERAGEIFS(fact_batting_summary!G:G, fact_batting_summary!E:E,fact_batting_summary!E2759)</f>
        <v>26.571428571428573</v>
      </c>
      <c r="C2759">
        <v>3</v>
      </c>
    </row>
    <row r="2760" spans="1:3" x14ac:dyDescent="0.45">
      <c r="A2760">
        <f>SUMIFS(fact_batting_summary!G:G, fact_batting_summary!E:E, fact_batting_summary!E2760)</f>
        <v>758</v>
      </c>
      <c r="B2760" s="9">
        <f>AVERAGEIFS(fact_batting_summary!G:G, fact_batting_summary!E:E,fact_batting_summary!E2760)</f>
        <v>27.071428571428573</v>
      </c>
      <c r="C2760">
        <v>4</v>
      </c>
    </row>
    <row r="2761" spans="1:3" x14ac:dyDescent="0.45">
      <c r="A2761">
        <f>SUMIFS(fact_batting_summary!G:G, fact_batting_summary!E:E, fact_batting_summary!E2761)</f>
        <v>76</v>
      </c>
      <c r="B2761" s="9">
        <f>AVERAGEIFS(fact_batting_summary!G:G, fact_batting_summary!E:E,fact_batting_summary!E2761)</f>
        <v>25.333333333333332</v>
      </c>
      <c r="C2761">
        <v>5</v>
      </c>
    </row>
    <row r="2762" spans="1:3" x14ac:dyDescent="0.45">
      <c r="A2762">
        <f>SUMIFS(fact_batting_summary!G:G, fact_batting_summary!E:E, fact_batting_summary!E2762)</f>
        <v>332</v>
      </c>
      <c r="B2762" s="9">
        <f>AVERAGEIFS(fact_batting_summary!G:G, fact_batting_summary!E:E,fact_batting_summary!E2762)</f>
        <v>19.529411764705884</v>
      </c>
      <c r="C2762">
        <v>6</v>
      </c>
    </row>
    <row r="2763" spans="1:3" x14ac:dyDescent="0.45">
      <c r="A2763">
        <f>SUMIFS(fact_batting_summary!G:G, fact_batting_summary!E:E, fact_batting_summary!E2763)</f>
        <v>543</v>
      </c>
      <c r="B2763" s="9">
        <f>AVERAGEIFS(fact_batting_summary!G:G, fact_batting_summary!E:E,fact_batting_summary!E2763)</f>
        <v>22.625</v>
      </c>
      <c r="C2763">
        <v>7</v>
      </c>
    </row>
    <row r="2764" spans="1:3" x14ac:dyDescent="0.45">
      <c r="A2764">
        <f>SUMIFS(fact_batting_summary!G:G, fact_batting_summary!E:E, fact_batting_summary!E2764)</f>
        <v>426</v>
      </c>
      <c r="B2764" s="9">
        <f>AVERAGEIFS(fact_batting_summary!G:G, fact_batting_summary!E:E,fact_batting_summary!E2764)</f>
        <v>13.741935483870968</v>
      </c>
      <c r="C2764">
        <v>8</v>
      </c>
    </row>
    <row r="2765" spans="1:3" x14ac:dyDescent="0.45">
      <c r="A2765">
        <f>SUMIFS(fact_batting_summary!G:G, fact_batting_summary!E:E, fact_batting_summary!E2765)</f>
        <v>138</v>
      </c>
      <c r="B2765" s="9">
        <f>AVERAGEIFS(fact_batting_summary!G:G, fact_batting_summary!E:E,fact_batting_summary!E2765)</f>
        <v>8.625</v>
      </c>
      <c r="C2765">
        <v>9</v>
      </c>
    </row>
    <row r="2766" spans="1:3" x14ac:dyDescent="0.45">
      <c r="A2766">
        <f>SUMIFS(fact_batting_summary!G:G, fact_batting_summary!E:E, fact_batting_summary!E2766)</f>
        <v>981</v>
      </c>
      <c r="B2766" s="9">
        <f>AVERAGEIFS(fact_batting_summary!G:G, fact_batting_summary!E:E,fact_batting_summary!E2766)</f>
        <v>22.813953488372093</v>
      </c>
      <c r="C2766">
        <v>1</v>
      </c>
    </row>
    <row r="2767" spans="1:3" x14ac:dyDescent="0.45">
      <c r="A2767">
        <f>SUMIFS(fact_batting_summary!G:G, fact_batting_summary!E:E, fact_batting_summary!E2767)</f>
        <v>1113</v>
      </c>
      <c r="B2767" s="9">
        <f>AVERAGEIFS(fact_batting_summary!G:G, fact_batting_summary!E:E,fact_batting_summary!E2767)</f>
        <v>28.53846153846154</v>
      </c>
      <c r="C2767">
        <v>2</v>
      </c>
    </row>
    <row r="2768" spans="1:3" x14ac:dyDescent="0.45">
      <c r="A2768">
        <f>SUMIFS(fact_batting_summary!G:G, fact_batting_summary!E:E, fact_batting_summary!E2768)</f>
        <v>452</v>
      </c>
      <c r="B2768" s="9">
        <f>AVERAGEIFS(fact_batting_summary!G:G, fact_batting_summary!E:E,fact_batting_summary!E2768)</f>
        <v>28.25</v>
      </c>
      <c r="C2768">
        <v>3</v>
      </c>
    </row>
    <row r="2769" spans="1:3" x14ac:dyDescent="0.45">
      <c r="A2769">
        <f>SUMIFS(fact_batting_summary!G:G, fact_batting_summary!E:E, fact_batting_summary!E2769)</f>
        <v>1225</v>
      </c>
      <c r="B2769" s="9">
        <f>AVERAGEIFS(fact_batting_summary!G:G, fact_batting_summary!E:E,fact_batting_summary!E2769)</f>
        <v>32.236842105263158</v>
      </c>
      <c r="C2769">
        <v>4</v>
      </c>
    </row>
    <row r="2770" spans="1:3" x14ac:dyDescent="0.45">
      <c r="A2770">
        <f>SUMIFS(fact_batting_summary!G:G, fact_batting_summary!E:E, fact_batting_summary!E2770)</f>
        <v>418</v>
      </c>
      <c r="B2770" s="9">
        <f>AVERAGEIFS(fact_batting_summary!G:G, fact_batting_summary!E:E,fact_batting_summary!E2770)</f>
        <v>17.416666666666668</v>
      </c>
      <c r="C2770">
        <v>5</v>
      </c>
    </row>
    <row r="2771" spans="1:3" x14ac:dyDescent="0.45">
      <c r="A2771">
        <f>SUMIFS(fact_batting_summary!G:G, fact_batting_summary!E:E, fact_batting_summary!E2771)</f>
        <v>740</v>
      </c>
      <c r="B2771" s="9">
        <f>AVERAGEIFS(fact_batting_summary!G:G, fact_batting_summary!E:E,fact_batting_summary!E2771)</f>
        <v>29.6</v>
      </c>
      <c r="C2771">
        <v>6</v>
      </c>
    </row>
    <row r="2772" spans="1:3" x14ac:dyDescent="0.45">
      <c r="A2772">
        <f>SUMIFS(fact_batting_summary!G:G, fact_batting_summary!E:E, fact_batting_summary!E2772)</f>
        <v>241</v>
      </c>
      <c r="B2772" s="9">
        <f>AVERAGEIFS(fact_batting_summary!G:G, fact_batting_summary!E:E,fact_batting_summary!E2772)</f>
        <v>24.1</v>
      </c>
      <c r="C2772">
        <v>7</v>
      </c>
    </row>
    <row r="2773" spans="1:3" x14ac:dyDescent="0.45">
      <c r="A2773">
        <f>SUMIFS(fact_batting_summary!G:G, fact_batting_summary!E:E, fact_batting_summary!E2773)</f>
        <v>4</v>
      </c>
      <c r="B2773" s="9">
        <f>AVERAGEIFS(fact_batting_summary!G:G, fact_batting_summary!E:E,fact_batting_summary!E2773)</f>
        <v>2</v>
      </c>
      <c r="C2773">
        <v>8</v>
      </c>
    </row>
    <row r="2774" spans="1:3" x14ac:dyDescent="0.45">
      <c r="A2774">
        <f>SUMIFS(fact_batting_summary!G:G, fact_batting_summary!E:E, fact_batting_summary!E2774)</f>
        <v>819</v>
      </c>
      <c r="B2774" s="9">
        <f>AVERAGEIFS(fact_batting_summary!G:G, fact_batting_summary!E:E,fact_batting_summary!E2774)</f>
        <v>22.135135135135137</v>
      </c>
      <c r="C2774">
        <v>1</v>
      </c>
    </row>
    <row r="2775" spans="1:3" x14ac:dyDescent="0.45">
      <c r="A2775">
        <f>SUMIFS(fact_batting_summary!G:G, fact_batting_summary!E:E, fact_batting_summary!E2775)</f>
        <v>1851</v>
      </c>
      <c r="B2775" s="9">
        <f>AVERAGEIFS(fact_batting_summary!G:G, fact_batting_summary!E:E,fact_batting_summary!E2775)</f>
        <v>37.020000000000003</v>
      </c>
      <c r="C2775">
        <v>2</v>
      </c>
    </row>
    <row r="2776" spans="1:3" x14ac:dyDescent="0.45">
      <c r="A2776">
        <f>SUMIFS(fact_batting_summary!G:G, fact_batting_summary!E:E, fact_batting_summary!E2776)</f>
        <v>960</v>
      </c>
      <c r="B2776" s="9">
        <f>AVERAGEIFS(fact_batting_summary!G:G, fact_batting_summary!E:E,fact_batting_summary!E2776)</f>
        <v>23.414634146341463</v>
      </c>
      <c r="C2776">
        <v>3</v>
      </c>
    </row>
    <row r="2777" spans="1:3" x14ac:dyDescent="0.45">
      <c r="A2777">
        <f>SUMIFS(fact_batting_summary!G:G, fact_batting_summary!E:E, fact_batting_summary!E2777)</f>
        <v>222</v>
      </c>
      <c r="B2777" s="9">
        <f>AVERAGEIFS(fact_batting_summary!G:G, fact_batting_summary!E:E,fact_batting_summary!E2777)</f>
        <v>17.076923076923077</v>
      </c>
      <c r="C2777">
        <v>4</v>
      </c>
    </row>
    <row r="2778" spans="1:3" x14ac:dyDescent="0.45">
      <c r="A2778">
        <f>SUMIFS(fact_batting_summary!G:G, fact_batting_summary!E:E, fact_batting_summary!E2778)</f>
        <v>370</v>
      </c>
      <c r="B2778" s="9">
        <f>AVERAGEIFS(fact_batting_summary!G:G, fact_batting_summary!E:E,fact_batting_summary!E2778)</f>
        <v>20.555555555555557</v>
      </c>
      <c r="C2778">
        <v>5</v>
      </c>
    </row>
    <row r="2779" spans="1:3" x14ac:dyDescent="0.45">
      <c r="A2779">
        <f>SUMIFS(fact_batting_summary!G:G, fact_batting_summary!E:E, fact_batting_summary!E2779)</f>
        <v>864</v>
      </c>
      <c r="B2779" s="9">
        <f>AVERAGEIFS(fact_batting_summary!G:G, fact_batting_summary!E:E,fact_batting_summary!E2779)</f>
        <v>23.351351351351351</v>
      </c>
      <c r="C2779">
        <v>6</v>
      </c>
    </row>
    <row r="2780" spans="1:3" x14ac:dyDescent="0.45">
      <c r="A2780">
        <f>SUMIFS(fact_batting_summary!G:G, fact_batting_summary!E:E, fact_batting_summary!E2780)</f>
        <v>459</v>
      </c>
      <c r="B2780" s="9">
        <f>AVERAGEIFS(fact_batting_summary!G:G, fact_batting_summary!E:E,fact_batting_summary!E2780)</f>
        <v>13.909090909090908</v>
      </c>
      <c r="C2780">
        <v>7</v>
      </c>
    </row>
    <row r="2781" spans="1:3" x14ac:dyDescent="0.45">
      <c r="A2781">
        <f>SUMIFS(fact_batting_summary!G:G, fact_batting_summary!E:E, fact_batting_summary!E2781)</f>
        <v>1516</v>
      </c>
      <c r="B2781" s="9">
        <f>AVERAGEIFS(fact_batting_summary!G:G, fact_batting_summary!E:E,fact_batting_summary!E2781)</f>
        <v>40.972972972972975</v>
      </c>
      <c r="C2781">
        <v>1</v>
      </c>
    </row>
    <row r="2782" spans="1:3" x14ac:dyDescent="0.45">
      <c r="A2782">
        <f>SUMIFS(fact_batting_summary!G:G, fact_batting_summary!E:E, fact_batting_summary!E2782)</f>
        <v>365</v>
      </c>
      <c r="B2782" s="9">
        <f>AVERAGEIFS(fact_batting_summary!G:G, fact_batting_summary!E:E,fact_batting_summary!E2782)</f>
        <v>30.416666666666668</v>
      </c>
      <c r="C2782">
        <v>2</v>
      </c>
    </row>
    <row r="2783" spans="1:3" x14ac:dyDescent="0.45">
      <c r="A2783">
        <f>SUMIFS(fact_batting_summary!G:G, fact_batting_summary!E:E, fact_batting_summary!E2783)</f>
        <v>514</v>
      </c>
      <c r="B2783" s="9">
        <f>AVERAGEIFS(fact_batting_summary!G:G, fact_batting_summary!E:E,fact_batting_summary!E2783)</f>
        <v>13.526315789473685</v>
      </c>
      <c r="C2783">
        <v>3</v>
      </c>
    </row>
    <row r="2784" spans="1:3" x14ac:dyDescent="0.45">
      <c r="A2784">
        <f>SUMIFS(fact_batting_summary!G:G, fact_batting_summary!E:E, fact_batting_summary!E2784)</f>
        <v>729</v>
      </c>
      <c r="B2784" s="9">
        <f>AVERAGEIFS(fact_batting_summary!G:G, fact_batting_summary!E:E,fact_batting_summary!E2784)</f>
        <v>19.184210526315791</v>
      </c>
      <c r="C2784">
        <v>4</v>
      </c>
    </row>
    <row r="2785" spans="1:3" x14ac:dyDescent="0.45">
      <c r="A2785">
        <f>SUMIFS(fact_batting_summary!G:G, fact_batting_summary!E:E, fact_batting_summary!E2785)</f>
        <v>340</v>
      </c>
      <c r="B2785" s="9">
        <f>AVERAGEIFS(fact_batting_summary!G:G, fact_batting_summary!E:E,fact_batting_summary!E2785)</f>
        <v>15.454545454545455</v>
      </c>
      <c r="C2785">
        <v>5</v>
      </c>
    </row>
    <row r="2786" spans="1:3" x14ac:dyDescent="0.45">
      <c r="A2786">
        <f>SUMIFS(fact_batting_summary!G:G, fact_batting_summary!E:E, fact_batting_summary!E2786)</f>
        <v>645</v>
      </c>
      <c r="B2786" s="9">
        <f>AVERAGEIFS(fact_batting_summary!G:G, fact_batting_summary!E:E,fact_batting_summary!E2786)</f>
        <v>21.5</v>
      </c>
      <c r="C2786">
        <v>6</v>
      </c>
    </row>
    <row r="2787" spans="1:3" x14ac:dyDescent="0.45">
      <c r="A2787">
        <f>SUMIFS(fact_batting_summary!G:G, fact_batting_summary!E:E, fact_batting_summary!E2787)</f>
        <v>695</v>
      </c>
      <c r="B2787" s="9">
        <f>AVERAGEIFS(fact_batting_summary!G:G, fact_batting_summary!E:E,fact_batting_summary!E2787)</f>
        <v>18.783783783783782</v>
      </c>
      <c r="C2787">
        <v>7</v>
      </c>
    </row>
    <row r="2788" spans="1:3" x14ac:dyDescent="0.45">
      <c r="A2788">
        <f>SUMIFS(fact_batting_summary!G:G, fact_batting_summary!E:E, fact_batting_summary!E2788)</f>
        <v>97</v>
      </c>
      <c r="B2788" s="9">
        <f>AVERAGEIFS(fact_batting_summary!G:G, fact_batting_summary!E:E,fact_batting_summary!E2788)</f>
        <v>16.166666666666668</v>
      </c>
      <c r="C2788">
        <v>8</v>
      </c>
    </row>
    <row r="2789" spans="1:3" x14ac:dyDescent="0.45">
      <c r="A2789">
        <f>SUMIFS(fact_batting_summary!G:G, fact_batting_summary!E:E, fact_batting_summary!E2789)</f>
        <v>21</v>
      </c>
      <c r="B2789" s="9">
        <f>AVERAGEIFS(fact_batting_summary!G:G, fact_batting_summary!E:E,fact_batting_summary!E2789)</f>
        <v>2.3333333333333335</v>
      </c>
      <c r="C2789">
        <v>9</v>
      </c>
    </row>
    <row r="2790" spans="1:3" x14ac:dyDescent="0.45">
      <c r="A2790">
        <f>SUMIFS(fact_batting_summary!G:G, fact_batting_summary!E:E, fact_batting_summary!E2790)</f>
        <v>190</v>
      </c>
      <c r="B2790" s="9">
        <f>AVERAGEIFS(fact_batting_summary!G:G, fact_batting_summary!E:E,fact_batting_summary!E2790)</f>
        <v>17.272727272727273</v>
      </c>
      <c r="C2790">
        <v>1</v>
      </c>
    </row>
    <row r="2791" spans="1:3" x14ac:dyDescent="0.45">
      <c r="A2791">
        <f>SUMIFS(fact_batting_summary!G:G, fact_batting_summary!E:E, fact_batting_summary!E2791)</f>
        <v>745</v>
      </c>
      <c r="B2791" s="9">
        <f>AVERAGEIFS(fact_batting_summary!G:G, fact_batting_summary!E:E,fact_batting_summary!E2791)</f>
        <v>24.032258064516128</v>
      </c>
      <c r="C2791">
        <v>2</v>
      </c>
    </row>
    <row r="2792" spans="1:3" x14ac:dyDescent="0.45">
      <c r="A2792">
        <f>SUMIFS(fact_batting_summary!G:G, fact_batting_summary!E:E, fact_batting_summary!E2792)</f>
        <v>1083</v>
      </c>
      <c r="B2792" s="9">
        <f>AVERAGEIFS(fact_batting_summary!G:G, fact_batting_summary!E:E,fact_batting_summary!E2792)</f>
        <v>25.186046511627907</v>
      </c>
      <c r="C2792">
        <v>3</v>
      </c>
    </row>
    <row r="2793" spans="1:3" x14ac:dyDescent="0.45">
      <c r="A2793">
        <f>SUMIFS(fact_batting_summary!G:G, fact_batting_summary!E:E, fact_batting_summary!E2793)</f>
        <v>775</v>
      </c>
      <c r="B2793" s="9">
        <f>AVERAGEIFS(fact_batting_summary!G:G, fact_batting_summary!E:E,fact_batting_summary!E2793)</f>
        <v>25</v>
      </c>
      <c r="C2793">
        <v>4</v>
      </c>
    </row>
    <row r="2794" spans="1:3" x14ac:dyDescent="0.45">
      <c r="A2794">
        <f>SUMIFS(fact_batting_summary!G:G, fact_batting_summary!E:E, fact_batting_summary!E2794)</f>
        <v>448</v>
      </c>
      <c r="B2794" s="9">
        <f>AVERAGEIFS(fact_batting_summary!G:G, fact_batting_summary!E:E,fact_batting_summary!E2794)</f>
        <v>40.727272727272727</v>
      </c>
      <c r="C2794">
        <v>5</v>
      </c>
    </row>
    <row r="2795" spans="1:3" x14ac:dyDescent="0.45">
      <c r="A2795">
        <f>SUMIFS(fact_batting_summary!G:G, fact_batting_summary!E:E, fact_batting_summary!E2795)</f>
        <v>907</v>
      </c>
      <c r="B2795" s="9">
        <f>AVERAGEIFS(fact_batting_summary!G:G, fact_batting_summary!E:E,fact_batting_summary!E2795)</f>
        <v>26.676470588235293</v>
      </c>
      <c r="C2795">
        <v>6</v>
      </c>
    </row>
    <row r="2796" spans="1:3" x14ac:dyDescent="0.45">
      <c r="A2796">
        <f>SUMIFS(fact_batting_summary!G:G, fact_batting_summary!E:E, fact_batting_summary!E2796)</f>
        <v>48</v>
      </c>
      <c r="B2796" s="9">
        <f>AVERAGEIFS(fact_batting_summary!G:G, fact_batting_summary!E:E,fact_batting_summary!E2796)</f>
        <v>4.3636363636363633</v>
      </c>
      <c r="C2796">
        <v>7</v>
      </c>
    </row>
    <row r="2797" spans="1:3" x14ac:dyDescent="0.45">
      <c r="A2797">
        <f>SUMIFS(fact_batting_summary!G:G, fact_batting_summary!E:E, fact_batting_summary!E2797)</f>
        <v>192</v>
      </c>
      <c r="B2797" s="9">
        <f>AVERAGEIFS(fact_batting_summary!G:G, fact_batting_summary!E:E,fact_batting_summary!E2797)</f>
        <v>12</v>
      </c>
      <c r="C2797">
        <v>8</v>
      </c>
    </row>
    <row r="2798" spans="1:3" x14ac:dyDescent="0.45">
      <c r="A2798">
        <f>SUMIFS(fact_batting_summary!G:G, fact_batting_summary!E:E, fact_batting_summary!E2798)</f>
        <v>1593</v>
      </c>
      <c r="B2798" s="9">
        <f>AVERAGEIFS(fact_batting_summary!G:G, fact_batting_summary!E:E,fact_batting_summary!E2798)</f>
        <v>35.4</v>
      </c>
      <c r="C2798">
        <v>1</v>
      </c>
    </row>
    <row r="2799" spans="1:3" x14ac:dyDescent="0.45">
      <c r="A2799">
        <f>SUMIFS(fact_batting_summary!G:G, fact_batting_summary!E:E, fact_batting_summary!E2799)</f>
        <v>924</v>
      </c>
      <c r="B2799" s="9">
        <f>AVERAGEIFS(fact_batting_summary!G:G, fact_batting_summary!E:E,fact_batting_summary!E2799)</f>
        <v>42</v>
      </c>
      <c r="C2799">
        <v>2</v>
      </c>
    </row>
    <row r="2800" spans="1:3" x14ac:dyDescent="0.45">
      <c r="A2800">
        <f>SUMIFS(fact_batting_summary!G:G, fact_batting_summary!E:E, fact_batting_summary!E2800)</f>
        <v>467</v>
      </c>
      <c r="B2800" s="9">
        <f>AVERAGEIFS(fact_batting_summary!G:G, fact_batting_summary!E:E,fact_batting_summary!E2800)</f>
        <v>24.578947368421051</v>
      </c>
      <c r="C2800">
        <v>3</v>
      </c>
    </row>
    <row r="2801" spans="1:3" x14ac:dyDescent="0.45">
      <c r="A2801">
        <f>SUMIFS(fact_batting_summary!G:G, fact_batting_summary!E:E, fact_batting_summary!E2801)</f>
        <v>689</v>
      </c>
      <c r="B2801" s="9">
        <f>AVERAGEIFS(fact_batting_summary!G:G, fact_batting_summary!E:E,fact_batting_summary!E2801)</f>
        <v>19.138888888888889</v>
      </c>
      <c r="C2801">
        <v>4</v>
      </c>
    </row>
    <row r="2802" spans="1:3" x14ac:dyDescent="0.45">
      <c r="A2802">
        <f>SUMIFS(fact_batting_summary!G:G, fact_batting_summary!E:E, fact_batting_summary!E2802)</f>
        <v>725</v>
      </c>
      <c r="B2802" s="9">
        <f>AVERAGEIFS(fact_batting_summary!G:G, fact_batting_summary!E:E,fact_batting_summary!E2802)</f>
        <v>20.714285714285715</v>
      </c>
      <c r="C2802">
        <v>5</v>
      </c>
    </row>
    <row r="2803" spans="1:3" x14ac:dyDescent="0.45">
      <c r="A2803">
        <f>SUMIFS(fact_batting_summary!G:G, fact_batting_summary!E:E, fact_batting_summary!E2803)</f>
        <v>435</v>
      </c>
      <c r="B2803" s="9">
        <f>AVERAGEIFS(fact_batting_summary!G:G, fact_batting_summary!E:E,fact_batting_summary!E2803)</f>
        <v>33.46153846153846</v>
      </c>
      <c r="C2803">
        <v>1</v>
      </c>
    </row>
    <row r="2804" spans="1:3" x14ac:dyDescent="0.45">
      <c r="A2804">
        <f>SUMIFS(fact_batting_summary!G:G, fact_batting_summary!E:E, fact_batting_summary!E2804)</f>
        <v>4</v>
      </c>
      <c r="B2804" s="9">
        <f>AVERAGEIFS(fact_batting_summary!G:G, fact_batting_summary!E:E,fact_batting_summary!E2804)</f>
        <v>4</v>
      </c>
      <c r="C2804">
        <v>2</v>
      </c>
    </row>
    <row r="2805" spans="1:3" x14ac:dyDescent="0.45">
      <c r="A2805">
        <f>SUMIFS(fact_batting_summary!G:G, fact_batting_summary!E:E, fact_batting_summary!E2805)</f>
        <v>956</v>
      </c>
      <c r="B2805" s="9">
        <f>AVERAGEIFS(fact_batting_summary!G:G, fact_batting_summary!E:E,fact_batting_summary!E2805)</f>
        <v>26.555555555555557</v>
      </c>
      <c r="C2805">
        <v>3</v>
      </c>
    </row>
    <row r="2806" spans="1:3" x14ac:dyDescent="0.45">
      <c r="A2806">
        <f>SUMIFS(fact_batting_summary!G:G, fact_batting_summary!E:E, fact_batting_summary!E2806)</f>
        <v>1157</v>
      </c>
      <c r="B2806" s="9">
        <f>AVERAGEIFS(fact_batting_summary!G:G, fact_batting_summary!E:E,fact_batting_summary!E2806)</f>
        <v>26.295454545454547</v>
      </c>
      <c r="C2806">
        <v>4</v>
      </c>
    </row>
    <row r="2807" spans="1:3" x14ac:dyDescent="0.45">
      <c r="A2807">
        <f>SUMIFS(fact_batting_summary!G:G, fact_batting_summary!E:E, fact_batting_summary!E2807)</f>
        <v>47</v>
      </c>
      <c r="B2807" s="9">
        <f>AVERAGEIFS(fact_batting_summary!G:G, fact_batting_summary!E:E,fact_batting_summary!E2807)</f>
        <v>6.7142857142857144</v>
      </c>
      <c r="C2807">
        <v>5</v>
      </c>
    </row>
    <row r="2808" spans="1:3" x14ac:dyDescent="0.45">
      <c r="A2808">
        <f>SUMIFS(fact_batting_summary!G:G, fact_batting_summary!E:E, fact_batting_summary!E2808)</f>
        <v>648</v>
      </c>
      <c r="B2808" s="9">
        <f>AVERAGEIFS(fact_batting_summary!G:G, fact_batting_summary!E:E,fact_batting_summary!E2808)</f>
        <v>30.857142857142858</v>
      </c>
      <c r="C2808">
        <v>6</v>
      </c>
    </row>
    <row r="2809" spans="1:3" x14ac:dyDescent="0.45">
      <c r="A2809">
        <f>SUMIFS(fact_batting_summary!G:G, fact_batting_summary!E:E, fact_batting_summary!E2809)</f>
        <v>154</v>
      </c>
      <c r="B2809" s="9">
        <f>AVERAGEIFS(fact_batting_summary!G:G, fact_batting_summary!E:E,fact_batting_summary!E2809)</f>
        <v>5.1333333333333337</v>
      </c>
      <c r="C2809">
        <v>7</v>
      </c>
    </row>
    <row r="2810" spans="1:3" x14ac:dyDescent="0.45">
      <c r="A2810">
        <f>SUMIFS(fact_batting_summary!G:G, fact_batting_summary!E:E, fact_batting_summary!E2810)</f>
        <v>745</v>
      </c>
      <c r="B2810" s="9">
        <f>AVERAGEIFS(fact_batting_summary!G:G, fact_batting_summary!E:E,fact_batting_summary!E2810)</f>
        <v>21.285714285714285</v>
      </c>
      <c r="C2810">
        <v>8</v>
      </c>
    </row>
    <row r="2811" spans="1:3" x14ac:dyDescent="0.45">
      <c r="A2811">
        <f>SUMIFS(fact_batting_summary!G:G, fact_batting_summary!E:E, fact_batting_summary!E2811)</f>
        <v>23</v>
      </c>
      <c r="B2811" s="9">
        <f>AVERAGEIFS(fact_batting_summary!G:G, fact_batting_summary!E:E,fact_batting_summary!E2811)</f>
        <v>4.5999999999999996</v>
      </c>
      <c r="C2811">
        <v>9</v>
      </c>
    </row>
    <row r="2812" spans="1:3" x14ac:dyDescent="0.45">
      <c r="A2812">
        <f>SUMIFS(fact_batting_summary!G:G, fact_batting_summary!E:E, fact_batting_summary!E2812)</f>
        <v>74</v>
      </c>
      <c r="B2812" s="9">
        <f>AVERAGEIFS(fact_batting_summary!G:G, fact_batting_summary!E:E,fact_batting_summary!E2812)</f>
        <v>6.166666666666667</v>
      </c>
      <c r="C2812">
        <v>10</v>
      </c>
    </row>
    <row r="2813" spans="1:3" x14ac:dyDescent="0.45">
      <c r="A2813">
        <f>SUMIFS(fact_batting_summary!G:G, fact_batting_summary!E:E, fact_batting_summary!E2813)</f>
        <v>15</v>
      </c>
      <c r="B2813" s="9">
        <f>AVERAGEIFS(fact_batting_summary!G:G, fact_batting_summary!E:E,fact_batting_summary!E2813)</f>
        <v>1.6666666666666667</v>
      </c>
      <c r="C2813">
        <v>11</v>
      </c>
    </row>
    <row r="2814" spans="1:3" x14ac:dyDescent="0.45">
      <c r="A2814">
        <f>SUMIFS(fact_batting_summary!G:G, fact_batting_summary!E:E, fact_batting_summary!E2814)</f>
        <v>1137</v>
      </c>
      <c r="B2814" s="9">
        <f>AVERAGEIFS(fact_batting_summary!G:G, fact_batting_summary!E:E,fact_batting_summary!E2814)</f>
        <v>34.454545454545453</v>
      </c>
      <c r="C2814">
        <v>1</v>
      </c>
    </row>
    <row r="2815" spans="1:3" x14ac:dyDescent="0.45">
      <c r="A2815">
        <f>SUMIFS(fact_batting_summary!G:G, fact_batting_summary!E:E, fact_batting_summary!E2815)</f>
        <v>815</v>
      </c>
      <c r="B2815" s="9">
        <f>AVERAGEIFS(fact_batting_summary!G:G, fact_batting_summary!E:E,fact_batting_summary!E2815)</f>
        <v>25.46875</v>
      </c>
      <c r="C2815">
        <v>2</v>
      </c>
    </row>
    <row r="2816" spans="1:3" x14ac:dyDescent="0.45">
      <c r="A2816">
        <f>SUMIFS(fact_batting_summary!G:G, fact_batting_summary!E:E, fact_batting_summary!E2816)</f>
        <v>379</v>
      </c>
      <c r="B2816" s="9">
        <f>AVERAGEIFS(fact_batting_summary!G:G, fact_batting_summary!E:E,fact_batting_summary!E2816)</f>
        <v>22.294117647058822</v>
      </c>
      <c r="C2816">
        <v>3</v>
      </c>
    </row>
    <row r="2817" spans="1:3" x14ac:dyDescent="0.45">
      <c r="A2817">
        <f>SUMIFS(fact_batting_summary!G:G, fact_batting_summary!E:E, fact_batting_summary!E2817)</f>
        <v>218</v>
      </c>
      <c r="B2817" s="9">
        <f>AVERAGEIFS(fact_batting_summary!G:G, fact_batting_summary!E:E,fact_batting_summary!E2817)</f>
        <v>24.222222222222221</v>
      </c>
      <c r="C2817">
        <v>4</v>
      </c>
    </row>
    <row r="2818" spans="1:3" x14ac:dyDescent="0.45">
      <c r="A2818">
        <f>SUMIFS(fact_batting_summary!G:G, fact_batting_summary!E:E, fact_batting_summary!E2818)</f>
        <v>540</v>
      </c>
      <c r="B2818" s="9">
        <f>AVERAGEIFS(fact_batting_summary!G:G, fact_batting_summary!E:E,fact_batting_summary!E2818)</f>
        <v>23.478260869565219</v>
      </c>
      <c r="C2818">
        <v>5</v>
      </c>
    </row>
    <row r="2819" spans="1:3" x14ac:dyDescent="0.45">
      <c r="A2819">
        <f>SUMIFS(fact_batting_summary!G:G, fact_batting_summary!E:E, fact_batting_summary!E2819)</f>
        <v>505</v>
      </c>
      <c r="B2819" s="9">
        <f>AVERAGEIFS(fact_batting_summary!G:G, fact_batting_summary!E:E,fact_batting_summary!E2819)</f>
        <v>17.413793103448278</v>
      </c>
      <c r="C2819">
        <v>6</v>
      </c>
    </row>
    <row r="2820" spans="1:3" x14ac:dyDescent="0.45">
      <c r="A2820">
        <f>SUMIFS(fact_batting_summary!G:G, fact_batting_summary!E:E, fact_batting_summary!E2820)</f>
        <v>115</v>
      </c>
      <c r="B2820" s="9">
        <f>AVERAGEIFS(fact_batting_summary!G:G, fact_batting_summary!E:E,fact_batting_summary!E2820)</f>
        <v>11.5</v>
      </c>
      <c r="C2820">
        <v>7</v>
      </c>
    </row>
    <row r="2821" spans="1:3" x14ac:dyDescent="0.45">
      <c r="A2821">
        <f>SUMIFS(fact_batting_summary!G:G, fact_batting_summary!E:E, fact_batting_summary!E2821)</f>
        <v>295</v>
      </c>
      <c r="B2821" s="9">
        <f>AVERAGEIFS(fact_batting_summary!G:G, fact_batting_summary!E:E,fact_batting_summary!E2821)</f>
        <v>15.526315789473685</v>
      </c>
      <c r="C2821">
        <v>8</v>
      </c>
    </row>
    <row r="2822" spans="1:3" x14ac:dyDescent="0.45">
      <c r="A2822">
        <f>SUMIFS(fact_batting_summary!G:G, fact_batting_summary!E:E, fact_batting_summary!E2822)</f>
        <v>1385</v>
      </c>
      <c r="B2822" s="9">
        <f>AVERAGEIFS(fact_batting_summary!G:G, fact_batting_summary!E:E,fact_batting_summary!E2822)</f>
        <v>30.777777777777779</v>
      </c>
      <c r="C2822">
        <v>1</v>
      </c>
    </row>
    <row r="2823" spans="1:3" x14ac:dyDescent="0.45">
      <c r="A2823">
        <f>SUMIFS(fact_batting_summary!G:G, fact_batting_summary!E:E, fact_batting_summary!E2823)</f>
        <v>1831</v>
      </c>
      <c r="B2823" s="9">
        <f>AVERAGEIFS(fact_batting_summary!G:G, fact_batting_summary!E:E,fact_batting_summary!E2823)</f>
        <v>39.804347826086953</v>
      </c>
      <c r="C2823">
        <v>2</v>
      </c>
    </row>
    <row r="2824" spans="1:3" x14ac:dyDescent="0.45">
      <c r="A2824">
        <f>SUMIFS(fact_batting_summary!G:G, fact_batting_summary!E:E, fact_batting_summary!E2824)</f>
        <v>1214</v>
      </c>
      <c r="B2824" s="9">
        <f>AVERAGEIFS(fact_batting_summary!G:G, fact_batting_summary!E:E,fact_batting_summary!E2824)</f>
        <v>29.609756097560975</v>
      </c>
      <c r="C2824">
        <v>3</v>
      </c>
    </row>
    <row r="2825" spans="1:3" x14ac:dyDescent="0.45">
      <c r="A2825">
        <f>SUMIFS(fact_batting_summary!G:G, fact_batting_summary!E:E, fact_batting_summary!E2825)</f>
        <v>693</v>
      </c>
      <c r="B2825" s="9">
        <f>AVERAGEIFS(fact_batting_summary!G:G, fact_batting_summary!E:E,fact_batting_summary!E2825)</f>
        <v>15.75</v>
      </c>
      <c r="C2825">
        <v>4</v>
      </c>
    </row>
    <row r="2826" spans="1:3" x14ac:dyDescent="0.45">
      <c r="A2826">
        <f>SUMIFS(fact_batting_summary!G:G, fact_batting_summary!E:E, fact_batting_summary!E2826)</f>
        <v>315</v>
      </c>
      <c r="B2826" s="9">
        <f>AVERAGEIFS(fact_batting_summary!G:G, fact_batting_summary!E:E,fact_batting_summary!E2826)</f>
        <v>16.578947368421051</v>
      </c>
      <c r="C2826">
        <v>5</v>
      </c>
    </row>
    <row r="2827" spans="1:3" x14ac:dyDescent="0.45">
      <c r="A2827">
        <f>SUMIFS(fact_batting_summary!G:G, fact_batting_summary!E:E, fact_batting_summary!E2827)</f>
        <v>320</v>
      </c>
      <c r="B2827" s="9">
        <f>AVERAGEIFS(fact_batting_summary!G:G, fact_batting_summary!E:E,fact_batting_summary!E2827)</f>
        <v>13.333333333333334</v>
      </c>
      <c r="C2827">
        <v>6</v>
      </c>
    </row>
    <row r="2828" spans="1:3" x14ac:dyDescent="0.45">
      <c r="A2828">
        <f>SUMIFS(fact_batting_summary!G:G, fact_batting_summary!E:E, fact_batting_summary!E2828)</f>
        <v>186</v>
      </c>
      <c r="B2828" s="9">
        <f>AVERAGEIFS(fact_batting_summary!G:G, fact_batting_summary!E:E,fact_batting_summary!E2828)</f>
        <v>26.571428571428573</v>
      </c>
      <c r="C2828">
        <v>1</v>
      </c>
    </row>
    <row r="2829" spans="1:3" x14ac:dyDescent="0.45">
      <c r="A2829">
        <f>SUMIFS(fact_batting_summary!G:G, fact_batting_summary!E:E, fact_batting_summary!E2829)</f>
        <v>391</v>
      </c>
      <c r="B2829" s="9">
        <f>AVERAGEIFS(fact_batting_summary!G:G, fact_batting_summary!E:E,fact_batting_summary!E2829)</f>
        <v>23</v>
      </c>
      <c r="C2829">
        <v>2</v>
      </c>
    </row>
    <row r="2830" spans="1:3" x14ac:dyDescent="0.45">
      <c r="A2830">
        <f>SUMIFS(fact_batting_summary!G:G, fact_batting_summary!E:E, fact_batting_summary!E2830)</f>
        <v>117</v>
      </c>
      <c r="B2830" s="9">
        <f>AVERAGEIFS(fact_batting_summary!G:G, fact_batting_summary!E:E,fact_batting_summary!E2830)</f>
        <v>19.5</v>
      </c>
      <c r="C2830">
        <v>3</v>
      </c>
    </row>
    <row r="2831" spans="1:3" x14ac:dyDescent="0.45">
      <c r="A2831">
        <f>SUMIFS(fact_batting_summary!G:G, fact_batting_summary!E:E, fact_batting_summary!E2831)</f>
        <v>758</v>
      </c>
      <c r="B2831" s="9">
        <f>AVERAGEIFS(fact_batting_summary!G:G, fact_batting_summary!E:E,fact_batting_summary!E2831)</f>
        <v>27.071428571428573</v>
      </c>
      <c r="C2831">
        <v>4</v>
      </c>
    </row>
    <row r="2832" spans="1:3" x14ac:dyDescent="0.45">
      <c r="A2832">
        <f>SUMIFS(fact_batting_summary!G:G, fact_batting_summary!E:E, fact_batting_summary!E2832)</f>
        <v>76</v>
      </c>
      <c r="B2832" s="9">
        <f>AVERAGEIFS(fact_batting_summary!G:G, fact_batting_summary!E:E,fact_batting_summary!E2832)</f>
        <v>25.333333333333332</v>
      </c>
      <c r="C2832">
        <v>5</v>
      </c>
    </row>
    <row r="2833" spans="1:3" x14ac:dyDescent="0.45">
      <c r="A2833">
        <f>SUMIFS(fact_batting_summary!G:G, fact_batting_summary!E:E, fact_batting_summary!E2833)</f>
        <v>332</v>
      </c>
      <c r="B2833" s="9">
        <f>AVERAGEIFS(fact_batting_summary!G:G, fact_batting_summary!E:E,fact_batting_summary!E2833)</f>
        <v>19.529411764705884</v>
      </c>
      <c r="C2833">
        <v>6</v>
      </c>
    </row>
    <row r="2834" spans="1:3" x14ac:dyDescent="0.45">
      <c r="A2834">
        <f>SUMIFS(fact_batting_summary!G:G, fact_batting_summary!E:E, fact_batting_summary!E2834)</f>
        <v>543</v>
      </c>
      <c r="B2834" s="9">
        <f>AVERAGEIFS(fact_batting_summary!G:G, fact_batting_summary!E:E,fact_batting_summary!E2834)</f>
        <v>22.625</v>
      </c>
      <c r="C2834">
        <v>7</v>
      </c>
    </row>
    <row r="2835" spans="1:3" x14ac:dyDescent="0.45">
      <c r="A2835">
        <f>SUMIFS(fact_batting_summary!G:G, fact_batting_summary!E:E, fact_batting_summary!E2835)</f>
        <v>426</v>
      </c>
      <c r="B2835" s="9">
        <f>AVERAGEIFS(fact_batting_summary!G:G, fact_batting_summary!E:E,fact_batting_summary!E2835)</f>
        <v>13.741935483870968</v>
      </c>
      <c r="C2835">
        <v>8</v>
      </c>
    </row>
    <row r="2836" spans="1:3" x14ac:dyDescent="0.45">
      <c r="A2836">
        <f>SUMIFS(fact_batting_summary!G:G, fact_batting_summary!E:E, fact_batting_summary!E2836)</f>
        <v>138</v>
      </c>
      <c r="B2836" s="9">
        <f>AVERAGEIFS(fact_batting_summary!G:G, fact_batting_summary!E:E,fact_batting_summary!E2836)</f>
        <v>8.625</v>
      </c>
      <c r="C2836">
        <v>9</v>
      </c>
    </row>
    <row r="2837" spans="1:3" x14ac:dyDescent="0.45">
      <c r="A2837">
        <f>SUMIFS(fact_batting_summary!G:G, fact_batting_summary!E:E, fact_batting_summary!E2837)</f>
        <v>19</v>
      </c>
      <c r="B2837" s="9">
        <f>AVERAGEIFS(fact_batting_summary!G:G, fact_batting_summary!E:E,fact_batting_summary!E2837)</f>
        <v>3.8</v>
      </c>
      <c r="C2837">
        <v>10</v>
      </c>
    </row>
    <row r="2838" spans="1:3" x14ac:dyDescent="0.45">
      <c r="A2838">
        <f>SUMIFS(fact_batting_summary!G:G, fact_batting_summary!E:E, fact_batting_summary!E2838)</f>
        <v>25</v>
      </c>
      <c r="B2838" s="9">
        <f>AVERAGEIFS(fact_batting_summary!G:G, fact_batting_summary!E:E,fact_batting_summary!E2838)</f>
        <v>2.5</v>
      </c>
      <c r="C2838">
        <v>11</v>
      </c>
    </row>
    <row r="2839" spans="1:3" x14ac:dyDescent="0.45">
      <c r="A2839">
        <f>SUMIFS(fact_batting_summary!G:G, fact_batting_summary!E:E, fact_batting_summary!E2839)</f>
        <v>1516</v>
      </c>
      <c r="B2839" s="9">
        <f>AVERAGEIFS(fact_batting_summary!G:G, fact_batting_summary!E:E,fact_batting_summary!E2839)</f>
        <v>40.972972972972975</v>
      </c>
      <c r="C2839">
        <v>1</v>
      </c>
    </row>
    <row r="2840" spans="1:3" x14ac:dyDescent="0.45">
      <c r="A2840">
        <f>SUMIFS(fact_batting_summary!G:G, fact_batting_summary!E:E, fact_batting_summary!E2840)</f>
        <v>365</v>
      </c>
      <c r="B2840" s="9">
        <f>AVERAGEIFS(fact_batting_summary!G:G, fact_batting_summary!E:E,fact_batting_summary!E2840)</f>
        <v>30.416666666666668</v>
      </c>
      <c r="C2840">
        <v>2</v>
      </c>
    </row>
    <row r="2841" spans="1:3" x14ac:dyDescent="0.45">
      <c r="A2841">
        <f>SUMIFS(fact_batting_summary!G:G, fact_batting_summary!E:E, fact_batting_summary!E2841)</f>
        <v>340</v>
      </c>
      <c r="B2841" s="9">
        <f>AVERAGEIFS(fact_batting_summary!G:G, fact_batting_summary!E:E,fact_batting_summary!E2841)</f>
        <v>15.454545454545455</v>
      </c>
      <c r="C2841">
        <v>3</v>
      </c>
    </row>
    <row r="2842" spans="1:3" x14ac:dyDescent="0.45">
      <c r="A2842">
        <f>SUMIFS(fact_batting_summary!G:G, fact_batting_summary!E:E, fact_batting_summary!E2842)</f>
        <v>695</v>
      </c>
      <c r="B2842" s="9">
        <f>AVERAGEIFS(fact_batting_summary!G:G, fact_batting_summary!E:E,fact_batting_summary!E2842)</f>
        <v>18.783783783783782</v>
      </c>
      <c r="C2842">
        <v>4</v>
      </c>
    </row>
    <row r="2843" spans="1:3" x14ac:dyDescent="0.45">
      <c r="A2843">
        <f>SUMIFS(fact_batting_summary!G:G, fact_batting_summary!E:E, fact_batting_summary!E2843)</f>
        <v>645</v>
      </c>
      <c r="B2843" s="9">
        <f>AVERAGEIFS(fact_batting_summary!G:G, fact_batting_summary!E:E,fact_batting_summary!E2843)</f>
        <v>21.5</v>
      </c>
      <c r="C2843">
        <v>5</v>
      </c>
    </row>
    <row r="2844" spans="1:3" x14ac:dyDescent="0.45">
      <c r="A2844">
        <f>SUMIFS(fact_batting_summary!G:G, fact_batting_summary!E:E, fact_batting_summary!E2844)</f>
        <v>729</v>
      </c>
      <c r="B2844" s="9">
        <f>AVERAGEIFS(fact_batting_summary!G:G, fact_batting_summary!E:E,fact_batting_summary!E2844)</f>
        <v>19.184210526315791</v>
      </c>
      <c r="C2844">
        <v>6</v>
      </c>
    </row>
    <row r="2845" spans="1:3" x14ac:dyDescent="0.45">
      <c r="A2845">
        <f>SUMIFS(fact_batting_summary!G:G, fact_batting_summary!E:E, fact_batting_summary!E2845)</f>
        <v>514</v>
      </c>
      <c r="B2845" s="9">
        <f>AVERAGEIFS(fact_batting_summary!G:G, fact_batting_summary!E:E,fact_batting_summary!E2845)</f>
        <v>13.526315789473685</v>
      </c>
      <c r="C2845">
        <v>7</v>
      </c>
    </row>
    <row r="2846" spans="1:3" x14ac:dyDescent="0.45">
      <c r="A2846">
        <f>SUMIFS(fact_batting_summary!G:G, fact_batting_summary!E:E, fact_batting_summary!E2846)</f>
        <v>1</v>
      </c>
      <c r="B2846" s="9">
        <f>AVERAGEIFS(fact_batting_summary!G:G, fact_batting_summary!E:E,fact_batting_summary!E2846)</f>
        <v>0.5</v>
      </c>
      <c r="C2846">
        <v>8</v>
      </c>
    </row>
    <row r="2847" spans="1:3" x14ac:dyDescent="0.45">
      <c r="A2847">
        <f>SUMIFS(fact_batting_summary!G:G, fact_batting_summary!E:E, fact_batting_summary!E2847)</f>
        <v>1132</v>
      </c>
      <c r="B2847" s="9">
        <f>AVERAGEIFS(fact_batting_summary!G:G, fact_batting_summary!E:E,fact_batting_summary!E2847)</f>
        <v>33.294117647058826</v>
      </c>
      <c r="C2847">
        <v>1</v>
      </c>
    </row>
    <row r="2848" spans="1:3" x14ac:dyDescent="0.45">
      <c r="A2848">
        <f>SUMIFS(fact_batting_summary!G:G, fact_batting_summary!E:E, fact_batting_summary!E2848)</f>
        <v>1509</v>
      </c>
      <c r="B2848" s="9">
        <f>AVERAGEIFS(fact_batting_summary!G:G, fact_batting_summary!E:E,fact_batting_summary!E2848)</f>
        <v>39.710526315789473</v>
      </c>
      <c r="C2848">
        <v>2</v>
      </c>
    </row>
    <row r="2849" spans="1:3" x14ac:dyDescent="0.45">
      <c r="A2849">
        <f>SUMIFS(fact_batting_summary!G:G, fact_batting_summary!E:E, fact_batting_summary!E2849)</f>
        <v>1304</v>
      </c>
      <c r="B2849" s="9">
        <f>AVERAGEIFS(fact_batting_summary!G:G, fact_batting_summary!E:E,fact_batting_summary!E2849)</f>
        <v>28.977777777777778</v>
      </c>
      <c r="C2849">
        <v>3</v>
      </c>
    </row>
    <row r="2850" spans="1:3" x14ac:dyDescent="0.45">
      <c r="A2850">
        <f>SUMIFS(fact_batting_summary!G:G, fact_batting_summary!E:E, fact_batting_summary!E2850)</f>
        <v>1048</v>
      </c>
      <c r="B2850" s="9">
        <f>AVERAGEIFS(fact_batting_summary!G:G, fact_batting_summary!E:E,fact_batting_summary!E2850)</f>
        <v>24.952380952380953</v>
      </c>
      <c r="C2850">
        <v>4</v>
      </c>
    </row>
    <row r="2851" spans="1:3" x14ac:dyDescent="0.45">
      <c r="A2851">
        <f>SUMIFS(fact_batting_summary!G:G, fact_batting_summary!E:E, fact_batting_summary!E2851)</f>
        <v>854</v>
      </c>
      <c r="B2851" s="9">
        <f>AVERAGEIFS(fact_batting_summary!G:G, fact_batting_summary!E:E,fact_batting_summary!E2851)</f>
        <v>21.35</v>
      </c>
      <c r="C2851">
        <v>5</v>
      </c>
    </row>
    <row r="2852" spans="1:3" x14ac:dyDescent="0.45">
      <c r="A2852">
        <f>SUMIFS(fact_batting_summary!G:G, fact_batting_summary!E:E, fact_batting_summary!E2852)</f>
        <v>354</v>
      </c>
      <c r="B2852" s="9">
        <f>AVERAGEIFS(fact_batting_summary!G:G, fact_batting_summary!E:E,fact_batting_summary!E2852)</f>
        <v>11.419354838709678</v>
      </c>
      <c r="C2852">
        <v>6</v>
      </c>
    </row>
    <row r="2853" spans="1:3" x14ac:dyDescent="0.45">
      <c r="A2853">
        <f>SUMIFS(fact_batting_summary!G:G, fact_batting_summary!E:E, fact_batting_summary!E2853)</f>
        <v>152</v>
      </c>
      <c r="B2853" s="9">
        <f>AVERAGEIFS(fact_batting_summary!G:G, fact_batting_summary!E:E,fact_batting_summary!E2853)</f>
        <v>13.818181818181818</v>
      </c>
      <c r="C2853">
        <v>7</v>
      </c>
    </row>
    <row r="2854" spans="1:3" x14ac:dyDescent="0.45">
      <c r="A2854">
        <f>SUMIFS(fact_batting_summary!G:G, fact_batting_summary!E:E, fact_batting_summary!E2854)</f>
        <v>302</v>
      </c>
      <c r="B2854" s="9">
        <f>AVERAGEIFS(fact_batting_summary!G:G, fact_batting_summary!E:E,fact_batting_summary!E2854)</f>
        <v>11.185185185185185</v>
      </c>
      <c r="C2854">
        <v>8</v>
      </c>
    </row>
    <row r="2855" spans="1:3" x14ac:dyDescent="0.45">
      <c r="A2855">
        <f>SUMIFS(fact_batting_summary!G:G, fact_batting_summary!E:E, fact_batting_summary!E2855)</f>
        <v>981</v>
      </c>
      <c r="B2855" s="9">
        <f>AVERAGEIFS(fact_batting_summary!G:G, fact_batting_summary!E:E,fact_batting_summary!E2855)</f>
        <v>22.813953488372093</v>
      </c>
      <c r="C2855">
        <v>1</v>
      </c>
    </row>
    <row r="2856" spans="1:3" x14ac:dyDescent="0.45">
      <c r="A2856">
        <f>SUMIFS(fact_batting_summary!G:G, fact_batting_summary!E:E, fact_batting_summary!E2856)</f>
        <v>1113</v>
      </c>
      <c r="B2856" s="9">
        <f>AVERAGEIFS(fact_batting_summary!G:G, fact_batting_summary!E:E,fact_batting_summary!E2856)</f>
        <v>28.53846153846154</v>
      </c>
      <c r="C2856">
        <v>2</v>
      </c>
    </row>
    <row r="2857" spans="1:3" x14ac:dyDescent="0.45">
      <c r="A2857">
        <f>SUMIFS(fact_batting_summary!G:G, fact_batting_summary!E:E, fact_batting_summary!E2857)</f>
        <v>452</v>
      </c>
      <c r="B2857" s="9">
        <f>AVERAGEIFS(fact_batting_summary!G:G, fact_batting_summary!E:E,fact_batting_summary!E2857)</f>
        <v>28.25</v>
      </c>
      <c r="C2857">
        <v>3</v>
      </c>
    </row>
    <row r="2858" spans="1:3" x14ac:dyDescent="0.45">
      <c r="A2858">
        <f>SUMIFS(fact_batting_summary!G:G, fact_batting_summary!E:E, fact_batting_summary!E2858)</f>
        <v>1225</v>
      </c>
      <c r="B2858" s="9">
        <f>AVERAGEIFS(fact_batting_summary!G:G, fact_batting_summary!E:E,fact_batting_summary!E2858)</f>
        <v>32.236842105263158</v>
      </c>
      <c r="C2858">
        <v>4</v>
      </c>
    </row>
    <row r="2859" spans="1:3" x14ac:dyDescent="0.45">
      <c r="A2859">
        <f>SUMIFS(fact_batting_summary!G:G, fact_batting_summary!E:E, fact_batting_summary!E2859)</f>
        <v>740</v>
      </c>
      <c r="B2859" s="9">
        <f>AVERAGEIFS(fact_batting_summary!G:G, fact_batting_summary!E:E,fact_batting_summary!E2859)</f>
        <v>29.6</v>
      </c>
      <c r="C2859">
        <v>5</v>
      </c>
    </row>
    <row r="2860" spans="1:3" x14ac:dyDescent="0.45">
      <c r="A2860">
        <f>SUMIFS(fact_batting_summary!G:G, fact_batting_summary!E:E, fact_batting_summary!E2860)</f>
        <v>418</v>
      </c>
      <c r="B2860" s="9">
        <f>AVERAGEIFS(fact_batting_summary!G:G, fact_batting_summary!E:E,fact_batting_summary!E2860)</f>
        <v>17.416666666666668</v>
      </c>
      <c r="C2860">
        <v>6</v>
      </c>
    </row>
    <row r="2861" spans="1:3" x14ac:dyDescent="0.45">
      <c r="A2861">
        <f>SUMIFS(fact_batting_summary!G:G, fact_batting_summary!E:E, fact_batting_summary!E2861)</f>
        <v>190</v>
      </c>
      <c r="B2861" s="9">
        <f>AVERAGEIFS(fact_batting_summary!G:G, fact_batting_summary!E:E,fact_batting_summary!E2861)</f>
        <v>17.272727272727273</v>
      </c>
      <c r="C2861">
        <v>1</v>
      </c>
    </row>
    <row r="2862" spans="1:3" x14ac:dyDescent="0.45">
      <c r="A2862">
        <f>SUMIFS(fact_batting_summary!G:G, fact_batting_summary!E:E, fact_batting_summary!E2862)</f>
        <v>907</v>
      </c>
      <c r="B2862" s="9">
        <f>AVERAGEIFS(fact_batting_summary!G:G, fact_batting_summary!E:E,fact_batting_summary!E2862)</f>
        <v>26.676470588235293</v>
      </c>
      <c r="C2862">
        <v>2</v>
      </c>
    </row>
    <row r="2863" spans="1:3" x14ac:dyDescent="0.45">
      <c r="A2863">
        <f>SUMIFS(fact_batting_summary!G:G, fact_batting_summary!E:E, fact_batting_summary!E2863)</f>
        <v>1083</v>
      </c>
      <c r="B2863" s="9">
        <f>AVERAGEIFS(fact_batting_summary!G:G, fact_batting_summary!E:E,fact_batting_summary!E2863)</f>
        <v>25.186046511627907</v>
      </c>
      <c r="C2863">
        <v>3</v>
      </c>
    </row>
    <row r="2864" spans="1:3" x14ac:dyDescent="0.45">
      <c r="A2864">
        <f>SUMIFS(fact_batting_summary!G:G, fact_batting_summary!E:E, fact_batting_summary!E2864)</f>
        <v>775</v>
      </c>
      <c r="B2864" s="9">
        <f>AVERAGEIFS(fact_batting_summary!G:G, fact_batting_summary!E:E,fact_batting_summary!E2864)</f>
        <v>25</v>
      </c>
      <c r="C2864">
        <v>4</v>
      </c>
    </row>
    <row r="2865" spans="1:3" x14ac:dyDescent="0.45">
      <c r="A2865">
        <f>SUMIFS(fact_batting_summary!G:G, fact_batting_summary!E:E, fact_batting_summary!E2865)</f>
        <v>745</v>
      </c>
      <c r="B2865" s="9">
        <f>AVERAGEIFS(fact_batting_summary!G:G, fact_batting_summary!E:E,fact_batting_summary!E2865)</f>
        <v>24.032258064516128</v>
      </c>
      <c r="C2865">
        <v>5</v>
      </c>
    </row>
    <row r="2866" spans="1:3" x14ac:dyDescent="0.45">
      <c r="A2866">
        <f>SUMIFS(fact_batting_summary!G:G, fact_batting_summary!E:E, fact_batting_summary!E2866)</f>
        <v>448</v>
      </c>
      <c r="B2866" s="9">
        <f>AVERAGEIFS(fact_batting_summary!G:G, fact_batting_summary!E:E,fact_batting_summary!E2866)</f>
        <v>40.727272727272727</v>
      </c>
      <c r="C2866">
        <v>6</v>
      </c>
    </row>
    <row r="2867" spans="1:3" x14ac:dyDescent="0.45">
      <c r="A2867">
        <f>SUMIFS(fact_batting_summary!G:G, fact_batting_summary!E:E, fact_batting_summary!E2867)</f>
        <v>284</v>
      </c>
      <c r="B2867" s="9">
        <f>AVERAGEIFS(fact_batting_summary!G:G, fact_batting_summary!E:E,fact_batting_summary!E2867)</f>
        <v>14.2</v>
      </c>
      <c r="C2867">
        <v>7</v>
      </c>
    </row>
    <row r="2868" spans="1:3" x14ac:dyDescent="0.45">
      <c r="A2868">
        <f>SUMIFS(fact_batting_summary!G:G, fact_batting_summary!E:E, fact_batting_summary!E2868)</f>
        <v>48</v>
      </c>
      <c r="B2868" s="9">
        <f>AVERAGEIFS(fact_batting_summary!G:G, fact_batting_summary!E:E,fact_batting_summary!E2868)</f>
        <v>4.3636363636363633</v>
      </c>
      <c r="C2868">
        <v>8</v>
      </c>
    </row>
    <row r="2869" spans="1:3" x14ac:dyDescent="0.45">
      <c r="A2869">
        <f>SUMIFS(fact_batting_summary!G:G, fact_batting_summary!E:E, fact_batting_summary!E2869)</f>
        <v>192</v>
      </c>
      <c r="B2869" s="9">
        <f>AVERAGEIFS(fact_batting_summary!G:G, fact_batting_summary!E:E,fact_batting_summary!E2869)</f>
        <v>12</v>
      </c>
      <c r="C2869">
        <v>9</v>
      </c>
    </row>
    <row r="2870" spans="1:3" x14ac:dyDescent="0.45">
      <c r="A2870">
        <f>SUMIFS(fact_batting_summary!G:G, fact_batting_summary!E:E, fact_batting_summary!E2870)</f>
        <v>100</v>
      </c>
      <c r="B2870" s="9">
        <f>AVERAGEIFS(fact_batting_summary!G:G, fact_batting_summary!E:E,fact_batting_summary!E2870)</f>
        <v>5.2631578947368425</v>
      </c>
      <c r="C2870">
        <v>10</v>
      </c>
    </row>
    <row r="2871" spans="1:3" x14ac:dyDescent="0.45">
      <c r="A2871">
        <f>SUMIFS(fact_batting_summary!G:G, fact_batting_summary!E:E, fact_batting_summary!E2871)</f>
        <v>21</v>
      </c>
      <c r="B2871" s="9">
        <f>AVERAGEIFS(fact_batting_summary!G:G, fact_batting_summary!E:E,fact_batting_summary!E2871)</f>
        <v>7</v>
      </c>
      <c r="C2871">
        <v>11</v>
      </c>
    </row>
    <row r="2872" spans="1:3" x14ac:dyDescent="0.45">
      <c r="A2872">
        <f>SUMIFS(fact_batting_summary!G:G, fact_batting_summary!E:E, fact_batting_summary!E2872)</f>
        <v>1593</v>
      </c>
      <c r="B2872" s="9">
        <f>AVERAGEIFS(fact_batting_summary!G:G, fact_batting_summary!E:E,fact_batting_summary!E2872)</f>
        <v>35.4</v>
      </c>
      <c r="C2872">
        <v>1</v>
      </c>
    </row>
    <row r="2873" spans="1:3" x14ac:dyDescent="0.45">
      <c r="A2873">
        <f>SUMIFS(fact_batting_summary!G:G, fact_batting_summary!E:E, fact_batting_summary!E2873)</f>
        <v>924</v>
      </c>
      <c r="B2873" s="9">
        <f>AVERAGEIFS(fact_batting_summary!G:G, fact_batting_summary!E:E,fact_batting_summary!E2873)</f>
        <v>42</v>
      </c>
      <c r="C2873">
        <v>2</v>
      </c>
    </row>
    <row r="2874" spans="1:3" x14ac:dyDescent="0.45">
      <c r="A2874">
        <f>SUMIFS(fact_batting_summary!G:G, fact_batting_summary!E:E, fact_batting_summary!E2874)</f>
        <v>467</v>
      </c>
      <c r="B2874" s="9">
        <f>AVERAGEIFS(fact_batting_summary!G:G, fact_batting_summary!E:E,fact_batting_summary!E2874)</f>
        <v>24.578947368421051</v>
      </c>
      <c r="C2874">
        <v>3</v>
      </c>
    </row>
    <row r="2875" spans="1:3" x14ac:dyDescent="0.45">
      <c r="A2875">
        <f>SUMIFS(fact_batting_summary!G:G, fact_batting_summary!E:E, fact_batting_summary!E2875)</f>
        <v>937</v>
      </c>
      <c r="B2875" s="9">
        <f>AVERAGEIFS(fact_batting_summary!G:G, fact_batting_summary!E:E,fact_batting_summary!E2875)</f>
        <v>27.558823529411764</v>
      </c>
      <c r="C2875">
        <v>4</v>
      </c>
    </row>
    <row r="2876" spans="1:3" x14ac:dyDescent="0.45">
      <c r="A2876">
        <f>SUMIFS(fact_batting_summary!G:G, fact_batting_summary!E:E, fact_batting_summary!E2876)</f>
        <v>689</v>
      </c>
      <c r="B2876" s="9">
        <f>AVERAGEIFS(fact_batting_summary!G:G, fact_batting_summary!E:E,fact_batting_summary!E2876)</f>
        <v>19.138888888888889</v>
      </c>
      <c r="C2876">
        <v>5</v>
      </c>
    </row>
    <row r="2877" spans="1:3" x14ac:dyDescent="0.45">
      <c r="A2877">
        <f>SUMIFS(fact_batting_summary!G:G, fact_batting_summary!E:E, fact_batting_summary!E2877)</f>
        <v>725</v>
      </c>
      <c r="B2877" s="9">
        <f>AVERAGEIFS(fact_batting_summary!G:G, fact_batting_summary!E:E,fact_batting_summary!E2877)</f>
        <v>20.714285714285715</v>
      </c>
      <c r="C2877">
        <v>6</v>
      </c>
    </row>
    <row r="2878" spans="1:3" x14ac:dyDescent="0.45">
      <c r="A2878">
        <f>SUMIFS(fact_batting_summary!G:G, fact_batting_summary!E:E, fact_batting_summary!E2878)</f>
        <v>533</v>
      </c>
      <c r="B2878" s="9">
        <f>AVERAGEIFS(fact_batting_summary!G:G, fact_batting_summary!E:E,fact_batting_summary!E2878)</f>
        <v>15.676470588235293</v>
      </c>
      <c r="C2878">
        <v>7</v>
      </c>
    </row>
    <row r="2879" spans="1:3" x14ac:dyDescent="0.45">
      <c r="A2879">
        <f>SUMIFS(fact_batting_summary!G:G, fact_batting_summary!E:E, fact_batting_summary!E2879)</f>
        <v>450</v>
      </c>
      <c r="B2879" s="9">
        <f>AVERAGEIFS(fact_batting_summary!G:G, fact_batting_summary!E:E,fact_batting_summary!E2879)</f>
        <v>12.5</v>
      </c>
      <c r="C2879">
        <v>8</v>
      </c>
    </row>
    <row r="2880" spans="1:3" x14ac:dyDescent="0.45">
      <c r="A2880">
        <f>SUMIFS(fact_batting_summary!G:G, fact_batting_summary!E:E, fact_batting_summary!E2880)</f>
        <v>1385</v>
      </c>
      <c r="B2880" s="9">
        <f>AVERAGEIFS(fact_batting_summary!G:G, fact_batting_summary!E:E,fact_batting_summary!E2880)</f>
        <v>30.777777777777779</v>
      </c>
      <c r="C2880">
        <v>1</v>
      </c>
    </row>
    <row r="2881" spans="1:3" x14ac:dyDescent="0.45">
      <c r="A2881">
        <f>SUMIFS(fact_batting_summary!G:G, fact_batting_summary!E:E, fact_batting_summary!E2881)</f>
        <v>1831</v>
      </c>
      <c r="B2881" s="9">
        <f>AVERAGEIFS(fact_batting_summary!G:G, fact_batting_summary!E:E,fact_batting_summary!E2881)</f>
        <v>39.804347826086953</v>
      </c>
      <c r="C2881">
        <v>2</v>
      </c>
    </row>
    <row r="2882" spans="1:3" x14ac:dyDescent="0.45">
      <c r="A2882">
        <f>SUMIFS(fact_batting_summary!G:G, fact_batting_summary!E:E, fact_batting_summary!E2882)</f>
        <v>315</v>
      </c>
      <c r="B2882" s="9">
        <f>AVERAGEIFS(fact_batting_summary!G:G, fact_batting_summary!E:E,fact_batting_summary!E2882)</f>
        <v>16.578947368421051</v>
      </c>
      <c r="C2882">
        <v>3</v>
      </c>
    </row>
    <row r="2883" spans="1:3" x14ac:dyDescent="0.45">
      <c r="A2883">
        <f>SUMIFS(fact_batting_summary!G:G, fact_batting_summary!E:E, fact_batting_summary!E2883)</f>
        <v>1214</v>
      </c>
      <c r="B2883" s="9">
        <f>AVERAGEIFS(fact_batting_summary!G:G, fact_batting_summary!E:E,fact_batting_summary!E2883)</f>
        <v>29.609756097560975</v>
      </c>
      <c r="C2883">
        <v>4</v>
      </c>
    </row>
    <row r="2884" spans="1:3" x14ac:dyDescent="0.45">
      <c r="A2884">
        <f>SUMIFS(fact_batting_summary!G:G, fact_batting_summary!E:E, fact_batting_summary!E2884)</f>
        <v>320</v>
      </c>
      <c r="B2884" s="9">
        <f>AVERAGEIFS(fact_batting_summary!G:G, fact_batting_summary!E:E,fact_batting_summary!E2884)</f>
        <v>13.333333333333334</v>
      </c>
      <c r="C2884">
        <v>5</v>
      </c>
    </row>
    <row r="2885" spans="1:3" x14ac:dyDescent="0.45">
      <c r="A2885">
        <f>SUMIFS(fact_batting_summary!G:G, fact_batting_summary!E:E, fact_batting_summary!E2885)</f>
        <v>693</v>
      </c>
      <c r="B2885" s="9">
        <f>AVERAGEIFS(fact_batting_summary!G:G, fact_batting_summary!E:E,fact_batting_summary!E2885)</f>
        <v>15.75</v>
      </c>
      <c r="C2885">
        <v>6</v>
      </c>
    </row>
    <row r="2886" spans="1:3" x14ac:dyDescent="0.45">
      <c r="A2886">
        <f>SUMIFS(fact_batting_summary!G:G, fact_batting_summary!E:E, fact_batting_summary!E2886)</f>
        <v>102</v>
      </c>
      <c r="B2886" s="9">
        <f>AVERAGEIFS(fact_batting_summary!G:G, fact_batting_summary!E:E,fact_batting_summary!E2886)</f>
        <v>11.333333333333334</v>
      </c>
      <c r="C2886">
        <v>7</v>
      </c>
    </row>
    <row r="2887" spans="1:3" x14ac:dyDescent="0.45">
      <c r="A2887">
        <f>SUMIFS(fact_batting_summary!G:G, fact_batting_summary!E:E, fact_batting_summary!E2887)</f>
        <v>2</v>
      </c>
      <c r="B2887" s="9">
        <f>AVERAGEIFS(fact_batting_summary!G:G, fact_batting_summary!E:E,fact_batting_summary!E2887)</f>
        <v>2</v>
      </c>
      <c r="C2887">
        <v>8</v>
      </c>
    </row>
    <row r="2888" spans="1:3" x14ac:dyDescent="0.45">
      <c r="A2888">
        <f>SUMIFS(fact_batting_summary!G:G, fact_batting_summary!E:E, fact_batting_summary!E2888)</f>
        <v>72</v>
      </c>
      <c r="B2888" s="9">
        <f>AVERAGEIFS(fact_batting_summary!G:G, fact_batting_summary!E:E,fact_batting_summary!E2888)</f>
        <v>5.1428571428571432</v>
      </c>
      <c r="C2888">
        <v>9</v>
      </c>
    </row>
    <row r="2889" spans="1:3" x14ac:dyDescent="0.45">
      <c r="A2889">
        <f>SUMIFS(fact_batting_summary!G:G, fact_batting_summary!E:E, fact_batting_summary!E2889)</f>
        <v>819</v>
      </c>
      <c r="B2889" s="9">
        <f>AVERAGEIFS(fact_batting_summary!G:G, fact_batting_summary!E:E,fact_batting_summary!E2889)</f>
        <v>22.135135135135137</v>
      </c>
      <c r="C2889">
        <v>1</v>
      </c>
    </row>
    <row r="2890" spans="1:3" x14ac:dyDescent="0.45">
      <c r="A2890">
        <f>SUMIFS(fact_batting_summary!G:G, fact_batting_summary!E:E, fact_batting_summary!E2890)</f>
        <v>1851</v>
      </c>
      <c r="B2890" s="9">
        <f>AVERAGEIFS(fact_batting_summary!G:G, fact_batting_summary!E:E,fact_batting_summary!E2890)</f>
        <v>37.020000000000003</v>
      </c>
      <c r="C2890">
        <v>2</v>
      </c>
    </row>
    <row r="2891" spans="1:3" x14ac:dyDescent="0.45">
      <c r="A2891">
        <f>SUMIFS(fact_batting_summary!G:G, fact_batting_summary!E:E, fact_batting_summary!E2891)</f>
        <v>507</v>
      </c>
      <c r="B2891" s="9">
        <f>AVERAGEIFS(fact_batting_summary!G:G, fact_batting_summary!E:E,fact_batting_summary!E2891)</f>
        <v>39</v>
      </c>
      <c r="C2891">
        <v>3</v>
      </c>
    </row>
    <row r="2892" spans="1:3" x14ac:dyDescent="0.45">
      <c r="A2892">
        <f>SUMIFS(fact_batting_summary!G:G, fact_batting_summary!E:E, fact_batting_summary!E2892)</f>
        <v>960</v>
      </c>
      <c r="B2892" s="9">
        <f>AVERAGEIFS(fact_batting_summary!G:G, fact_batting_summary!E:E,fact_batting_summary!E2892)</f>
        <v>23.414634146341463</v>
      </c>
      <c r="C2892">
        <v>4</v>
      </c>
    </row>
    <row r="2893" spans="1:3" x14ac:dyDescent="0.45">
      <c r="A2893">
        <f>SUMIFS(fact_batting_summary!G:G, fact_batting_summary!E:E, fact_batting_summary!E2893)</f>
        <v>864</v>
      </c>
      <c r="B2893" s="9">
        <f>AVERAGEIFS(fact_batting_summary!G:G, fact_batting_summary!E:E,fact_batting_summary!E2893)</f>
        <v>23.351351351351351</v>
      </c>
      <c r="C2893">
        <v>5</v>
      </c>
    </row>
    <row r="2894" spans="1:3" x14ac:dyDescent="0.45">
      <c r="A2894">
        <f>SUMIFS(fact_batting_summary!G:G, fact_batting_summary!E:E, fact_batting_summary!E2894)</f>
        <v>222</v>
      </c>
      <c r="B2894" s="9">
        <f>AVERAGEIFS(fact_batting_summary!G:G, fact_batting_summary!E:E,fact_batting_summary!E2894)</f>
        <v>17.076923076923077</v>
      </c>
      <c r="C2894">
        <v>6</v>
      </c>
    </row>
    <row r="2895" spans="1:3" x14ac:dyDescent="0.45">
      <c r="A2895">
        <f>SUMIFS(fact_batting_summary!G:G, fact_batting_summary!E:E, fact_batting_summary!E2895)</f>
        <v>459</v>
      </c>
      <c r="B2895" s="9">
        <f>AVERAGEIFS(fact_batting_summary!G:G, fact_batting_summary!E:E,fact_batting_summary!E2895)</f>
        <v>13.909090909090908</v>
      </c>
      <c r="C2895">
        <v>7</v>
      </c>
    </row>
    <row r="2896" spans="1:3" x14ac:dyDescent="0.45">
      <c r="A2896">
        <f>SUMIFS(fact_batting_summary!G:G, fact_batting_summary!E:E, fact_batting_summary!E2896)</f>
        <v>304</v>
      </c>
      <c r="B2896" s="9">
        <f>AVERAGEIFS(fact_batting_summary!G:G, fact_batting_summary!E:E,fact_batting_summary!E2896)</f>
        <v>11.692307692307692</v>
      </c>
      <c r="C2896">
        <v>8</v>
      </c>
    </row>
    <row r="2897" spans="1:3" x14ac:dyDescent="0.45">
      <c r="A2897">
        <f>SUMIFS(fact_batting_summary!G:G, fact_batting_summary!E:E, fact_batting_summary!E2897)</f>
        <v>12</v>
      </c>
      <c r="B2897" s="9">
        <f>AVERAGEIFS(fact_batting_summary!G:G, fact_batting_summary!E:E,fact_batting_summary!E2897)</f>
        <v>2.4</v>
      </c>
      <c r="C2897">
        <v>9</v>
      </c>
    </row>
    <row r="2898" spans="1:3" x14ac:dyDescent="0.45">
      <c r="A2898">
        <f>SUMIFS(fact_batting_summary!G:G, fact_batting_summary!E:E, fact_batting_summary!E2898)</f>
        <v>1132</v>
      </c>
      <c r="B2898" s="9">
        <f>AVERAGEIFS(fact_batting_summary!G:G, fact_batting_summary!E:E,fact_batting_summary!E2898)</f>
        <v>33.294117647058826</v>
      </c>
      <c r="C2898">
        <v>1</v>
      </c>
    </row>
    <row r="2899" spans="1:3" x14ac:dyDescent="0.45">
      <c r="A2899">
        <f>SUMIFS(fact_batting_summary!G:G, fact_batting_summary!E:E, fact_batting_summary!E2899)</f>
        <v>1509</v>
      </c>
      <c r="B2899" s="9">
        <f>AVERAGEIFS(fact_batting_summary!G:G, fact_batting_summary!E:E,fact_batting_summary!E2899)</f>
        <v>39.710526315789473</v>
      </c>
      <c r="C2899">
        <v>2</v>
      </c>
    </row>
    <row r="2900" spans="1:3" x14ac:dyDescent="0.45">
      <c r="A2900">
        <f>SUMIFS(fact_batting_summary!G:G, fact_batting_summary!E:E, fact_batting_summary!E2900)</f>
        <v>1048</v>
      </c>
      <c r="B2900" s="9">
        <f>AVERAGEIFS(fact_batting_summary!G:G, fact_batting_summary!E:E,fact_batting_summary!E2900)</f>
        <v>24.952380952380953</v>
      </c>
      <c r="C2900">
        <v>3</v>
      </c>
    </row>
    <row r="2901" spans="1:3" x14ac:dyDescent="0.45">
      <c r="A2901">
        <f>SUMIFS(fact_batting_summary!G:G, fact_batting_summary!E:E, fact_batting_summary!E2901)</f>
        <v>1304</v>
      </c>
      <c r="B2901" s="9">
        <f>AVERAGEIFS(fact_batting_summary!G:G, fact_batting_summary!E:E,fact_batting_summary!E2901)</f>
        <v>28.977777777777778</v>
      </c>
      <c r="C2901">
        <v>4</v>
      </c>
    </row>
    <row r="2902" spans="1:3" x14ac:dyDescent="0.45">
      <c r="A2902">
        <f>SUMIFS(fact_batting_summary!G:G, fact_batting_summary!E:E, fact_batting_summary!E2902)</f>
        <v>354</v>
      </c>
      <c r="B2902" s="9">
        <f>AVERAGEIFS(fact_batting_summary!G:G, fact_batting_summary!E:E,fact_batting_summary!E2902)</f>
        <v>11.419354838709678</v>
      </c>
      <c r="C2902">
        <v>5</v>
      </c>
    </row>
    <row r="2903" spans="1:3" x14ac:dyDescent="0.45">
      <c r="A2903">
        <f>SUMIFS(fact_batting_summary!G:G, fact_batting_summary!E:E, fact_batting_summary!E2903)</f>
        <v>854</v>
      </c>
      <c r="B2903" s="9">
        <f>AVERAGEIFS(fact_batting_summary!G:G, fact_batting_summary!E:E,fact_batting_summary!E2903)</f>
        <v>21.35</v>
      </c>
      <c r="C2903">
        <v>6</v>
      </c>
    </row>
    <row r="2904" spans="1:3" x14ac:dyDescent="0.45">
      <c r="A2904">
        <f>SUMIFS(fact_batting_summary!G:G, fact_batting_summary!E:E, fact_batting_summary!E2904)</f>
        <v>152</v>
      </c>
      <c r="B2904" s="9">
        <f>AVERAGEIFS(fact_batting_summary!G:G, fact_batting_summary!E:E,fact_batting_summary!E2904)</f>
        <v>13.818181818181818</v>
      </c>
      <c r="C2904">
        <v>7</v>
      </c>
    </row>
    <row r="2905" spans="1:3" x14ac:dyDescent="0.45">
      <c r="A2905">
        <f>SUMIFS(fact_batting_summary!G:G, fact_batting_summary!E:E, fact_batting_summary!E2905)</f>
        <v>302</v>
      </c>
      <c r="B2905" s="9">
        <f>AVERAGEIFS(fact_batting_summary!G:G, fact_batting_summary!E:E,fact_batting_summary!E2905)</f>
        <v>11.185185185185185</v>
      </c>
      <c r="C2905">
        <v>8</v>
      </c>
    </row>
    <row r="2906" spans="1:3" x14ac:dyDescent="0.45">
      <c r="A2906">
        <f>SUMIFS(fact_batting_summary!G:G, fact_batting_summary!E:E, fact_batting_summary!E2906)</f>
        <v>57</v>
      </c>
      <c r="B2906" s="9">
        <f>AVERAGEIFS(fact_batting_summary!G:G, fact_batting_summary!E:E,fact_batting_summary!E2906)</f>
        <v>3.5625</v>
      </c>
      <c r="C2906">
        <v>9</v>
      </c>
    </row>
    <row r="2907" spans="1:3" x14ac:dyDescent="0.45">
      <c r="A2907">
        <f>SUMIFS(fact_batting_summary!G:G, fact_batting_summary!E:E, fact_batting_summary!E2907)</f>
        <v>227</v>
      </c>
      <c r="B2907" s="9">
        <f>AVERAGEIFS(fact_batting_summary!G:G, fact_batting_summary!E:E,fact_batting_summary!E2907)</f>
        <v>20.636363636363637</v>
      </c>
      <c r="C2907">
        <v>1</v>
      </c>
    </row>
    <row r="2908" spans="1:3" x14ac:dyDescent="0.45">
      <c r="A2908">
        <f>SUMIFS(fact_batting_summary!G:G, fact_batting_summary!E:E, fact_batting_summary!E2908)</f>
        <v>129</v>
      </c>
      <c r="B2908" s="9">
        <f>AVERAGEIFS(fact_batting_summary!G:G, fact_batting_summary!E:E,fact_batting_summary!E2908)</f>
        <v>16.125</v>
      </c>
      <c r="C2908">
        <v>2</v>
      </c>
    </row>
    <row r="2909" spans="1:3" x14ac:dyDescent="0.45">
      <c r="A2909">
        <f>SUMIFS(fact_batting_summary!G:G, fact_batting_summary!E:E, fact_batting_summary!E2909)</f>
        <v>956</v>
      </c>
      <c r="B2909" s="9">
        <f>AVERAGEIFS(fact_batting_summary!G:G, fact_batting_summary!E:E,fact_batting_summary!E2909)</f>
        <v>26.555555555555557</v>
      </c>
      <c r="C2909">
        <v>3</v>
      </c>
    </row>
    <row r="2910" spans="1:3" x14ac:dyDescent="0.45">
      <c r="A2910">
        <f>SUMIFS(fact_batting_summary!G:G, fact_batting_summary!E:E, fact_batting_summary!E2910)</f>
        <v>1157</v>
      </c>
      <c r="B2910" s="9">
        <f>AVERAGEIFS(fact_batting_summary!G:G, fact_batting_summary!E:E,fact_batting_summary!E2910)</f>
        <v>26.295454545454547</v>
      </c>
      <c r="C2910">
        <v>4</v>
      </c>
    </row>
    <row r="2911" spans="1:3" x14ac:dyDescent="0.45">
      <c r="A2911">
        <f>SUMIFS(fact_batting_summary!G:G, fact_batting_summary!E:E, fact_batting_summary!E2911)</f>
        <v>238</v>
      </c>
      <c r="B2911" s="9">
        <f>AVERAGEIFS(fact_batting_summary!G:G, fact_batting_summary!E:E,fact_batting_summary!E2911)</f>
        <v>9.9166666666666661</v>
      </c>
      <c r="C2911">
        <v>5</v>
      </c>
    </row>
    <row r="2912" spans="1:3" x14ac:dyDescent="0.45">
      <c r="A2912">
        <f>SUMIFS(fact_batting_summary!G:G, fact_batting_summary!E:E, fact_batting_summary!E2912)</f>
        <v>648</v>
      </c>
      <c r="B2912" s="9">
        <f>AVERAGEIFS(fact_batting_summary!G:G, fact_batting_summary!E:E,fact_batting_summary!E2912)</f>
        <v>30.857142857142858</v>
      </c>
      <c r="C2912">
        <v>6</v>
      </c>
    </row>
    <row r="2913" spans="1:3" x14ac:dyDescent="0.45">
      <c r="A2913">
        <f>SUMIFS(fact_batting_summary!G:G, fact_batting_summary!E:E, fact_batting_summary!E2913)</f>
        <v>745</v>
      </c>
      <c r="B2913" s="9">
        <f>AVERAGEIFS(fact_batting_summary!G:G, fact_batting_summary!E:E,fact_batting_summary!E2913)</f>
        <v>21.285714285714285</v>
      </c>
      <c r="C2913">
        <v>7</v>
      </c>
    </row>
    <row r="2914" spans="1:3" x14ac:dyDescent="0.45">
      <c r="A2914">
        <f>SUMIFS(fact_batting_summary!G:G, fact_batting_summary!E:E, fact_batting_summary!E2914)</f>
        <v>154</v>
      </c>
      <c r="B2914" s="9">
        <f>AVERAGEIFS(fact_batting_summary!G:G, fact_batting_summary!E:E,fact_batting_summary!E2914)</f>
        <v>5.1333333333333337</v>
      </c>
      <c r="C2914">
        <v>8</v>
      </c>
    </row>
    <row r="2915" spans="1:3" x14ac:dyDescent="0.45">
      <c r="A2915">
        <f>SUMIFS(fact_batting_summary!G:G, fact_batting_summary!E:E, fact_batting_summary!E2915)</f>
        <v>981</v>
      </c>
      <c r="B2915" s="9">
        <f>AVERAGEIFS(fact_batting_summary!G:G, fact_batting_summary!E:E,fact_batting_summary!E2915)</f>
        <v>22.813953488372093</v>
      </c>
      <c r="C2915">
        <v>1</v>
      </c>
    </row>
    <row r="2916" spans="1:3" x14ac:dyDescent="0.45">
      <c r="A2916">
        <f>SUMIFS(fact_batting_summary!G:G, fact_batting_summary!E:E, fact_batting_summary!E2916)</f>
        <v>1113</v>
      </c>
      <c r="B2916" s="9">
        <f>AVERAGEIFS(fact_batting_summary!G:G, fact_batting_summary!E:E,fact_batting_summary!E2916)</f>
        <v>28.53846153846154</v>
      </c>
      <c r="C2916">
        <v>2</v>
      </c>
    </row>
    <row r="2917" spans="1:3" x14ac:dyDescent="0.45">
      <c r="A2917">
        <f>SUMIFS(fact_batting_summary!G:G, fact_batting_summary!E:E, fact_batting_summary!E2917)</f>
        <v>1225</v>
      </c>
      <c r="B2917" s="9">
        <f>AVERAGEIFS(fact_batting_summary!G:G, fact_batting_summary!E:E,fact_batting_summary!E2917)</f>
        <v>32.236842105263158</v>
      </c>
      <c r="C2917">
        <v>3</v>
      </c>
    </row>
    <row r="2918" spans="1:3" x14ac:dyDescent="0.45">
      <c r="A2918">
        <f>SUMIFS(fact_batting_summary!G:G, fact_batting_summary!E:E, fact_batting_summary!E2918)</f>
        <v>740</v>
      </c>
      <c r="B2918" s="9">
        <f>AVERAGEIFS(fact_batting_summary!G:G, fact_batting_summary!E:E,fact_batting_summary!E2918)</f>
        <v>29.6</v>
      </c>
      <c r="C2918">
        <v>4</v>
      </c>
    </row>
    <row r="2919" spans="1:3" x14ac:dyDescent="0.45">
      <c r="A2919">
        <f>SUMIFS(fact_batting_summary!G:G, fact_batting_summary!E:E, fact_batting_summary!E2919)</f>
        <v>418</v>
      </c>
      <c r="B2919" s="9">
        <f>AVERAGEIFS(fact_batting_summary!G:G, fact_batting_summary!E:E,fact_batting_summary!E2919)</f>
        <v>17.416666666666668</v>
      </c>
      <c r="C2919">
        <v>5</v>
      </c>
    </row>
    <row r="2920" spans="1:3" x14ac:dyDescent="0.45">
      <c r="A2920">
        <f>SUMIFS(fact_batting_summary!G:G, fact_batting_summary!E:E, fact_batting_summary!E2920)</f>
        <v>241</v>
      </c>
      <c r="B2920" s="9">
        <f>AVERAGEIFS(fact_batting_summary!G:G, fact_batting_summary!E:E,fact_batting_summary!E2920)</f>
        <v>24.1</v>
      </c>
      <c r="C2920">
        <v>6</v>
      </c>
    </row>
    <row r="2921" spans="1:3" x14ac:dyDescent="0.45">
      <c r="A2921">
        <f>SUMIFS(fact_batting_summary!G:G, fact_batting_summary!E:E, fact_batting_summary!E2921)</f>
        <v>452</v>
      </c>
      <c r="B2921" s="9">
        <f>AVERAGEIFS(fact_batting_summary!G:G, fact_batting_summary!E:E,fact_batting_summary!E2921)</f>
        <v>28.25</v>
      </c>
      <c r="C2921">
        <v>7</v>
      </c>
    </row>
    <row r="2922" spans="1:3" x14ac:dyDescent="0.45">
      <c r="A2922">
        <f>SUMIFS(fact_batting_summary!G:G, fact_batting_summary!E:E, fact_batting_summary!E2922)</f>
        <v>1516</v>
      </c>
      <c r="B2922" s="9">
        <f>AVERAGEIFS(fact_batting_summary!G:G, fact_batting_summary!E:E,fact_batting_summary!E2922)</f>
        <v>40.972972972972975</v>
      </c>
      <c r="C2922">
        <v>1</v>
      </c>
    </row>
    <row r="2923" spans="1:3" x14ac:dyDescent="0.45">
      <c r="A2923">
        <f>SUMIFS(fact_batting_summary!G:G, fact_batting_summary!E:E, fact_batting_summary!E2923)</f>
        <v>365</v>
      </c>
      <c r="B2923" s="9">
        <f>AVERAGEIFS(fact_batting_summary!G:G, fact_batting_summary!E:E,fact_batting_summary!E2923)</f>
        <v>30.416666666666668</v>
      </c>
      <c r="C2923">
        <v>2</v>
      </c>
    </row>
    <row r="2924" spans="1:3" x14ac:dyDescent="0.45">
      <c r="A2924">
        <f>SUMIFS(fact_batting_summary!G:G, fact_batting_summary!E:E, fact_batting_summary!E2924)</f>
        <v>695</v>
      </c>
      <c r="B2924" s="9">
        <f>AVERAGEIFS(fact_batting_summary!G:G, fact_batting_summary!E:E,fact_batting_summary!E2924)</f>
        <v>18.783783783783782</v>
      </c>
      <c r="C2924">
        <v>3</v>
      </c>
    </row>
    <row r="2925" spans="1:3" x14ac:dyDescent="0.45">
      <c r="A2925">
        <f>SUMIFS(fact_batting_summary!G:G, fact_batting_summary!E:E, fact_batting_summary!E2925)</f>
        <v>514</v>
      </c>
      <c r="B2925" s="9">
        <f>AVERAGEIFS(fact_batting_summary!G:G, fact_batting_summary!E:E,fact_batting_summary!E2925)</f>
        <v>13.526315789473685</v>
      </c>
      <c r="C2925">
        <v>4</v>
      </c>
    </row>
    <row r="2926" spans="1:3" x14ac:dyDescent="0.45">
      <c r="A2926">
        <f>SUMIFS(fact_batting_summary!G:G, fact_batting_summary!E:E, fact_batting_summary!E2926)</f>
        <v>729</v>
      </c>
      <c r="B2926" s="9">
        <f>AVERAGEIFS(fact_batting_summary!G:G, fact_batting_summary!E:E,fact_batting_summary!E2926)</f>
        <v>19.184210526315791</v>
      </c>
      <c r="C2926">
        <v>5</v>
      </c>
    </row>
    <row r="2927" spans="1:3" x14ac:dyDescent="0.45">
      <c r="A2927">
        <f>SUMIFS(fact_batting_summary!G:G, fact_batting_summary!E:E, fact_batting_summary!E2927)</f>
        <v>645</v>
      </c>
      <c r="B2927" s="9">
        <f>AVERAGEIFS(fact_batting_summary!G:G, fact_batting_summary!E:E,fact_batting_summary!E2927)</f>
        <v>21.5</v>
      </c>
      <c r="C2927">
        <v>6</v>
      </c>
    </row>
    <row r="2928" spans="1:3" x14ac:dyDescent="0.45">
      <c r="A2928">
        <f>SUMIFS(fact_batting_summary!G:G, fact_batting_summary!E:E, fact_batting_summary!E2928)</f>
        <v>340</v>
      </c>
      <c r="B2928" s="9">
        <f>AVERAGEIFS(fact_batting_summary!G:G, fact_batting_summary!E:E,fact_batting_summary!E2928)</f>
        <v>15.454545454545455</v>
      </c>
      <c r="C2928">
        <v>7</v>
      </c>
    </row>
    <row r="2929" spans="1:3" x14ac:dyDescent="0.45">
      <c r="A2929">
        <f>SUMIFS(fact_batting_summary!G:G, fact_batting_summary!E:E, fact_batting_summary!E2929)</f>
        <v>60</v>
      </c>
      <c r="B2929" s="9">
        <f>AVERAGEIFS(fact_batting_summary!G:G, fact_batting_summary!E:E,fact_batting_summary!E2929)</f>
        <v>8.5714285714285712</v>
      </c>
      <c r="C2929">
        <v>8</v>
      </c>
    </row>
    <row r="2930" spans="1:3" x14ac:dyDescent="0.45">
      <c r="A2930">
        <f>SUMIFS(fact_batting_summary!G:G, fact_batting_summary!E:E, fact_batting_summary!E2930)</f>
        <v>1</v>
      </c>
      <c r="B2930" s="9">
        <f>AVERAGEIFS(fact_batting_summary!G:G, fact_batting_summary!E:E,fact_batting_summary!E2930)</f>
        <v>0.5</v>
      </c>
      <c r="C2930">
        <v>9</v>
      </c>
    </row>
    <row r="2931" spans="1:3" x14ac:dyDescent="0.45">
      <c r="A2931">
        <f>SUMIFS(fact_batting_summary!G:G, fact_batting_summary!E:E, fact_batting_summary!E2931)</f>
        <v>21</v>
      </c>
      <c r="B2931" s="9">
        <f>AVERAGEIFS(fact_batting_summary!G:G, fact_batting_summary!E:E,fact_batting_summary!E2931)</f>
        <v>2.3333333333333335</v>
      </c>
      <c r="C2931">
        <v>10</v>
      </c>
    </row>
    <row r="2932" spans="1:3" x14ac:dyDescent="0.45">
      <c r="A2932">
        <f>SUMIFS(fact_batting_summary!G:G, fact_batting_summary!E:E, fact_batting_summary!E2932)</f>
        <v>186</v>
      </c>
      <c r="B2932" s="9">
        <f>AVERAGEIFS(fact_batting_summary!G:G, fact_batting_summary!E:E,fact_batting_summary!E2932)</f>
        <v>26.571428571428573</v>
      </c>
      <c r="C2932">
        <v>1</v>
      </c>
    </row>
    <row r="2933" spans="1:3" x14ac:dyDescent="0.45">
      <c r="A2933">
        <f>SUMIFS(fact_batting_summary!G:G, fact_batting_summary!E:E, fact_batting_summary!E2933)</f>
        <v>391</v>
      </c>
      <c r="B2933" s="9">
        <f>AVERAGEIFS(fact_batting_summary!G:G, fact_batting_summary!E:E,fact_batting_summary!E2933)</f>
        <v>23</v>
      </c>
      <c r="C2933">
        <v>2</v>
      </c>
    </row>
    <row r="2934" spans="1:3" x14ac:dyDescent="0.45">
      <c r="A2934">
        <f>SUMIFS(fact_batting_summary!G:G, fact_batting_summary!E:E, fact_batting_summary!E2934)</f>
        <v>117</v>
      </c>
      <c r="B2934" s="9">
        <f>AVERAGEIFS(fact_batting_summary!G:G, fact_batting_summary!E:E,fact_batting_summary!E2934)</f>
        <v>19.5</v>
      </c>
      <c r="C2934">
        <v>3</v>
      </c>
    </row>
    <row r="2935" spans="1:3" x14ac:dyDescent="0.45">
      <c r="A2935">
        <f>SUMIFS(fact_batting_summary!G:G, fact_batting_summary!E:E, fact_batting_summary!E2935)</f>
        <v>76</v>
      </c>
      <c r="B2935" s="9">
        <f>AVERAGEIFS(fact_batting_summary!G:G, fact_batting_summary!E:E,fact_batting_summary!E2935)</f>
        <v>25.333333333333332</v>
      </c>
      <c r="C2935">
        <v>4</v>
      </c>
    </row>
    <row r="2936" spans="1:3" x14ac:dyDescent="0.45">
      <c r="A2936">
        <f>SUMIFS(fact_batting_summary!G:G, fact_batting_summary!E:E, fact_batting_summary!E2936)</f>
        <v>139</v>
      </c>
      <c r="B2936" s="9">
        <f>AVERAGEIFS(fact_batting_summary!G:G, fact_batting_summary!E:E,fact_batting_summary!E2936)</f>
        <v>19.857142857142858</v>
      </c>
      <c r="C2936">
        <v>5</v>
      </c>
    </row>
    <row r="2937" spans="1:3" x14ac:dyDescent="0.45">
      <c r="A2937">
        <f>SUMIFS(fact_batting_summary!G:G, fact_batting_summary!E:E, fact_batting_summary!E2937)</f>
        <v>332</v>
      </c>
      <c r="B2937" s="9">
        <f>AVERAGEIFS(fact_batting_summary!G:G, fact_batting_summary!E:E,fact_batting_summary!E2937)</f>
        <v>19.529411764705884</v>
      </c>
      <c r="C2937">
        <v>6</v>
      </c>
    </row>
    <row r="2938" spans="1:3" x14ac:dyDescent="0.45">
      <c r="A2938">
        <f>SUMIFS(fact_batting_summary!G:G, fact_batting_summary!E:E, fact_batting_summary!E2938)</f>
        <v>543</v>
      </c>
      <c r="B2938" s="9">
        <f>AVERAGEIFS(fact_batting_summary!G:G, fact_batting_summary!E:E,fact_batting_summary!E2938)</f>
        <v>22.625</v>
      </c>
      <c r="C2938">
        <v>7</v>
      </c>
    </row>
    <row r="2939" spans="1:3" x14ac:dyDescent="0.45">
      <c r="A2939">
        <f>SUMIFS(fact_batting_summary!G:G, fact_batting_summary!E:E, fact_batting_summary!E2939)</f>
        <v>426</v>
      </c>
      <c r="B2939" s="9">
        <f>AVERAGEIFS(fact_batting_summary!G:G, fact_batting_summary!E:E,fact_batting_summary!E2939)</f>
        <v>13.741935483870968</v>
      </c>
      <c r="C2939">
        <v>8</v>
      </c>
    </row>
    <row r="2940" spans="1:3" x14ac:dyDescent="0.45">
      <c r="A2940">
        <f>SUMIFS(fact_batting_summary!G:G, fact_batting_summary!E:E, fact_batting_summary!E2940)</f>
        <v>138</v>
      </c>
      <c r="B2940" s="9">
        <f>AVERAGEIFS(fact_batting_summary!G:G, fact_batting_summary!E:E,fact_batting_summary!E2940)</f>
        <v>8.625</v>
      </c>
      <c r="C2940">
        <v>9</v>
      </c>
    </row>
    <row r="2941" spans="1:3" x14ac:dyDescent="0.45">
      <c r="A2941">
        <f>SUMIFS(fact_batting_summary!G:G, fact_batting_summary!E:E, fact_batting_summary!E2941)</f>
        <v>61</v>
      </c>
      <c r="B2941" s="9">
        <f>AVERAGEIFS(fact_batting_summary!G:G, fact_batting_summary!E:E,fact_batting_summary!E2941)</f>
        <v>4.6923076923076925</v>
      </c>
      <c r="C2941">
        <v>10</v>
      </c>
    </row>
    <row r="2942" spans="1:3" x14ac:dyDescent="0.45">
      <c r="A2942">
        <f>SUMIFS(fact_batting_summary!G:G, fact_batting_summary!E:E, fact_batting_summary!E2942)</f>
        <v>1385</v>
      </c>
      <c r="B2942" s="9">
        <f>AVERAGEIFS(fact_batting_summary!G:G, fact_batting_summary!E:E,fact_batting_summary!E2942)</f>
        <v>30.777777777777779</v>
      </c>
      <c r="C2942">
        <v>1</v>
      </c>
    </row>
    <row r="2943" spans="1:3" x14ac:dyDescent="0.45">
      <c r="A2943">
        <f>SUMIFS(fact_batting_summary!G:G, fact_batting_summary!E:E, fact_batting_summary!E2943)</f>
        <v>1831</v>
      </c>
      <c r="B2943" s="9">
        <f>AVERAGEIFS(fact_batting_summary!G:G, fact_batting_summary!E:E,fact_batting_summary!E2943)</f>
        <v>39.804347826086953</v>
      </c>
      <c r="C2943">
        <v>2</v>
      </c>
    </row>
    <row r="2944" spans="1:3" x14ac:dyDescent="0.45">
      <c r="A2944">
        <f>SUMIFS(fact_batting_summary!G:G, fact_batting_summary!E:E, fact_batting_summary!E2944)</f>
        <v>315</v>
      </c>
      <c r="B2944" s="9">
        <f>AVERAGEIFS(fact_batting_summary!G:G, fact_batting_summary!E:E,fact_batting_summary!E2944)</f>
        <v>16.578947368421051</v>
      </c>
      <c r="C2944">
        <v>3</v>
      </c>
    </row>
    <row r="2945" spans="1:3" x14ac:dyDescent="0.45">
      <c r="A2945">
        <f>SUMIFS(fact_batting_summary!G:G, fact_batting_summary!E:E, fact_batting_summary!E2945)</f>
        <v>1214</v>
      </c>
      <c r="B2945" s="9">
        <f>AVERAGEIFS(fact_batting_summary!G:G, fact_batting_summary!E:E,fact_batting_summary!E2945)</f>
        <v>29.609756097560975</v>
      </c>
      <c r="C2945">
        <v>4</v>
      </c>
    </row>
    <row r="2946" spans="1:3" x14ac:dyDescent="0.45">
      <c r="A2946">
        <f>SUMIFS(fact_batting_summary!G:G, fact_batting_summary!E:E, fact_batting_summary!E2946)</f>
        <v>108</v>
      </c>
      <c r="B2946" s="9">
        <f>AVERAGEIFS(fact_batting_summary!G:G, fact_batting_summary!E:E,fact_batting_summary!E2946)</f>
        <v>6</v>
      </c>
      <c r="C2946">
        <v>5</v>
      </c>
    </row>
    <row r="2947" spans="1:3" x14ac:dyDescent="0.45">
      <c r="A2947">
        <f>SUMIFS(fact_batting_summary!G:G, fact_batting_summary!E:E, fact_batting_summary!E2947)</f>
        <v>320</v>
      </c>
      <c r="B2947" s="9">
        <f>AVERAGEIFS(fact_batting_summary!G:G, fact_batting_summary!E:E,fact_batting_summary!E2947)</f>
        <v>13.333333333333334</v>
      </c>
      <c r="C2947">
        <v>6</v>
      </c>
    </row>
    <row r="2948" spans="1:3" x14ac:dyDescent="0.45">
      <c r="A2948">
        <f>SUMIFS(fact_batting_summary!G:G, fact_batting_summary!E:E, fact_batting_summary!E2948)</f>
        <v>693</v>
      </c>
      <c r="B2948" s="9">
        <f>AVERAGEIFS(fact_batting_summary!G:G, fact_batting_summary!E:E,fact_batting_summary!E2948)</f>
        <v>15.75</v>
      </c>
      <c r="C2948">
        <v>7</v>
      </c>
    </row>
    <row r="2949" spans="1:3" x14ac:dyDescent="0.45">
      <c r="A2949">
        <f>SUMIFS(fact_batting_summary!G:G, fact_batting_summary!E:E, fact_batting_summary!E2949)</f>
        <v>220</v>
      </c>
      <c r="B2949" s="9">
        <f>AVERAGEIFS(fact_batting_summary!G:G, fact_batting_summary!E:E,fact_batting_summary!E2949)</f>
        <v>13.75</v>
      </c>
      <c r="C2949">
        <v>8</v>
      </c>
    </row>
    <row r="2950" spans="1:3" x14ac:dyDescent="0.45">
      <c r="A2950">
        <f>SUMIFS(fact_batting_summary!G:G, fact_batting_summary!E:E, fact_batting_summary!E2950)</f>
        <v>1137</v>
      </c>
      <c r="B2950" s="9">
        <f>AVERAGEIFS(fact_batting_summary!G:G, fact_batting_summary!E:E,fact_batting_summary!E2950)</f>
        <v>34.454545454545453</v>
      </c>
      <c r="C2950">
        <v>1</v>
      </c>
    </row>
    <row r="2951" spans="1:3" x14ac:dyDescent="0.45">
      <c r="A2951">
        <f>SUMIFS(fact_batting_summary!G:G, fact_batting_summary!E:E, fact_batting_summary!E2951)</f>
        <v>815</v>
      </c>
      <c r="B2951" s="9">
        <f>AVERAGEIFS(fact_batting_summary!G:G, fact_batting_summary!E:E,fact_batting_summary!E2951)</f>
        <v>25.46875</v>
      </c>
      <c r="C2951">
        <v>2</v>
      </c>
    </row>
    <row r="2952" spans="1:3" x14ac:dyDescent="0.45">
      <c r="A2952">
        <f>SUMIFS(fact_batting_summary!G:G, fact_batting_summary!E:E, fact_batting_summary!E2952)</f>
        <v>379</v>
      </c>
      <c r="B2952" s="9">
        <f>AVERAGEIFS(fact_batting_summary!G:G, fact_batting_summary!E:E,fact_batting_summary!E2952)</f>
        <v>22.294117647058822</v>
      </c>
      <c r="C2952">
        <v>3</v>
      </c>
    </row>
    <row r="2953" spans="1:3" x14ac:dyDescent="0.45">
      <c r="A2953">
        <f>SUMIFS(fact_batting_summary!G:G, fact_batting_summary!E:E, fact_batting_summary!E2953)</f>
        <v>16</v>
      </c>
      <c r="B2953" s="9">
        <f>AVERAGEIFS(fact_batting_summary!G:G, fact_batting_summary!E:E,fact_batting_summary!E2953)</f>
        <v>5.333333333333333</v>
      </c>
      <c r="C2953">
        <v>4</v>
      </c>
    </row>
    <row r="2954" spans="1:3" x14ac:dyDescent="0.45">
      <c r="A2954">
        <f>SUMIFS(fact_batting_summary!G:G, fact_batting_summary!E:E, fact_batting_summary!E2954)</f>
        <v>540</v>
      </c>
      <c r="B2954" s="9">
        <f>AVERAGEIFS(fact_batting_summary!G:G, fact_batting_summary!E:E,fact_batting_summary!E2954)</f>
        <v>23.478260869565219</v>
      </c>
      <c r="C2954">
        <v>5</v>
      </c>
    </row>
    <row r="2955" spans="1:3" x14ac:dyDescent="0.45">
      <c r="A2955">
        <f>SUMIFS(fact_batting_summary!G:G, fact_batting_summary!E:E, fact_batting_summary!E2955)</f>
        <v>33</v>
      </c>
      <c r="B2955" s="9">
        <f>AVERAGEIFS(fact_batting_summary!G:G, fact_batting_summary!E:E,fact_batting_summary!E2955)</f>
        <v>8.25</v>
      </c>
      <c r="C2955">
        <v>6</v>
      </c>
    </row>
    <row r="2956" spans="1:3" x14ac:dyDescent="0.45">
      <c r="A2956">
        <f>SUMIFS(fact_batting_summary!G:G, fact_batting_summary!E:E, fact_batting_summary!E2956)</f>
        <v>505</v>
      </c>
      <c r="B2956" s="9">
        <f>AVERAGEIFS(fact_batting_summary!G:G, fact_batting_summary!E:E,fact_batting_summary!E2956)</f>
        <v>17.413793103448278</v>
      </c>
      <c r="C2956">
        <v>7</v>
      </c>
    </row>
    <row r="2957" spans="1:3" x14ac:dyDescent="0.45">
      <c r="A2957">
        <f>SUMIFS(fact_batting_summary!G:G, fact_batting_summary!E:E, fact_batting_summary!E2957)</f>
        <v>115</v>
      </c>
      <c r="B2957" s="9">
        <f>AVERAGEIFS(fact_batting_summary!G:G, fact_batting_summary!E:E,fact_batting_summary!E2957)</f>
        <v>11.5</v>
      </c>
      <c r="C2957">
        <v>8</v>
      </c>
    </row>
    <row r="2958" spans="1:3" x14ac:dyDescent="0.45">
      <c r="A2958">
        <f>SUMIFS(fact_batting_summary!G:G, fact_batting_summary!E:E, fact_batting_summary!E2958)</f>
        <v>295</v>
      </c>
      <c r="B2958" s="9">
        <f>AVERAGEIFS(fact_batting_summary!G:G, fact_batting_summary!E:E,fact_batting_summary!E2958)</f>
        <v>15.526315789473685</v>
      </c>
      <c r="C2958">
        <v>9</v>
      </c>
    </row>
    <row r="2959" spans="1:3" x14ac:dyDescent="0.45">
      <c r="A2959">
        <f>SUMIFS(fact_batting_summary!G:G, fact_batting_summary!E:E, fact_batting_summary!E2959)</f>
        <v>38</v>
      </c>
      <c r="B2959" s="9">
        <f>AVERAGEIFS(fact_batting_summary!G:G, fact_batting_summary!E:E,fact_batting_summary!E2959)</f>
        <v>4.75</v>
      </c>
      <c r="C2959">
        <v>10</v>
      </c>
    </row>
    <row r="2960" spans="1:3" x14ac:dyDescent="0.45">
      <c r="A2960">
        <f>SUMIFS(fact_batting_summary!G:G, fact_batting_summary!E:E, fact_batting_summary!E2960)</f>
        <v>79</v>
      </c>
      <c r="B2960" s="9">
        <f>AVERAGEIFS(fact_batting_summary!G:G, fact_batting_summary!E:E,fact_batting_summary!E2960)</f>
        <v>4.6470588235294121</v>
      </c>
      <c r="C2960">
        <v>11</v>
      </c>
    </row>
    <row r="2961" spans="1:3" x14ac:dyDescent="0.45">
      <c r="A2961">
        <f>SUMIFS(fact_batting_summary!G:G, fact_batting_summary!E:E, fact_batting_summary!E2961)</f>
        <v>190</v>
      </c>
      <c r="B2961" s="9">
        <f>AVERAGEIFS(fact_batting_summary!G:G, fact_batting_summary!E:E,fact_batting_summary!E2961)</f>
        <v>17.272727272727273</v>
      </c>
      <c r="C2961">
        <v>1</v>
      </c>
    </row>
    <row r="2962" spans="1:3" x14ac:dyDescent="0.45">
      <c r="A2962">
        <f>SUMIFS(fact_batting_summary!G:G, fact_batting_summary!E:E, fact_batting_summary!E2962)</f>
        <v>907</v>
      </c>
      <c r="B2962" s="9">
        <f>AVERAGEIFS(fact_batting_summary!G:G, fact_batting_summary!E:E,fact_batting_summary!E2962)</f>
        <v>26.676470588235293</v>
      </c>
      <c r="C2962">
        <v>2</v>
      </c>
    </row>
    <row r="2963" spans="1:3" x14ac:dyDescent="0.45">
      <c r="A2963">
        <f>SUMIFS(fact_batting_summary!G:G, fact_batting_summary!E:E, fact_batting_summary!E2963)</f>
        <v>1083</v>
      </c>
      <c r="B2963" s="9">
        <f>AVERAGEIFS(fact_batting_summary!G:G, fact_batting_summary!E:E,fact_batting_summary!E2963)</f>
        <v>25.186046511627907</v>
      </c>
      <c r="C2963">
        <v>3</v>
      </c>
    </row>
    <row r="2964" spans="1:3" x14ac:dyDescent="0.45">
      <c r="A2964">
        <f>SUMIFS(fact_batting_summary!G:G, fact_batting_summary!E:E, fact_batting_summary!E2964)</f>
        <v>775</v>
      </c>
      <c r="B2964" s="9">
        <f>AVERAGEIFS(fact_batting_summary!G:G, fact_batting_summary!E:E,fact_batting_summary!E2964)</f>
        <v>25</v>
      </c>
      <c r="C2964">
        <v>4</v>
      </c>
    </row>
    <row r="2965" spans="1:3" x14ac:dyDescent="0.45">
      <c r="A2965">
        <f>SUMIFS(fact_batting_summary!G:G, fact_batting_summary!E:E, fact_batting_summary!E2965)</f>
        <v>745</v>
      </c>
      <c r="B2965" s="9">
        <f>AVERAGEIFS(fact_batting_summary!G:G, fact_batting_summary!E:E,fact_batting_summary!E2965)</f>
        <v>24.032258064516128</v>
      </c>
      <c r="C2965">
        <v>5</v>
      </c>
    </row>
    <row r="2966" spans="1:3" x14ac:dyDescent="0.45">
      <c r="A2966">
        <f>SUMIFS(fact_batting_summary!G:G, fact_batting_summary!E:E, fact_batting_summary!E2966)</f>
        <v>448</v>
      </c>
      <c r="B2966" s="9">
        <f>AVERAGEIFS(fact_batting_summary!G:G, fact_batting_summary!E:E,fact_batting_summary!E2966)</f>
        <v>40.727272727272727</v>
      </c>
      <c r="C2966">
        <v>6</v>
      </c>
    </row>
    <row r="2967" spans="1:3" x14ac:dyDescent="0.45">
      <c r="A2967">
        <f>SUMIFS(fact_batting_summary!G:G, fact_batting_summary!E:E, fact_batting_summary!E2967)</f>
        <v>227</v>
      </c>
      <c r="B2967" s="9">
        <f>AVERAGEIFS(fact_batting_summary!G:G, fact_batting_summary!E:E,fact_batting_summary!E2967)</f>
        <v>20.636363636363637</v>
      </c>
      <c r="C2967">
        <v>1</v>
      </c>
    </row>
    <row r="2968" spans="1:3" x14ac:dyDescent="0.45">
      <c r="A2968">
        <f>SUMIFS(fact_batting_summary!G:G, fact_batting_summary!E:E, fact_batting_summary!E2968)</f>
        <v>129</v>
      </c>
      <c r="B2968" s="9">
        <f>AVERAGEIFS(fact_batting_summary!G:G, fact_batting_summary!E:E,fact_batting_summary!E2968)</f>
        <v>16.125</v>
      </c>
      <c r="C2968">
        <v>2</v>
      </c>
    </row>
    <row r="2969" spans="1:3" x14ac:dyDescent="0.45">
      <c r="A2969">
        <f>SUMIFS(fact_batting_summary!G:G, fact_batting_summary!E:E, fact_batting_summary!E2969)</f>
        <v>956</v>
      </c>
      <c r="B2969" s="9">
        <f>AVERAGEIFS(fact_batting_summary!G:G, fact_batting_summary!E:E,fact_batting_summary!E2969)</f>
        <v>26.555555555555557</v>
      </c>
      <c r="C2969">
        <v>3</v>
      </c>
    </row>
    <row r="2970" spans="1:3" x14ac:dyDescent="0.45">
      <c r="A2970">
        <f>SUMIFS(fact_batting_summary!G:G, fact_batting_summary!E:E, fact_batting_summary!E2970)</f>
        <v>154</v>
      </c>
      <c r="B2970" s="9">
        <f>AVERAGEIFS(fact_batting_summary!G:G, fact_batting_summary!E:E,fact_batting_summary!E2970)</f>
        <v>5.1333333333333337</v>
      </c>
      <c r="C2970">
        <v>4</v>
      </c>
    </row>
    <row r="2971" spans="1:3" x14ac:dyDescent="0.45">
      <c r="A2971">
        <f>SUMIFS(fact_batting_summary!G:G, fact_batting_summary!E:E, fact_batting_summary!E2971)</f>
        <v>1157</v>
      </c>
      <c r="B2971" s="9">
        <f>AVERAGEIFS(fact_batting_summary!G:G, fact_batting_summary!E:E,fact_batting_summary!E2971)</f>
        <v>26.295454545454547</v>
      </c>
      <c r="C2971">
        <v>5</v>
      </c>
    </row>
    <row r="2972" spans="1:3" x14ac:dyDescent="0.45">
      <c r="A2972">
        <f>SUMIFS(fact_batting_summary!G:G, fact_batting_summary!E:E, fact_batting_summary!E2972)</f>
        <v>745</v>
      </c>
      <c r="B2972" s="9">
        <f>AVERAGEIFS(fact_batting_summary!G:G, fact_batting_summary!E:E,fact_batting_summary!E2972)</f>
        <v>21.285714285714285</v>
      </c>
      <c r="C2972">
        <v>6</v>
      </c>
    </row>
    <row r="2973" spans="1:3" x14ac:dyDescent="0.45">
      <c r="A2973">
        <f>SUMIFS(fact_batting_summary!G:G, fact_batting_summary!E:E, fact_batting_summary!E2973)</f>
        <v>648</v>
      </c>
      <c r="B2973" s="9">
        <f>AVERAGEIFS(fact_batting_summary!G:G, fact_batting_summary!E:E,fact_batting_summary!E2973)</f>
        <v>30.857142857142858</v>
      </c>
      <c r="C2973">
        <v>7</v>
      </c>
    </row>
    <row r="2974" spans="1:3" x14ac:dyDescent="0.45">
      <c r="A2974">
        <f>SUMIFS(fact_batting_summary!G:G, fact_batting_summary!E:E, fact_batting_summary!E2974)</f>
        <v>238</v>
      </c>
      <c r="B2974" s="9">
        <f>AVERAGEIFS(fact_batting_summary!G:G, fact_batting_summary!E:E,fact_batting_summary!E2974)</f>
        <v>9.9166666666666661</v>
      </c>
      <c r="C2974">
        <v>8</v>
      </c>
    </row>
    <row r="2975" spans="1:3" x14ac:dyDescent="0.45">
      <c r="A2975">
        <f>SUMIFS(fact_batting_summary!G:G, fact_batting_summary!E:E, fact_batting_summary!E2975)</f>
        <v>74</v>
      </c>
      <c r="B2975" s="9">
        <f>AVERAGEIFS(fact_batting_summary!G:G, fact_batting_summary!E:E,fact_batting_summary!E2975)</f>
        <v>6.166666666666667</v>
      </c>
      <c r="C2975">
        <v>9</v>
      </c>
    </row>
    <row r="2976" spans="1:3" x14ac:dyDescent="0.45">
      <c r="A2976">
        <f>SUMIFS(fact_batting_summary!G:G, fact_batting_summary!E:E, fact_batting_summary!E2976)</f>
        <v>391</v>
      </c>
      <c r="B2976" s="9">
        <f>AVERAGEIFS(fact_batting_summary!G:G, fact_batting_summary!E:E,fact_batting_summary!E2976)</f>
        <v>23</v>
      </c>
      <c r="C2976">
        <v>1</v>
      </c>
    </row>
    <row r="2977" spans="1:3" x14ac:dyDescent="0.45">
      <c r="A2977">
        <f>SUMIFS(fact_batting_summary!G:G, fact_batting_summary!E:E, fact_batting_summary!E2977)</f>
        <v>1392</v>
      </c>
      <c r="B2977" s="9">
        <f>AVERAGEIFS(fact_batting_summary!G:G, fact_batting_summary!E:E,fact_batting_summary!E2977)</f>
        <v>34.799999999999997</v>
      </c>
      <c r="C2977">
        <v>2</v>
      </c>
    </row>
    <row r="2978" spans="1:3" x14ac:dyDescent="0.45">
      <c r="A2978">
        <f>SUMIFS(fact_batting_summary!G:G, fact_batting_summary!E:E, fact_batting_summary!E2978)</f>
        <v>117</v>
      </c>
      <c r="B2978" s="9">
        <f>AVERAGEIFS(fact_batting_summary!G:G, fact_batting_summary!E:E,fact_batting_summary!E2978)</f>
        <v>19.5</v>
      </c>
      <c r="C2978">
        <v>3</v>
      </c>
    </row>
    <row r="2979" spans="1:3" x14ac:dyDescent="0.45">
      <c r="A2979">
        <f>SUMIFS(fact_batting_summary!G:G, fact_batting_summary!E:E, fact_batting_summary!E2979)</f>
        <v>277</v>
      </c>
      <c r="B2979" s="9">
        <f>AVERAGEIFS(fact_batting_summary!G:G, fact_batting_summary!E:E,fact_batting_summary!E2979)</f>
        <v>21.307692307692307</v>
      </c>
      <c r="C2979">
        <v>4</v>
      </c>
    </row>
    <row r="2980" spans="1:3" x14ac:dyDescent="0.45">
      <c r="A2980">
        <f>SUMIFS(fact_batting_summary!G:G, fact_batting_summary!E:E, fact_batting_summary!E2980)</f>
        <v>543</v>
      </c>
      <c r="B2980" s="9">
        <f>AVERAGEIFS(fact_batting_summary!G:G, fact_batting_summary!E:E,fact_batting_summary!E2980)</f>
        <v>22.625</v>
      </c>
      <c r="C2980">
        <v>5</v>
      </c>
    </row>
    <row r="2981" spans="1:3" x14ac:dyDescent="0.45">
      <c r="A2981">
        <f>SUMIFS(fact_batting_summary!G:G, fact_batting_summary!E:E, fact_batting_summary!E2981)</f>
        <v>332</v>
      </c>
      <c r="B2981" s="9">
        <f>AVERAGEIFS(fact_batting_summary!G:G, fact_batting_summary!E:E,fact_batting_summary!E2981)</f>
        <v>19.529411764705884</v>
      </c>
      <c r="C2981">
        <v>6</v>
      </c>
    </row>
    <row r="2982" spans="1:3" x14ac:dyDescent="0.45">
      <c r="A2982">
        <f>SUMIFS(fact_batting_summary!G:G, fact_batting_summary!E:E, fact_batting_summary!E2982)</f>
        <v>426</v>
      </c>
      <c r="B2982" s="9">
        <f>AVERAGEIFS(fact_batting_summary!G:G, fact_batting_summary!E:E,fact_batting_summary!E2982)</f>
        <v>13.741935483870968</v>
      </c>
      <c r="C2982">
        <v>7</v>
      </c>
    </row>
    <row r="2983" spans="1:3" x14ac:dyDescent="0.45">
      <c r="A2983">
        <f>SUMIFS(fact_batting_summary!G:G, fact_batting_summary!E:E, fact_batting_summary!E2983)</f>
        <v>138</v>
      </c>
      <c r="B2983" s="9">
        <f>AVERAGEIFS(fact_batting_summary!G:G, fact_batting_summary!E:E,fact_batting_summary!E2983)</f>
        <v>8.625</v>
      </c>
      <c r="C2983">
        <v>8</v>
      </c>
    </row>
    <row r="2984" spans="1:3" x14ac:dyDescent="0.45">
      <c r="A2984">
        <f>SUMIFS(fact_batting_summary!G:G, fact_batting_summary!E:E, fact_batting_summary!E2984)</f>
        <v>57</v>
      </c>
      <c r="B2984" s="9">
        <f>AVERAGEIFS(fact_batting_summary!G:G, fact_batting_summary!E:E,fact_batting_summary!E2984)</f>
        <v>8.1428571428571423</v>
      </c>
      <c r="C2984">
        <v>9</v>
      </c>
    </row>
    <row r="2985" spans="1:3" x14ac:dyDescent="0.45">
      <c r="A2985">
        <f>SUMIFS(fact_batting_summary!G:G, fact_batting_summary!E:E, fact_batting_summary!E2985)</f>
        <v>819</v>
      </c>
      <c r="B2985" s="9">
        <f>AVERAGEIFS(fact_batting_summary!G:G, fact_batting_summary!E:E,fact_batting_summary!E2985)</f>
        <v>22.135135135135137</v>
      </c>
      <c r="C2985">
        <v>1</v>
      </c>
    </row>
    <row r="2986" spans="1:3" x14ac:dyDescent="0.45">
      <c r="A2986">
        <f>SUMIFS(fact_batting_summary!G:G, fact_batting_summary!E:E, fact_batting_summary!E2986)</f>
        <v>1851</v>
      </c>
      <c r="B2986" s="9">
        <f>AVERAGEIFS(fact_batting_summary!G:G, fact_batting_summary!E:E,fact_batting_summary!E2986)</f>
        <v>37.020000000000003</v>
      </c>
      <c r="C2986">
        <v>2</v>
      </c>
    </row>
    <row r="2987" spans="1:3" x14ac:dyDescent="0.45">
      <c r="A2987">
        <f>SUMIFS(fact_batting_summary!G:G, fact_batting_summary!E:E, fact_batting_summary!E2987)</f>
        <v>507</v>
      </c>
      <c r="B2987" s="9">
        <f>AVERAGEIFS(fact_batting_summary!G:G, fact_batting_summary!E:E,fact_batting_summary!E2987)</f>
        <v>39</v>
      </c>
      <c r="C2987">
        <v>3</v>
      </c>
    </row>
    <row r="2988" spans="1:3" x14ac:dyDescent="0.45">
      <c r="A2988">
        <f>SUMIFS(fact_batting_summary!G:G, fact_batting_summary!E:E, fact_batting_summary!E2988)</f>
        <v>960</v>
      </c>
      <c r="B2988" s="9">
        <f>AVERAGEIFS(fact_batting_summary!G:G, fact_batting_summary!E:E,fact_batting_summary!E2988)</f>
        <v>23.414634146341463</v>
      </c>
      <c r="C2988">
        <v>4</v>
      </c>
    </row>
    <row r="2989" spans="1:3" x14ac:dyDescent="0.45">
      <c r="A2989">
        <f>SUMIFS(fact_batting_summary!G:G, fact_batting_summary!E:E, fact_batting_summary!E2989)</f>
        <v>864</v>
      </c>
      <c r="B2989" s="9">
        <f>AVERAGEIFS(fact_batting_summary!G:G, fact_batting_summary!E:E,fact_batting_summary!E2989)</f>
        <v>23.351351351351351</v>
      </c>
      <c r="C2989">
        <v>5</v>
      </c>
    </row>
    <row r="2990" spans="1:3" x14ac:dyDescent="0.45">
      <c r="A2990">
        <f>SUMIFS(fact_batting_summary!G:G, fact_batting_summary!E:E, fact_batting_summary!E2990)</f>
        <v>459</v>
      </c>
      <c r="B2990" s="9">
        <f>AVERAGEIFS(fact_batting_summary!G:G, fact_batting_summary!E:E,fact_batting_summary!E2990)</f>
        <v>13.909090909090908</v>
      </c>
      <c r="C2990">
        <v>6</v>
      </c>
    </row>
    <row r="2991" spans="1:3" x14ac:dyDescent="0.45">
      <c r="A2991">
        <f>SUMIFS(fact_batting_summary!G:G, fact_batting_summary!E:E, fact_batting_summary!E2991)</f>
        <v>1132</v>
      </c>
      <c r="B2991" s="9">
        <f>AVERAGEIFS(fact_batting_summary!G:G, fact_batting_summary!E:E,fact_batting_summary!E2991)</f>
        <v>33.294117647058826</v>
      </c>
      <c r="C2991">
        <v>1</v>
      </c>
    </row>
    <row r="2992" spans="1:3" x14ac:dyDescent="0.45">
      <c r="A2992">
        <f>SUMIFS(fact_batting_summary!G:G, fact_batting_summary!E:E, fact_batting_summary!E2992)</f>
        <v>1509</v>
      </c>
      <c r="B2992" s="9">
        <f>AVERAGEIFS(fact_batting_summary!G:G, fact_batting_summary!E:E,fact_batting_summary!E2992)</f>
        <v>39.710526315789473</v>
      </c>
      <c r="C2992">
        <v>2</v>
      </c>
    </row>
    <row r="2993" spans="1:3" x14ac:dyDescent="0.45">
      <c r="A2993">
        <f>SUMIFS(fact_batting_summary!G:G, fact_batting_summary!E:E, fact_batting_summary!E2993)</f>
        <v>1048</v>
      </c>
      <c r="B2993" s="9">
        <f>AVERAGEIFS(fact_batting_summary!G:G, fact_batting_summary!E:E,fact_batting_summary!E2993)</f>
        <v>24.952380952380953</v>
      </c>
      <c r="C2993">
        <v>3</v>
      </c>
    </row>
    <row r="2994" spans="1:3" x14ac:dyDescent="0.45">
      <c r="A2994">
        <f>SUMIFS(fact_batting_summary!G:G, fact_batting_summary!E:E, fact_batting_summary!E2994)</f>
        <v>1304</v>
      </c>
      <c r="B2994" s="9">
        <f>AVERAGEIFS(fact_batting_summary!G:G, fact_batting_summary!E:E,fact_batting_summary!E2994)</f>
        <v>28.977777777777778</v>
      </c>
      <c r="C2994">
        <v>4</v>
      </c>
    </row>
    <row r="2995" spans="1:3" x14ac:dyDescent="0.45">
      <c r="A2995">
        <f>SUMIFS(fact_batting_summary!G:G, fact_batting_summary!E:E, fact_batting_summary!E2995)</f>
        <v>302</v>
      </c>
      <c r="B2995" s="9">
        <f>AVERAGEIFS(fact_batting_summary!G:G, fact_batting_summary!E:E,fact_batting_summary!E2995)</f>
        <v>11.185185185185185</v>
      </c>
      <c r="C2995">
        <v>5</v>
      </c>
    </row>
    <row r="2996" spans="1:3" x14ac:dyDescent="0.45">
      <c r="A2996">
        <f>SUMIFS(fact_batting_summary!G:G, fact_batting_summary!E:E, fact_batting_summary!E2996)</f>
        <v>854</v>
      </c>
      <c r="B2996" s="9">
        <f>AVERAGEIFS(fact_batting_summary!G:G, fact_batting_summary!E:E,fact_batting_summary!E2996)</f>
        <v>21.35</v>
      </c>
      <c r="C2996">
        <v>6</v>
      </c>
    </row>
    <row r="2997" spans="1:3" x14ac:dyDescent="0.45">
      <c r="A2997">
        <f>SUMIFS(fact_batting_summary!G:G, fact_batting_summary!E:E, fact_batting_summary!E2997)</f>
        <v>152</v>
      </c>
      <c r="B2997" s="9">
        <f>AVERAGEIFS(fact_batting_summary!G:G, fact_batting_summary!E:E,fact_batting_summary!E2997)</f>
        <v>13.818181818181818</v>
      </c>
      <c r="C2997">
        <v>7</v>
      </c>
    </row>
    <row r="2998" spans="1:3" x14ac:dyDescent="0.45">
      <c r="A2998">
        <f>SUMIFS(fact_batting_summary!G:G, fact_batting_summary!E:E, fact_batting_summary!E2998)</f>
        <v>155</v>
      </c>
      <c r="B2998" s="9">
        <f>AVERAGEIFS(fact_batting_summary!G:G, fact_batting_summary!E:E,fact_batting_summary!E2998)</f>
        <v>8.6111111111111107</v>
      </c>
      <c r="C2998">
        <v>8</v>
      </c>
    </row>
    <row r="2999" spans="1:3" x14ac:dyDescent="0.45">
      <c r="A2999">
        <f>SUMIFS(fact_batting_summary!G:G, fact_batting_summary!E:E, fact_batting_summary!E2999)</f>
        <v>10</v>
      </c>
      <c r="B2999" s="9">
        <f>AVERAGEIFS(fact_batting_summary!G:G, fact_batting_summary!E:E,fact_batting_summary!E2999)</f>
        <v>3.3333333333333335</v>
      </c>
      <c r="C2999">
        <v>9</v>
      </c>
    </row>
    <row r="3000" spans="1:3" x14ac:dyDescent="0.45">
      <c r="A3000">
        <f>SUMIFS(fact_batting_summary!G:G, fact_batting_summary!E:E, fact_batting_summary!E3000)</f>
        <v>1593</v>
      </c>
      <c r="B3000" s="9">
        <f>AVERAGEIFS(fact_batting_summary!G:G, fact_batting_summary!E:E,fact_batting_summary!E3000)</f>
        <v>35.4</v>
      </c>
      <c r="C3000">
        <v>1</v>
      </c>
    </row>
    <row r="3001" spans="1:3" x14ac:dyDescent="0.45">
      <c r="A3001">
        <f>SUMIFS(fact_batting_summary!G:G, fact_batting_summary!E:E, fact_batting_summary!E3001)</f>
        <v>924</v>
      </c>
      <c r="B3001" s="9">
        <f>AVERAGEIFS(fact_batting_summary!G:G, fact_batting_summary!E:E,fact_batting_summary!E3001)</f>
        <v>42</v>
      </c>
      <c r="C3001">
        <v>2</v>
      </c>
    </row>
    <row r="3002" spans="1:3" x14ac:dyDescent="0.45">
      <c r="A3002">
        <f>SUMIFS(fact_batting_summary!G:G, fact_batting_summary!E:E, fact_batting_summary!E3002)</f>
        <v>467</v>
      </c>
      <c r="B3002" s="9">
        <f>AVERAGEIFS(fact_batting_summary!G:G, fact_batting_summary!E:E,fact_batting_summary!E3002)</f>
        <v>24.578947368421051</v>
      </c>
      <c r="C3002">
        <v>3</v>
      </c>
    </row>
    <row r="3003" spans="1:3" x14ac:dyDescent="0.45">
      <c r="A3003">
        <f>SUMIFS(fact_batting_summary!G:G, fact_batting_summary!E:E, fact_batting_summary!E3003)</f>
        <v>937</v>
      </c>
      <c r="B3003" s="9">
        <f>AVERAGEIFS(fact_batting_summary!G:G, fact_batting_summary!E:E,fact_batting_summary!E3003)</f>
        <v>27.558823529411764</v>
      </c>
      <c r="C3003">
        <v>4</v>
      </c>
    </row>
    <row r="3004" spans="1:3" x14ac:dyDescent="0.45">
      <c r="A3004">
        <f>SUMIFS(fact_batting_summary!G:G, fact_batting_summary!E:E, fact_batting_summary!E3004)</f>
        <v>725</v>
      </c>
      <c r="B3004" s="9">
        <f>AVERAGEIFS(fact_batting_summary!G:G, fact_batting_summary!E:E,fact_batting_summary!E3004)</f>
        <v>20.714285714285715</v>
      </c>
      <c r="C3004">
        <v>5</v>
      </c>
    </row>
    <row r="3005" spans="1:3" x14ac:dyDescent="0.45">
      <c r="A3005">
        <f>SUMIFS(fact_batting_summary!G:G, fact_batting_summary!E:E, fact_batting_summary!E3005)</f>
        <v>689</v>
      </c>
      <c r="B3005" s="9">
        <f>AVERAGEIFS(fact_batting_summary!G:G, fact_batting_summary!E:E,fact_batting_summary!E3005)</f>
        <v>19.138888888888889</v>
      </c>
      <c r="C3005">
        <v>6</v>
      </c>
    </row>
    <row r="3006" spans="1:3" x14ac:dyDescent="0.45">
      <c r="A3006">
        <f>SUMIFS(fact_batting_summary!G:G, fact_batting_summary!E:E, fact_batting_summary!E3006)</f>
        <v>533</v>
      </c>
      <c r="B3006" s="9">
        <f>AVERAGEIFS(fact_batting_summary!G:G, fact_batting_summary!E:E,fact_batting_summary!E3006)</f>
        <v>15.676470588235293</v>
      </c>
      <c r="C3006">
        <v>7</v>
      </c>
    </row>
    <row r="3007" spans="1:3" x14ac:dyDescent="0.45">
      <c r="A3007">
        <f>SUMIFS(fact_batting_summary!G:G, fact_batting_summary!E:E, fact_batting_summary!E3007)</f>
        <v>450</v>
      </c>
      <c r="B3007" s="9">
        <f>AVERAGEIFS(fact_batting_summary!G:G, fact_batting_summary!E:E,fact_batting_summary!E3007)</f>
        <v>12.5</v>
      </c>
      <c r="C3007">
        <v>8</v>
      </c>
    </row>
    <row r="3008" spans="1:3" x14ac:dyDescent="0.45">
      <c r="A3008">
        <f>SUMIFS(fact_batting_summary!G:G, fact_batting_summary!E:E, fact_batting_summary!E3008)</f>
        <v>1137</v>
      </c>
      <c r="B3008" s="9">
        <f>AVERAGEIFS(fact_batting_summary!G:G, fact_batting_summary!E:E,fact_batting_summary!E3008)</f>
        <v>34.454545454545453</v>
      </c>
      <c r="C3008">
        <v>1</v>
      </c>
    </row>
    <row r="3009" spans="1:3" x14ac:dyDescent="0.45">
      <c r="A3009">
        <f>SUMIFS(fact_batting_summary!G:G, fact_batting_summary!E:E, fact_batting_summary!E3009)</f>
        <v>815</v>
      </c>
      <c r="B3009" s="9">
        <f>AVERAGEIFS(fact_batting_summary!G:G, fact_batting_summary!E:E,fact_batting_summary!E3009)</f>
        <v>25.46875</v>
      </c>
      <c r="C3009">
        <v>2</v>
      </c>
    </row>
    <row r="3010" spans="1:3" x14ac:dyDescent="0.45">
      <c r="A3010">
        <f>SUMIFS(fact_batting_summary!G:G, fact_batting_summary!E:E, fact_batting_summary!E3010)</f>
        <v>540</v>
      </c>
      <c r="B3010" s="9">
        <f>AVERAGEIFS(fact_batting_summary!G:G, fact_batting_summary!E:E,fact_batting_summary!E3010)</f>
        <v>23.478260869565219</v>
      </c>
      <c r="C3010">
        <v>3</v>
      </c>
    </row>
    <row r="3011" spans="1:3" x14ac:dyDescent="0.45">
      <c r="A3011">
        <f>SUMIFS(fact_batting_summary!G:G, fact_batting_summary!E:E, fact_batting_summary!E3011)</f>
        <v>16</v>
      </c>
      <c r="B3011" s="9">
        <f>AVERAGEIFS(fact_batting_summary!G:G, fact_batting_summary!E:E,fact_batting_summary!E3011)</f>
        <v>5.333333333333333</v>
      </c>
      <c r="C3011">
        <v>4</v>
      </c>
    </row>
    <row r="3012" spans="1:3" x14ac:dyDescent="0.45">
      <c r="A3012">
        <f>SUMIFS(fact_batting_summary!G:G, fact_batting_summary!E:E, fact_batting_summary!E3012)</f>
        <v>257</v>
      </c>
      <c r="B3012" s="9">
        <f>AVERAGEIFS(fact_batting_summary!G:G, fact_batting_summary!E:E,fact_batting_summary!E3012)</f>
        <v>17.133333333333333</v>
      </c>
      <c r="C3012">
        <v>5</v>
      </c>
    </row>
    <row r="3013" spans="1:3" x14ac:dyDescent="0.45">
      <c r="A3013">
        <f>SUMIFS(fact_batting_summary!G:G, fact_batting_summary!E:E, fact_batting_summary!E3013)</f>
        <v>295</v>
      </c>
      <c r="B3013" s="9">
        <f>AVERAGEIFS(fact_batting_summary!G:G, fact_batting_summary!E:E,fact_batting_summary!E3013)</f>
        <v>15.526315789473685</v>
      </c>
      <c r="C3013">
        <v>6</v>
      </c>
    </row>
    <row r="3014" spans="1:3" x14ac:dyDescent="0.45">
      <c r="A3014">
        <f>SUMIFS(fact_batting_summary!G:G, fact_batting_summary!E:E, fact_batting_summary!E3014)</f>
        <v>505</v>
      </c>
      <c r="B3014" s="9">
        <f>AVERAGEIFS(fact_batting_summary!G:G, fact_batting_summary!E:E,fact_batting_summary!E3014)</f>
        <v>17.413793103448278</v>
      </c>
      <c r="C3014">
        <v>7</v>
      </c>
    </row>
    <row r="3015" spans="1:3" x14ac:dyDescent="0.45">
      <c r="A3015">
        <f>SUMIFS(fact_batting_summary!G:G, fact_batting_summary!E:E, fact_batting_summary!E3015)</f>
        <v>33</v>
      </c>
      <c r="B3015" s="9">
        <f>AVERAGEIFS(fact_batting_summary!G:G, fact_batting_summary!E:E,fact_batting_summary!E3015)</f>
        <v>8.25</v>
      </c>
      <c r="C3015">
        <v>8</v>
      </c>
    </row>
    <row r="3016" spans="1:3" x14ac:dyDescent="0.45">
      <c r="A3016">
        <f>SUMIFS(fact_batting_summary!G:G, fact_batting_summary!E:E, fact_batting_summary!E3016)</f>
        <v>79</v>
      </c>
      <c r="B3016" s="9">
        <f>AVERAGEIFS(fact_batting_summary!G:G, fact_batting_summary!E:E,fact_batting_summary!E3016)</f>
        <v>4.6470588235294121</v>
      </c>
      <c r="C3016">
        <v>9</v>
      </c>
    </row>
    <row r="3017" spans="1:3" x14ac:dyDescent="0.45">
      <c r="A3017">
        <f>SUMIFS(fact_batting_summary!G:G, fact_batting_summary!E:E, fact_batting_summary!E3017)</f>
        <v>38</v>
      </c>
      <c r="B3017" s="9">
        <f>AVERAGEIFS(fact_batting_summary!G:G, fact_batting_summary!E:E,fact_batting_summary!E3017)</f>
        <v>4.75</v>
      </c>
      <c r="C3017">
        <v>10</v>
      </c>
    </row>
    <row r="3018" spans="1:3" x14ac:dyDescent="0.45">
      <c r="A3018">
        <f>SUMIFS(fact_batting_summary!G:G, fact_batting_summary!E:E, fact_batting_summary!E3018)</f>
        <v>12</v>
      </c>
      <c r="B3018" s="9">
        <f>AVERAGEIFS(fact_batting_summary!G:G, fact_batting_summary!E:E,fact_batting_summary!E3018)</f>
        <v>1.7142857142857142</v>
      </c>
      <c r="C3018">
        <v>11</v>
      </c>
    </row>
    <row r="3019" spans="1:3" x14ac:dyDescent="0.45">
      <c r="A3019">
        <f>SUMIFS(fact_batting_summary!G:G, fact_batting_summary!E:E, fact_batting_summary!E3019)</f>
        <v>981</v>
      </c>
      <c r="B3019" s="9">
        <f>AVERAGEIFS(fact_batting_summary!G:G, fact_batting_summary!E:E,fact_batting_summary!E3019)</f>
        <v>22.813953488372093</v>
      </c>
      <c r="C3019">
        <v>1</v>
      </c>
    </row>
    <row r="3020" spans="1:3" x14ac:dyDescent="0.45">
      <c r="A3020">
        <f>SUMIFS(fact_batting_summary!G:G, fact_batting_summary!E:E, fact_batting_summary!E3020)</f>
        <v>1113</v>
      </c>
      <c r="B3020" s="9">
        <f>AVERAGEIFS(fact_batting_summary!G:G, fact_batting_summary!E:E,fact_batting_summary!E3020)</f>
        <v>28.53846153846154</v>
      </c>
      <c r="C3020">
        <v>2</v>
      </c>
    </row>
    <row r="3021" spans="1:3" x14ac:dyDescent="0.45">
      <c r="A3021">
        <f>SUMIFS(fact_batting_summary!G:G, fact_batting_summary!E:E, fact_batting_summary!E3021)</f>
        <v>740</v>
      </c>
      <c r="B3021" s="9">
        <f>AVERAGEIFS(fact_batting_summary!G:G, fact_batting_summary!E:E,fact_batting_summary!E3021)</f>
        <v>29.6</v>
      </c>
      <c r="C3021">
        <v>3</v>
      </c>
    </row>
    <row r="3022" spans="1:3" x14ac:dyDescent="0.45">
      <c r="A3022">
        <f>SUMIFS(fact_batting_summary!G:G, fact_batting_summary!E:E, fact_batting_summary!E3022)</f>
        <v>1225</v>
      </c>
      <c r="B3022" s="9">
        <f>AVERAGEIFS(fact_batting_summary!G:G, fact_batting_summary!E:E,fact_batting_summary!E3022)</f>
        <v>32.236842105263158</v>
      </c>
      <c r="C3022">
        <v>4</v>
      </c>
    </row>
    <row r="3023" spans="1:3" x14ac:dyDescent="0.45">
      <c r="A3023">
        <f>SUMIFS(fact_batting_summary!G:G, fact_batting_summary!E:E, fact_batting_summary!E3023)</f>
        <v>418</v>
      </c>
      <c r="B3023" s="9">
        <f>AVERAGEIFS(fact_batting_summary!G:G, fact_batting_summary!E:E,fact_batting_summary!E3023)</f>
        <v>17.416666666666668</v>
      </c>
      <c r="C3023">
        <v>5</v>
      </c>
    </row>
    <row r="3024" spans="1:3" x14ac:dyDescent="0.45">
      <c r="A3024">
        <f>SUMIFS(fact_batting_summary!G:G, fact_batting_summary!E:E, fact_batting_summary!E3024)</f>
        <v>452</v>
      </c>
      <c r="B3024" s="9">
        <f>AVERAGEIFS(fact_batting_summary!G:G, fact_batting_summary!E:E,fact_batting_summary!E3024)</f>
        <v>28.25</v>
      </c>
      <c r="C3024">
        <v>6</v>
      </c>
    </row>
    <row r="3025" spans="1:3" x14ac:dyDescent="0.45">
      <c r="A3025">
        <f>SUMIFS(fact_batting_summary!G:G, fact_batting_summary!E:E, fact_batting_summary!E3025)</f>
        <v>1385</v>
      </c>
      <c r="B3025" s="9">
        <f>AVERAGEIFS(fact_batting_summary!G:G, fact_batting_summary!E:E,fact_batting_summary!E3025)</f>
        <v>30.777777777777779</v>
      </c>
      <c r="C3025">
        <v>1</v>
      </c>
    </row>
    <row r="3026" spans="1:3" x14ac:dyDescent="0.45">
      <c r="A3026">
        <f>SUMIFS(fact_batting_summary!G:G, fact_batting_summary!E:E, fact_batting_summary!E3026)</f>
        <v>1831</v>
      </c>
      <c r="B3026" s="9">
        <f>AVERAGEIFS(fact_batting_summary!G:G, fact_batting_summary!E:E,fact_batting_summary!E3026)</f>
        <v>39.804347826086953</v>
      </c>
      <c r="C3026">
        <v>2</v>
      </c>
    </row>
    <row r="3027" spans="1:3" x14ac:dyDescent="0.45">
      <c r="A3027">
        <f>SUMIFS(fact_batting_summary!G:G, fact_batting_summary!E:E, fact_batting_summary!E3027)</f>
        <v>1214</v>
      </c>
      <c r="B3027" s="9">
        <f>AVERAGEIFS(fact_batting_summary!G:G, fact_batting_summary!E:E,fact_batting_summary!E3027)</f>
        <v>29.609756097560975</v>
      </c>
      <c r="C3027">
        <v>3</v>
      </c>
    </row>
    <row r="3028" spans="1:3" x14ac:dyDescent="0.45">
      <c r="A3028">
        <f>SUMIFS(fact_batting_summary!G:G, fact_batting_summary!E:E, fact_batting_summary!E3028)</f>
        <v>693</v>
      </c>
      <c r="B3028" s="9">
        <f>AVERAGEIFS(fact_batting_summary!G:G, fact_batting_summary!E:E,fact_batting_summary!E3028)</f>
        <v>15.75</v>
      </c>
      <c r="C3028">
        <v>4</v>
      </c>
    </row>
    <row r="3029" spans="1:3" x14ac:dyDescent="0.45">
      <c r="A3029">
        <f>SUMIFS(fact_batting_summary!G:G, fact_batting_summary!E:E, fact_batting_summary!E3029)</f>
        <v>365</v>
      </c>
      <c r="B3029" s="9">
        <f>AVERAGEIFS(fact_batting_summary!G:G, fact_batting_summary!E:E,fact_batting_summary!E3029)</f>
        <v>30.416666666666668</v>
      </c>
      <c r="C3029">
        <v>1</v>
      </c>
    </row>
    <row r="3030" spans="1:3" x14ac:dyDescent="0.45">
      <c r="A3030">
        <f>SUMIFS(fact_batting_summary!G:G, fact_batting_summary!E:E, fact_batting_summary!E3030)</f>
        <v>1516</v>
      </c>
      <c r="B3030" s="9">
        <f>AVERAGEIFS(fact_batting_summary!G:G, fact_batting_summary!E:E,fact_batting_summary!E3030)</f>
        <v>40.972972972972975</v>
      </c>
      <c r="C3030">
        <v>2</v>
      </c>
    </row>
    <row r="3031" spans="1:3" x14ac:dyDescent="0.45">
      <c r="A3031">
        <f>SUMIFS(fact_batting_summary!G:G, fact_batting_summary!E:E, fact_batting_summary!E3031)</f>
        <v>695</v>
      </c>
      <c r="B3031" s="9">
        <f>AVERAGEIFS(fact_batting_summary!G:G, fact_batting_summary!E:E,fact_batting_summary!E3031)</f>
        <v>18.783783783783782</v>
      </c>
      <c r="C3031">
        <v>3</v>
      </c>
    </row>
    <row r="3032" spans="1:3" x14ac:dyDescent="0.45">
      <c r="A3032">
        <f>SUMIFS(fact_batting_summary!G:G, fact_batting_summary!E:E, fact_batting_summary!E3032)</f>
        <v>514</v>
      </c>
      <c r="B3032" s="9">
        <f>AVERAGEIFS(fact_batting_summary!G:G, fact_batting_summary!E:E,fact_batting_summary!E3032)</f>
        <v>13.526315789473685</v>
      </c>
      <c r="C3032">
        <v>4</v>
      </c>
    </row>
    <row r="3033" spans="1:3" x14ac:dyDescent="0.45">
      <c r="A3033">
        <f>SUMIFS(fact_batting_summary!G:G, fact_batting_summary!E:E, fact_batting_summary!E3033)</f>
        <v>645</v>
      </c>
      <c r="B3033" s="9">
        <f>AVERAGEIFS(fact_batting_summary!G:G, fact_batting_summary!E:E,fact_batting_summary!E3033)</f>
        <v>21.5</v>
      </c>
      <c r="C3033">
        <v>5</v>
      </c>
    </row>
    <row r="3034" spans="1:3" x14ac:dyDescent="0.45">
      <c r="A3034">
        <f>SUMIFS(fact_batting_summary!G:G, fact_batting_summary!E:E, fact_batting_summary!E3034)</f>
        <v>729</v>
      </c>
      <c r="B3034" s="9">
        <f>AVERAGEIFS(fact_batting_summary!G:G, fact_batting_summary!E:E,fact_batting_summary!E3034)</f>
        <v>19.184210526315791</v>
      </c>
      <c r="C3034">
        <v>6</v>
      </c>
    </row>
    <row r="3035" spans="1:3" x14ac:dyDescent="0.45">
      <c r="A3035">
        <f>SUMIFS(fact_batting_summary!G:G, fact_batting_summary!E:E, fact_batting_summary!E3035)</f>
        <v>340</v>
      </c>
      <c r="B3035" s="9">
        <f>AVERAGEIFS(fact_batting_summary!G:G, fact_batting_summary!E:E,fact_batting_summary!E3035)</f>
        <v>15.454545454545455</v>
      </c>
      <c r="C3035">
        <v>7</v>
      </c>
    </row>
    <row r="3036" spans="1:3" x14ac:dyDescent="0.45">
      <c r="A3036">
        <f>SUMIFS(fact_batting_summary!G:G, fact_batting_summary!E:E, fact_batting_summary!E3036)</f>
        <v>109</v>
      </c>
      <c r="B3036" s="9">
        <f>AVERAGEIFS(fact_batting_summary!G:G, fact_batting_summary!E:E,fact_batting_summary!E3036)</f>
        <v>12.111111111111111</v>
      </c>
      <c r="C3036">
        <v>8</v>
      </c>
    </row>
    <row r="3037" spans="1:3" x14ac:dyDescent="0.45">
      <c r="A3037">
        <f>SUMIFS(fact_batting_summary!G:G, fact_batting_summary!E:E, fact_batting_summary!E3037)</f>
        <v>11</v>
      </c>
      <c r="B3037" s="9">
        <f>AVERAGEIFS(fact_batting_summary!G:G, fact_batting_summary!E:E,fact_batting_summary!E3037)</f>
        <v>5.5</v>
      </c>
      <c r="C3037">
        <v>9</v>
      </c>
    </row>
    <row r="3038" spans="1:3" x14ac:dyDescent="0.45">
      <c r="A3038">
        <f>SUMIFS(fact_batting_summary!G:G, fact_batting_summary!E:E, fact_batting_summary!E3038)</f>
        <v>21</v>
      </c>
      <c r="B3038" s="9">
        <f>AVERAGEIFS(fact_batting_summary!G:G, fact_batting_summary!E:E,fact_batting_summary!E3038)</f>
        <v>2.3333333333333335</v>
      </c>
      <c r="C3038">
        <v>10</v>
      </c>
    </row>
    <row r="3039" spans="1:3" x14ac:dyDescent="0.45">
      <c r="A3039">
        <f>SUMIFS(fact_batting_summary!G:G, fact_batting_summary!E:E, fact_batting_summary!E3039)</f>
        <v>27</v>
      </c>
      <c r="B3039" s="9">
        <f>AVERAGEIFS(fact_batting_summary!G:G, fact_batting_summary!E:E,fact_batting_summary!E3039)</f>
        <v>4.5</v>
      </c>
      <c r="C3039">
        <v>11</v>
      </c>
    </row>
    <row r="3040" spans="1:3" x14ac:dyDescent="0.45">
      <c r="A3040">
        <f>SUMIFS(fact_batting_summary!G:G, fact_batting_summary!E:E, fact_batting_summary!E3040)</f>
        <v>391</v>
      </c>
      <c r="B3040" s="9">
        <f>AVERAGEIFS(fact_batting_summary!G:G, fact_batting_summary!E:E,fact_batting_summary!E3040)</f>
        <v>23</v>
      </c>
      <c r="C3040">
        <v>1</v>
      </c>
    </row>
    <row r="3041" spans="1:3" x14ac:dyDescent="0.45">
      <c r="A3041">
        <f>SUMIFS(fact_batting_summary!G:G, fact_batting_summary!E:E, fact_batting_summary!E3041)</f>
        <v>1392</v>
      </c>
      <c r="B3041" s="9">
        <f>AVERAGEIFS(fact_batting_summary!G:G, fact_batting_summary!E:E,fact_batting_summary!E3041)</f>
        <v>34.799999999999997</v>
      </c>
      <c r="C3041">
        <v>2</v>
      </c>
    </row>
    <row r="3042" spans="1:3" x14ac:dyDescent="0.45">
      <c r="A3042">
        <f>SUMIFS(fact_batting_summary!G:G, fact_batting_summary!E:E, fact_batting_summary!E3042)</f>
        <v>117</v>
      </c>
      <c r="B3042" s="9">
        <f>AVERAGEIFS(fact_batting_summary!G:G, fact_batting_summary!E:E,fact_batting_summary!E3042)</f>
        <v>19.5</v>
      </c>
      <c r="C3042">
        <v>3</v>
      </c>
    </row>
    <row r="3043" spans="1:3" x14ac:dyDescent="0.45">
      <c r="A3043">
        <f>SUMIFS(fact_batting_summary!G:G, fact_batting_summary!E:E, fact_batting_summary!E3043)</f>
        <v>543</v>
      </c>
      <c r="B3043" s="9">
        <f>AVERAGEIFS(fact_batting_summary!G:G, fact_batting_summary!E:E,fact_batting_summary!E3043)</f>
        <v>22.625</v>
      </c>
      <c r="C3043">
        <v>4</v>
      </c>
    </row>
    <row r="3044" spans="1:3" x14ac:dyDescent="0.45">
      <c r="A3044">
        <f>SUMIFS(fact_batting_summary!G:G, fact_batting_summary!E:E, fact_batting_summary!E3044)</f>
        <v>332</v>
      </c>
      <c r="B3044" s="9">
        <f>AVERAGEIFS(fact_batting_summary!G:G, fact_batting_summary!E:E,fact_batting_summary!E3044)</f>
        <v>19.529411764705884</v>
      </c>
      <c r="C3044">
        <v>5</v>
      </c>
    </row>
    <row r="3045" spans="1:3" x14ac:dyDescent="0.45">
      <c r="A3045">
        <f>SUMIFS(fact_batting_summary!G:G, fact_batting_summary!E:E, fact_batting_summary!E3045)</f>
        <v>139</v>
      </c>
      <c r="B3045" s="9">
        <f>AVERAGEIFS(fact_batting_summary!G:G, fact_batting_summary!E:E,fact_batting_summary!E3045)</f>
        <v>19.857142857142858</v>
      </c>
      <c r="C3045">
        <v>6</v>
      </c>
    </row>
    <row r="3046" spans="1:3" x14ac:dyDescent="0.45">
      <c r="A3046">
        <f>SUMIFS(fact_batting_summary!G:G, fact_batting_summary!E:E, fact_batting_summary!E3046)</f>
        <v>426</v>
      </c>
      <c r="B3046" s="9">
        <f>AVERAGEIFS(fact_batting_summary!G:G, fact_batting_summary!E:E,fact_batting_summary!E3046)</f>
        <v>13.741935483870968</v>
      </c>
      <c r="C3046">
        <v>7</v>
      </c>
    </row>
    <row r="3047" spans="1:3" x14ac:dyDescent="0.45">
      <c r="A3047">
        <f>SUMIFS(fact_batting_summary!G:G, fact_batting_summary!E:E, fact_batting_summary!E3047)</f>
        <v>138</v>
      </c>
      <c r="B3047" s="9">
        <f>AVERAGEIFS(fact_batting_summary!G:G, fact_batting_summary!E:E,fact_batting_summary!E3047)</f>
        <v>8.625</v>
      </c>
      <c r="C3047">
        <v>8</v>
      </c>
    </row>
    <row r="3048" spans="1:3" x14ac:dyDescent="0.45">
      <c r="A3048">
        <f>SUMIFS(fact_batting_summary!G:G, fact_batting_summary!E:E, fact_batting_summary!E3048)</f>
        <v>91</v>
      </c>
      <c r="B3048" s="9">
        <f>AVERAGEIFS(fact_batting_summary!G:G, fact_batting_summary!E:E,fact_batting_summary!E3048)</f>
        <v>5.6875</v>
      </c>
      <c r="C3048">
        <v>9</v>
      </c>
    </row>
    <row r="3049" spans="1:3" x14ac:dyDescent="0.45">
      <c r="A3049">
        <f>SUMIFS(fact_batting_summary!G:G, fact_batting_summary!E:E, fact_batting_summary!E3049)</f>
        <v>19</v>
      </c>
      <c r="B3049" s="9">
        <f>AVERAGEIFS(fact_batting_summary!G:G, fact_batting_summary!E:E,fact_batting_summary!E3049)</f>
        <v>3.8</v>
      </c>
      <c r="C3049">
        <v>10</v>
      </c>
    </row>
    <row r="3050" spans="1:3" x14ac:dyDescent="0.45">
      <c r="A3050">
        <f>SUMIFS(fact_batting_summary!G:G, fact_batting_summary!E:E, fact_batting_summary!E3050)</f>
        <v>1</v>
      </c>
      <c r="B3050" s="9">
        <f>AVERAGEIFS(fact_batting_summary!G:G, fact_batting_summary!E:E,fact_batting_summary!E3050)</f>
        <v>1</v>
      </c>
      <c r="C3050">
        <v>11</v>
      </c>
    </row>
    <row r="3051" spans="1:3" x14ac:dyDescent="0.45">
      <c r="A3051">
        <f>SUMIFS(fact_batting_summary!G:G, fact_batting_summary!E:E, fact_batting_summary!E3051)</f>
        <v>190</v>
      </c>
      <c r="B3051" s="9">
        <f>AVERAGEIFS(fact_batting_summary!G:G, fact_batting_summary!E:E,fact_batting_summary!E3051)</f>
        <v>17.272727272727273</v>
      </c>
      <c r="C3051">
        <v>1</v>
      </c>
    </row>
    <row r="3052" spans="1:3" x14ac:dyDescent="0.45">
      <c r="A3052">
        <f>SUMIFS(fact_batting_summary!G:G, fact_batting_summary!E:E, fact_batting_summary!E3052)</f>
        <v>907</v>
      </c>
      <c r="B3052" s="9">
        <f>AVERAGEIFS(fact_batting_summary!G:G, fact_batting_summary!E:E,fact_batting_summary!E3052)</f>
        <v>26.676470588235293</v>
      </c>
      <c r="C3052">
        <v>2</v>
      </c>
    </row>
    <row r="3053" spans="1:3" x14ac:dyDescent="0.45">
      <c r="A3053">
        <f>SUMIFS(fact_batting_summary!G:G, fact_batting_summary!E:E, fact_batting_summary!E3053)</f>
        <v>1083</v>
      </c>
      <c r="B3053" s="9">
        <f>AVERAGEIFS(fact_batting_summary!G:G, fact_batting_summary!E:E,fact_batting_summary!E3053)</f>
        <v>25.186046511627907</v>
      </c>
      <c r="C3053">
        <v>3</v>
      </c>
    </row>
    <row r="3054" spans="1:3" x14ac:dyDescent="0.45">
      <c r="A3054">
        <f>SUMIFS(fact_batting_summary!G:G, fact_batting_summary!E:E, fact_batting_summary!E3054)</f>
        <v>775</v>
      </c>
      <c r="B3054" s="9">
        <f>AVERAGEIFS(fact_batting_summary!G:G, fact_batting_summary!E:E,fact_batting_summary!E3054)</f>
        <v>25</v>
      </c>
      <c r="C3054">
        <v>4</v>
      </c>
    </row>
    <row r="3055" spans="1:3" x14ac:dyDescent="0.45">
      <c r="A3055">
        <f>SUMIFS(fact_batting_summary!G:G, fact_batting_summary!E:E, fact_batting_summary!E3055)</f>
        <v>819</v>
      </c>
      <c r="B3055" s="9">
        <f>AVERAGEIFS(fact_batting_summary!G:G, fact_batting_summary!E:E,fact_batting_summary!E3055)</f>
        <v>22.135135135135137</v>
      </c>
      <c r="C3055">
        <v>1</v>
      </c>
    </row>
    <row r="3056" spans="1:3" x14ac:dyDescent="0.45">
      <c r="A3056">
        <f>SUMIFS(fact_batting_summary!G:G, fact_batting_summary!E:E, fact_batting_summary!E3056)</f>
        <v>1851</v>
      </c>
      <c r="B3056" s="9">
        <f>AVERAGEIFS(fact_batting_summary!G:G, fact_batting_summary!E:E,fact_batting_summary!E3056)</f>
        <v>37.020000000000003</v>
      </c>
      <c r="C3056">
        <v>2</v>
      </c>
    </row>
    <row r="3057" spans="1:3" x14ac:dyDescent="0.45">
      <c r="A3057">
        <f>SUMIFS(fact_batting_summary!G:G, fact_batting_summary!E:E, fact_batting_summary!E3057)</f>
        <v>507</v>
      </c>
      <c r="B3057" s="9">
        <f>AVERAGEIFS(fact_batting_summary!G:G, fact_batting_summary!E:E,fact_batting_summary!E3057)</f>
        <v>39</v>
      </c>
      <c r="C3057">
        <v>3</v>
      </c>
    </row>
    <row r="3058" spans="1:3" x14ac:dyDescent="0.45">
      <c r="A3058">
        <f>SUMIFS(fact_batting_summary!G:G, fact_batting_summary!E:E, fact_batting_summary!E3058)</f>
        <v>222</v>
      </c>
      <c r="B3058" s="9">
        <f>AVERAGEIFS(fact_batting_summary!G:G, fact_batting_summary!E:E,fact_batting_summary!E3058)</f>
        <v>17.076923076923077</v>
      </c>
      <c r="C3058">
        <v>4</v>
      </c>
    </row>
    <row r="3059" spans="1:3" x14ac:dyDescent="0.45">
      <c r="A3059">
        <f>SUMIFS(fact_batting_summary!G:G, fact_batting_summary!E:E, fact_batting_summary!E3059)</f>
        <v>370</v>
      </c>
      <c r="B3059" s="9">
        <f>AVERAGEIFS(fact_batting_summary!G:G, fact_batting_summary!E:E,fact_batting_summary!E3059)</f>
        <v>20.555555555555557</v>
      </c>
      <c r="C3059">
        <v>5</v>
      </c>
    </row>
    <row r="3060" spans="1:3" x14ac:dyDescent="0.45">
      <c r="A3060">
        <f>SUMIFS(fact_batting_summary!G:G, fact_batting_summary!E:E, fact_batting_summary!E3060)</f>
        <v>864</v>
      </c>
      <c r="B3060" s="9">
        <f>AVERAGEIFS(fact_batting_summary!G:G, fact_batting_summary!E:E,fact_batting_summary!E3060)</f>
        <v>23.351351351351351</v>
      </c>
      <c r="C3060">
        <v>6</v>
      </c>
    </row>
    <row r="3061" spans="1:3" x14ac:dyDescent="0.45">
      <c r="A3061">
        <f>SUMIFS(fact_batting_summary!G:G, fact_batting_summary!E:E, fact_batting_summary!E3061)</f>
        <v>227</v>
      </c>
      <c r="B3061" s="9">
        <f>AVERAGEIFS(fact_batting_summary!G:G, fact_batting_summary!E:E,fact_batting_summary!E3061)</f>
        <v>20.636363636363637</v>
      </c>
      <c r="C3061">
        <v>1</v>
      </c>
    </row>
    <row r="3062" spans="1:3" x14ac:dyDescent="0.45">
      <c r="A3062">
        <f>SUMIFS(fact_batting_summary!G:G, fact_batting_summary!E:E, fact_batting_summary!E3062)</f>
        <v>129</v>
      </c>
      <c r="B3062" s="9">
        <f>AVERAGEIFS(fact_batting_summary!G:G, fact_batting_summary!E:E,fact_batting_summary!E3062)</f>
        <v>16.125</v>
      </c>
      <c r="C3062">
        <v>2</v>
      </c>
    </row>
    <row r="3063" spans="1:3" x14ac:dyDescent="0.45">
      <c r="A3063">
        <f>SUMIFS(fact_batting_summary!G:G, fact_batting_summary!E:E, fact_batting_summary!E3063)</f>
        <v>956</v>
      </c>
      <c r="B3063" s="9">
        <f>AVERAGEIFS(fact_batting_summary!G:G, fact_batting_summary!E:E,fact_batting_summary!E3063)</f>
        <v>26.555555555555557</v>
      </c>
      <c r="C3063">
        <v>3</v>
      </c>
    </row>
    <row r="3064" spans="1:3" x14ac:dyDescent="0.45">
      <c r="A3064">
        <f>SUMIFS(fact_batting_summary!G:G, fact_batting_summary!E:E, fact_batting_summary!E3064)</f>
        <v>1157</v>
      </c>
      <c r="B3064" s="9">
        <f>AVERAGEIFS(fact_batting_summary!G:G, fact_batting_summary!E:E,fact_batting_summary!E3064)</f>
        <v>26.295454545454547</v>
      </c>
      <c r="C3064">
        <v>4</v>
      </c>
    </row>
    <row r="3065" spans="1:3" x14ac:dyDescent="0.45">
      <c r="A3065">
        <f>SUMIFS(fact_batting_summary!G:G, fact_batting_summary!E:E, fact_batting_summary!E3065)</f>
        <v>648</v>
      </c>
      <c r="B3065" s="9">
        <f>AVERAGEIFS(fact_batting_summary!G:G, fact_batting_summary!E:E,fact_batting_summary!E3065)</f>
        <v>30.857142857142858</v>
      </c>
      <c r="C3065">
        <v>5</v>
      </c>
    </row>
    <row r="3066" spans="1:3" x14ac:dyDescent="0.45">
      <c r="A3066">
        <f>SUMIFS(fact_batting_summary!G:G, fact_batting_summary!E:E, fact_batting_summary!E3066)</f>
        <v>745</v>
      </c>
      <c r="B3066" s="9">
        <f>AVERAGEIFS(fact_batting_summary!G:G, fact_batting_summary!E:E,fact_batting_summary!E3066)</f>
        <v>21.285714285714285</v>
      </c>
      <c r="C3066">
        <v>6</v>
      </c>
    </row>
    <row r="3067" spans="1:3" x14ac:dyDescent="0.45">
      <c r="A3067">
        <f>SUMIFS(fact_batting_summary!G:G, fact_batting_summary!E:E, fact_batting_summary!E3067)</f>
        <v>154</v>
      </c>
      <c r="B3067" s="9">
        <f>AVERAGEIFS(fact_batting_summary!G:G, fact_batting_summary!E:E,fact_batting_summary!E3067)</f>
        <v>5.1333333333333337</v>
      </c>
      <c r="C3067">
        <v>7</v>
      </c>
    </row>
    <row r="3068" spans="1:3" x14ac:dyDescent="0.45">
      <c r="A3068">
        <f>SUMIFS(fact_batting_summary!G:G, fact_batting_summary!E:E, fact_batting_summary!E3068)</f>
        <v>238</v>
      </c>
      <c r="B3068" s="9">
        <f>AVERAGEIFS(fact_batting_summary!G:G, fact_batting_summary!E:E,fact_batting_summary!E3068)</f>
        <v>9.9166666666666661</v>
      </c>
      <c r="C3068">
        <v>8</v>
      </c>
    </row>
    <row r="3069" spans="1:3" x14ac:dyDescent="0.45">
      <c r="A3069">
        <f>SUMIFS(fact_batting_summary!G:G, fact_batting_summary!E:E, fact_batting_summary!E3069)</f>
        <v>74</v>
      </c>
      <c r="B3069" s="9">
        <f>AVERAGEIFS(fact_batting_summary!G:G, fact_batting_summary!E:E,fact_batting_summary!E3069)</f>
        <v>6.166666666666667</v>
      </c>
      <c r="C3069">
        <v>9</v>
      </c>
    </row>
    <row r="3070" spans="1:3" x14ac:dyDescent="0.45">
      <c r="A3070">
        <f>SUMIFS(fact_batting_summary!G:G, fact_batting_summary!E:E, fact_batting_summary!E3070)</f>
        <v>981</v>
      </c>
      <c r="B3070" s="9">
        <f>AVERAGEIFS(fact_batting_summary!G:G, fact_batting_summary!E:E,fact_batting_summary!E3070)</f>
        <v>22.813953488372093</v>
      </c>
      <c r="C3070">
        <v>1</v>
      </c>
    </row>
    <row r="3071" spans="1:3" x14ac:dyDescent="0.45">
      <c r="A3071">
        <f>SUMIFS(fact_batting_summary!G:G, fact_batting_summary!E:E, fact_batting_summary!E3071)</f>
        <v>1113</v>
      </c>
      <c r="B3071" s="9">
        <f>AVERAGEIFS(fact_batting_summary!G:G, fact_batting_summary!E:E,fact_batting_summary!E3071)</f>
        <v>28.53846153846154</v>
      </c>
      <c r="C3071">
        <v>2</v>
      </c>
    </row>
    <row r="3072" spans="1:3" x14ac:dyDescent="0.45">
      <c r="A3072">
        <f>SUMIFS(fact_batting_summary!G:G, fact_batting_summary!E:E, fact_batting_summary!E3072)</f>
        <v>452</v>
      </c>
      <c r="B3072" s="9">
        <f>AVERAGEIFS(fact_batting_summary!G:G, fact_batting_summary!E:E,fact_batting_summary!E3072)</f>
        <v>28.25</v>
      </c>
      <c r="C3072">
        <v>3</v>
      </c>
    </row>
    <row r="3073" spans="1:3" x14ac:dyDescent="0.45">
      <c r="A3073">
        <f>SUMIFS(fact_batting_summary!G:G, fact_batting_summary!E:E, fact_batting_summary!E3073)</f>
        <v>1225</v>
      </c>
      <c r="B3073" s="9">
        <f>AVERAGEIFS(fact_batting_summary!G:G, fact_batting_summary!E:E,fact_batting_summary!E3073)</f>
        <v>32.236842105263158</v>
      </c>
      <c r="C3073">
        <v>4</v>
      </c>
    </row>
    <row r="3074" spans="1:3" x14ac:dyDescent="0.45">
      <c r="A3074">
        <f>SUMIFS(fact_batting_summary!G:G, fact_batting_summary!E:E, fact_batting_summary!E3074)</f>
        <v>740</v>
      </c>
      <c r="B3074" s="9">
        <f>AVERAGEIFS(fact_batting_summary!G:G, fact_batting_summary!E:E,fact_batting_summary!E3074)</f>
        <v>29.6</v>
      </c>
      <c r="C3074">
        <v>5</v>
      </c>
    </row>
    <row r="3075" spans="1:3" x14ac:dyDescent="0.45">
      <c r="A3075">
        <f>SUMIFS(fact_batting_summary!G:G, fact_batting_summary!E:E, fact_batting_summary!E3075)</f>
        <v>18</v>
      </c>
      <c r="B3075" s="9">
        <f>AVERAGEIFS(fact_batting_summary!G:G, fact_batting_summary!E:E,fact_batting_summary!E3075)</f>
        <v>6</v>
      </c>
      <c r="C3075">
        <v>6</v>
      </c>
    </row>
    <row r="3076" spans="1:3" x14ac:dyDescent="0.45">
      <c r="A3076">
        <f>SUMIFS(fact_batting_summary!G:G, fact_batting_summary!E:E, fact_batting_summary!E3076)</f>
        <v>418</v>
      </c>
      <c r="B3076" s="9">
        <f>AVERAGEIFS(fact_batting_summary!G:G, fact_batting_summary!E:E,fact_batting_summary!E3076)</f>
        <v>17.416666666666668</v>
      </c>
      <c r="C3076">
        <v>7</v>
      </c>
    </row>
    <row r="3077" spans="1:3" x14ac:dyDescent="0.45">
      <c r="A3077">
        <f>SUMIFS(fact_batting_summary!G:G, fact_batting_summary!E:E, fact_batting_summary!E3077)</f>
        <v>27</v>
      </c>
      <c r="B3077" s="9">
        <f>AVERAGEIFS(fact_batting_summary!G:G, fact_batting_summary!E:E,fact_batting_summary!E3077)</f>
        <v>6.75</v>
      </c>
      <c r="C3077">
        <v>8</v>
      </c>
    </row>
    <row r="3078" spans="1:3" x14ac:dyDescent="0.45">
      <c r="A3078">
        <f>SUMIFS(fact_batting_summary!G:G, fact_batting_summary!E:E, fact_batting_summary!E3078)</f>
        <v>66</v>
      </c>
      <c r="B3078" s="9">
        <f>AVERAGEIFS(fact_batting_summary!G:G, fact_batting_summary!E:E,fact_batting_summary!E3078)</f>
        <v>11</v>
      </c>
      <c r="C3078">
        <v>9</v>
      </c>
    </row>
    <row r="3079" spans="1:3" x14ac:dyDescent="0.45">
      <c r="A3079">
        <f>SUMIFS(fact_batting_summary!G:G, fact_batting_summary!E:E, fact_batting_summary!E3079)</f>
        <v>25</v>
      </c>
      <c r="B3079" s="9">
        <f>AVERAGEIFS(fact_batting_summary!G:G, fact_batting_summary!E:E,fact_batting_summary!E3079)</f>
        <v>5</v>
      </c>
      <c r="C3079">
        <v>10</v>
      </c>
    </row>
    <row r="3080" spans="1:3" x14ac:dyDescent="0.45">
      <c r="A3080">
        <f>SUMIFS(fact_batting_summary!G:G, fact_batting_summary!E:E, fact_batting_summary!E3080)</f>
        <v>924</v>
      </c>
      <c r="B3080" s="9">
        <f>AVERAGEIFS(fact_batting_summary!G:G, fact_batting_summary!E:E,fact_batting_summary!E3080)</f>
        <v>42</v>
      </c>
      <c r="C3080">
        <v>1</v>
      </c>
    </row>
    <row r="3081" spans="1:3" x14ac:dyDescent="0.45">
      <c r="A3081">
        <f>SUMIFS(fact_batting_summary!G:G, fact_batting_summary!E:E, fact_batting_summary!E3081)</f>
        <v>1593</v>
      </c>
      <c r="B3081" s="9">
        <f>AVERAGEIFS(fact_batting_summary!G:G, fact_batting_summary!E:E,fact_batting_summary!E3081)</f>
        <v>35.4</v>
      </c>
      <c r="C3081">
        <v>2</v>
      </c>
    </row>
    <row r="3082" spans="1:3" x14ac:dyDescent="0.45">
      <c r="A3082">
        <f>SUMIFS(fact_batting_summary!G:G, fact_batting_summary!E:E, fact_batting_summary!E3082)</f>
        <v>467</v>
      </c>
      <c r="B3082" s="9">
        <f>AVERAGEIFS(fact_batting_summary!G:G, fact_batting_summary!E:E,fact_batting_summary!E3082)</f>
        <v>24.578947368421051</v>
      </c>
      <c r="C3082">
        <v>3</v>
      </c>
    </row>
    <row r="3083" spans="1:3" x14ac:dyDescent="0.45">
      <c r="A3083">
        <f>SUMIFS(fact_batting_summary!G:G, fact_batting_summary!E:E, fact_batting_summary!E3083)</f>
        <v>937</v>
      </c>
      <c r="B3083" s="9">
        <f>AVERAGEIFS(fact_batting_summary!G:G, fact_batting_summary!E:E,fact_batting_summary!E3083)</f>
        <v>27.558823529411764</v>
      </c>
      <c r="C3083">
        <v>4</v>
      </c>
    </row>
    <row r="3084" spans="1:3" x14ac:dyDescent="0.45">
      <c r="A3084">
        <f>SUMIFS(fact_batting_summary!G:G, fact_batting_summary!E:E, fact_batting_summary!E3084)</f>
        <v>689</v>
      </c>
      <c r="B3084" s="9">
        <f>AVERAGEIFS(fact_batting_summary!G:G, fact_batting_summary!E:E,fact_batting_summary!E3084)</f>
        <v>19.138888888888889</v>
      </c>
      <c r="C3084">
        <v>5</v>
      </c>
    </row>
    <row r="3085" spans="1:3" x14ac:dyDescent="0.45">
      <c r="A3085">
        <f>SUMIFS(fact_batting_summary!G:G, fact_batting_summary!E:E, fact_batting_summary!E3085)</f>
        <v>1132</v>
      </c>
      <c r="B3085" s="9">
        <f>AVERAGEIFS(fact_batting_summary!G:G, fact_batting_summary!E:E,fact_batting_summary!E3085)</f>
        <v>33.294117647058826</v>
      </c>
      <c r="C3085">
        <v>1</v>
      </c>
    </row>
    <row r="3086" spans="1:3" x14ac:dyDescent="0.45">
      <c r="A3086">
        <f>SUMIFS(fact_batting_summary!G:G, fact_batting_summary!E:E, fact_batting_summary!E3086)</f>
        <v>1509</v>
      </c>
      <c r="B3086" s="9">
        <f>AVERAGEIFS(fact_batting_summary!G:G, fact_batting_summary!E:E,fact_batting_summary!E3086)</f>
        <v>39.710526315789473</v>
      </c>
      <c r="C3086">
        <v>2</v>
      </c>
    </row>
    <row r="3087" spans="1:3" x14ac:dyDescent="0.45">
      <c r="A3087">
        <f>SUMIFS(fact_batting_summary!G:G, fact_batting_summary!E:E, fact_batting_summary!E3087)</f>
        <v>1304</v>
      </c>
      <c r="B3087" s="9">
        <f>AVERAGEIFS(fact_batting_summary!G:G, fact_batting_summary!E:E,fact_batting_summary!E3087)</f>
        <v>28.977777777777778</v>
      </c>
      <c r="C3087">
        <v>3</v>
      </c>
    </row>
    <row r="3088" spans="1:3" x14ac:dyDescent="0.45">
      <c r="A3088">
        <f>SUMIFS(fact_batting_summary!G:G, fact_batting_summary!E:E, fact_batting_summary!E3088)</f>
        <v>354</v>
      </c>
      <c r="B3088" s="9">
        <f>AVERAGEIFS(fact_batting_summary!G:G, fact_batting_summary!E:E,fact_batting_summary!E3088)</f>
        <v>11.419354838709678</v>
      </c>
      <c r="C3088">
        <v>4</v>
      </c>
    </row>
    <row r="3089" spans="1:3" x14ac:dyDescent="0.45">
      <c r="A3089">
        <f>SUMIFS(fact_batting_summary!G:G, fact_batting_summary!E:E, fact_batting_summary!E3089)</f>
        <v>854</v>
      </c>
      <c r="B3089" s="9">
        <f>AVERAGEIFS(fact_batting_summary!G:G, fact_batting_summary!E:E,fact_batting_summary!E3089)</f>
        <v>21.35</v>
      </c>
      <c r="C3089">
        <v>5</v>
      </c>
    </row>
    <row r="3090" spans="1:3" x14ac:dyDescent="0.45">
      <c r="A3090">
        <f>SUMIFS(fact_batting_summary!G:G, fact_batting_summary!E:E, fact_batting_summary!E3090)</f>
        <v>152</v>
      </c>
      <c r="B3090" s="9">
        <f>AVERAGEIFS(fact_batting_summary!G:G, fact_batting_summary!E:E,fact_batting_summary!E3090)</f>
        <v>13.818181818181818</v>
      </c>
      <c r="C3090">
        <v>6</v>
      </c>
    </row>
    <row r="3091" spans="1:3" x14ac:dyDescent="0.45">
      <c r="A3091">
        <f>SUMIFS(fact_batting_summary!G:G, fact_batting_summary!E:E, fact_batting_summary!E3091)</f>
        <v>815</v>
      </c>
      <c r="B3091" s="9">
        <f>AVERAGEIFS(fact_batting_summary!G:G, fact_batting_summary!E:E,fact_batting_summary!E3091)</f>
        <v>25.46875</v>
      </c>
      <c r="C3091">
        <v>1</v>
      </c>
    </row>
    <row r="3092" spans="1:3" x14ac:dyDescent="0.45">
      <c r="A3092">
        <f>SUMIFS(fact_batting_summary!G:G, fact_batting_summary!E:E, fact_batting_summary!E3092)</f>
        <v>1137</v>
      </c>
      <c r="B3092" s="9">
        <f>AVERAGEIFS(fact_batting_summary!G:G, fact_batting_summary!E:E,fact_batting_summary!E3092)</f>
        <v>34.454545454545453</v>
      </c>
      <c r="C3092">
        <v>2</v>
      </c>
    </row>
    <row r="3093" spans="1:3" x14ac:dyDescent="0.45">
      <c r="A3093">
        <f>SUMIFS(fact_batting_summary!G:G, fact_batting_summary!E:E, fact_batting_summary!E3093)</f>
        <v>540</v>
      </c>
      <c r="B3093" s="9">
        <f>AVERAGEIFS(fact_batting_summary!G:G, fact_batting_summary!E:E,fact_batting_summary!E3093)</f>
        <v>23.478260869565219</v>
      </c>
      <c r="C3093">
        <v>3</v>
      </c>
    </row>
    <row r="3094" spans="1:3" x14ac:dyDescent="0.45">
      <c r="A3094">
        <f>SUMIFS(fact_batting_summary!G:G, fact_batting_summary!E:E, fact_batting_summary!E3094)</f>
        <v>209</v>
      </c>
      <c r="B3094" s="9">
        <f>AVERAGEIFS(fact_batting_summary!G:G, fact_batting_summary!E:E,fact_batting_summary!E3094)</f>
        <v>23.222222222222221</v>
      </c>
      <c r="C3094">
        <v>4</v>
      </c>
    </row>
    <row r="3095" spans="1:3" x14ac:dyDescent="0.45">
      <c r="A3095">
        <f>SUMIFS(fact_batting_summary!G:G, fact_batting_summary!E:E, fact_batting_summary!E3095)</f>
        <v>295</v>
      </c>
      <c r="B3095" s="9">
        <f>AVERAGEIFS(fact_batting_summary!G:G, fact_batting_summary!E:E,fact_batting_summary!E3095)</f>
        <v>15.526315789473685</v>
      </c>
      <c r="C3095">
        <v>5</v>
      </c>
    </row>
    <row r="3096" spans="1:3" x14ac:dyDescent="0.45">
      <c r="A3096">
        <f>SUMIFS(fact_batting_summary!G:G, fact_batting_summary!E:E, fact_batting_summary!E3096)</f>
        <v>505</v>
      </c>
      <c r="B3096" s="9">
        <f>AVERAGEIFS(fact_batting_summary!G:G, fact_batting_summary!E:E,fact_batting_summary!E3096)</f>
        <v>17.413793103448278</v>
      </c>
      <c r="C3096">
        <v>6</v>
      </c>
    </row>
    <row r="3097" spans="1:3" x14ac:dyDescent="0.45">
      <c r="A3097">
        <f>SUMIFS(fact_batting_summary!G:G, fact_batting_summary!E:E, fact_batting_summary!E3097)</f>
        <v>257</v>
      </c>
      <c r="B3097" s="9">
        <f>AVERAGEIFS(fact_batting_summary!G:G, fact_batting_summary!E:E,fact_batting_summary!E3097)</f>
        <v>17.133333333333333</v>
      </c>
      <c r="C3097">
        <v>7</v>
      </c>
    </row>
    <row r="3098" spans="1:3" x14ac:dyDescent="0.45">
      <c r="A3098">
        <f>SUMIFS(fact_batting_summary!G:G, fact_batting_summary!E:E, fact_batting_summary!E3098)</f>
        <v>33</v>
      </c>
      <c r="B3098" s="9">
        <f>AVERAGEIFS(fact_batting_summary!G:G, fact_batting_summary!E:E,fact_batting_summary!E3098)</f>
        <v>8.25</v>
      </c>
      <c r="C3098">
        <v>8</v>
      </c>
    </row>
    <row r="3099" spans="1:3" x14ac:dyDescent="0.45">
      <c r="A3099">
        <f>SUMIFS(fact_batting_summary!G:G, fact_batting_summary!E:E, fact_batting_summary!E3099)</f>
        <v>79</v>
      </c>
      <c r="B3099" s="9">
        <f>AVERAGEIFS(fact_batting_summary!G:G, fact_batting_summary!E:E,fact_batting_summary!E3099)</f>
        <v>4.6470588235294121</v>
      </c>
      <c r="C3099">
        <v>9</v>
      </c>
    </row>
    <row r="3100" spans="1:3" x14ac:dyDescent="0.45">
      <c r="A3100">
        <f>SUMIFS(fact_batting_summary!G:G, fact_batting_summary!E:E, fact_batting_summary!E3100)</f>
        <v>38</v>
      </c>
      <c r="B3100" s="9">
        <f>AVERAGEIFS(fact_batting_summary!G:G, fact_batting_summary!E:E,fact_batting_summary!E3100)</f>
        <v>4.75</v>
      </c>
      <c r="C3100">
        <v>10</v>
      </c>
    </row>
    <row r="3101" spans="1:3" x14ac:dyDescent="0.45">
      <c r="A3101">
        <f>SUMIFS(fact_batting_summary!G:G, fact_batting_summary!E:E, fact_batting_summary!E3101)</f>
        <v>7</v>
      </c>
      <c r="B3101" s="9">
        <f>AVERAGEIFS(fact_batting_summary!G:G, fact_batting_summary!E:E,fact_batting_summary!E3101)</f>
        <v>2.3333333333333335</v>
      </c>
      <c r="C3101">
        <v>11</v>
      </c>
    </row>
    <row r="3102" spans="1:3" x14ac:dyDescent="0.45">
      <c r="A3102">
        <f>SUMIFS(fact_batting_summary!G:G, fact_batting_summary!E:E, fact_batting_summary!E3102)</f>
        <v>134</v>
      </c>
      <c r="B3102" s="9">
        <f>AVERAGEIFS(fact_batting_summary!G:G, fact_batting_summary!E:E,fact_batting_summary!E3102)</f>
        <v>19.142857142857142</v>
      </c>
      <c r="C3102">
        <v>1</v>
      </c>
    </row>
    <row r="3103" spans="1:3" x14ac:dyDescent="0.45">
      <c r="A3103">
        <f>SUMIFS(fact_batting_summary!G:G, fact_batting_summary!E:E, fact_batting_summary!E3103)</f>
        <v>907</v>
      </c>
      <c r="B3103" s="9">
        <f>AVERAGEIFS(fact_batting_summary!G:G, fact_batting_summary!E:E,fact_batting_summary!E3103)</f>
        <v>26.676470588235293</v>
      </c>
      <c r="C3103">
        <v>2</v>
      </c>
    </row>
    <row r="3104" spans="1:3" x14ac:dyDescent="0.45">
      <c r="A3104">
        <f>SUMIFS(fact_batting_summary!G:G, fact_batting_summary!E:E, fact_batting_summary!E3104)</f>
        <v>1083</v>
      </c>
      <c r="B3104" s="9">
        <f>AVERAGEIFS(fact_batting_summary!G:G, fact_batting_summary!E:E,fact_batting_summary!E3104)</f>
        <v>25.186046511627907</v>
      </c>
      <c r="C3104">
        <v>3</v>
      </c>
    </row>
    <row r="3105" spans="1:3" x14ac:dyDescent="0.45">
      <c r="A3105">
        <f>SUMIFS(fact_batting_summary!G:G, fact_batting_summary!E:E, fact_batting_summary!E3105)</f>
        <v>775</v>
      </c>
      <c r="B3105" s="9">
        <f>AVERAGEIFS(fact_batting_summary!G:G, fact_batting_summary!E:E,fact_batting_summary!E3105)</f>
        <v>25</v>
      </c>
      <c r="C3105">
        <v>4</v>
      </c>
    </row>
    <row r="3106" spans="1:3" x14ac:dyDescent="0.45">
      <c r="A3106">
        <f>SUMIFS(fact_batting_summary!G:G, fact_batting_summary!E:E, fact_batting_summary!E3106)</f>
        <v>190</v>
      </c>
      <c r="B3106" s="9">
        <f>AVERAGEIFS(fact_batting_summary!G:G, fact_batting_summary!E:E,fact_batting_summary!E3106)</f>
        <v>17.272727272727273</v>
      </c>
      <c r="C3106">
        <v>5</v>
      </c>
    </row>
    <row r="3107" spans="1:3" x14ac:dyDescent="0.45">
      <c r="A3107">
        <f>SUMIFS(fact_batting_summary!G:G, fact_batting_summary!E:E, fact_batting_summary!E3107)</f>
        <v>192</v>
      </c>
      <c r="B3107" s="9">
        <f>AVERAGEIFS(fact_batting_summary!G:G, fact_batting_summary!E:E,fact_batting_summary!E3107)</f>
        <v>12</v>
      </c>
      <c r="C3107">
        <v>6</v>
      </c>
    </row>
    <row r="3108" spans="1:3" x14ac:dyDescent="0.45">
      <c r="A3108">
        <f>SUMIFS(fact_batting_summary!G:G, fact_batting_summary!E:E, fact_batting_summary!E3108)</f>
        <v>284</v>
      </c>
      <c r="B3108" s="9">
        <f>AVERAGEIFS(fact_batting_summary!G:G, fact_batting_summary!E:E,fact_batting_summary!E3108)</f>
        <v>14.2</v>
      </c>
      <c r="C3108">
        <v>7</v>
      </c>
    </row>
    <row r="3109" spans="1:3" x14ac:dyDescent="0.45">
      <c r="A3109">
        <f>SUMIFS(fact_batting_summary!G:G, fact_batting_summary!E:E, fact_batting_summary!E3109)</f>
        <v>22</v>
      </c>
      <c r="B3109" s="9">
        <f>AVERAGEIFS(fact_batting_summary!G:G, fact_batting_summary!E:E,fact_batting_summary!E3109)</f>
        <v>11</v>
      </c>
      <c r="C3109">
        <v>8</v>
      </c>
    </row>
    <row r="3110" spans="1:3" x14ac:dyDescent="0.45">
      <c r="A3110">
        <f>SUMIFS(fact_batting_summary!G:G, fact_batting_summary!E:E, fact_batting_summary!E3110)</f>
        <v>23</v>
      </c>
      <c r="B3110" s="9">
        <f>AVERAGEIFS(fact_batting_summary!G:G, fact_batting_summary!E:E,fact_batting_summary!E3110)</f>
        <v>3.8333333333333335</v>
      </c>
      <c r="C3110">
        <v>9</v>
      </c>
    </row>
    <row r="3111" spans="1:3" x14ac:dyDescent="0.45">
      <c r="A3111">
        <f>SUMIFS(fact_batting_summary!G:G, fact_batting_summary!E:E, fact_batting_summary!E3111)</f>
        <v>100</v>
      </c>
      <c r="B3111" s="9">
        <f>AVERAGEIFS(fact_batting_summary!G:G, fact_batting_summary!E:E,fact_batting_summary!E3111)</f>
        <v>5.2631578947368425</v>
      </c>
      <c r="C3111">
        <v>10</v>
      </c>
    </row>
    <row r="3112" spans="1:3" x14ac:dyDescent="0.45">
      <c r="A3112">
        <f>SUMIFS(fact_batting_summary!G:G, fact_batting_summary!E:E, fact_batting_summary!E3112)</f>
        <v>365</v>
      </c>
      <c r="B3112" s="9">
        <f>AVERAGEIFS(fact_batting_summary!G:G, fact_batting_summary!E:E,fact_batting_summary!E3112)</f>
        <v>30.416666666666668</v>
      </c>
      <c r="C3112">
        <v>1</v>
      </c>
    </row>
    <row r="3113" spans="1:3" x14ac:dyDescent="0.45">
      <c r="A3113">
        <f>SUMIFS(fact_batting_summary!G:G, fact_batting_summary!E:E, fact_batting_summary!E3113)</f>
        <v>1516</v>
      </c>
      <c r="B3113" s="9">
        <f>AVERAGEIFS(fact_batting_summary!G:G, fact_batting_summary!E:E,fact_batting_summary!E3113)</f>
        <v>40.972972972972975</v>
      </c>
      <c r="C3113">
        <v>2</v>
      </c>
    </row>
    <row r="3114" spans="1:3" x14ac:dyDescent="0.45">
      <c r="A3114">
        <f>SUMIFS(fact_batting_summary!G:G, fact_batting_summary!E:E, fact_batting_summary!E3114)</f>
        <v>695</v>
      </c>
      <c r="B3114" s="9">
        <f>AVERAGEIFS(fact_batting_summary!G:G, fact_batting_summary!E:E,fact_batting_summary!E3114)</f>
        <v>18.783783783783782</v>
      </c>
      <c r="C3114">
        <v>3</v>
      </c>
    </row>
    <row r="3115" spans="1:3" x14ac:dyDescent="0.45">
      <c r="A3115">
        <f>SUMIFS(fact_batting_summary!G:G, fact_batting_summary!E:E, fact_batting_summary!E3115)</f>
        <v>514</v>
      </c>
      <c r="B3115" s="9">
        <f>AVERAGEIFS(fact_batting_summary!G:G, fact_batting_summary!E:E,fact_batting_summary!E3115)</f>
        <v>13.526315789473685</v>
      </c>
      <c r="C3115">
        <v>4</v>
      </c>
    </row>
    <row r="3116" spans="1:3" x14ac:dyDescent="0.45">
      <c r="A3116">
        <f>SUMIFS(fact_batting_summary!G:G, fact_batting_summary!E:E, fact_batting_summary!E3116)</f>
        <v>645</v>
      </c>
      <c r="B3116" s="9">
        <f>AVERAGEIFS(fact_batting_summary!G:G, fact_batting_summary!E:E,fact_batting_summary!E3116)</f>
        <v>21.5</v>
      </c>
      <c r="C3116">
        <v>5</v>
      </c>
    </row>
    <row r="3117" spans="1:3" x14ac:dyDescent="0.45">
      <c r="A3117">
        <f>SUMIFS(fact_batting_summary!G:G, fact_batting_summary!E:E, fact_batting_summary!E3117)</f>
        <v>58</v>
      </c>
      <c r="B3117" s="9">
        <f>AVERAGEIFS(fact_batting_summary!G:G, fact_batting_summary!E:E,fact_batting_summary!E3117)</f>
        <v>14.5</v>
      </c>
      <c r="C3117">
        <v>6</v>
      </c>
    </row>
    <row r="3118" spans="1:3" x14ac:dyDescent="0.45">
      <c r="A3118">
        <f>SUMIFS(fact_batting_summary!G:G, fact_batting_summary!E:E, fact_batting_summary!E3118)</f>
        <v>729</v>
      </c>
      <c r="B3118" s="9">
        <f>AVERAGEIFS(fact_batting_summary!G:G, fact_batting_summary!E:E,fact_batting_summary!E3118)</f>
        <v>19.184210526315791</v>
      </c>
      <c r="C3118">
        <v>7</v>
      </c>
    </row>
    <row r="3119" spans="1:3" x14ac:dyDescent="0.45">
      <c r="A3119">
        <f>SUMIFS(fact_batting_summary!G:G, fact_batting_summary!E:E, fact_batting_summary!E3119)</f>
        <v>227</v>
      </c>
      <c r="B3119" s="9">
        <f>AVERAGEIFS(fact_batting_summary!G:G, fact_batting_summary!E:E,fact_batting_summary!E3119)</f>
        <v>20.636363636363637</v>
      </c>
      <c r="C3119">
        <v>1</v>
      </c>
    </row>
    <row r="3120" spans="1:3" x14ac:dyDescent="0.45">
      <c r="A3120">
        <f>SUMIFS(fact_batting_summary!G:G, fact_batting_summary!E:E, fact_batting_summary!E3120)</f>
        <v>956</v>
      </c>
      <c r="B3120" s="9">
        <f>AVERAGEIFS(fact_batting_summary!G:G, fact_batting_summary!E:E,fact_batting_summary!E3120)</f>
        <v>26.555555555555557</v>
      </c>
      <c r="C3120">
        <v>2</v>
      </c>
    </row>
    <row r="3121" spans="1:3" x14ac:dyDescent="0.45">
      <c r="A3121">
        <f>SUMIFS(fact_batting_summary!G:G, fact_batting_summary!E:E, fact_batting_summary!E3121)</f>
        <v>47</v>
      </c>
      <c r="B3121" s="9">
        <f>AVERAGEIFS(fact_batting_summary!G:G, fact_batting_summary!E:E,fact_batting_summary!E3121)</f>
        <v>6.7142857142857144</v>
      </c>
      <c r="C3121">
        <v>3</v>
      </c>
    </row>
    <row r="3122" spans="1:3" x14ac:dyDescent="0.45">
      <c r="A3122">
        <f>SUMIFS(fact_batting_summary!G:G, fact_batting_summary!E:E, fact_batting_summary!E3122)</f>
        <v>1157</v>
      </c>
      <c r="B3122" s="9">
        <f>AVERAGEIFS(fact_batting_summary!G:G, fact_batting_summary!E:E,fact_batting_summary!E3122)</f>
        <v>26.295454545454547</v>
      </c>
      <c r="C3122">
        <v>4</v>
      </c>
    </row>
    <row r="3123" spans="1:3" x14ac:dyDescent="0.45">
      <c r="A3123">
        <f>SUMIFS(fact_batting_summary!G:G, fact_batting_summary!E:E, fact_batting_summary!E3123)</f>
        <v>648</v>
      </c>
      <c r="B3123" s="9">
        <f>AVERAGEIFS(fact_batting_summary!G:G, fact_batting_summary!E:E,fact_batting_summary!E3123)</f>
        <v>30.857142857142858</v>
      </c>
      <c r="C3123">
        <v>5</v>
      </c>
    </row>
    <row r="3124" spans="1:3" x14ac:dyDescent="0.45">
      <c r="A3124">
        <f>SUMIFS(fact_batting_summary!G:G, fact_batting_summary!E:E, fact_batting_summary!E3124)</f>
        <v>745</v>
      </c>
      <c r="B3124" s="9">
        <f>AVERAGEIFS(fact_batting_summary!G:G, fact_batting_summary!E:E,fact_batting_summary!E3124)</f>
        <v>21.285714285714285</v>
      </c>
      <c r="C3124">
        <v>6</v>
      </c>
    </row>
    <row r="3125" spans="1:3" x14ac:dyDescent="0.45">
      <c r="A3125">
        <f>SUMIFS(fact_batting_summary!G:G, fact_batting_summary!E:E, fact_batting_summary!E3125)</f>
        <v>238</v>
      </c>
      <c r="B3125" s="9">
        <f>AVERAGEIFS(fact_batting_summary!G:G, fact_batting_summary!E:E,fact_batting_summary!E3125)</f>
        <v>9.9166666666666661</v>
      </c>
      <c r="C3125">
        <v>7</v>
      </c>
    </row>
    <row r="3126" spans="1:3" x14ac:dyDescent="0.45">
      <c r="A3126">
        <f>SUMIFS(fact_batting_summary!G:G, fact_batting_summary!E:E, fact_batting_summary!E3126)</f>
        <v>154</v>
      </c>
      <c r="B3126" s="9">
        <f>AVERAGEIFS(fact_batting_summary!G:G, fact_batting_summary!E:E,fact_batting_summary!E3126)</f>
        <v>5.1333333333333337</v>
      </c>
      <c r="C3126">
        <v>8</v>
      </c>
    </row>
    <row r="3127" spans="1:3" x14ac:dyDescent="0.45">
      <c r="A3127">
        <f>SUMIFS(fact_batting_summary!G:G, fact_batting_summary!E:E, fact_batting_summary!E3127)</f>
        <v>74</v>
      </c>
      <c r="B3127" s="9">
        <f>AVERAGEIFS(fact_batting_summary!G:G, fact_batting_summary!E:E,fact_batting_summary!E3127)</f>
        <v>6.166666666666667</v>
      </c>
      <c r="C3127">
        <v>9</v>
      </c>
    </row>
    <row r="3128" spans="1:3" x14ac:dyDescent="0.45">
      <c r="A3128">
        <f>SUMIFS(fact_batting_summary!G:G, fact_batting_summary!E:E, fact_batting_summary!E3128)</f>
        <v>1385</v>
      </c>
      <c r="B3128" s="9">
        <f>AVERAGEIFS(fact_batting_summary!G:G, fact_batting_summary!E:E,fact_batting_summary!E3128)</f>
        <v>30.777777777777779</v>
      </c>
      <c r="C3128">
        <v>1</v>
      </c>
    </row>
    <row r="3129" spans="1:3" x14ac:dyDescent="0.45">
      <c r="A3129">
        <f>SUMIFS(fact_batting_summary!G:G, fact_batting_summary!E:E, fact_batting_summary!E3129)</f>
        <v>1831</v>
      </c>
      <c r="B3129" s="9">
        <f>AVERAGEIFS(fact_batting_summary!G:G, fact_batting_summary!E:E,fact_batting_summary!E3129)</f>
        <v>39.804347826086953</v>
      </c>
      <c r="C3129">
        <v>2</v>
      </c>
    </row>
    <row r="3130" spans="1:3" x14ac:dyDescent="0.45">
      <c r="A3130">
        <f>SUMIFS(fact_batting_summary!G:G, fact_batting_summary!E:E, fact_batting_summary!E3130)</f>
        <v>58</v>
      </c>
      <c r="B3130" s="9">
        <f>AVERAGEIFS(fact_batting_summary!G:G, fact_batting_summary!E:E,fact_batting_summary!E3130)</f>
        <v>14.5</v>
      </c>
      <c r="C3130">
        <v>3</v>
      </c>
    </row>
    <row r="3131" spans="1:3" x14ac:dyDescent="0.45">
      <c r="A3131">
        <f>SUMIFS(fact_batting_summary!G:G, fact_batting_summary!E:E, fact_batting_summary!E3131)</f>
        <v>1214</v>
      </c>
      <c r="B3131" s="9">
        <f>AVERAGEIFS(fact_batting_summary!G:G, fact_batting_summary!E:E,fact_batting_summary!E3131)</f>
        <v>29.609756097560975</v>
      </c>
      <c r="C3131">
        <v>4</v>
      </c>
    </row>
    <row r="3132" spans="1:3" x14ac:dyDescent="0.45">
      <c r="A3132">
        <f>SUMIFS(fact_batting_summary!G:G, fact_batting_summary!E:E, fact_batting_summary!E3132)</f>
        <v>108</v>
      </c>
      <c r="B3132" s="9">
        <f>AVERAGEIFS(fact_batting_summary!G:G, fact_batting_summary!E:E,fact_batting_summary!E3132)</f>
        <v>6</v>
      </c>
      <c r="C3132">
        <v>5</v>
      </c>
    </row>
    <row r="3133" spans="1:3" x14ac:dyDescent="0.45">
      <c r="A3133">
        <f>SUMIFS(fact_batting_summary!G:G, fact_batting_summary!E:E, fact_batting_summary!E3133)</f>
        <v>320</v>
      </c>
      <c r="B3133" s="9">
        <f>AVERAGEIFS(fact_batting_summary!G:G, fact_batting_summary!E:E,fact_batting_summary!E3133)</f>
        <v>13.333333333333334</v>
      </c>
      <c r="C3133">
        <v>6</v>
      </c>
    </row>
    <row r="3134" spans="1:3" x14ac:dyDescent="0.45">
      <c r="A3134">
        <f>SUMIFS(fact_batting_summary!G:G, fact_batting_summary!E:E, fact_batting_summary!E3134)</f>
        <v>693</v>
      </c>
      <c r="B3134" s="9">
        <f>AVERAGEIFS(fact_batting_summary!G:G, fact_batting_summary!E:E,fact_batting_summary!E3134)</f>
        <v>15.75</v>
      </c>
      <c r="C3134">
        <v>7</v>
      </c>
    </row>
    <row r="3135" spans="1:3" x14ac:dyDescent="0.45">
      <c r="A3135">
        <f>SUMIFS(fact_batting_summary!G:G, fact_batting_summary!E:E, fact_batting_summary!E3135)</f>
        <v>220</v>
      </c>
      <c r="B3135" s="9">
        <f>AVERAGEIFS(fact_batting_summary!G:G, fact_batting_summary!E:E,fact_batting_summary!E3135)</f>
        <v>13.75</v>
      </c>
      <c r="C3135">
        <v>8</v>
      </c>
    </row>
    <row r="3136" spans="1:3" x14ac:dyDescent="0.45">
      <c r="A3136">
        <f>SUMIFS(fact_batting_summary!G:G, fact_batting_summary!E:E, fact_batting_summary!E3136)</f>
        <v>53</v>
      </c>
      <c r="B3136" s="9">
        <f>AVERAGEIFS(fact_batting_summary!G:G, fact_batting_summary!E:E,fact_batting_summary!E3136)</f>
        <v>10.6</v>
      </c>
      <c r="C3136">
        <v>9</v>
      </c>
    </row>
    <row r="3137" spans="1:3" x14ac:dyDescent="0.45">
      <c r="A3137">
        <f>SUMIFS(fact_batting_summary!G:G, fact_batting_summary!E:E, fact_batting_summary!E3137)</f>
        <v>3</v>
      </c>
      <c r="B3137" s="9">
        <f>AVERAGEIFS(fact_batting_summary!G:G, fact_batting_summary!E:E,fact_batting_summary!E3137)</f>
        <v>1.5</v>
      </c>
      <c r="C3137">
        <v>10</v>
      </c>
    </row>
    <row r="3138" spans="1:3" x14ac:dyDescent="0.45">
      <c r="A3138">
        <f>SUMIFS(fact_batting_summary!G:G, fact_batting_summary!E:E, fact_batting_summary!E3138)</f>
        <v>17</v>
      </c>
      <c r="B3138" s="9">
        <f>AVERAGEIFS(fact_batting_summary!G:G, fact_batting_summary!E:E,fact_batting_summary!E3138)</f>
        <v>8.5</v>
      </c>
      <c r="C3138">
        <v>11</v>
      </c>
    </row>
    <row r="3139" spans="1:3" x14ac:dyDescent="0.45">
      <c r="A3139">
        <f>SUMIFS(fact_batting_summary!G:G, fact_batting_summary!E:E, fact_batting_summary!E3139)</f>
        <v>391</v>
      </c>
      <c r="B3139" s="9">
        <f>AVERAGEIFS(fact_batting_summary!G:G, fact_batting_summary!E:E,fact_batting_summary!E3139)</f>
        <v>23</v>
      </c>
      <c r="C3139">
        <v>1</v>
      </c>
    </row>
    <row r="3140" spans="1:3" x14ac:dyDescent="0.45">
      <c r="A3140">
        <f>SUMIFS(fact_batting_summary!G:G, fact_batting_summary!E:E, fact_batting_summary!E3140)</f>
        <v>1392</v>
      </c>
      <c r="B3140" s="9">
        <f>AVERAGEIFS(fact_batting_summary!G:G, fact_batting_summary!E:E,fact_batting_summary!E3140)</f>
        <v>34.799999999999997</v>
      </c>
      <c r="C3140">
        <v>2</v>
      </c>
    </row>
    <row r="3141" spans="1:3" x14ac:dyDescent="0.45">
      <c r="A3141">
        <f>SUMIFS(fact_batting_summary!G:G, fact_batting_summary!E:E, fact_batting_summary!E3141)</f>
        <v>277</v>
      </c>
      <c r="B3141" s="9">
        <f>AVERAGEIFS(fact_batting_summary!G:G, fact_batting_summary!E:E,fact_batting_summary!E3141)</f>
        <v>21.307692307692307</v>
      </c>
      <c r="C3141">
        <v>3</v>
      </c>
    </row>
    <row r="3142" spans="1:3" x14ac:dyDescent="0.45">
      <c r="A3142">
        <f>SUMIFS(fact_batting_summary!G:G, fact_batting_summary!E:E, fact_batting_summary!E3142)</f>
        <v>543</v>
      </c>
      <c r="B3142" s="9">
        <f>AVERAGEIFS(fact_batting_summary!G:G, fact_batting_summary!E:E,fact_batting_summary!E3142)</f>
        <v>22.625</v>
      </c>
      <c r="C3142">
        <v>4</v>
      </c>
    </row>
    <row r="3143" spans="1:3" x14ac:dyDescent="0.45">
      <c r="A3143">
        <f>SUMIFS(fact_batting_summary!G:G, fact_batting_summary!E:E, fact_batting_summary!E3143)</f>
        <v>139</v>
      </c>
      <c r="B3143" s="9">
        <f>AVERAGEIFS(fact_batting_summary!G:G, fact_batting_summary!E:E,fact_batting_summary!E3143)</f>
        <v>19.857142857142858</v>
      </c>
      <c r="C3143">
        <v>5</v>
      </c>
    </row>
    <row r="3144" spans="1:3" x14ac:dyDescent="0.45">
      <c r="A3144">
        <f>SUMIFS(fact_batting_summary!G:G, fact_batting_summary!E:E, fact_batting_summary!E3144)</f>
        <v>426</v>
      </c>
      <c r="B3144" s="9">
        <f>AVERAGEIFS(fact_batting_summary!G:G, fact_batting_summary!E:E,fact_batting_summary!E3144)</f>
        <v>13.741935483870968</v>
      </c>
      <c r="C3144">
        <v>6</v>
      </c>
    </row>
    <row r="3145" spans="1:3" x14ac:dyDescent="0.45">
      <c r="A3145">
        <f>SUMIFS(fact_batting_summary!G:G, fact_batting_summary!E:E, fact_batting_summary!E3145)</f>
        <v>332</v>
      </c>
      <c r="B3145" s="9">
        <f>AVERAGEIFS(fact_batting_summary!G:G, fact_batting_summary!E:E,fact_batting_summary!E3145)</f>
        <v>19.529411764705884</v>
      </c>
      <c r="C3145">
        <v>7</v>
      </c>
    </row>
    <row r="3146" spans="1:3" x14ac:dyDescent="0.45">
      <c r="A3146">
        <f>SUMIFS(fact_batting_summary!G:G, fact_batting_summary!E:E, fact_batting_summary!E3146)</f>
        <v>1132</v>
      </c>
      <c r="B3146" s="9">
        <f>AVERAGEIFS(fact_batting_summary!G:G, fact_batting_summary!E:E,fact_batting_summary!E3146)</f>
        <v>33.294117647058826</v>
      </c>
      <c r="C3146">
        <v>1</v>
      </c>
    </row>
    <row r="3147" spans="1:3" x14ac:dyDescent="0.45">
      <c r="A3147">
        <f>SUMIFS(fact_batting_summary!G:G, fact_batting_summary!E:E, fact_batting_summary!E3147)</f>
        <v>302</v>
      </c>
      <c r="B3147" s="9">
        <f>AVERAGEIFS(fact_batting_summary!G:G, fact_batting_summary!E:E,fact_batting_summary!E3147)</f>
        <v>11.185185185185185</v>
      </c>
      <c r="C3147">
        <v>2</v>
      </c>
    </row>
    <row r="3148" spans="1:3" x14ac:dyDescent="0.45">
      <c r="A3148">
        <f>SUMIFS(fact_batting_summary!G:G, fact_batting_summary!E:E, fact_batting_summary!E3148)</f>
        <v>1509</v>
      </c>
      <c r="B3148" s="9">
        <f>AVERAGEIFS(fact_batting_summary!G:G, fact_batting_summary!E:E,fact_batting_summary!E3148)</f>
        <v>39.710526315789473</v>
      </c>
      <c r="C3148">
        <v>3</v>
      </c>
    </row>
    <row r="3149" spans="1:3" x14ac:dyDescent="0.45">
      <c r="A3149">
        <f>SUMIFS(fact_batting_summary!G:G, fact_batting_summary!E:E, fact_batting_summary!E3149)</f>
        <v>1304</v>
      </c>
      <c r="B3149" s="9">
        <f>AVERAGEIFS(fact_batting_summary!G:G, fact_batting_summary!E:E,fact_batting_summary!E3149)</f>
        <v>28.977777777777778</v>
      </c>
      <c r="C3149">
        <v>4</v>
      </c>
    </row>
    <row r="3150" spans="1:3" x14ac:dyDescent="0.45">
      <c r="A3150">
        <f>SUMIFS(fact_batting_summary!G:G, fact_batting_summary!E:E, fact_batting_summary!E3150)</f>
        <v>1048</v>
      </c>
      <c r="B3150" s="9">
        <f>AVERAGEIFS(fact_batting_summary!G:G, fact_batting_summary!E:E,fact_batting_summary!E3150)</f>
        <v>24.952380952380953</v>
      </c>
      <c r="C3150">
        <v>5</v>
      </c>
    </row>
    <row r="3151" spans="1:3" x14ac:dyDescent="0.45">
      <c r="A3151">
        <f>SUMIFS(fact_batting_summary!G:G, fact_batting_summary!E:E, fact_batting_summary!E3151)</f>
        <v>354</v>
      </c>
      <c r="B3151" s="9">
        <f>AVERAGEIFS(fact_batting_summary!G:G, fact_batting_summary!E:E,fact_batting_summary!E3151)</f>
        <v>11.419354838709678</v>
      </c>
      <c r="C3151">
        <v>6</v>
      </c>
    </row>
    <row r="3152" spans="1:3" x14ac:dyDescent="0.45">
      <c r="A3152">
        <f>SUMIFS(fact_batting_summary!G:G, fact_batting_summary!E:E, fact_batting_summary!E3152)</f>
        <v>854</v>
      </c>
      <c r="B3152" s="9">
        <f>AVERAGEIFS(fact_batting_summary!G:G, fact_batting_summary!E:E,fact_batting_summary!E3152)</f>
        <v>21.35</v>
      </c>
      <c r="C3152">
        <v>7</v>
      </c>
    </row>
    <row r="3153" spans="1:3" x14ac:dyDescent="0.45">
      <c r="A3153">
        <f>SUMIFS(fact_batting_summary!G:G, fact_batting_summary!E:E, fact_batting_summary!E3153)</f>
        <v>152</v>
      </c>
      <c r="B3153" s="9">
        <f>AVERAGEIFS(fact_batting_summary!G:G, fact_batting_summary!E:E,fact_batting_summary!E3153)</f>
        <v>13.818181818181818</v>
      </c>
      <c r="C3153">
        <v>8</v>
      </c>
    </row>
    <row r="3154" spans="1:3" x14ac:dyDescent="0.45">
      <c r="A3154">
        <f>SUMIFS(fact_batting_summary!G:G, fact_batting_summary!E:E, fact_batting_summary!E3154)</f>
        <v>155</v>
      </c>
      <c r="B3154" s="9">
        <f>AVERAGEIFS(fact_batting_summary!G:G, fact_batting_summary!E:E,fact_batting_summary!E3154)</f>
        <v>8.6111111111111107</v>
      </c>
      <c r="C3154">
        <v>9</v>
      </c>
    </row>
    <row r="3155" spans="1:3" x14ac:dyDescent="0.45">
      <c r="A3155">
        <f>SUMIFS(fact_batting_summary!G:G, fact_batting_summary!E:E, fact_batting_summary!E3155)</f>
        <v>1137</v>
      </c>
      <c r="B3155" s="9">
        <f>AVERAGEIFS(fact_batting_summary!G:G, fact_batting_summary!E:E,fact_batting_summary!E3155)</f>
        <v>34.454545454545453</v>
      </c>
      <c r="C3155">
        <v>1</v>
      </c>
    </row>
    <row r="3156" spans="1:3" x14ac:dyDescent="0.45">
      <c r="A3156">
        <f>SUMIFS(fact_batting_summary!G:G, fact_batting_summary!E:E, fact_batting_summary!E3156)</f>
        <v>815</v>
      </c>
      <c r="B3156" s="9">
        <f>AVERAGEIFS(fact_batting_summary!G:G, fact_batting_summary!E:E,fact_batting_summary!E3156)</f>
        <v>25.46875</v>
      </c>
      <c r="C3156">
        <v>2</v>
      </c>
    </row>
    <row r="3157" spans="1:3" x14ac:dyDescent="0.45">
      <c r="A3157">
        <f>SUMIFS(fact_batting_summary!G:G, fact_batting_summary!E:E, fact_batting_summary!E3157)</f>
        <v>379</v>
      </c>
      <c r="B3157" s="9">
        <f>AVERAGEIFS(fact_batting_summary!G:G, fact_batting_summary!E:E,fact_batting_summary!E3157)</f>
        <v>22.294117647058822</v>
      </c>
      <c r="C3157">
        <v>3</v>
      </c>
    </row>
    <row r="3158" spans="1:3" x14ac:dyDescent="0.45">
      <c r="A3158">
        <f>SUMIFS(fact_batting_summary!G:G, fact_batting_summary!E:E, fact_batting_summary!E3158)</f>
        <v>144</v>
      </c>
      <c r="B3158" s="9">
        <f>AVERAGEIFS(fact_batting_summary!G:G, fact_batting_summary!E:E,fact_batting_summary!E3158)</f>
        <v>13.090909090909092</v>
      </c>
      <c r="C3158">
        <v>4</v>
      </c>
    </row>
    <row r="3159" spans="1:3" x14ac:dyDescent="0.45">
      <c r="A3159">
        <f>SUMIFS(fact_batting_summary!G:G, fact_batting_summary!E:E, fact_batting_summary!E3159)</f>
        <v>209</v>
      </c>
      <c r="B3159" s="9">
        <f>AVERAGEIFS(fact_batting_summary!G:G, fact_batting_summary!E:E,fact_batting_summary!E3159)</f>
        <v>23.222222222222221</v>
      </c>
      <c r="C3159">
        <v>5</v>
      </c>
    </row>
    <row r="3160" spans="1:3" x14ac:dyDescent="0.45">
      <c r="A3160">
        <f>SUMIFS(fact_batting_summary!G:G, fact_batting_summary!E:E, fact_batting_summary!E3160)</f>
        <v>33</v>
      </c>
      <c r="B3160" s="9">
        <f>AVERAGEIFS(fact_batting_summary!G:G, fact_batting_summary!E:E,fact_batting_summary!E3160)</f>
        <v>8.25</v>
      </c>
      <c r="C3160">
        <v>6</v>
      </c>
    </row>
    <row r="3161" spans="1:3" x14ac:dyDescent="0.45">
      <c r="A3161">
        <f>SUMIFS(fact_batting_summary!G:G, fact_batting_summary!E:E, fact_batting_summary!E3161)</f>
        <v>505</v>
      </c>
      <c r="B3161" s="9">
        <f>AVERAGEIFS(fact_batting_summary!G:G, fact_batting_summary!E:E,fact_batting_summary!E3161)</f>
        <v>17.413793103448278</v>
      </c>
      <c r="C3161">
        <v>7</v>
      </c>
    </row>
    <row r="3162" spans="1:3" x14ac:dyDescent="0.45">
      <c r="A3162">
        <f>SUMIFS(fact_batting_summary!G:G, fact_batting_summary!E:E, fact_batting_summary!E3162)</f>
        <v>115</v>
      </c>
      <c r="B3162" s="9">
        <f>AVERAGEIFS(fact_batting_summary!G:G, fact_batting_summary!E:E,fact_batting_summary!E3162)</f>
        <v>11.5</v>
      </c>
      <c r="C3162">
        <v>8</v>
      </c>
    </row>
    <row r="3163" spans="1:3" x14ac:dyDescent="0.45">
      <c r="A3163">
        <f>SUMIFS(fact_batting_summary!G:G, fact_batting_summary!E:E, fact_batting_summary!E3163)</f>
        <v>79</v>
      </c>
      <c r="B3163" s="9">
        <f>AVERAGEIFS(fact_batting_summary!G:G, fact_batting_summary!E:E,fact_batting_summary!E3163)</f>
        <v>4.6470588235294121</v>
      </c>
      <c r="C3163">
        <v>9</v>
      </c>
    </row>
    <row r="3164" spans="1:3" x14ac:dyDescent="0.45">
      <c r="A3164">
        <f>SUMIFS(fact_batting_summary!G:G, fact_batting_summary!E:E, fact_batting_summary!E3164)</f>
        <v>38</v>
      </c>
      <c r="B3164" s="9">
        <f>AVERAGEIFS(fact_batting_summary!G:G, fact_batting_summary!E:E,fact_batting_summary!E3164)</f>
        <v>4.75</v>
      </c>
      <c r="C3164">
        <v>10</v>
      </c>
    </row>
    <row r="3165" spans="1:3" x14ac:dyDescent="0.45">
      <c r="A3165">
        <f>SUMIFS(fact_batting_summary!G:G, fact_batting_summary!E:E, fact_batting_summary!E3165)</f>
        <v>819</v>
      </c>
      <c r="B3165" s="9">
        <f>AVERAGEIFS(fact_batting_summary!G:G, fact_batting_summary!E:E,fact_batting_summary!E3165)</f>
        <v>22.135135135135137</v>
      </c>
      <c r="C3165">
        <v>1</v>
      </c>
    </row>
    <row r="3166" spans="1:3" x14ac:dyDescent="0.45">
      <c r="A3166">
        <f>SUMIFS(fact_batting_summary!G:G, fact_batting_summary!E:E, fact_batting_summary!E3166)</f>
        <v>1851</v>
      </c>
      <c r="B3166" s="9">
        <f>AVERAGEIFS(fact_batting_summary!G:G, fact_batting_summary!E:E,fact_batting_summary!E3166)</f>
        <v>37.020000000000003</v>
      </c>
      <c r="C3166">
        <v>2</v>
      </c>
    </row>
    <row r="3167" spans="1:3" x14ac:dyDescent="0.45">
      <c r="A3167">
        <f>SUMIFS(fact_batting_summary!G:G, fact_batting_summary!E:E, fact_batting_summary!E3167)</f>
        <v>507</v>
      </c>
      <c r="B3167" s="9">
        <f>AVERAGEIFS(fact_batting_summary!G:G, fact_batting_summary!E:E,fact_batting_summary!E3167)</f>
        <v>39</v>
      </c>
      <c r="C3167">
        <v>3</v>
      </c>
    </row>
    <row r="3168" spans="1:3" x14ac:dyDescent="0.45">
      <c r="A3168">
        <f>SUMIFS(fact_batting_summary!G:G, fact_batting_summary!E:E, fact_batting_summary!E3168)</f>
        <v>960</v>
      </c>
      <c r="B3168" s="9">
        <f>AVERAGEIFS(fact_batting_summary!G:G, fact_batting_summary!E:E,fact_batting_summary!E3168)</f>
        <v>23.414634146341463</v>
      </c>
      <c r="C3168">
        <v>4</v>
      </c>
    </row>
    <row r="3169" spans="1:3" x14ac:dyDescent="0.45">
      <c r="A3169">
        <f>SUMIFS(fact_batting_summary!G:G, fact_batting_summary!E:E, fact_batting_summary!E3169)</f>
        <v>370</v>
      </c>
      <c r="B3169" s="9">
        <f>AVERAGEIFS(fact_batting_summary!G:G, fact_batting_summary!E:E,fact_batting_summary!E3169)</f>
        <v>20.555555555555557</v>
      </c>
      <c r="C3169">
        <v>5</v>
      </c>
    </row>
    <row r="3170" spans="1:3" x14ac:dyDescent="0.45">
      <c r="A3170">
        <f>SUMIFS(fact_batting_summary!G:G, fact_batting_summary!E:E, fact_batting_summary!E3170)</f>
        <v>864</v>
      </c>
      <c r="B3170" s="9">
        <f>AVERAGEIFS(fact_batting_summary!G:G, fact_batting_summary!E:E,fact_batting_summary!E3170)</f>
        <v>23.351351351351351</v>
      </c>
      <c r="C3170">
        <v>6</v>
      </c>
    </row>
    <row r="3171" spans="1:3" x14ac:dyDescent="0.45">
      <c r="A3171">
        <f>SUMIFS(fact_batting_summary!G:G, fact_batting_summary!E:E, fact_batting_summary!E3171)</f>
        <v>1593</v>
      </c>
      <c r="B3171" s="9">
        <f>AVERAGEIFS(fact_batting_summary!G:G, fact_batting_summary!E:E,fact_batting_summary!E3171)</f>
        <v>35.4</v>
      </c>
      <c r="C3171">
        <v>1</v>
      </c>
    </row>
    <row r="3172" spans="1:3" x14ac:dyDescent="0.45">
      <c r="A3172">
        <f>SUMIFS(fact_batting_summary!G:G, fact_batting_summary!E:E, fact_batting_summary!E3172)</f>
        <v>924</v>
      </c>
      <c r="B3172" s="9">
        <f>AVERAGEIFS(fact_batting_summary!G:G, fact_batting_summary!E:E,fact_batting_summary!E3172)</f>
        <v>42</v>
      </c>
      <c r="C3172">
        <v>2</v>
      </c>
    </row>
    <row r="3173" spans="1:3" x14ac:dyDescent="0.45">
      <c r="A3173">
        <f>SUMIFS(fact_batting_summary!G:G, fact_batting_summary!E:E, fact_batting_summary!E3173)</f>
        <v>937</v>
      </c>
      <c r="B3173" s="9">
        <f>AVERAGEIFS(fact_batting_summary!G:G, fact_batting_summary!E:E,fact_batting_summary!E3173)</f>
        <v>27.558823529411764</v>
      </c>
      <c r="C3173">
        <v>3</v>
      </c>
    </row>
    <row r="3174" spans="1:3" x14ac:dyDescent="0.45">
      <c r="A3174">
        <f>SUMIFS(fact_batting_summary!G:G, fact_batting_summary!E:E, fact_batting_summary!E3174)</f>
        <v>725</v>
      </c>
      <c r="B3174" s="9">
        <f>AVERAGEIFS(fact_batting_summary!G:G, fact_batting_summary!E:E,fact_batting_summary!E3174)</f>
        <v>20.714285714285715</v>
      </c>
      <c r="C3174">
        <v>4</v>
      </c>
    </row>
    <row r="3175" spans="1:3" x14ac:dyDescent="0.45">
      <c r="A3175">
        <f>SUMIFS(fact_batting_summary!G:G, fact_batting_summary!E:E, fact_batting_summary!E3175)</f>
        <v>15</v>
      </c>
      <c r="B3175" s="9">
        <f>AVERAGEIFS(fact_batting_summary!G:G, fact_batting_summary!E:E,fact_batting_summary!E3175)</f>
        <v>5</v>
      </c>
      <c r="C3175">
        <v>5</v>
      </c>
    </row>
    <row r="3176" spans="1:3" x14ac:dyDescent="0.45">
      <c r="A3176">
        <f>SUMIFS(fact_batting_summary!G:G, fact_batting_summary!E:E, fact_batting_summary!E3176)</f>
        <v>689</v>
      </c>
      <c r="B3176" s="9">
        <f>AVERAGEIFS(fact_batting_summary!G:G, fact_batting_summary!E:E,fact_batting_summary!E3176)</f>
        <v>19.138888888888889</v>
      </c>
      <c r="C3176">
        <v>6</v>
      </c>
    </row>
    <row r="3177" spans="1:3" x14ac:dyDescent="0.45">
      <c r="A3177">
        <f>SUMIFS(fact_batting_summary!G:G, fact_batting_summary!E:E, fact_batting_summary!E3177)</f>
        <v>533</v>
      </c>
      <c r="B3177" s="9">
        <f>AVERAGEIFS(fact_batting_summary!G:G, fact_batting_summary!E:E,fact_batting_summary!E3177)</f>
        <v>15.676470588235293</v>
      </c>
      <c r="C3177">
        <v>7</v>
      </c>
    </row>
    <row r="3178" spans="1:3" x14ac:dyDescent="0.45">
      <c r="A3178">
        <f>SUMIFS(fact_batting_summary!G:G, fact_batting_summary!E:E, fact_batting_summary!E3178)</f>
        <v>450</v>
      </c>
      <c r="B3178" s="9">
        <f>AVERAGEIFS(fact_batting_summary!G:G, fact_batting_summary!E:E,fact_batting_summary!E3178)</f>
        <v>12.5</v>
      </c>
      <c r="C3178">
        <v>8</v>
      </c>
    </row>
    <row r="3179" spans="1:3" x14ac:dyDescent="0.45">
      <c r="A3179">
        <f>SUMIFS(fact_batting_summary!G:G, fact_batting_summary!E:E, fact_batting_summary!E3179)</f>
        <v>24</v>
      </c>
      <c r="B3179" s="9">
        <f>AVERAGEIFS(fact_batting_summary!G:G, fact_batting_summary!E:E,fact_batting_summary!E3179)</f>
        <v>4</v>
      </c>
      <c r="C3179">
        <v>9</v>
      </c>
    </row>
    <row r="3180" spans="1:3" x14ac:dyDescent="0.45">
      <c r="A3180">
        <f>SUMIFS(fact_batting_summary!G:G, fact_batting_summary!E:E, fact_batting_summary!E3180)</f>
        <v>1516</v>
      </c>
      <c r="B3180" s="9">
        <f>AVERAGEIFS(fact_batting_summary!G:G, fact_batting_summary!E:E,fact_batting_summary!E3180)</f>
        <v>40.972972972972975</v>
      </c>
      <c r="C3180">
        <v>1</v>
      </c>
    </row>
    <row r="3181" spans="1:3" x14ac:dyDescent="0.45">
      <c r="A3181">
        <f>SUMIFS(fact_batting_summary!G:G, fact_batting_summary!E:E, fact_batting_summary!E3181)</f>
        <v>365</v>
      </c>
      <c r="B3181" s="9">
        <f>AVERAGEIFS(fact_batting_summary!G:G, fact_batting_summary!E:E,fact_batting_summary!E3181)</f>
        <v>30.416666666666668</v>
      </c>
      <c r="C3181">
        <v>2</v>
      </c>
    </row>
    <row r="3182" spans="1:3" x14ac:dyDescent="0.45">
      <c r="A3182">
        <f>SUMIFS(fact_batting_summary!G:G, fact_batting_summary!E:E, fact_batting_summary!E3182)</f>
        <v>695</v>
      </c>
      <c r="B3182" s="9">
        <f>AVERAGEIFS(fact_batting_summary!G:G, fact_batting_summary!E:E,fact_batting_summary!E3182)</f>
        <v>18.783783783783782</v>
      </c>
      <c r="C3182">
        <v>3</v>
      </c>
    </row>
    <row r="3183" spans="1:3" x14ac:dyDescent="0.45">
      <c r="A3183">
        <f>SUMIFS(fact_batting_summary!G:G, fact_batting_summary!E:E, fact_batting_summary!E3183)</f>
        <v>514</v>
      </c>
      <c r="B3183" s="9">
        <f>AVERAGEIFS(fact_batting_summary!G:G, fact_batting_summary!E:E,fact_batting_summary!E3183)</f>
        <v>13.526315789473685</v>
      </c>
      <c r="C3183">
        <v>4</v>
      </c>
    </row>
    <row r="3184" spans="1:3" x14ac:dyDescent="0.45">
      <c r="A3184">
        <f>SUMIFS(fact_batting_summary!G:G, fact_batting_summary!E:E, fact_batting_summary!E3184)</f>
        <v>645</v>
      </c>
      <c r="B3184" s="9">
        <f>AVERAGEIFS(fact_batting_summary!G:G, fact_batting_summary!E:E,fact_batting_summary!E3184)</f>
        <v>21.5</v>
      </c>
      <c r="C3184">
        <v>5</v>
      </c>
    </row>
    <row r="3185" spans="1:3" x14ac:dyDescent="0.45">
      <c r="A3185">
        <f>SUMIFS(fact_batting_summary!G:G, fact_batting_summary!E:E, fact_batting_summary!E3185)</f>
        <v>729</v>
      </c>
      <c r="B3185" s="9">
        <f>AVERAGEIFS(fact_batting_summary!G:G, fact_batting_summary!E:E,fact_batting_summary!E3185)</f>
        <v>19.184210526315791</v>
      </c>
      <c r="C3185">
        <v>6</v>
      </c>
    </row>
    <row r="3186" spans="1:3" x14ac:dyDescent="0.45">
      <c r="A3186">
        <f>SUMIFS(fact_batting_summary!G:G, fact_batting_summary!E:E, fact_batting_summary!E3186)</f>
        <v>340</v>
      </c>
      <c r="B3186" s="9">
        <f>AVERAGEIFS(fact_batting_summary!G:G, fact_batting_summary!E:E,fact_batting_summary!E3186)</f>
        <v>15.454545454545455</v>
      </c>
      <c r="C3186">
        <v>7</v>
      </c>
    </row>
    <row r="3187" spans="1:3" x14ac:dyDescent="0.45">
      <c r="A3187">
        <f>SUMIFS(fact_batting_summary!G:G, fact_batting_summary!E:E, fact_batting_summary!E3187)</f>
        <v>60</v>
      </c>
      <c r="B3187" s="9">
        <f>AVERAGEIFS(fact_batting_summary!G:G, fact_batting_summary!E:E,fact_batting_summary!E3187)</f>
        <v>8.5714285714285712</v>
      </c>
      <c r="C3187">
        <v>8</v>
      </c>
    </row>
    <row r="3188" spans="1:3" x14ac:dyDescent="0.45">
      <c r="A3188">
        <f>SUMIFS(fact_batting_summary!G:G, fact_batting_summary!E:E, fact_batting_summary!E3188)</f>
        <v>11</v>
      </c>
      <c r="B3188" s="9">
        <f>AVERAGEIFS(fact_batting_summary!G:G, fact_batting_summary!E:E,fact_batting_summary!E3188)</f>
        <v>5.5</v>
      </c>
      <c r="C3188">
        <v>9</v>
      </c>
    </row>
    <row r="3189" spans="1:3" x14ac:dyDescent="0.45">
      <c r="A3189">
        <f>SUMIFS(fact_batting_summary!G:G, fact_batting_summary!E:E, fact_batting_summary!E3189)</f>
        <v>981</v>
      </c>
      <c r="B3189" s="9">
        <f>AVERAGEIFS(fact_batting_summary!G:G, fact_batting_summary!E:E,fact_batting_summary!E3189)</f>
        <v>22.813953488372093</v>
      </c>
      <c r="C3189">
        <v>1</v>
      </c>
    </row>
    <row r="3190" spans="1:3" x14ac:dyDescent="0.45">
      <c r="A3190">
        <f>SUMIFS(fact_batting_summary!G:G, fact_batting_summary!E:E, fact_batting_summary!E3190)</f>
        <v>1113</v>
      </c>
      <c r="B3190" s="9">
        <f>AVERAGEIFS(fact_batting_summary!G:G, fact_batting_summary!E:E,fact_batting_summary!E3190)</f>
        <v>28.53846153846154</v>
      </c>
      <c r="C3190">
        <v>2</v>
      </c>
    </row>
    <row r="3191" spans="1:3" x14ac:dyDescent="0.45">
      <c r="A3191">
        <f>SUMIFS(fact_batting_summary!G:G, fact_batting_summary!E:E, fact_batting_summary!E3191)</f>
        <v>452</v>
      </c>
      <c r="B3191" s="9">
        <f>AVERAGEIFS(fact_batting_summary!G:G, fact_batting_summary!E:E,fact_batting_summary!E3191)</f>
        <v>28.25</v>
      </c>
      <c r="C3191">
        <v>3</v>
      </c>
    </row>
    <row r="3192" spans="1:3" x14ac:dyDescent="0.45">
      <c r="A3192">
        <f>SUMIFS(fact_batting_summary!G:G, fact_batting_summary!E:E, fact_batting_summary!E3192)</f>
        <v>1225</v>
      </c>
      <c r="B3192" s="9">
        <f>AVERAGEIFS(fact_batting_summary!G:G, fact_batting_summary!E:E,fact_batting_summary!E3192)</f>
        <v>32.236842105263158</v>
      </c>
      <c r="C3192">
        <v>4</v>
      </c>
    </row>
    <row r="3193" spans="1:3" x14ac:dyDescent="0.45">
      <c r="A3193">
        <f>SUMIFS(fact_batting_summary!G:G, fact_batting_summary!E:E, fact_batting_summary!E3193)</f>
        <v>740</v>
      </c>
      <c r="B3193" s="9">
        <f>AVERAGEIFS(fact_batting_summary!G:G, fact_batting_summary!E:E,fact_batting_summary!E3193)</f>
        <v>29.6</v>
      </c>
      <c r="C3193">
        <v>5</v>
      </c>
    </row>
    <row r="3194" spans="1:3" x14ac:dyDescent="0.45">
      <c r="A3194">
        <f>SUMIFS(fact_batting_summary!G:G, fact_batting_summary!E:E, fact_batting_summary!E3194)</f>
        <v>241</v>
      </c>
      <c r="B3194" s="9">
        <f>AVERAGEIFS(fact_batting_summary!G:G, fact_batting_summary!E:E,fact_batting_summary!E3194)</f>
        <v>24.1</v>
      </c>
      <c r="C3194">
        <v>6</v>
      </c>
    </row>
    <row r="3195" spans="1:3" x14ac:dyDescent="0.45">
      <c r="A3195">
        <f>SUMIFS(fact_batting_summary!G:G, fact_batting_summary!E:E, fact_batting_summary!E3195)</f>
        <v>418</v>
      </c>
      <c r="B3195" s="9">
        <f>AVERAGEIFS(fact_batting_summary!G:G, fact_batting_summary!E:E,fact_batting_summary!E3195)</f>
        <v>17.416666666666668</v>
      </c>
      <c r="C3195">
        <v>7</v>
      </c>
    </row>
    <row r="3196" spans="1:3" x14ac:dyDescent="0.45">
      <c r="A3196">
        <f>SUMIFS(fact_batting_summary!G:G, fact_batting_summary!E:E, fact_batting_summary!E3196)</f>
        <v>66</v>
      </c>
      <c r="B3196" s="9">
        <f>AVERAGEIFS(fact_batting_summary!G:G, fact_batting_summary!E:E,fact_batting_summary!E3196)</f>
        <v>11</v>
      </c>
      <c r="C3196">
        <v>8</v>
      </c>
    </row>
    <row r="3197" spans="1:3" x14ac:dyDescent="0.45">
      <c r="A3197">
        <f>SUMIFS(fact_batting_summary!G:G, fact_batting_summary!E:E, fact_batting_summary!E3197)</f>
        <v>18</v>
      </c>
      <c r="B3197" s="9">
        <f>AVERAGEIFS(fact_batting_summary!G:G, fact_batting_summary!E:E,fact_batting_summary!E3197)</f>
        <v>6</v>
      </c>
      <c r="C3197">
        <v>9</v>
      </c>
    </row>
    <row r="3198" spans="1:3" x14ac:dyDescent="0.45">
      <c r="A3198">
        <f>SUMIFS(fact_batting_summary!G:G, fact_batting_summary!E:E, fact_batting_summary!E3198)</f>
        <v>1385</v>
      </c>
      <c r="B3198" s="9">
        <f>AVERAGEIFS(fact_batting_summary!G:G, fact_batting_summary!E:E,fact_batting_summary!E3198)</f>
        <v>30.777777777777779</v>
      </c>
      <c r="C3198">
        <v>1</v>
      </c>
    </row>
    <row r="3199" spans="1:3" x14ac:dyDescent="0.45">
      <c r="A3199">
        <f>SUMIFS(fact_batting_summary!G:G, fact_batting_summary!E:E, fact_batting_summary!E3199)</f>
        <v>1831</v>
      </c>
      <c r="B3199" s="9">
        <f>AVERAGEIFS(fact_batting_summary!G:G, fact_batting_summary!E:E,fact_batting_summary!E3199)</f>
        <v>39.804347826086953</v>
      </c>
      <c r="C3199">
        <v>2</v>
      </c>
    </row>
    <row r="3200" spans="1:3" x14ac:dyDescent="0.45">
      <c r="A3200">
        <f>SUMIFS(fact_batting_summary!G:G, fact_batting_summary!E:E, fact_batting_summary!E3200)</f>
        <v>693</v>
      </c>
      <c r="B3200" s="9">
        <f>AVERAGEIFS(fact_batting_summary!G:G, fact_batting_summary!E:E,fact_batting_summary!E3200)</f>
        <v>15.75</v>
      </c>
      <c r="C3200">
        <v>3</v>
      </c>
    </row>
    <row r="3201" spans="1:3" x14ac:dyDescent="0.45">
      <c r="A3201">
        <f>SUMIFS(fact_batting_summary!G:G, fact_batting_summary!E:E, fact_batting_summary!E3201)</f>
        <v>1214</v>
      </c>
      <c r="B3201" s="9">
        <f>AVERAGEIFS(fact_batting_summary!G:G, fact_batting_summary!E:E,fact_batting_summary!E3201)</f>
        <v>29.609756097560975</v>
      </c>
      <c r="C3201">
        <v>4</v>
      </c>
    </row>
    <row r="3202" spans="1:3" x14ac:dyDescent="0.45">
      <c r="A3202">
        <f>SUMIFS(fact_batting_summary!G:G, fact_batting_summary!E:E, fact_batting_summary!E3202)</f>
        <v>1132</v>
      </c>
      <c r="B3202" s="9">
        <f>AVERAGEIFS(fact_batting_summary!G:G, fact_batting_summary!E:E,fact_batting_summary!E3202)</f>
        <v>33.294117647058826</v>
      </c>
      <c r="C3202">
        <v>1</v>
      </c>
    </row>
    <row r="3203" spans="1:3" x14ac:dyDescent="0.45">
      <c r="A3203">
        <f>SUMIFS(fact_batting_summary!G:G, fact_batting_summary!E:E, fact_batting_summary!E3203)</f>
        <v>1509</v>
      </c>
      <c r="B3203" s="9">
        <f>AVERAGEIFS(fact_batting_summary!G:G, fact_batting_summary!E:E,fact_batting_summary!E3203)</f>
        <v>39.710526315789473</v>
      </c>
      <c r="C3203">
        <v>2</v>
      </c>
    </row>
    <row r="3204" spans="1:3" x14ac:dyDescent="0.45">
      <c r="A3204">
        <f>SUMIFS(fact_batting_summary!G:G, fact_batting_summary!E:E, fact_batting_summary!E3204)</f>
        <v>1304</v>
      </c>
      <c r="B3204" s="9">
        <f>AVERAGEIFS(fact_batting_summary!G:G, fact_batting_summary!E:E,fact_batting_summary!E3204)</f>
        <v>28.977777777777778</v>
      </c>
      <c r="C3204">
        <v>3</v>
      </c>
    </row>
    <row r="3205" spans="1:3" x14ac:dyDescent="0.45">
      <c r="A3205">
        <f>SUMIFS(fact_batting_summary!G:G, fact_batting_summary!E:E, fact_batting_summary!E3205)</f>
        <v>1048</v>
      </c>
      <c r="B3205" s="9">
        <f>AVERAGEIFS(fact_batting_summary!G:G, fact_batting_summary!E:E,fact_batting_summary!E3205)</f>
        <v>24.952380952380953</v>
      </c>
      <c r="C3205">
        <v>4</v>
      </c>
    </row>
    <row r="3206" spans="1:3" x14ac:dyDescent="0.45">
      <c r="A3206">
        <f>SUMIFS(fact_batting_summary!G:G, fact_batting_summary!E:E, fact_batting_summary!E3206)</f>
        <v>354</v>
      </c>
      <c r="B3206" s="9">
        <f>AVERAGEIFS(fact_batting_summary!G:G, fact_batting_summary!E:E,fact_batting_summary!E3206)</f>
        <v>11.419354838709678</v>
      </c>
      <c r="C3206">
        <v>5</v>
      </c>
    </row>
    <row r="3207" spans="1:3" x14ac:dyDescent="0.45">
      <c r="A3207">
        <f>SUMIFS(fact_batting_summary!G:G, fact_batting_summary!E:E, fact_batting_summary!E3207)</f>
        <v>854</v>
      </c>
      <c r="B3207" s="9">
        <f>AVERAGEIFS(fact_batting_summary!G:G, fact_batting_summary!E:E,fact_batting_summary!E3207)</f>
        <v>21.35</v>
      </c>
      <c r="C3207">
        <v>6</v>
      </c>
    </row>
    <row r="3208" spans="1:3" x14ac:dyDescent="0.45">
      <c r="A3208">
        <f>SUMIFS(fact_batting_summary!G:G, fact_batting_summary!E:E, fact_batting_summary!E3208)</f>
        <v>302</v>
      </c>
      <c r="B3208" s="9">
        <f>AVERAGEIFS(fact_batting_summary!G:G, fact_batting_summary!E:E,fact_batting_summary!E3208)</f>
        <v>11.185185185185185</v>
      </c>
      <c r="C3208">
        <v>7</v>
      </c>
    </row>
    <row r="3209" spans="1:3" x14ac:dyDescent="0.45">
      <c r="A3209">
        <f>SUMIFS(fact_batting_summary!G:G, fact_batting_summary!E:E, fact_batting_summary!E3209)</f>
        <v>745</v>
      </c>
      <c r="B3209" s="9">
        <f>AVERAGEIFS(fact_batting_summary!G:G, fact_batting_summary!E:E,fact_batting_summary!E3209)</f>
        <v>24.032258064516128</v>
      </c>
      <c r="C3209">
        <v>1</v>
      </c>
    </row>
    <row r="3210" spans="1:3" x14ac:dyDescent="0.45">
      <c r="A3210">
        <f>SUMIFS(fact_batting_summary!G:G, fact_batting_summary!E:E, fact_batting_summary!E3210)</f>
        <v>907</v>
      </c>
      <c r="B3210" s="9">
        <f>AVERAGEIFS(fact_batting_summary!G:G, fact_batting_summary!E:E,fact_batting_summary!E3210)</f>
        <v>26.676470588235293</v>
      </c>
      <c r="C3210">
        <v>2</v>
      </c>
    </row>
    <row r="3211" spans="1:3" x14ac:dyDescent="0.45">
      <c r="A3211">
        <f>SUMIFS(fact_batting_summary!G:G, fact_batting_summary!E:E, fact_batting_summary!E3211)</f>
        <v>1083</v>
      </c>
      <c r="B3211" s="9">
        <f>AVERAGEIFS(fact_batting_summary!G:G, fact_batting_summary!E:E,fact_batting_summary!E3211)</f>
        <v>25.186046511627907</v>
      </c>
      <c r="C3211">
        <v>3</v>
      </c>
    </row>
    <row r="3212" spans="1:3" x14ac:dyDescent="0.45">
      <c r="A3212">
        <f>SUMIFS(fact_batting_summary!G:G, fact_batting_summary!E:E, fact_batting_summary!E3212)</f>
        <v>190</v>
      </c>
      <c r="B3212" s="9">
        <f>AVERAGEIFS(fact_batting_summary!G:G, fact_batting_summary!E:E,fact_batting_summary!E3212)</f>
        <v>17.272727272727273</v>
      </c>
      <c r="C3212">
        <v>4</v>
      </c>
    </row>
    <row r="3213" spans="1:3" x14ac:dyDescent="0.45">
      <c r="A3213">
        <f>SUMIFS(fact_batting_summary!G:G, fact_batting_summary!E:E, fact_batting_summary!E3213)</f>
        <v>192</v>
      </c>
      <c r="B3213" s="9">
        <f>AVERAGEIFS(fact_batting_summary!G:G, fact_batting_summary!E:E,fact_batting_summary!E3213)</f>
        <v>12</v>
      </c>
      <c r="C3213">
        <v>5</v>
      </c>
    </row>
    <row r="3214" spans="1:3" x14ac:dyDescent="0.45">
      <c r="A3214">
        <f>SUMIFS(fact_batting_summary!G:G, fact_batting_summary!E:E, fact_batting_summary!E3214)</f>
        <v>65</v>
      </c>
      <c r="B3214" s="9">
        <f>AVERAGEIFS(fact_batting_summary!G:G, fact_batting_summary!E:E,fact_batting_summary!E3214)</f>
        <v>8.125</v>
      </c>
      <c r="C3214">
        <v>6</v>
      </c>
    </row>
    <row r="3215" spans="1:3" x14ac:dyDescent="0.45">
      <c r="A3215">
        <f>SUMIFS(fact_batting_summary!G:G, fact_batting_summary!E:E, fact_batting_summary!E3215)</f>
        <v>284</v>
      </c>
      <c r="B3215" s="9">
        <f>AVERAGEIFS(fact_batting_summary!G:G, fact_batting_summary!E:E,fact_batting_summary!E3215)</f>
        <v>14.2</v>
      </c>
      <c r="C3215">
        <v>7</v>
      </c>
    </row>
    <row r="3216" spans="1:3" x14ac:dyDescent="0.45">
      <c r="A3216">
        <f>SUMIFS(fact_batting_summary!G:G, fact_batting_summary!E:E, fact_batting_summary!E3216)</f>
        <v>22</v>
      </c>
      <c r="B3216" s="9">
        <f>AVERAGEIFS(fact_batting_summary!G:G, fact_batting_summary!E:E,fact_batting_summary!E3216)</f>
        <v>11</v>
      </c>
      <c r="C3216">
        <v>8</v>
      </c>
    </row>
    <row r="3217" spans="1:3" x14ac:dyDescent="0.45">
      <c r="A3217">
        <f>SUMIFS(fact_batting_summary!G:G, fact_batting_summary!E:E, fact_batting_summary!E3217)</f>
        <v>100</v>
      </c>
      <c r="B3217" s="9">
        <f>AVERAGEIFS(fact_batting_summary!G:G, fact_batting_summary!E:E,fact_batting_summary!E3217)</f>
        <v>5.2631578947368425</v>
      </c>
      <c r="C3217">
        <v>9</v>
      </c>
    </row>
    <row r="3218" spans="1:3" x14ac:dyDescent="0.45">
      <c r="A3218">
        <f>SUMIFS(fact_batting_summary!G:G, fact_batting_summary!E:E, fact_batting_summary!E3218)</f>
        <v>23</v>
      </c>
      <c r="B3218" s="9">
        <f>AVERAGEIFS(fact_batting_summary!G:G, fact_batting_summary!E:E,fact_batting_summary!E3218)</f>
        <v>3.8333333333333335</v>
      </c>
      <c r="C3218">
        <v>10</v>
      </c>
    </row>
    <row r="3219" spans="1:3" x14ac:dyDescent="0.45">
      <c r="A3219">
        <f>SUMIFS(fact_batting_summary!G:G, fact_batting_summary!E:E, fact_batting_summary!E3219)</f>
        <v>1516</v>
      </c>
      <c r="B3219" s="9">
        <f>AVERAGEIFS(fact_batting_summary!G:G, fact_batting_summary!E:E,fact_batting_summary!E3219)</f>
        <v>40.972972972972975</v>
      </c>
      <c r="C3219">
        <v>1</v>
      </c>
    </row>
    <row r="3220" spans="1:3" x14ac:dyDescent="0.45">
      <c r="A3220">
        <f>SUMIFS(fact_batting_summary!G:G, fact_batting_summary!E:E, fact_batting_summary!E3220)</f>
        <v>365</v>
      </c>
      <c r="B3220" s="9">
        <f>AVERAGEIFS(fact_batting_summary!G:G, fact_batting_summary!E:E,fact_batting_summary!E3220)</f>
        <v>30.416666666666668</v>
      </c>
      <c r="C3220">
        <v>2</v>
      </c>
    </row>
    <row r="3221" spans="1:3" x14ac:dyDescent="0.45">
      <c r="A3221">
        <f>SUMIFS(fact_batting_summary!G:G, fact_batting_summary!E:E, fact_batting_summary!E3221)</f>
        <v>695</v>
      </c>
      <c r="B3221" s="9">
        <f>AVERAGEIFS(fact_batting_summary!G:G, fact_batting_summary!E:E,fact_batting_summary!E3221)</f>
        <v>18.783783783783782</v>
      </c>
      <c r="C3221">
        <v>3</v>
      </c>
    </row>
    <row r="3222" spans="1:3" x14ac:dyDescent="0.45">
      <c r="A3222">
        <f>SUMIFS(fact_batting_summary!G:G, fact_batting_summary!E:E, fact_batting_summary!E3222)</f>
        <v>514</v>
      </c>
      <c r="B3222" s="9">
        <f>AVERAGEIFS(fact_batting_summary!G:G, fact_batting_summary!E:E,fact_batting_summary!E3222)</f>
        <v>13.526315789473685</v>
      </c>
      <c r="C3222">
        <v>4</v>
      </c>
    </row>
    <row r="3223" spans="1:3" x14ac:dyDescent="0.45">
      <c r="A3223">
        <f>SUMIFS(fact_batting_summary!G:G, fact_batting_summary!E:E, fact_batting_summary!E3223)</f>
        <v>645</v>
      </c>
      <c r="B3223" s="9">
        <f>AVERAGEIFS(fact_batting_summary!G:G, fact_batting_summary!E:E,fact_batting_summary!E3223)</f>
        <v>21.5</v>
      </c>
      <c r="C3223">
        <v>5</v>
      </c>
    </row>
    <row r="3224" spans="1:3" x14ac:dyDescent="0.45">
      <c r="A3224">
        <f>SUMIFS(fact_batting_summary!G:G, fact_batting_summary!E:E, fact_batting_summary!E3224)</f>
        <v>729</v>
      </c>
      <c r="B3224" s="9">
        <f>AVERAGEIFS(fact_batting_summary!G:G, fact_batting_summary!E:E,fact_batting_summary!E3224)</f>
        <v>19.184210526315791</v>
      </c>
      <c r="C3224">
        <v>6</v>
      </c>
    </row>
    <row r="3225" spans="1:3" x14ac:dyDescent="0.45">
      <c r="A3225">
        <f>SUMIFS(fact_batting_summary!G:G, fact_batting_summary!E:E, fact_batting_summary!E3225)</f>
        <v>340</v>
      </c>
      <c r="B3225" s="9">
        <f>AVERAGEIFS(fact_batting_summary!G:G, fact_batting_summary!E:E,fact_batting_summary!E3225)</f>
        <v>15.454545454545455</v>
      </c>
      <c r="C3225">
        <v>7</v>
      </c>
    </row>
    <row r="3226" spans="1:3" x14ac:dyDescent="0.45">
      <c r="A3226">
        <f>SUMIFS(fact_batting_summary!G:G, fact_batting_summary!E:E, fact_batting_summary!E3226)</f>
        <v>60</v>
      </c>
      <c r="B3226" s="9">
        <f>AVERAGEIFS(fact_batting_summary!G:G, fact_batting_summary!E:E,fact_batting_summary!E3226)</f>
        <v>8.5714285714285712</v>
      </c>
      <c r="C3226">
        <v>8</v>
      </c>
    </row>
    <row r="3227" spans="1:3" x14ac:dyDescent="0.45">
      <c r="A3227">
        <f>SUMIFS(fact_batting_summary!G:G, fact_batting_summary!E:E, fact_batting_summary!E3227)</f>
        <v>815</v>
      </c>
      <c r="B3227" s="9">
        <f>AVERAGEIFS(fact_batting_summary!G:G, fact_batting_summary!E:E,fact_batting_summary!E3227)</f>
        <v>25.46875</v>
      </c>
      <c r="C3227">
        <v>1</v>
      </c>
    </row>
    <row r="3228" spans="1:3" x14ac:dyDescent="0.45">
      <c r="A3228">
        <f>SUMIFS(fact_batting_summary!G:G, fact_batting_summary!E:E, fact_batting_summary!E3228)</f>
        <v>1137</v>
      </c>
      <c r="B3228" s="9">
        <f>AVERAGEIFS(fact_batting_summary!G:G, fact_batting_summary!E:E,fact_batting_summary!E3228)</f>
        <v>34.454545454545453</v>
      </c>
      <c r="C3228">
        <v>2</v>
      </c>
    </row>
    <row r="3229" spans="1:3" x14ac:dyDescent="0.45">
      <c r="A3229">
        <f>SUMIFS(fact_batting_summary!G:G, fact_batting_summary!E:E, fact_batting_summary!E3229)</f>
        <v>379</v>
      </c>
      <c r="B3229" s="9">
        <f>AVERAGEIFS(fact_batting_summary!G:G, fact_batting_summary!E:E,fact_batting_summary!E3229)</f>
        <v>22.294117647058822</v>
      </c>
      <c r="C3229">
        <v>3</v>
      </c>
    </row>
    <row r="3230" spans="1:3" x14ac:dyDescent="0.45">
      <c r="A3230">
        <f>SUMIFS(fact_batting_summary!G:G, fact_batting_summary!E:E, fact_batting_summary!E3230)</f>
        <v>144</v>
      </c>
      <c r="B3230" s="9">
        <f>AVERAGEIFS(fact_batting_summary!G:G, fact_batting_summary!E:E,fact_batting_summary!E3230)</f>
        <v>13.090909090909092</v>
      </c>
      <c r="C3230">
        <v>4</v>
      </c>
    </row>
    <row r="3231" spans="1:3" x14ac:dyDescent="0.45">
      <c r="A3231">
        <f>SUMIFS(fact_batting_summary!G:G, fact_batting_summary!E:E, fact_batting_summary!E3231)</f>
        <v>209</v>
      </c>
      <c r="B3231" s="9">
        <f>AVERAGEIFS(fact_batting_summary!G:G, fact_batting_summary!E:E,fact_batting_summary!E3231)</f>
        <v>23.222222222222221</v>
      </c>
      <c r="C3231">
        <v>5</v>
      </c>
    </row>
    <row r="3232" spans="1:3" x14ac:dyDescent="0.45">
      <c r="A3232">
        <f>SUMIFS(fact_batting_summary!G:G, fact_batting_summary!E:E, fact_batting_summary!E3232)</f>
        <v>257</v>
      </c>
      <c r="B3232" s="9">
        <f>AVERAGEIFS(fact_batting_summary!G:G, fact_batting_summary!E:E,fact_batting_summary!E3232)</f>
        <v>17.133333333333333</v>
      </c>
      <c r="C3232">
        <v>6</v>
      </c>
    </row>
    <row r="3233" spans="1:3" x14ac:dyDescent="0.45">
      <c r="A3233">
        <f>SUMIFS(fact_batting_summary!G:G, fact_batting_summary!E:E, fact_batting_summary!E3233)</f>
        <v>115</v>
      </c>
      <c r="B3233" s="9">
        <f>AVERAGEIFS(fact_batting_summary!G:G, fact_batting_summary!E:E,fact_batting_summary!E3233)</f>
        <v>11.5</v>
      </c>
      <c r="C3233">
        <v>7</v>
      </c>
    </row>
    <row r="3234" spans="1:3" x14ac:dyDescent="0.45">
      <c r="A3234">
        <f>SUMIFS(fact_batting_summary!G:G, fact_batting_summary!E:E, fact_batting_summary!E3234)</f>
        <v>505</v>
      </c>
      <c r="B3234" s="9">
        <f>AVERAGEIFS(fact_batting_summary!G:G, fact_batting_summary!E:E,fact_batting_summary!E3234)</f>
        <v>17.413793103448278</v>
      </c>
      <c r="C3234">
        <v>8</v>
      </c>
    </row>
    <row r="3235" spans="1:3" x14ac:dyDescent="0.45">
      <c r="A3235">
        <f>SUMIFS(fact_batting_summary!G:G, fact_batting_summary!E:E, fact_batting_summary!E3235)</f>
        <v>79</v>
      </c>
      <c r="B3235" s="9">
        <f>AVERAGEIFS(fact_batting_summary!G:G, fact_batting_summary!E:E,fact_batting_summary!E3235)</f>
        <v>4.6470588235294121</v>
      </c>
      <c r="C3235">
        <v>9</v>
      </c>
    </row>
    <row r="3236" spans="1:3" x14ac:dyDescent="0.45">
      <c r="A3236">
        <f>SUMIFS(fact_batting_summary!G:G, fact_batting_summary!E:E, fact_batting_summary!E3236)</f>
        <v>20</v>
      </c>
      <c r="B3236" s="9">
        <f>AVERAGEIFS(fact_batting_summary!G:G, fact_batting_summary!E:E,fact_batting_summary!E3236)</f>
        <v>2.5</v>
      </c>
      <c r="C3236">
        <v>10</v>
      </c>
    </row>
    <row r="3237" spans="1:3" x14ac:dyDescent="0.45">
      <c r="A3237">
        <f>SUMIFS(fact_batting_summary!G:G, fact_batting_summary!E:E, fact_batting_summary!E3237)</f>
        <v>7</v>
      </c>
      <c r="B3237" s="9">
        <f>AVERAGEIFS(fact_batting_summary!G:G, fact_batting_summary!E:E,fact_batting_summary!E3237)</f>
        <v>2.3333333333333335</v>
      </c>
      <c r="C3237">
        <v>11</v>
      </c>
    </row>
    <row r="3238" spans="1:3" x14ac:dyDescent="0.45">
      <c r="A3238">
        <f>SUMIFS(fact_batting_summary!G:G, fact_batting_summary!E:E, fact_batting_summary!E3238)</f>
        <v>391</v>
      </c>
      <c r="B3238" s="9">
        <f>AVERAGEIFS(fact_batting_summary!G:G, fact_batting_summary!E:E,fact_batting_summary!E3238)</f>
        <v>23</v>
      </c>
      <c r="C3238">
        <v>1</v>
      </c>
    </row>
    <row r="3239" spans="1:3" x14ac:dyDescent="0.45">
      <c r="A3239">
        <f>SUMIFS(fact_batting_summary!G:G, fact_batting_summary!E:E, fact_batting_summary!E3239)</f>
        <v>1392</v>
      </c>
      <c r="B3239" s="9">
        <f>AVERAGEIFS(fact_batting_summary!G:G, fact_batting_summary!E:E,fact_batting_summary!E3239)</f>
        <v>34.799999999999997</v>
      </c>
      <c r="C3239">
        <v>2</v>
      </c>
    </row>
    <row r="3240" spans="1:3" x14ac:dyDescent="0.45">
      <c r="A3240">
        <f>SUMIFS(fact_batting_summary!G:G, fact_batting_summary!E:E, fact_batting_summary!E3240)</f>
        <v>277</v>
      </c>
      <c r="B3240" s="9">
        <f>AVERAGEIFS(fact_batting_summary!G:G, fact_batting_summary!E:E,fact_batting_summary!E3240)</f>
        <v>21.307692307692307</v>
      </c>
      <c r="C3240">
        <v>3</v>
      </c>
    </row>
    <row r="3241" spans="1:3" x14ac:dyDescent="0.45">
      <c r="A3241">
        <f>SUMIFS(fact_batting_summary!G:G, fact_batting_summary!E:E, fact_batting_summary!E3241)</f>
        <v>543</v>
      </c>
      <c r="B3241" s="9">
        <f>AVERAGEIFS(fact_batting_summary!G:G, fact_batting_summary!E:E,fact_batting_summary!E3241)</f>
        <v>22.625</v>
      </c>
      <c r="C3241">
        <v>4</v>
      </c>
    </row>
    <row r="3242" spans="1:3" x14ac:dyDescent="0.45">
      <c r="A3242">
        <f>SUMIFS(fact_batting_summary!G:G, fact_batting_summary!E:E, fact_batting_summary!E3242)</f>
        <v>139</v>
      </c>
      <c r="B3242" s="9">
        <f>AVERAGEIFS(fact_batting_summary!G:G, fact_batting_summary!E:E,fact_batting_summary!E3242)</f>
        <v>19.857142857142858</v>
      </c>
      <c r="C3242">
        <v>5</v>
      </c>
    </row>
    <row r="3243" spans="1:3" x14ac:dyDescent="0.45">
      <c r="A3243">
        <f>SUMIFS(fact_batting_summary!G:G, fact_batting_summary!E:E, fact_batting_summary!E3243)</f>
        <v>332</v>
      </c>
      <c r="B3243" s="9">
        <f>AVERAGEIFS(fact_batting_summary!G:G, fact_batting_summary!E:E,fact_batting_summary!E3243)</f>
        <v>19.529411764705884</v>
      </c>
      <c r="C3243">
        <v>6</v>
      </c>
    </row>
    <row r="3244" spans="1:3" x14ac:dyDescent="0.45">
      <c r="A3244">
        <f>SUMIFS(fact_batting_summary!G:G, fact_batting_summary!E:E, fact_batting_summary!E3244)</f>
        <v>426</v>
      </c>
      <c r="B3244" s="9">
        <f>AVERAGEIFS(fact_batting_summary!G:G, fact_batting_summary!E:E,fact_batting_summary!E3244)</f>
        <v>13.741935483870968</v>
      </c>
      <c r="C3244">
        <v>7</v>
      </c>
    </row>
    <row r="3245" spans="1:3" x14ac:dyDescent="0.45">
      <c r="A3245">
        <f>SUMIFS(fact_batting_summary!G:G, fact_batting_summary!E:E, fact_batting_summary!E3245)</f>
        <v>47</v>
      </c>
      <c r="B3245" s="9">
        <f>AVERAGEIFS(fact_batting_summary!G:G, fact_batting_summary!E:E,fact_batting_summary!E3245)</f>
        <v>6.7142857142857144</v>
      </c>
      <c r="C3245">
        <v>1</v>
      </c>
    </row>
    <row r="3246" spans="1:3" x14ac:dyDescent="0.45">
      <c r="A3246">
        <f>SUMIFS(fact_batting_summary!G:G, fact_batting_summary!E:E, fact_batting_summary!E3246)</f>
        <v>227</v>
      </c>
      <c r="B3246" s="9">
        <f>AVERAGEIFS(fact_batting_summary!G:G, fact_batting_summary!E:E,fact_batting_summary!E3246)</f>
        <v>20.636363636363637</v>
      </c>
      <c r="C3246">
        <v>2</v>
      </c>
    </row>
    <row r="3247" spans="1:3" x14ac:dyDescent="0.45">
      <c r="A3247">
        <f>SUMIFS(fact_batting_summary!G:G, fact_batting_summary!E:E, fact_batting_summary!E3247)</f>
        <v>23</v>
      </c>
      <c r="B3247" s="9">
        <f>AVERAGEIFS(fact_batting_summary!G:G, fact_batting_summary!E:E,fact_batting_summary!E3247)</f>
        <v>4.5999999999999996</v>
      </c>
      <c r="C3247">
        <v>3</v>
      </c>
    </row>
    <row r="3248" spans="1:3" x14ac:dyDescent="0.45">
      <c r="A3248">
        <f>SUMIFS(fact_batting_summary!G:G, fact_batting_summary!E:E, fact_batting_summary!E3248)</f>
        <v>956</v>
      </c>
      <c r="B3248" s="9">
        <f>AVERAGEIFS(fact_batting_summary!G:G, fact_batting_summary!E:E,fact_batting_summary!E3248)</f>
        <v>26.555555555555557</v>
      </c>
      <c r="C3248">
        <v>4</v>
      </c>
    </row>
    <row r="3249" spans="1:3" x14ac:dyDescent="0.45">
      <c r="A3249">
        <f>SUMIFS(fact_batting_summary!G:G, fact_batting_summary!E:E, fact_batting_summary!E3249)</f>
        <v>1157</v>
      </c>
      <c r="B3249" s="9">
        <f>AVERAGEIFS(fact_batting_summary!G:G, fact_batting_summary!E:E,fact_batting_summary!E3249)</f>
        <v>26.295454545454547</v>
      </c>
      <c r="C3249">
        <v>5</v>
      </c>
    </row>
    <row r="3250" spans="1:3" x14ac:dyDescent="0.45">
      <c r="A3250">
        <f>SUMIFS(fact_batting_summary!G:G, fact_batting_summary!E:E, fact_batting_summary!E3250)</f>
        <v>648</v>
      </c>
      <c r="B3250" s="9">
        <f>AVERAGEIFS(fact_batting_summary!G:G, fact_batting_summary!E:E,fact_batting_summary!E3250)</f>
        <v>30.857142857142858</v>
      </c>
      <c r="C3250">
        <v>6</v>
      </c>
    </row>
    <row r="3251" spans="1:3" x14ac:dyDescent="0.45">
      <c r="A3251">
        <f>SUMIFS(fact_batting_summary!G:G, fact_batting_summary!E:E, fact_batting_summary!E3251)</f>
        <v>745</v>
      </c>
      <c r="B3251" s="9">
        <f>AVERAGEIFS(fact_batting_summary!G:G, fact_batting_summary!E:E,fact_batting_summary!E3251)</f>
        <v>21.285714285714285</v>
      </c>
      <c r="C3251">
        <v>7</v>
      </c>
    </row>
    <row r="3252" spans="1:3" x14ac:dyDescent="0.45">
      <c r="A3252">
        <f>SUMIFS(fact_batting_summary!G:G, fact_batting_summary!E:E, fact_batting_summary!E3252)</f>
        <v>238</v>
      </c>
      <c r="B3252" s="9">
        <f>AVERAGEIFS(fact_batting_summary!G:G, fact_batting_summary!E:E,fact_batting_summary!E3252)</f>
        <v>9.9166666666666661</v>
      </c>
      <c r="C3252">
        <v>8</v>
      </c>
    </row>
    <row r="3253" spans="1:3" x14ac:dyDescent="0.45">
      <c r="A3253">
        <f>SUMIFS(fact_batting_summary!G:G, fact_batting_summary!E:E, fact_batting_summary!E3253)</f>
        <v>154</v>
      </c>
      <c r="B3253" s="9">
        <f>AVERAGEIFS(fact_batting_summary!G:G, fact_batting_summary!E:E,fact_batting_summary!E3253)</f>
        <v>5.1333333333333337</v>
      </c>
      <c r="C3253">
        <v>9</v>
      </c>
    </row>
    <row r="3254" spans="1:3" x14ac:dyDescent="0.45">
      <c r="A3254">
        <f>SUMIFS(fact_batting_summary!G:G, fact_batting_summary!E:E, fact_batting_summary!E3254)</f>
        <v>924</v>
      </c>
      <c r="B3254" s="9">
        <f>AVERAGEIFS(fact_batting_summary!G:G, fact_batting_summary!E:E,fact_batting_summary!E3254)</f>
        <v>42</v>
      </c>
      <c r="C3254">
        <v>1</v>
      </c>
    </row>
    <row r="3255" spans="1:3" x14ac:dyDescent="0.45">
      <c r="A3255">
        <f>SUMIFS(fact_batting_summary!G:G, fact_batting_summary!E:E, fact_batting_summary!E3255)</f>
        <v>1593</v>
      </c>
      <c r="B3255" s="9">
        <f>AVERAGEIFS(fact_batting_summary!G:G, fact_batting_summary!E:E,fact_batting_summary!E3255)</f>
        <v>35.4</v>
      </c>
      <c r="C3255">
        <v>2</v>
      </c>
    </row>
    <row r="3256" spans="1:3" x14ac:dyDescent="0.45">
      <c r="A3256">
        <f>SUMIFS(fact_batting_summary!G:G, fact_batting_summary!E:E, fact_batting_summary!E3256)</f>
        <v>725</v>
      </c>
      <c r="B3256" s="9">
        <f>AVERAGEIFS(fact_batting_summary!G:G, fact_batting_summary!E:E,fact_batting_summary!E3256)</f>
        <v>20.714285714285715</v>
      </c>
      <c r="C3256">
        <v>3</v>
      </c>
    </row>
    <row r="3257" spans="1:3" x14ac:dyDescent="0.45">
      <c r="A3257">
        <f>SUMIFS(fact_batting_summary!G:G, fact_batting_summary!E:E, fact_batting_summary!E3257)</f>
        <v>15</v>
      </c>
      <c r="B3257" s="9">
        <f>AVERAGEIFS(fact_batting_summary!G:G, fact_batting_summary!E:E,fact_batting_summary!E3257)</f>
        <v>5</v>
      </c>
      <c r="C3257">
        <v>4</v>
      </c>
    </row>
    <row r="3258" spans="1:3" x14ac:dyDescent="0.45">
      <c r="A3258">
        <f>SUMIFS(fact_batting_summary!G:G, fact_batting_summary!E:E, fact_batting_summary!E3258)</f>
        <v>689</v>
      </c>
      <c r="B3258" s="9">
        <f>AVERAGEIFS(fact_batting_summary!G:G, fact_batting_summary!E:E,fact_batting_summary!E3258)</f>
        <v>19.138888888888889</v>
      </c>
      <c r="C3258">
        <v>5</v>
      </c>
    </row>
    <row r="3259" spans="1:3" x14ac:dyDescent="0.45">
      <c r="A3259">
        <f>SUMIFS(fact_batting_summary!G:G, fact_batting_summary!E:E, fact_batting_summary!E3259)</f>
        <v>937</v>
      </c>
      <c r="B3259" s="9">
        <f>AVERAGEIFS(fact_batting_summary!G:G, fact_batting_summary!E:E,fact_batting_summary!E3259)</f>
        <v>27.558823529411764</v>
      </c>
      <c r="C3259">
        <v>6</v>
      </c>
    </row>
    <row r="3260" spans="1:3" x14ac:dyDescent="0.45">
      <c r="A3260">
        <f>SUMIFS(fact_batting_summary!G:G, fact_batting_summary!E:E, fact_batting_summary!E3260)</f>
        <v>533</v>
      </c>
      <c r="B3260" s="9">
        <f>AVERAGEIFS(fact_batting_summary!G:G, fact_batting_summary!E:E,fact_batting_summary!E3260)</f>
        <v>15.676470588235293</v>
      </c>
      <c r="C3260">
        <v>7</v>
      </c>
    </row>
    <row r="3261" spans="1:3" x14ac:dyDescent="0.45">
      <c r="A3261">
        <f>SUMIFS(fact_batting_summary!G:G, fact_batting_summary!E:E, fact_batting_summary!E3261)</f>
        <v>450</v>
      </c>
      <c r="B3261" s="9">
        <f>AVERAGEIFS(fact_batting_summary!G:G, fact_batting_summary!E:E,fact_batting_summary!E3261)</f>
        <v>12.5</v>
      </c>
      <c r="C3261">
        <v>8</v>
      </c>
    </row>
    <row r="3262" spans="1:3" x14ac:dyDescent="0.45">
      <c r="A3262">
        <f>SUMIFS(fact_batting_summary!G:G, fact_batting_summary!E:E, fact_batting_summary!E3262)</f>
        <v>24</v>
      </c>
      <c r="B3262" s="9">
        <f>AVERAGEIFS(fact_batting_summary!G:G, fact_batting_summary!E:E,fact_batting_summary!E3262)</f>
        <v>4</v>
      </c>
      <c r="C3262">
        <v>9</v>
      </c>
    </row>
    <row r="3263" spans="1:3" x14ac:dyDescent="0.45">
      <c r="A3263">
        <f>SUMIFS(fact_batting_summary!G:G, fact_batting_summary!E:E, fact_batting_summary!E3263)</f>
        <v>819</v>
      </c>
      <c r="B3263" s="9">
        <f>AVERAGEIFS(fact_batting_summary!G:G, fact_batting_summary!E:E,fact_batting_summary!E3263)</f>
        <v>22.135135135135137</v>
      </c>
      <c r="C3263">
        <v>1</v>
      </c>
    </row>
    <row r="3264" spans="1:3" x14ac:dyDescent="0.45">
      <c r="A3264">
        <f>SUMIFS(fact_batting_summary!G:G, fact_batting_summary!E:E, fact_batting_summary!E3264)</f>
        <v>1851</v>
      </c>
      <c r="B3264" s="9">
        <f>AVERAGEIFS(fact_batting_summary!G:G, fact_batting_summary!E:E,fact_batting_summary!E3264)</f>
        <v>37.020000000000003</v>
      </c>
      <c r="C3264">
        <v>2</v>
      </c>
    </row>
    <row r="3265" spans="1:3" x14ac:dyDescent="0.45">
      <c r="A3265">
        <f>SUMIFS(fact_batting_summary!G:G, fact_batting_summary!E:E, fact_batting_summary!E3265)</f>
        <v>507</v>
      </c>
      <c r="B3265" s="9">
        <f>AVERAGEIFS(fact_batting_summary!G:G, fact_batting_summary!E:E,fact_batting_summary!E3265)</f>
        <v>39</v>
      </c>
      <c r="C3265">
        <v>3</v>
      </c>
    </row>
    <row r="3266" spans="1:3" x14ac:dyDescent="0.45">
      <c r="A3266">
        <f>SUMIFS(fact_batting_summary!G:G, fact_batting_summary!E:E, fact_batting_summary!E3266)</f>
        <v>960</v>
      </c>
      <c r="B3266" s="9">
        <f>AVERAGEIFS(fact_batting_summary!G:G, fact_batting_summary!E:E,fact_batting_summary!E3266)</f>
        <v>23.414634146341463</v>
      </c>
      <c r="C3266">
        <v>4</v>
      </c>
    </row>
    <row r="3267" spans="1:3" x14ac:dyDescent="0.45">
      <c r="A3267">
        <f>SUMIFS(fact_batting_summary!G:G, fact_batting_summary!E:E, fact_batting_summary!E3267)</f>
        <v>370</v>
      </c>
      <c r="B3267" s="9">
        <f>AVERAGEIFS(fact_batting_summary!G:G, fact_batting_summary!E:E,fact_batting_summary!E3267)</f>
        <v>20.555555555555557</v>
      </c>
      <c r="C3267">
        <v>5</v>
      </c>
    </row>
    <row r="3268" spans="1:3" x14ac:dyDescent="0.45">
      <c r="A3268">
        <f>SUMIFS(fact_batting_summary!G:G, fact_batting_summary!E:E, fact_batting_summary!E3268)</f>
        <v>459</v>
      </c>
      <c r="B3268" s="9">
        <f>AVERAGEIFS(fact_batting_summary!G:G, fact_batting_summary!E:E,fact_batting_summary!E3268)</f>
        <v>13.909090909090908</v>
      </c>
      <c r="C3268">
        <v>6</v>
      </c>
    </row>
    <row r="3269" spans="1:3" x14ac:dyDescent="0.45">
      <c r="A3269">
        <f>SUMIFS(fact_batting_summary!G:G, fact_batting_summary!E:E, fact_batting_summary!E3269)</f>
        <v>304</v>
      </c>
      <c r="B3269" s="9">
        <f>AVERAGEIFS(fact_batting_summary!G:G, fact_batting_summary!E:E,fact_batting_summary!E3269)</f>
        <v>11.692307692307692</v>
      </c>
      <c r="C3269">
        <v>7</v>
      </c>
    </row>
  </sheetData>
  <conditionalFormatting sqref="C2:C3269">
    <cfRule type="top10" dxfId="1" priority="1" rank="2"/>
    <cfRule type="top10" dxfId="0" priority="2" rank="2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500C0-40FC-4416-AC11-2200531DAE58}">
  <dimension ref="B2:G5"/>
  <sheetViews>
    <sheetView workbookViewId="0">
      <selection activeCell="F7" sqref="F7"/>
    </sheetView>
  </sheetViews>
  <sheetFormatPr defaultRowHeight="14.25" x14ac:dyDescent="0.45"/>
  <cols>
    <col min="3" max="3" width="20.3984375" bestFit="1" customWidth="1"/>
    <col min="4" max="4" width="6" bestFit="1" customWidth="1"/>
  </cols>
  <sheetData>
    <row r="2" spans="2:7" x14ac:dyDescent="0.45">
      <c r="B2" s="12" t="s">
        <v>736</v>
      </c>
      <c r="C2" s="10" t="s">
        <v>735</v>
      </c>
      <c r="D2" s="10"/>
      <c r="E2" s="10"/>
      <c r="F2" s="10"/>
      <c r="G2" s="10"/>
    </row>
    <row r="4" spans="2:7" x14ac:dyDescent="0.45">
      <c r="C4" s="14" t="s">
        <v>737</v>
      </c>
      <c r="D4" s="15" t="s">
        <v>738</v>
      </c>
    </row>
    <row r="5" spans="2:7" x14ac:dyDescent="0.45">
      <c r="C5" s="16">
        <v>2</v>
      </c>
      <c r="D5" s="15">
        <v>13162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3027F-6F31-4F3D-95ED-935EBA0E73A0}">
  <dimension ref="A2:D17"/>
  <sheetViews>
    <sheetView workbookViewId="0">
      <selection activeCell="F9" sqref="F9"/>
    </sheetView>
  </sheetViews>
  <sheetFormatPr defaultRowHeight="14.25" x14ac:dyDescent="0.45"/>
  <cols>
    <col min="2" max="2" width="19" customWidth="1"/>
    <col min="4" max="4" width="11" customWidth="1"/>
    <col min="5" max="5" width="13.1328125" bestFit="1" customWidth="1"/>
    <col min="6" max="6" width="20.1328125" bestFit="1" customWidth="1"/>
  </cols>
  <sheetData>
    <row r="2" spans="1:4" x14ac:dyDescent="0.45">
      <c r="A2" s="13" t="s">
        <v>740</v>
      </c>
      <c r="B2" t="s">
        <v>739</v>
      </c>
    </row>
    <row r="3" spans="1:4" x14ac:dyDescent="0.45">
      <c r="A3" s="13"/>
    </row>
    <row r="4" spans="1:4" x14ac:dyDescent="0.45">
      <c r="A4" s="13"/>
    </row>
    <row r="5" spans="1:4" x14ac:dyDescent="0.45">
      <c r="B5" s="17" t="s">
        <v>741</v>
      </c>
      <c r="C5" s="7" t="s">
        <v>744</v>
      </c>
      <c r="D5" s="17" t="s">
        <v>745</v>
      </c>
    </row>
    <row r="6" spans="1:4" x14ac:dyDescent="0.45">
      <c r="B6" s="15">
        <v>1</v>
      </c>
      <c r="C6" s="15">
        <f>COUNTIFS(fact_batting_summary!$F2:$F3269,fact_batting_summary!F5,fact_batting_summary!D2:D3269,'Q5'!B6)</f>
        <v>15</v>
      </c>
      <c r="D6" s="18">
        <f t="shared" ref="D6:D16" si="0">(C6/$C$17)*100</f>
        <v>0.69252077562326864</v>
      </c>
    </row>
    <row r="7" spans="1:4" x14ac:dyDescent="0.45">
      <c r="B7" s="15">
        <v>2</v>
      </c>
      <c r="C7" s="15">
        <f>COUNTIFS(fact_batting_summary!$F3:$F3270,fact_batting_summary!F6,fact_batting_summary!D3:D3270,'Q5'!B7)</f>
        <v>380</v>
      </c>
      <c r="D7" s="18">
        <f t="shared" si="0"/>
        <v>17.543859649122805</v>
      </c>
    </row>
    <row r="8" spans="1:4" x14ac:dyDescent="0.45">
      <c r="B8" s="15">
        <v>3</v>
      </c>
      <c r="C8" s="15">
        <f>COUNTIFS(fact_batting_summary!$F4:$F3271,fact_batting_summary!F7,fact_batting_summary!D4:D3271,'Q5'!B8)</f>
        <v>375</v>
      </c>
      <c r="D8" s="18">
        <f t="shared" si="0"/>
        <v>17.313019390581719</v>
      </c>
    </row>
    <row r="9" spans="1:4" x14ac:dyDescent="0.45">
      <c r="B9" s="15">
        <v>4</v>
      </c>
      <c r="C9" s="15">
        <f>COUNTIFS(fact_batting_summary!$F5:$F3272,fact_batting_summary!F8,fact_batting_summary!D5:D3272,'Q5'!B9)</f>
        <v>344</v>
      </c>
      <c r="D9" s="18">
        <f t="shared" si="0"/>
        <v>15.881809787626963</v>
      </c>
    </row>
    <row r="10" spans="1:4" x14ac:dyDescent="0.45">
      <c r="B10" s="15">
        <v>5</v>
      </c>
      <c r="C10" s="15">
        <f>COUNTIFS(fact_batting_summary!$F6:$F3273,fact_batting_summary!F9,fact_batting_summary!D6:D3273,'Q5'!B10)</f>
        <v>287</v>
      </c>
      <c r="D10" s="18">
        <f t="shared" si="0"/>
        <v>13.250230840258542</v>
      </c>
    </row>
    <row r="11" spans="1:4" x14ac:dyDescent="0.45">
      <c r="B11" s="15">
        <v>6</v>
      </c>
      <c r="C11" s="15">
        <f>COUNTIFS(fact_batting_summary!$F7:$F3274,fact_batting_summary!F10,fact_batting_summary!D7:D3274,'Q5'!B11)</f>
        <v>254</v>
      </c>
      <c r="D11" s="18">
        <f t="shared" si="0"/>
        <v>11.726685133887351</v>
      </c>
    </row>
    <row r="12" spans="1:4" x14ac:dyDescent="0.45">
      <c r="B12" s="15">
        <v>7</v>
      </c>
      <c r="C12" s="15">
        <f>COUNTIFS(fact_batting_summary!$F8:$F3275,fact_batting_summary!F11,fact_batting_summary!D8:D3275,'Q5'!B12)</f>
        <v>195</v>
      </c>
      <c r="D12" s="18">
        <f t="shared" si="0"/>
        <v>9.0027700831024937</v>
      </c>
    </row>
    <row r="13" spans="1:4" x14ac:dyDescent="0.45">
      <c r="B13" s="15">
        <v>8</v>
      </c>
      <c r="C13" s="15">
        <f>COUNTIFS(fact_batting_summary!$F9:$F3276,fact_batting_summary!F12,fact_batting_summary!D9:D3276,'Q5'!B13)</f>
        <v>145</v>
      </c>
      <c r="D13" s="18">
        <f t="shared" si="0"/>
        <v>6.694367497691597</v>
      </c>
    </row>
    <row r="14" spans="1:4" x14ac:dyDescent="0.45">
      <c r="B14" s="15">
        <v>9</v>
      </c>
      <c r="C14" s="15">
        <f>COUNTIFS(fact_batting_summary!$F10:$F3277,fact_batting_summary!F13,fact_batting_summary!D10:D3277,'Q5'!B14)</f>
        <v>86</v>
      </c>
      <c r="D14" s="18">
        <f t="shared" si="0"/>
        <v>3.9704524469067408</v>
      </c>
    </row>
    <row r="15" spans="1:4" x14ac:dyDescent="0.45">
      <c r="B15" s="15">
        <v>10</v>
      </c>
      <c r="C15" s="15">
        <f>COUNTIFS(fact_batting_summary!$F11:$F3278,fact_batting_summary!F14,fact_batting_summary!D11:D3278,'Q5'!B15)</f>
        <v>71</v>
      </c>
      <c r="D15" s="18">
        <f t="shared" si="0"/>
        <v>3.2779316712834716</v>
      </c>
    </row>
    <row r="16" spans="1:4" x14ac:dyDescent="0.45">
      <c r="B16" s="15">
        <v>11</v>
      </c>
      <c r="C16" s="15">
        <f>COUNTIFS(fact_batting_summary!$F12:$F3279,fact_batting_summary!F15,fact_batting_summary!D12:D3279,'Q5'!B16)</f>
        <v>14</v>
      </c>
      <c r="D16" s="18">
        <f t="shared" si="0"/>
        <v>0.64635272391505072</v>
      </c>
    </row>
    <row r="17" spans="2:4" x14ac:dyDescent="0.45">
      <c r="B17" s="17" t="s">
        <v>742</v>
      </c>
      <c r="C17" s="17">
        <f>SUM(C6:C16)</f>
        <v>2166</v>
      </c>
      <c r="D17" s="17" t="s">
        <v>743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Questions</vt:lpstr>
      <vt:lpstr>dim_match_summary</vt:lpstr>
      <vt:lpstr>dim_players</vt:lpstr>
      <vt:lpstr>fact_batting_summary</vt:lpstr>
      <vt:lpstr>fact_bowling_summary</vt:lpstr>
      <vt:lpstr>Q3</vt:lpstr>
      <vt:lpstr>Q4</vt:lpstr>
      <vt:lpstr>Q5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Sanskriti Manu</cp:lastModifiedBy>
  <dcterms:created xsi:type="dcterms:W3CDTF">2025-03-18T05:14:42Z</dcterms:created>
  <dcterms:modified xsi:type="dcterms:W3CDTF">2026-02-14T10:14:44Z</dcterms:modified>
</cp:coreProperties>
</file>